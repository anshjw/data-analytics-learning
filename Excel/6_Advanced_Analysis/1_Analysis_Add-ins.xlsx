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0BB7301-AA56-41B0-AF0F-0F94E7EB3A97}" xr6:coauthVersionLast="47" xr6:coauthVersionMax="47" xr10:uidLastSave="{00000000-0000-0000-0000-000000000000}"/>
  <bookViews>
    <workbookView xWindow="-108" yWindow="-108" windowWidth="23256" windowHeight="13896" xr2:uid="{6C37AC85-509F-4D10-9DB1-F70D16D6FBAB}"/>
  </bookViews>
  <sheets>
    <sheet name="Forecast_Original" sheetId="7" r:id="rId1"/>
    <sheet name="Forecast_Final" sheetId="8" r:id="rId2"/>
    <sheet name="What-If_Analysis" sheetId="3" r:id="rId3"/>
    <sheet name="Scenario_Summary" sheetId="12" r:id="rId4"/>
    <sheet name="Answer Report 2" sheetId="20" r:id="rId5"/>
  </sheets>
  <definedNames>
    <definedName name="base" localSheetId="2">'What-If_Analysis'!$C$3</definedName>
    <definedName name="bonus" localSheetId="2">'What-If_Analysis'!$C$4</definedName>
    <definedName name="raise" localSheetId="2">'What-If_Analysis'!$C$5</definedName>
    <definedName name="solver_adj" localSheetId="2" hidden="1">'What-If_Analysis'!$C$4:$C$5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'What-If_Analysis'!$C$4</definedName>
    <definedName name="solver_lhs2" localSheetId="2" hidden="1">'What-If_Analysis'!$C$5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'What-If_Analysis'!$C$14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hs1" localSheetId="2" hidden="1">0.2</definedName>
    <definedName name="solver_rhs2" localSheetId="2" hidden="1">0.05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640000</definedName>
    <definedName name="solver_ver" localSheetId="2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4" i="3" l="1"/>
  <c r="D367" i="8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</calcChain>
</file>

<file path=xl/sharedStrings.xml><?xml version="1.0" encoding="utf-8"?>
<sst xmlns="http://schemas.openxmlformats.org/spreadsheetml/2006/main" count="95" uniqueCount="69">
  <si>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</si>
  <si>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</si>
  <si>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</si>
  <si>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</si>
  <si>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</si>
  <si>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</si>
  <si>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</si>
  <si>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</si>
  <si>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</si>
  <si>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</si>
  <si>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</si>
  <si>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</si>
  <si>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</si>
  <si>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</si>
  <si>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</si>
  <si>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</si>
  <si>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</si>
  <si>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</si>
  <si>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</si>
  <si>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</si>
  <si>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</si>
  <si>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</si>
  <si>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</si>
  <si>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</si>
  <si>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</si>
  <si>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</si>
  <si>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</si>
  <si>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</si>
  <si>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</si>
  <si>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</si>
  <si>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</si>
  <si>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</si>
  <si>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</si>
  <si>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</si>
  <si>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</si>
  <si>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</si>
  <si>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</si>
  <si>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</si>
  <si>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</si>
  <si>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Result: Solver found a solution.  All Constraints and optimality conditions are satisfied.</t>
  </si>
  <si>
    <t>Solver Engine</t>
  </si>
  <si>
    <t>Engine: GRG Nonlinear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</si>
  <si>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</si>
  <si>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</si>
  <si>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</si>
  <si>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</si>
  <si>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</si>
  <si>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</si>
  <si>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</si>
  <si>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</si>
  <si>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</si>
  <si>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</si>
  <si>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</si>
  <si>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</si>
  <si>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</si>
  <si>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</si>
  <si>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</si>
  <si>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</si>
  <si>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</si>
  <si>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</si>
  <si>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</si>
  <si>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</si>
  <si>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Not Binding</t>
  </si>
  <si>
    <t>Max Likely</t>
  </si>
  <si>
    <t>Iterations: 2 Subproblems: 0</t>
  </si>
  <si>
    <t>Report Created: 25-01-2026 15:52:54</t>
  </si>
  <si>
    <t>Solution Time: 0.047 Seconds.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</si>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</sst>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₹&quot;* #,##0_);_(&quot;₹&quot;* \(#,##0\);_(&quot;₹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65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 applyAlignment="1">
      <alignment vertical="center" wrapText="1"/>
    </xf>
    <xf numFmtId="3" fontId="0" fillId="0" borderId="28" xfId="0" applyNumberFormat="1" applyBorder="1" applyAlignment="1">
      <alignment vertical="center" wrapText="1"/>
    </xf>
    <xf numFmtId="9" fontId="0" fillId="0" borderId="28" xfId="0" applyNumberFormat="1" applyBorder="1" applyAlignment="1">
      <alignment vertical="center" wrapText="1"/>
    </xf>
    <xf numFmtId="166" fontId="0" fillId="0" borderId="29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0" xfId="0" applyFont="1" applyBorder="1"/>
    <xf numFmtId="9" fontId="10" fillId="0" borderId="30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5" xfId="0" applyFill="1" applyBorder="1" applyAlignment="1"/>
    <xf numFmtId="0" fontId="7" fillId="0" borderId="24" xfId="0" applyFont="1" applyFill="1" applyBorder="1" applyAlignment="1">
      <alignment horizontal="center"/>
    </xf>
    <xf numFmtId="0" fontId="0" fillId="0" borderId="26" xfId="0" applyFill="1" applyBorder="1" applyAlignment="1"/>
    <xf numFmtId="168" fontId="0" fillId="0" borderId="25" xfId="0" applyNumberFormat="1" applyFill="1" applyBorder="1" applyAlignment="1"/>
    <xf numFmtId="9" fontId="0" fillId="0" borderId="26" xfId="0" applyNumberFormat="1" applyFill="1" applyBorder="1" applyAlignment="1"/>
    <xf numFmtId="166" fontId="0" fillId="0" borderId="25" xfId="0" applyNumberFormat="1" applyFill="1" applyBorder="1" applyAlignment="1"/>
    <xf numFmtId="168" fontId="0" fillId="0" borderId="26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384810</xdr:colOff>
      <xdr:row>1</xdr:row>
      <xdr:rowOff>91440</xdr:rowOff>
    </xdr:from>
    <xdr:to>
      <xdr:col>21</xdr:col>
      <xdr:colOff>247650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tabSelected="1" topLeftCell="A335" workbookViewId="0">
      <selection activeCell="T342" sqref="T342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zoomScale="80" zoomScaleNormal="80" workbookViewId="0">
      <selection activeCell="X14" sqref="X14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C14" sqref="C14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56" t="s">
        <v>4</v>
      </c>
      <c r="C2" s="57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">
      <c r="B4" s="1" t="s">
        <v>1</v>
      </c>
      <c r="C4" s="46">
        <v>0.17283479610661426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35">
      <c r="B5" s="3" t="s">
        <v>2</v>
      </c>
      <c r="C5" s="47">
        <v>4.3731865887940702E-2</v>
      </c>
      <c r="E5" s="48" t="s">
        <v>21</v>
      </c>
      <c r="F5" s="49">
        <v>120000</v>
      </c>
      <c r="G5" s="50">
        <v>0.05</v>
      </c>
      <c r="H5" s="51">
        <v>8.0000000000000002E-3</v>
      </c>
    </row>
    <row r="6" spans="2:8" ht="29.4" thickBot="1" x14ac:dyDescent="0.35">
      <c r="E6" s="52" t="s">
        <v>63</v>
      </c>
      <c r="F6" s="53" t="e">
        <f>NA()</f>
        <v>#N/A</v>
      </c>
      <c r="G6" s="54">
        <v>0.25</v>
      </c>
      <c r="H6" s="55">
        <v>0.04</v>
      </c>
    </row>
    <row r="7" spans="2:8" x14ac:dyDescent="0.3">
      <c r="B7" s="56" t="s">
        <v>5</v>
      </c>
      <c r="C7" s="57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117283.47961066144</v>
      </c>
    </row>
    <row r="10" spans="2:8" x14ac:dyDescent="0.3">
      <c r="B10" s="4">
        <v>1</v>
      </c>
      <c r="C10" s="2">
        <f>(base*(1+raise)^B10)*(1+bonus)</f>
        <v>122412.5050118659</v>
      </c>
    </row>
    <row r="11" spans="2:8" x14ac:dyDescent="0.3">
      <c r="B11" s="4">
        <v>2</v>
      </c>
      <c r="C11" s="2">
        <f>(base*(1+raise)^B11)*(1+bonus)</f>
        <v>127765.83226405167</v>
      </c>
    </row>
    <row r="12" spans="2:8" x14ac:dyDescent="0.3">
      <c r="B12" s="4">
        <v>3</v>
      </c>
      <c r="C12" s="2">
        <f>(base*(1+raise)^B12)*(1+bonus)</f>
        <v>133353.27050568431</v>
      </c>
    </row>
    <row r="13" spans="2:8" ht="15" thickBot="1" x14ac:dyDescent="0.35">
      <c r="B13" s="36">
        <v>4</v>
      </c>
      <c r="C13" s="37">
        <f>(base*(1+raise)^B13)*(1+bonus)</f>
        <v>139185.05784715715</v>
      </c>
    </row>
    <row r="14" spans="2:8" ht="15.6" thickTop="1" thickBot="1" x14ac:dyDescent="0.35">
      <c r="B14" s="34" t="s">
        <v>3</v>
      </c>
      <c r="C14" s="35">
        <f>SUM(C9:C13)</f>
        <v>640000.14523942047</v>
      </c>
    </row>
  </sheetData>
  <mergeCells count="2">
    <mergeCell ref="B2:C2"/>
    <mergeCell ref="B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7CE0-6070-4A92-B754-F5DC9BD4C516}">
  <dimension ref="A1:G29"/>
  <sheetViews>
    <sheetView showGridLines="0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10.109375" bestFit="1" customWidth="1"/>
    <col min="7" max="7" width="12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65</v>
      </c>
    </row>
    <row r="4" spans="1:5" x14ac:dyDescent="0.3">
      <c r="A4" s="7" t="s">
        <v>39</v>
      </c>
    </row>
    <row r="5" spans="1:5" x14ac:dyDescent="0.3">
      <c r="A5" s="7" t="s">
        <v>40</v>
      </c>
    </row>
    <row r="6" spans="1:5" hidden="1" outlineLevel="1" x14ac:dyDescent="0.3">
      <c r="A6" s="7"/>
      <c r="B6" t="s">
        <v>41</v>
      </c>
    </row>
    <row r="7" spans="1:5" hidden="1" outlineLevel="1" x14ac:dyDescent="0.3">
      <c r="A7" s="7"/>
      <c r="B7" t="s">
        <v>66</v>
      </c>
    </row>
    <row r="8" spans="1:5" hidden="1" outlineLevel="1" x14ac:dyDescent="0.3">
      <c r="A8" s="7"/>
      <c r="B8" t="s">
        <v>64</v>
      </c>
    </row>
    <row r="9" spans="1:5" collapsed="1" x14ac:dyDescent="0.3">
      <c r="A9" s="7" t="s">
        <v>42</v>
      </c>
    </row>
    <row r="10" spans="1:5" hidden="1" outlineLevel="1" x14ac:dyDescent="0.3">
      <c r="B10" t="s">
        <v>43</v>
      </c>
    </row>
    <row r="11" spans="1:5" hidden="1" outlineLevel="1" x14ac:dyDescent="0.3">
      <c r="B11" t="s">
        <v>44</v>
      </c>
    </row>
    <row r="12" spans="1:5" hidden="1" outlineLevel="1" x14ac:dyDescent="0.3">
      <c r="B12" t="s">
        <v>45</v>
      </c>
    </row>
    <row r="13" spans="1:5" collapsed="1" x14ac:dyDescent="0.3"/>
    <row r="14" spans="1:5" ht="15" thickBot="1" x14ac:dyDescent="0.35">
      <c r="A14" t="s">
        <v>46</v>
      </c>
    </row>
    <row r="15" spans="1:5" ht="15" thickBot="1" x14ac:dyDescent="0.35">
      <c r="B15" s="59" t="s">
        <v>47</v>
      </c>
      <c r="C15" s="59" t="s">
        <v>48</v>
      </c>
      <c r="D15" s="59" t="s">
        <v>49</v>
      </c>
      <c r="E15" s="59" t="s">
        <v>50</v>
      </c>
    </row>
    <row r="16" spans="1:5" ht="15" thickBot="1" x14ac:dyDescent="0.35">
      <c r="B16" s="58" t="s">
        <v>29</v>
      </c>
      <c r="C16" s="58" t="s">
        <v>35</v>
      </c>
      <c r="D16" s="61">
        <v>622877.09440000006</v>
      </c>
      <c r="E16" s="61">
        <v>640000.14523942047</v>
      </c>
    </row>
    <row r="19" spans="1:7" ht="15" thickBot="1" x14ac:dyDescent="0.35">
      <c r="A19" t="s">
        <v>51</v>
      </c>
    </row>
    <row r="20" spans="1:7" ht="15" thickBot="1" x14ac:dyDescent="0.35">
      <c r="B20" s="59" t="s">
        <v>47</v>
      </c>
      <c r="C20" s="59" t="s">
        <v>48</v>
      </c>
      <c r="D20" s="59" t="s">
        <v>49</v>
      </c>
      <c r="E20" s="59" t="s">
        <v>50</v>
      </c>
      <c r="F20" s="59" t="s">
        <v>52</v>
      </c>
    </row>
    <row r="21" spans="1:7" x14ac:dyDescent="0.3">
      <c r="B21" s="60" t="s">
        <v>57</v>
      </c>
      <c r="C21" s="60" t="s">
        <v>15</v>
      </c>
      <c r="D21" s="62">
        <v>0.15</v>
      </c>
      <c r="E21" s="62">
        <v>0.17283479610661426</v>
      </c>
      <c r="F21" s="60" t="s">
        <v>58</v>
      </c>
    </row>
    <row r="22" spans="1:7" ht="15" thickBot="1" x14ac:dyDescent="0.35">
      <c r="B22" s="58" t="s">
        <v>59</v>
      </c>
      <c r="C22" s="58" t="s">
        <v>16</v>
      </c>
      <c r="D22" s="63">
        <v>0.04</v>
      </c>
      <c r="E22" s="63">
        <v>4.3731865887940702E-2</v>
      </c>
      <c r="F22" s="58" t="s">
        <v>58</v>
      </c>
    </row>
    <row r="25" spans="1:7" ht="15" thickBot="1" x14ac:dyDescent="0.35">
      <c r="A25" t="s">
        <v>53</v>
      </c>
    </row>
    <row r="26" spans="1:7" ht="15" thickBot="1" x14ac:dyDescent="0.35">
      <c r="B26" s="59" t="s">
        <v>47</v>
      </c>
      <c r="C26" s="59" t="s">
        <v>48</v>
      </c>
      <c r="D26" s="59" t="s">
        <v>54</v>
      </c>
      <c r="E26" s="59" t="s">
        <v>55</v>
      </c>
      <c r="F26" s="59" t="s">
        <v>56</v>
      </c>
      <c r="G26" s="59" t="s">
        <v>8</v>
      </c>
    </row>
    <row r="27" spans="1:7" x14ac:dyDescent="0.3">
      <c r="B27" s="60" t="s">
        <v>29</v>
      </c>
      <c r="C27" s="60" t="s">
        <v>35</v>
      </c>
      <c r="D27" s="64">
        <v>640000.14523942047</v>
      </c>
      <c r="E27" s="60" t="s">
        <v>60</v>
      </c>
      <c r="F27" s="60" t="s">
        <v>61</v>
      </c>
      <c r="G27" s="60">
        <v>0</v>
      </c>
    </row>
    <row r="28" spans="1:7" x14ac:dyDescent="0.3">
      <c r="B28" s="60" t="s">
        <v>57</v>
      </c>
      <c r="C28" s="60" t="s">
        <v>15</v>
      </c>
      <c r="D28" s="62">
        <v>0.17283479610661426</v>
      </c>
      <c r="E28" s="60" t="s">
        <v>67</v>
      </c>
      <c r="F28" s="60" t="s">
        <v>62</v>
      </c>
      <c r="G28" s="60">
        <v>2.7165203893385753E-2</v>
      </c>
    </row>
    <row r="29" spans="1:7" ht="15" thickBot="1" x14ac:dyDescent="0.35">
      <c r="B29" s="58" t="s">
        <v>59</v>
      </c>
      <c r="C29" s="58" t="s">
        <v>16</v>
      </c>
      <c r="D29" s="63">
        <v>4.3731865887940702E-2</v>
      </c>
      <c r="E29" s="58" t="s">
        <v>68</v>
      </c>
      <c r="F29" s="58" t="s">
        <v>62</v>
      </c>
      <c r="G29" s="58">
        <v>6.2681341120593009E-3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Forecast_Original</vt:lpstr>
      <vt:lpstr>Forecast_Final</vt:lpstr>
      <vt:lpstr>What-If_Analysis</vt:lpstr>
      <vt:lpstr>Scenario_Summary</vt:lpstr>
      <vt:lpstr>Answer Report 2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Ansh Jaiswal</cp:lastModifiedBy>
  <dcterms:created xsi:type="dcterms:W3CDTF">2024-08-08T18:34:47Z</dcterms:created>
  <dcterms:modified xsi:type="dcterms:W3CDTF">2026-01-25T10:24:00Z</dcterms:modified>
</cp:coreProperties>
</file>