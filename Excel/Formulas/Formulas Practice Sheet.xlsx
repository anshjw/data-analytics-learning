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6760EDE809BE0/Documents/"/>
    </mc:Choice>
  </mc:AlternateContent>
  <xr:revisionPtr revIDLastSave="91" documentId="8_{DA75529C-8DE5-4FF4-B019-C7F2F3F02144}" xr6:coauthVersionLast="47" xr6:coauthVersionMax="47" xr10:uidLastSave="{9610AE60-8B82-476B-84C6-F8C7A7EE9818}"/>
  <bookViews>
    <workbookView xWindow="-108" yWindow="-108" windowWidth="23256" windowHeight="1389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3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4" i="4"/>
  <c r="O5" i="4"/>
  <c r="O6" i="4"/>
  <c r="O7" i="4"/>
  <c r="O8" i="4"/>
  <c r="O9" i="4"/>
  <c r="O10" i="4"/>
  <c r="O11" i="4"/>
  <c r="O12" i="4"/>
  <c r="O3" i="4"/>
  <c r="N4" i="4"/>
  <c r="N5" i="4"/>
  <c r="N6" i="4"/>
  <c r="N7" i="4"/>
  <c r="N8" i="4"/>
  <c r="N9" i="4"/>
  <c r="N10" i="4"/>
  <c r="N11" i="4"/>
  <c r="N12" i="4"/>
  <c r="N3" i="4"/>
  <c r="M4" i="4"/>
  <c r="M5" i="4"/>
  <c r="M6" i="4"/>
  <c r="M7" i="4"/>
  <c r="M8" i="4"/>
  <c r="M9" i="4"/>
  <c r="M10" i="4"/>
  <c r="M11" i="4"/>
  <c r="M12" i="4"/>
  <c r="M3" i="4"/>
  <c r="L4" i="4"/>
  <c r="L5" i="4"/>
  <c r="L6" i="4"/>
  <c r="L7" i="4"/>
  <c r="L8" i="4"/>
  <c r="L9" i="4"/>
  <c r="L10" i="4"/>
  <c r="L11" i="4"/>
  <c r="L12" i="4"/>
  <c r="L3" i="4"/>
  <c r="K4" i="3"/>
  <c r="K5" i="3"/>
  <c r="K6" i="3"/>
  <c r="K7" i="3"/>
  <c r="K8" i="3"/>
  <c r="K9" i="3"/>
  <c r="K10" i="3"/>
  <c r="K11" i="3"/>
  <c r="K12" i="3"/>
  <c r="K3" i="3"/>
  <c r="I4" i="3"/>
  <c r="I5" i="3"/>
  <c r="I6" i="3"/>
  <c r="I7" i="3"/>
  <c r="I8" i="3"/>
  <c r="I9" i="3"/>
  <c r="I10" i="3"/>
  <c r="I11" i="3"/>
  <c r="I12" i="3"/>
  <c r="G4" i="3"/>
  <c r="G5" i="3"/>
  <c r="G6" i="3"/>
  <c r="G7" i="3"/>
  <c r="G8" i="3"/>
  <c r="G9" i="3"/>
  <c r="G10" i="3"/>
  <c r="G11" i="3"/>
  <c r="G12" i="3"/>
  <c r="I3" i="3"/>
  <c r="G3" i="3"/>
  <c r="J4" i="3"/>
  <c r="J5" i="3"/>
  <c r="J6" i="3"/>
  <c r="J7" i="3"/>
  <c r="J8" i="3"/>
  <c r="J9" i="3"/>
  <c r="J10" i="3"/>
  <c r="J11" i="3"/>
  <c r="J12" i="3"/>
  <c r="J3" i="3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K12" i="4"/>
  <c r="H12" i="4"/>
  <c r="I12" i="4" s="1"/>
  <c r="G12" i="4"/>
  <c r="F12" i="4"/>
  <c r="K11" i="4"/>
  <c r="H11" i="4"/>
  <c r="I11" i="4" s="1"/>
  <c r="G11" i="4"/>
  <c r="F11" i="4"/>
  <c r="K10" i="4"/>
  <c r="H10" i="4"/>
  <c r="I10" i="4" s="1"/>
  <c r="G10" i="4"/>
  <c r="F10" i="4"/>
  <c r="K9" i="4"/>
  <c r="H9" i="4"/>
  <c r="I9" i="4" s="1"/>
  <c r="G9" i="4"/>
  <c r="F9" i="4"/>
  <c r="K8" i="4"/>
  <c r="H8" i="4"/>
  <c r="I8" i="4" s="1"/>
  <c r="G8" i="4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F5" i="4"/>
  <c r="K4" i="4"/>
  <c r="H4" i="4"/>
  <c r="I4" i="4" s="1"/>
  <c r="G4" i="4"/>
  <c r="F4" i="4"/>
  <c r="K3" i="4"/>
  <c r="H3" i="4"/>
  <c r="I3" i="4" s="1"/>
  <c r="G3" i="4"/>
  <c r="F3" i="4"/>
  <c r="F12" i="3"/>
  <c r="F11" i="3"/>
  <c r="F10" i="3"/>
  <c r="F9" i="3"/>
  <c r="F8" i="3"/>
  <c r="F7" i="3"/>
  <c r="F6" i="3"/>
  <c r="F5" i="3"/>
  <c r="F4" i="3"/>
  <c r="F3" i="3"/>
  <c r="J3" i="4" l="1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<sst xmlns="http://schemas.openxmlformats.org/spreadsheetml/2006/main" count="120" uniqueCount="53">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</sst>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O3" sqref="O3:O12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6.77734375" style="4" bestFit="1" customWidth="1"/>
    <col min="6" max="6" width="12.88671875" style="4" bestFit="1" customWidth="1"/>
    <col min="7" max="7" width="13.6640625" style="4" bestFit="1" customWidth="1"/>
    <col min="8" max="8" width="13.21875" style="4" bestFit="1" customWidth="1"/>
    <col min="9" max="9" width="18.21875" style="4" customWidth="1"/>
    <col min="10" max="10" width="33.33203125" style="4" bestFit="1" customWidth="1"/>
    <col min="11" max="11" width="22.6640625" style="4" bestFit="1" customWidth="1"/>
    <col min="12" max="12" width="16" style="4" bestFit="1" customWidth="1"/>
    <col min="13" max="13" width="11.77734375" style="4" bestFit="1" customWidth="1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 t="shared" ref="H3:H11" si="0"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C$15&lt;=C3</f>
        <v>0</v>
      </c>
      <c r="M3" s="4" t="b">
        <f>$C$16&lt;=G3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1">C4</f>
        <v>4</v>
      </c>
      <c r="G4" s="4">
        <f t="shared" ref="G4:G12" si="2">D4+E4</f>
        <v>147000</v>
      </c>
      <c r="H4" s="30">
        <f t="shared" si="0"/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C$15&lt;=C4</f>
        <v>0</v>
      </c>
      <c r="M4" s="4" t="b">
        <f t="shared" ref="M4:M12" si="7">$C$16&lt;=G4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1"/>
        <v>2</v>
      </c>
      <c r="G5" s="4">
        <f t="shared" si="2"/>
        <v>80000</v>
      </c>
      <c r="H5" s="30">
        <f t="shared" si="0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1"/>
        <v>6</v>
      </c>
      <c r="G6" s="4">
        <f t="shared" si="2"/>
        <v>118000</v>
      </c>
      <c r="H6" s="30">
        <f t="shared" si="0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1"/>
        <v>3</v>
      </c>
      <c r="G7" s="4">
        <f t="shared" si="2"/>
        <v>136000</v>
      </c>
      <c r="H7" s="30">
        <f t="shared" si="0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1"/>
        <v>7</v>
      </c>
      <c r="G8" s="4">
        <f t="shared" si="2"/>
        <v>97000</v>
      </c>
      <c r="H8" s="30">
        <f t="shared" si="0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0</v>
      </c>
      <c r="N8" s="4">
        <f t="shared" si="8"/>
        <v>0</v>
      </c>
      <c r="O8" s="4" t="b">
        <f t="shared" si="9"/>
        <v>0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1"/>
        <v>10</v>
      </c>
      <c r="G9" s="4">
        <f t="shared" si="2"/>
        <v>165000</v>
      </c>
      <c r="H9" s="30">
        <f t="shared" si="0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1"/>
        <v>8</v>
      </c>
      <c r="G10" s="4">
        <f t="shared" si="2"/>
        <v>143000</v>
      </c>
      <c r="H10" s="30">
        <f t="shared" si="0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1"/>
        <v>3</v>
      </c>
      <c r="G11" s="4">
        <f t="shared" si="2"/>
        <v>154000</v>
      </c>
      <c r="H11" s="30">
        <f t="shared" si="0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1"/>
        <v>5</v>
      </c>
      <c r="G12" s="4">
        <f t="shared" si="2"/>
        <v>124000</v>
      </c>
      <c r="H12" s="30">
        <f>E12/D12</f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J14" sqref="J14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D3*H3+D3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D4*H4+D4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O13" sqref="O1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/>
      <c r="I3" s="24">
        <f>Math_Operators!H3*Math_Operators!D3+Math_Operators!D3</f>
        <v>130000</v>
      </c>
      <c r="J3" s="4" t="b">
        <f>Math_Operators!G3=Math_Operators!I3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/>
      <c r="I4" s="24">
        <f>Math_Operators!H4*Math_Operators!D4+Math_Operators!D4</f>
        <v>147000</v>
      </c>
      <c r="J4" s="4" t="b">
        <f>Math_Operators!G4=Math_Operators!I4</f>
        <v>1</v>
      </c>
      <c r="K4" s="4" t="b">
        <f t="shared" ref="K4:K12" si="2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/>
      <c r="I5" s="24">
        <f>Math_Operators!H5*Math_Operators!D5+Math_Operators!D5</f>
        <v>80000</v>
      </c>
      <c r="J5" s="4" t="b">
        <f>Math_Operators!G5=Math_Operators!I5</f>
        <v>1</v>
      </c>
      <c r="K5" s="4" t="b">
        <f t="shared" si="2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/>
      <c r="I6" s="24">
        <f>Math_Operators!H6*Math_Operators!D6+Math_Operators!D6</f>
        <v>118000</v>
      </c>
      <c r="J6" s="4" t="b">
        <f>Math_Operators!G6=Math_Operators!I6</f>
        <v>1</v>
      </c>
      <c r="K6" s="4" t="b">
        <f t="shared" si="2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/>
      <c r="I7" s="24">
        <f>Math_Operators!H7*Math_Operators!D7+Math_Operators!D7</f>
        <v>136000</v>
      </c>
      <c r="J7" s="4" t="b">
        <f>Math_Operators!G7=Math_Operators!I7</f>
        <v>1</v>
      </c>
      <c r="K7" s="4" t="b">
        <f t="shared" si="2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/>
      <c r="I8" s="24">
        <f>Math_Operators!H8*Math_Operators!D8+Math_Operators!D8</f>
        <v>97000</v>
      </c>
      <c r="J8" s="4" t="b">
        <f>Math_Operators!G8=Math_Operators!I8</f>
        <v>1</v>
      </c>
      <c r="K8" s="4" t="b">
        <f t="shared" si="2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/>
      <c r="I9" s="24">
        <f>Math_Operators!H9*Math_Operators!D9+Math_Operators!D9</f>
        <v>165000</v>
      </c>
      <c r="J9" s="4" t="b">
        <f>Math_Operators!G9=Math_Operators!I9</f>
        <v>1</v>
      </c>
      <c r="K9" s="4" t="b">
        <f t="shared" si="2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/>
      <c r="I10" s="24">
        <f>Math_Operators!H10*Math_Operators!D10+Math_Operators!D10</f>
        <v>143000</v>
      </c>
      <c r="J10" s="4" t="b">
        <f>Math_Operators!G10=Math_Operators!I10</f>
        <v>1</v>
      </c>
      <c r="K10" s="4" t="b">
        <f t="shared" si="2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/>
      <c r="I11" s="24">
        <f>Math_Operators!H11*Math_Operators!D11+Math_Operators!D11</f>
        <v>154000</v>
      </c>
      <c r="J11" s="4" t="b">
        <f>Math_Operators!G11=Math_Operators!I11</f>
        <v>1</v>
      </c>
      <c r="K11" s="4" t="b">
        <f t="shared" si="2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/>
      <c r="I12" s="24">
        <f>Math_Operators!H12*Math_Operators!D12+Math_Operators!D12</f>
        <v>124000</v>
      </c>
      <c r="J12" s="4" t="b">
        <f>Math_Operators!G12=Math_Operators!I12</f>
        <v>1</v>
      </c>
      <c r="K12" s="4" t="b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Q12" sqref="Q12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$C$16&lt;=D3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$C$16&lt;=D4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Ansh Jaiswal</cp:lastModifiedBy>
  <dcterms:created xsi:type="dcterms:W3CDTF">2024-07-16T20:11:02Z</dcterms:created>
  <dcterms:modified xsi:type="dcterms:W3CDTF">2026-01-01T06:47:06Z</dcterms:modified>
</cp:coreProperties>
</file>