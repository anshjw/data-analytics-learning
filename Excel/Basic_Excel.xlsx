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56760ede809be0/Documents/"/>
    </mc:Choice>
  </mc:AlternateContent>
  <xr:revisionPtr revIDLastSave="210" documentId="8_{01AE7772-82EF-47C8-9C6B-8DB7DE04D693}" xr6:coauthVersionLast="47" xr6:coauthVersionMax="47" xr10:uidLastSave="{46D24B1D-9AA7-4742-927D-72481279127A}"/>
  <bookViews>
    <workbookView xWindow="-108" yWindow="-108" windowWidth="23256" windowHeight="13896" activeTab="3" xr2:uid="{E15892F7-0B68-457B-A3F1-DF7AAF35C365}"/>
  </bookViews>
  <sheets>
    <sheet name="Practice - Sheet" sheetId="1" r:id="rId1"/>
    <sheet name="Charts" sheetId="5" r:id="rId2"/>
    <sheet name="Pivot Chart" sheetId="6" r:id="rId3"/>
    <sheet name="Data" sheetId="4" r:id="rId4"/>
  </sheets>
  <definedNames>
    <definedName name="_xlnm._FilterDatabase" localSheetId="3" hidden="1">Data!$A$1:$P$3103</definedName>
    <definedName name="_xlchart.v1.0" hidden="1">Data!$M$1</definedName>
    <definedName name="_xlchart.v1.1" hidden="1">Data!$M$2:$M$998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 a="1"/>
  <c r="A16" i="1" s="1"/>
  <c r="C9" i="1"/>
  <c r="H2" i="1" a="1"/>
  <c r="H2" i="1" s="1"/>
  <c r="E3" i="1"/>
  <c r="E4" i="1"/>
  <c r="E5" i="1"/>
  <c r="E6" i="1"/>
  <c r="E7" i="1"/>
  <c r="D3" i="1"/>
  <c r="D4" i="1"/>
  <c r="D5" i="1"/>
  <c r="D6" i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<sst xmlns="http://schemas.openxmlformats.org/spreadsheetml/2006/main" count="30745" uniqueCount="6403">
  <si>
    <t>Skill</t>
  </si>
  <si>
    <t>date started</t>
  </si>
  <si>
    <t>level</t>
  </si>
  <si>
    <t>difficulty</t>
  </si>
  <si>
    <t>skill &amp; level</t>
  </si>
  <si>
    <t>Excel</t>
  </si>
  <si>
    <t>Python</t>
  </si>
  <si>
    <t>SQl</t>
  </si>
  <si>
    <t>PowerBI</t>
  </si>
  <si>
    <t>Tableau</t>
  </si>
  <si>
    <t>skill known</t>
  </si>
  <si>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</si>
  <si>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</si>
  <si>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</si>
  <si>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</si>
  <si>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</si>
  <si>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</si>
  <si>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</si>
  <si>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</si>
  <si>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</si>
  <si>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</si>
  <si>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</si>
  <si>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</si>
  <si>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</si>
  <si>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</si>
  <si>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</si>
  <si>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</si>
  <si>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</si>
  <si>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</si>
  <si>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</si>
  <si>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</si>
  <si>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</si>
  <si>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</si>
  <si>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</si>
  <si>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</si>
  <si>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</si>
  <si>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</si>
  <si>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</si>
  <si>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</si>
  <si>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</si>
  <si>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</si>
  <si>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</si>
  <si>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</si>
  <si>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</si>
  <si>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</si>
  <si>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</si>
  <si>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</si>
  <si>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</si>
  <si>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</si>
  <si>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</si>
  <si>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</si>
  <si>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</si>
  <si>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</si>
  <si>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</si>
  <si>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</si>
  <si>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</si>
  <si>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</si>
  <si>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</si>
  <si>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</si>
  <si>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</si>
  <si>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</si>
  <si>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</si>
  <si>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</si>
  <si>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</si>
  <si>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</si>
  <si>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</si>
  <si>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</si>
  <si>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</si>
  <si>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</si>
  <si>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</si>
  <si>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</si>
  <si>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</si>
  <si>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</si>
  <si>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</si>
  <si>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</si>
  <si>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</si>
  <si>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</si>
  <si>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</si>
  <si>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</si>
  <si>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</si>
  <si>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</si>
  <si>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</si>
  <si>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</si>
  <si>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</si>
  <si>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</si>
  <si>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</si>
  <si>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</si>
  <si>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</si>
  <si>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</si>
  <si>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</si>
  <si>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</si>
  <si>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</si>
  <si>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</si>
  <si>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</si>
  <si>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</si>
  <si>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</si>
  <si>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</si>
  <si>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</si>
  <si>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</si>
  <si>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</si>
  <si>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</si>
  <si>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</si>
  <si>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</si>
  <si>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</si>
  <si>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</si>
  <si>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</si>
  <si>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</si>
  <si>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</si>
  <si>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</si>
  <si>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</si>
  <si>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</si>
  <si>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</si>
  <si>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</si>
  <si>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</si>
  <si>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</si>
  <si>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</si>
  <si>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</si>
  <si>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</si>
  <si>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</si>
  <si>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</si>
  <si>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</si>
  <si>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</si>
  <si>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</si>
  <si>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</si>
  <si>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</si>
  <si>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</si>
  <si>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</si>
  <si>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</si>
  <si>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</si>
  <si>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</si>
  <si>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</si>
  <si>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</si>
  <si>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</si>
  <si>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</si>
  <si>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</si>
  <si>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</si>
  <si>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</si>
  <si>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</si>
  <si>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</si>
  <si>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</si>
  <si>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</si>
  <si>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</si>
  <si>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</si>
  <si>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</si>
  <si>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</si>
  <si>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</si>
  <si>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</si>
  <si>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</si>
  <si>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</si>
  <si>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</si>
  <si>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</si>
  <si>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</si>
  <si>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</si>
  <si>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</si>
  <si>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</si>
  <si>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</si>
  <si>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</si>
  <si>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</si>
  <si>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</si>
  <si>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</si>
  <si>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</si>
  <si>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</si>
  <si>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</si>
  <si>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</si>
  <si>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</si>
  <si>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</si>
  <si>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</si>
  <si>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</si>
  <si>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</si>
  <si>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</si>
  <si>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</si>
  <si>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</si>
  <si>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</si>
  <si>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</si>
  <si>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</si>
  <si>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</si>
  <si>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</si>
  <si>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</si>
  <si>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</si>
  <si>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</si>
  <si>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</si>
  <si>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</si>
  <si>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</si>
  <si>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</si>
  <si>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</si>
  <si>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</si>
  <si>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</si>
  <si>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</si>
  <si>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</si>
  <si>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</si>
  <si>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</si>
  <si>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</si>
  <si>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</si>
  <si>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</si>
  <si>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</si>
  <si>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</si>
  <si>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</si>
  <si>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</si>
  <si>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</si>
  <si>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</si>
  <si>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</si>
  <si>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</si>
  <si>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</si>
  <si>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</si>
  <si>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</si>
  <si>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</si>
  <si>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</si>
  <si>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</si>
  <si>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</si>
  <si>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</si>
  <si>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</si>
  <si>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</si>
  <si>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</si>
  <si>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</si>
  <si>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</si>
  <si>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</si>
  <si>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</si>
  <si>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</si>
  <si>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</si>
  <si>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</si>
  <si>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</si>
  <si>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</si>
  <si>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</si>
  <si>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</si>
  <si>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</si>
  <si>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</si>
  <si>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</si>
  <si>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</si>
  <si>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</si>
  <si>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</si>
  <si>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</si>
  <si>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</si>
  <si>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</si>
  <si>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</si>
  <si>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</si>
  <si>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</si>
  <si>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</si>
  <si>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</si>
  <si>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</si>
  <si>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</si>
  <si>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</si>
  <si>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</si>
  <si>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</si>
  <si>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</si>
  <si>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</si>
  <si>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</si>
  <si>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</si>
  <si>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</si>
  <si>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</si>
  <si>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</si>
  <si>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</si>
  <si>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</si>
  <si>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</si>
  <si>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</si>
  <si>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</si>
  <si>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</si>
  <si>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</si>
  <si>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</si>
  <si>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</si>
  <si>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</si>
  <si>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</si>
  <si>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</si>
  <si>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</si>
  <si>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</si>
  <si>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</si>
  <si>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</si>
  <si>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</si>
  <si>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</si>
  <si>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</si>
  <si>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</si>
  <si>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</si>
  <si>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</si>
  <si>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</si>
  <si>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</si>
  <si>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</si>
  <si>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</si>
  <si>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</si>
  <si>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</si>
  <si>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</si>
  <si>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</si>
  <si>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</si>
  <si>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</si>
  <si>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</si>
  <si>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</si>
  <si>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</si>
  <si>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</si>
  <si>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</si>
  <si>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</si>
  <si>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</si>
  <si>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</si>
  <si>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</si>
  <si>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</si>
  <si>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</si>
  <si>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</si>
  <si>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</si>
  <si>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</si>
  <si>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</si>
  <si>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</si>
  <si>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</si>
  <si>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</si>
  <si>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</si>
  <si>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</si>
  <si>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</si>
  <si>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</si>
  <si>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</si>
  <si>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</si>
  <si>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</si>
  <si>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</si>
  <si>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</si>
  <si>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</si>
  <si>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</si>
  <si>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</si>
  <si>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</si>
  <si>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</si>
  <si>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</si>
  <si>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</si>
  <si>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</si>
  <si>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</si>
  <si>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</si>
  <si>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</si>
  <si>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</si>
  <si>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</si>
  <si>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</si>
  <si>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</si>
  <si>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</si>
  <si>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</si>
  <si>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</si>
  <si>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</si>
  <si>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</si>
  <si>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</si>
  <si>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</si>
  <si>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</si>
  <si>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</si>
  <si>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</si>
  <si>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</si>
  <si>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</si>
  <si>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</si>
  <si>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</si>
  <si>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</si>
  <si>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</si>
  <si>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</si>
  <si>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</si>
  <si>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</si>
  <si>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</si>
  <si>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</si>
  <si>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</si>
  <si>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</si>
  <si>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</si>
  <si>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</si>
  <si>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</si>
  <si>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</si>
  <si>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</si>
  <si>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</si>
  <si>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</si>
  <si>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</si>
  <si>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</si>
  <si>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</si>
  <si>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</si>
  <si>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</si>
  <si>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</si>
  <si>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</si>
  <si>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</si>
  <si>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</si>
  <si>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</si>
  <si>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</si>
  <si>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</si>
  <si>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</si>
  <si>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</si>
  <si>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</si>
  <si>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</si>
  <si>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</si>
  <si>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</si>
  <si>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</si>
  <si>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</si>
  <si>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</si>
  <si>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</si>
  <si>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</si>
  <si>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</si>
  <si>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</si>
  <si>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</si>
  <si>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</si>
  <si>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</si>
  <si>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</si>
  <si>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</si>
  <si>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</si>
  <si>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</si>
  <si>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</si>
  <si>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</si>
  <si>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</si>
  <si>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</si>
  <si>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</si>
  <si>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</si>
  <si>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</si>
  <si>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</si>
  <si>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</si>
  <si>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</si>
  <si>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</si>
  <si>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</si>
  <si>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</si>
  <si>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</si>
  <si>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</si>
  <si>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</si>
  <si>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</si>
  <si>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</si>
  <si>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</si>
  <si>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</si>
  <si>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</si>
  <si>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</si>
  <si>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</si>
  <si>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</si>
  <si>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</si>
  <si>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</si>
  <si>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</si>
  <si>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</si>
  <si>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</si>
  <si>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</si>
  <si>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</si>
  <si>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</si>
  <si>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</si>
  <si>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</si>
  <si>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</si>
  <si>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</si>
  <si>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</si>
  <si>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</si>
  <si>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</si>
  <si>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</si>
  <si>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</si>
  <si>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</si>
  <si>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</si>
  <si>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</si>
  <si>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</si>
  <si>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</si>
  <si>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</si>
  <si>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</si>
  <si>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</si>
  <si>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</si>
  <si>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</si>
  <si>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</si>
  <si>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</si>
  <si>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</si>
  <si>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</si>
  <si>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</si>
  <si>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</si>
  <si>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</si>
  <si>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</si>
  <si>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</si>
  <si>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</si>
  <si>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</si>
  <si>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</si>
  <si>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</si>
  <si>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</si>
  <si>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</si>
  <si>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</si>
  <si>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</si>
  <si>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</si>
  <si>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</si>
  <si>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</si>
  <si>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</si>
  <si>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</si>
  <si>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</si>
  <si>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</si>
  <si>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</si>
  <si>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</si>
  <si>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</si>
  <si>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</si>
  <si>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</si>
  <si>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</si>
  <si>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</si>
  <si>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</si>
  <si>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</si>
  <si>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</si>
  <si>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</si>
  <si>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</si>
  <si>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</si>
  <si>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</si>
  <si>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</si>
  <si>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</si>
  <si>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</si>
  <si>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</si>
  <si>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</si>
  <si>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</si>
  <si>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</si>
  <si>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</si>
  <si>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</si>
  <si>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</si>
  <si>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</si>
  <si>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</si>
  <si>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</si>
  <si>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</si>
  <si>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</si>
  <si>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</si>
  <si>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</si>
  <si>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</si>
  <si>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</si>
  <si>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</si>
  <si>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</si>
  <si>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</si>
  <si>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</si>
  <si>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</si>
  <si>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</si>
  <si>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</si>
  <si>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</si>
  <si>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</si>
  <si>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</si>
  <si>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</si>
  <si>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</si>
  <si>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</si>
  <si>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</si>
  <si>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</si>
  <si>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</si>
  <si>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</si>
  <si>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</si>
  <si>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</si>
  <si>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</si>
  <si>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</si>
  <si>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</si>
  <si>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</si>
  <si>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</si>
  <si>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</si>
  <si>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</si>
  <si>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</si>
  <si>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</si>
  <si>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</si>
  <si>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</si>
  <si>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</si>
  <si>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</si>
  <si>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</si>
  <si>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</si>
  <si>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</si>
  <si>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</si>
  <si>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</si>
  <si>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</si>
  <si>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</si>
  <si>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</si>
  <si>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</si>
  <si>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</si>
  <si>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</si>
  <si>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</si>
  <si>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</si>
  <si>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</si>
  <si>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</si>
  <si>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</si>
  <si>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</si>
  <si>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</si>
  <si>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</si>
  <si>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</si>
  <si>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</si>
  <si>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</si>
  <si>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</si>
  <si>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</si>
  <si>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</si>
  <si>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</si>
  <si>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</si>
  <si>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</si>
  <si>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</si>
  <si>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</si>
  <si>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</si>
  <si>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</si>
  <si>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</si>
  <si>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</si>
  <si>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</si>
  <si>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</si>
  <si>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</si>
  <si>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</si>
  <si>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</si>
  <si>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</si>
  <si>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</si>
  <si>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</si>
  <si>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</si>
  <si>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</si>
  <si>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</si>
  <si>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</si>
  <si>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</si>
  <si>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</si>
  <si>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</si>
  <si>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</si>
  <si>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</si>
  <si>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</si>
  <si>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</si>
  <si>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</si>
  <si>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</si>
  <si>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</si>
  <si>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</si>
  <si>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</si>
  <si>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</si>
  <si>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</si>
  <si>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</si>
  <si>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</si>
  <si>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</si>
  <si>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</si>
  <si>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</si>
  <si>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</si>
  <si>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</si>
  <si>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</si>
  <si>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</si>
  <si>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</si>
  <si>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</si>
  <si>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</si>
  <si>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</si>
  <si>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</si>
  <si>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</si>
  <si>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</si>
  <si>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</si>
  <si>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</si>
  <si>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</si>
  <si>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</si>
  <si>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</si>
  <si>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</si>
  <si>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</si>
  <si>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</si>
  <si>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</si>
  <si>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</si>
  <si>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</si>
  <si>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</si>
  <si>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</si>
  <si>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</si>
  <si>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</si>
  <si>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</si>
  <si>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</si>
  <si>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</si>
  <si>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</si>
  <si>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</si>
  <si>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</si>
  <si>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</si>
  <si>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</si>
  <si>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</si>
  <si>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</si>
  <si>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</si>
  <si>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</si>
  <si>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</si>
  <si>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</si>
  <si>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</si>
  <si>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</si>
  <si>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</si>
  <si>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</si>
  <si>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</si>
  <si>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</si>
  <si>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</si>
  <si>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</si>
  <si>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</si>
  <si>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</si>
  <si>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</si>
  <si>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</si>
  <si>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</si>
  <si>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</si>
  <si>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</si>
  <si>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</si>
  <si>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</si>
  <si>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</si>
  <si>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</si>
  <si>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</si>
  <si>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</si>
  <si>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</si>
  <si>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</si>
  <si>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</si>
  <si>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</si>
  <si>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</si>
  <si>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</si>
  <si>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</si>
  <si>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</si>
  <si>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</si>
  <si>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</si>
  <si>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</si>
  <si>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</si>
  <si>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</si>
  <si>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</si>
  <si>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</si>
  <si>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</si>
  <si>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</si>
  <si>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</si>
  <si>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</si>
  <si>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</si>
  <si>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</si>
  <si>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</si>
  <si>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</si>
  <si>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</si>
  <si>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</si>
  <si>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</si>
  <si>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</si>
  <si>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</si>
  <si>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</si>
  <si>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</si>
  <si>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</si>
  <si>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</si>
  <si>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</si>
  <si>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</si>
  <si>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</si>
  <si>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</si>
  <si>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</si>
  <si>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</si>
  <si>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</si>
  <si>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</si>
  <si>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</si>
  <si>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</si>
  <si>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</si>
  <si>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</si>
  <si>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</si>
  <si>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</si>
  <si>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</si>
  <si>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</si>
  <si>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</si>
  <si>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</si>
  <si>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</si>
  <si>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</si>
  <si>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</si>
  <si>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</si>
  <si>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</si>
  <si>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</si>
  <si>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</si>
  <si>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</si>
  <si>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</si>
  <si>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</si>
  <si>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</si>
  <si>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</si>
  <si>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</si>
  <si>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</si>
  <si>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</si>
  <si>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</si>
  <si>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</si>
  <si>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</si>
  <si>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</si>
  <si>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</si>
  <si>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</si>
  <si>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</si>
  <si>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</si>
  <si>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</si>
  <si>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</si>
  <si>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</si>
  <si>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</si>
  <si>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</si>
  <si>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</si>
  <si>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</si>
  <si>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</si>
  <si>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</si>
  <si>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</si>
  <si>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</si>
  <si>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</si>
  <si>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</si>
  <si>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</si>
  <si>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</si>
  <si>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</si>
  <si>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</si>
  <si>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</si>
  <si>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</si>
  <si>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</si>
  <si>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</si>
  <si>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</si>
  <si>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</si>
  <si>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</si>
  <si>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</si>
  <si>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</si>
  <si>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</si>
  <si>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</si>
  <si>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</si>
  <si>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</si>
  <si>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</si>
  <si>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</si>
  <si>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</si>
  <si>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</si>
  <si>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</si>
  <si>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</si>
  <si>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</si>
  <si>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</si>
  <si>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</si>
  <si>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</si>
  <si>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</si>
  <si>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</si>
  <si>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</si>
  <si>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</si>
  <si>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</si>
  <si>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</si>
  <si>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</si>
  <si>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</si>
  <si>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</si>
  <si>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</si>
  <si>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</si>
  <si>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</si>
  <si>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</si>
  <si>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</si>
  <si>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</si>
  <si>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</si>
  <si>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</si>
  <si>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</si>
  <si>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</si>
  <si>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</si>
  <si>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</si>
  <si>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</si>
  <si>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</si>
  <si>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</si>
  <si>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</si>
  <si>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</si>
  <si>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</si>
  <si>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</si>
  <si>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</si>
  <si>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</si>
  <si>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</si>
  <si>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</si>
  <si>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</si>
  <si>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</si>
  <si>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</si>
  <si>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</si>
  <si>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</si>
  <si>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</si>
  <si>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</si>
  <si>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</si>
  <si>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</si>
  <si>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</si>
  <si>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</si>
  <si>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</si>
  <si>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</si>
  <si>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</si>
  <si>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</si>
  <si>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</si>
  <si>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</si>
  <si>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</si>
  <si>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</si>
  <si>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</si>
  <si>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</si>
  <si>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</si>
  <si>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</si>
  <si>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</si>
  <si>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</si>
  <si>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</si>
  <si>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</si>
  <si>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</si>
  <si>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</si>
  <si>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</si>
  <si>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</si>
  <si>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</si>
  <si>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</si>
  <si>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</si>
  <si>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</si>
  <si>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</si>
  <si>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</si>
  <si>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</si>
  <si>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</si>
  <si>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</si>
  <si>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</si>
  <si>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</si>
  <si>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</si>
  <si>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</si>
  <si>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</si>
  <si>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</si>
  <si>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</si>
  <si>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</si>
  <si>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</si>
  <si>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</si>
  <si>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</si>
  <si>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</si>
  <si>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</si>
  <si>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</si>
  <si>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</si>
  <si>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</si>
  <si>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</si>
  <si>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</si>
  <si>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</si>
  <si>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</si>
  <si>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</si>
  <si>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</si>
  <si>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</si>
  <si>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</si>
  <si>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</si>
  <si>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</si>
  <si>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</si>
  <si>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</si>
  <si>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</si>
  <si>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</si>
  <si>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</si>
  <si>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</si>
  <si>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</si>
  <si>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</si>
  <si>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</si>
  <si>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</si>
  <si>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</si>
  <si>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</si>
  <si>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</si>
  <si>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</si>
  <si>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</si>
  <si>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</si>
  <si>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</si>
  <si>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</si>
  <si>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</si>
  <si>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</si>
  <si>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</si>
  <si>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</si>
  <si>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</si>
  <si>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</si>
  <si>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</si>
  <si>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</si>
  <si>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</si>
  <si>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</si>
  <si>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</si>
  <si>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</si>
  <si>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</si>
  <si>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</si>
  <si>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</si>
  <si>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</si>
  <si>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</si>
  <si>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</si>
  <si>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</si>
  <si>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</si>
  <si>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</si>
  <si>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</si>
  <si>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</si>
  <si>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</si>
  <si>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</si>
  <si>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</si>
  <si>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</si>
  <si>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</si>
  <si>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</si>
  <si>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</si>
  <si>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</si>
  <si>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</si>
  <si>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</si>
  <si>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</si>
  <si>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</si>
  <si>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</si>
  <si>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</si>
  <si>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</si>
  <si>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</si>
  <si>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</si>
  <si>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</si>
  <si>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</si>
  <si>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</si>
  <si>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</si>
  <si>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</si>
  <si>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</si>
  <si>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</si>
  <si>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</si>
  <si>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</si>
  <si>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</si>
  <si>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</si>
  <si>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</si>
  <si>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</si>
  <si>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</si>
  <si>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</si>
  <si>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</si>
  <si>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</si>
  <si>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</si>
  <si>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</si>
  <si>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</si>
  <si>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</si>
  <si>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</si>
  <si>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</si>
  <si>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</si>
  <si>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</si>
  <si>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</si>
  <si>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</si>
  <si>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</si>
  <si>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</si>
  <si>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</si>
  <si>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</si>
  <si>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</si>
  <si>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</si>
  <si>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</si>
  <si>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</si>
  <si>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</si>
  <si>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</si>
  <si>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</si>
  <si>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</si>
  <si>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</si>
  <si>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</si>
  <si>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</si>
  <si>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</si>
  <si>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</si>
  <si>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</si>
  <si>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</si>
  <si>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</si>
  <si>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</si>
  <si>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</si>
  <si>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</si>
  <si>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</si>
  <si>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</si>
  <si>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</si>
  <si>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</si>
  <si>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</si>
  <si>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</si>
  <si>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</si>
  <si>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</si>
  <si>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</si>
  <si>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</si>
  <si>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</si>
  <si>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</si>
  <si>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</si>
  <si>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</si>
  <si>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</si>
  <si>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</si>
  <si>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</si>
  <si>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</si>
  <si>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</si>
  <si>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</si>
  <si>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</si>
  <si>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</si>
  <si>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</si>
  <si>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</si>
  <si>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</si>
  <si>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</si>
  <si>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</si>
  <si>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</si>
  <si>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</si>
  <si>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</si>
  <si>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</si>
  <si>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</si>
  <si>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</si>
  <si>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</si>
  <si>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</si>
  <si>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</si>
  <si>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</si>
  <si>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</si>
  <si>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</si>
  <si>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</si>
  <si>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</si>
  <si>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</si>
  <si>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</si>
  <si>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</si>
  <si>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</si>
  <si>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</si>
  <si>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</si>
  <si>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</si>
  <si>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</si>
  <si>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</si>
  <si>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</si>
  <si>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</si>
  <si>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</si>
  <si>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</si>
  <si>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</si>
  <si>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</si>
  <si>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</si>
  <si>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</si>
  <si>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</si>
  <si>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</si>
  <si>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</si>
  <si>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</si>
  <si>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</si>
  <si>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</si>
  <si>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</si>
  <si>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</si>
  <si>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</si>
  <si>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</si>
  <si>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</si>
  <si>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</si>
  <si>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</si>
  <si>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</si>
  <si>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</si>
  <si>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</si>
  <si>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</si>
  <si>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</si>
  <si>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</si>
  <si>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</si>
  <si>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</si>
  <si>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</si>
  <si>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</si>
  <si>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</si>
  <si>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</si>
  <si>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</si>
  <si>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</si>
  <si>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</si>
  <si>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</si>
  <si>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</si>
  <si>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</si>
  <si>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</si>
  <si>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</si>
  <si>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</si>
  <si>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</si>
  <si>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</si>
  <si>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</si>
  <si>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</si>
  <si>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</si>
  <si>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</si>
  <si>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</si>
  <si>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</si>
  <si>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</si>
  <si>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</si>
  <si>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</si>
  <si>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</si>
  <si>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</si>
  <si>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</si>
  <si>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</si>
  <si>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</si>
  <si>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</si>
  <si>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</si>
  <si>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</si>
  <si>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</si>
  <si>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</si>
  <si>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</si>
  <si>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</si>
  <si>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</si>
  <si>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</si>
  <si>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</si>
  <si>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</si>
  <si>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</si>
  <si>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</si>
  <si>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</si>
  <si>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</si>
  <si>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</si>
  <si>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</si>
  <si>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</si>
  <si>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</si>
  <si>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</si>
  <si>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</si>
  <si>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</si>
  <si>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</si>
  <si>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</si>
  <si>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</si>
  <si>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</si>
  <si>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</si>
  <si>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</si>
  <si>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</si>
  <si>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</si>
  <si>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</si>
  <si>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</si>
  <si>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</si>
  <si>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</si>
  <si>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</si>
  <si>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</si>
  <si>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</si>
  <si>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</si>
  <si>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</si>
  <si>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</si>
  <si>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</si>
  <si>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</si>
  <si>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</si>
  <si>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</si>
  <si>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</si>
  <si>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</si>
  <si>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</si>
  <si>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</si>
  <si>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</si>
  <si>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</si>
  <si>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</si>
  <si>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</si>
  <si>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</si>
  <si>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</si>
  <si>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</si>
  <si>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</si>
  <si>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</si>
  <si>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</si>
  <si>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</si>
  <si>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</si>
  <si>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</si>
  <si>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</si>
  <si>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</si>
  <si>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</si>
  <si>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</si>
  <si>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</si>
  <si>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</si>
  <si>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</si>
  <si>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</si>
  <si>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</si>
  <si>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</si>
  <si>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</si>
  <si>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</si>
  <si>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</si>
  <si>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</si>
  <si>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</si>
  <si>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</si>
  <si>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</si>
  <si>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</si>
  <si>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</si>
  <si>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</si>
  <si>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</si>
  <si>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</si>
  <si>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</si>
  <si>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</si>
  <si>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</si>
  <si>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</si>
  <si>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</si>
  <si>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</si>
  <si>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</si>
  <si>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</si>
  <si>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</si>
  <si>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</si>
  <si>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</si>
  <si>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</si>
  <si>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</si>
  <si>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</si>
  <si>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</si>
  <si>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</si>
  <si>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</si>
  <si>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</si>
  <si>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</si>
  <si>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</si>
  <si>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</si>
  <si>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</si>
  <si>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</si>
  <si>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</si>
  <si>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</si>
  <si>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</si>
  <si>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</si>
  <si>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</si>
  <si>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</si>
  <si>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</si>
  <si>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</si>
  <si>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</si>
  <si>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</si>
  <si>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</si>
  <si>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</si>
  <si>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</si>
  <si>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</si>
  <si>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</si>
  <si>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</si>
  <si>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</si>
  <si>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</si>
  <si>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</si>
  <si>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</si>
  <si>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</si>
  <si>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</si>
  <si>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</si>
  <si>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</si>
  <si>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</si>
  <si>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</si>
  <si>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</si>
  <si>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</si>
  <si>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</si>
  <si>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</si>
  <si>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</si>
  <si>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</si>
  <si>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</si>
  <si>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</si>
  <si>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</si>
  <si>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</si>
  <si>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</si>
  <si>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</si>
  <si>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</si>
  <si>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</si>
  <si>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</si>
  <si>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</si>
  <si>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</si>
  <si>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</si>
  <si>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</si>
  <si>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</si>
  <si>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</si>
  <si>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</si>
  <si>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</si>
  <si>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</si>
  <si>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</si>
  <si>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</si>
  <si>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</si>
  <si>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</si>
  <si>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</si>
  <si>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</si>
  <si>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</si>
  <si>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</si>
  <si>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</si>
  <si>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</si>
  <si>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</si>
  <si>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</si>
  <si>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</si>
  <si>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</si>
  <si>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</si>
  <si>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</si>
  <si>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</si>
  <si>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</si>
  <si>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</si>
  <si>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</si>
  <si>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</si>
  <si>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</si>
  <si>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</si>
  <si>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</si>
  <si>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</si>
  <si>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</si>
  <si>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</si>
  <si>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</si>
  <si>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</si>
  <si>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</si>
  <si>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</si>
  <si>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</si>
  <si>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</si>
  <si>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</si>
  <si>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</si>
  <si>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</si>
  <si>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</si>
  <si>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</si>
  <si>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</si>
  <si>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</si>
  <si>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</si>
  <si>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</si>
  <si>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</si>
  <si>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</si>
  <si>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</si>
  <si>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</si>
  <si>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</si>
  <si>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</si>
  <si>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</si>
  <si>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</si>
  <si>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</si>
  <si>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</si>
  <si>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</si>
  <si>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</si>
  <si>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</si>
  <si>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</si>
  <si>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</si>
  <si>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</si>
  <si>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</si>
  <si>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</si>
  <si>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</si>
  <si>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</si>
  <si>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</si>
  <si>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</si>
  <si>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</si>
  <si>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</si>
  <si>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</si>
  <si>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</si>
  <si>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</si>
  <si>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</si>
  <si>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</si>
  <si>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</si>
  <si>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</si>
  <si>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</si>
  <si>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</si>
  <si>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</si>
  <si>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</si>
  <si>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</si>
  <si>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</si>
  <si>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</si>
  <si>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</si>
  <si>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</si>
  <si>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</si>
  <si>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</si>
  <si>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</si>
  <si>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</si>
  <si>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</si>
  <si>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</si>
  <si>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</si>
  <si>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</si>
  <si>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</si>
  <si>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</si>
  <si>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</si>
  <si>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</si>
  <si>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</si>
  <si>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</si>
  <si>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</si>
  <si>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</si>
  <si>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</si>
  <si>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</si>
  <si>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</si>
  <si>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</si>
  <si>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</si>
  <si>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</si>
  <si>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</si>
  <si>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</si>
  <si>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</si>
  <si>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</si>
  <si>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</si>
  <si>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</si>
  <si>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</si>
  <si>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</si>
  <si>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</si>
  <si>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</si>
  <si>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</si>
  <si>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</si>
  <si>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</si>
  <si>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</si>
  <si>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</si>
  <si>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</si>
  <si>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</si>
  <si>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</si>
  <si>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</si>
  <si>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</si>
  <si>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</si>
  <si>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</si>
  <si>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</si>
  <si>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</si>
  <si>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</si>
  <si>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</si>
  <si>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</si>
  <si>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</si>
  <si>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</si>
  <si>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</si>
  <si>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</si>
  <si>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</si>
  <si>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</si>
  <si>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</si>
  <si>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</si>
  <si>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</si>
  <si>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</si>
  <si>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</si>
  <si>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</si>
  <si>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</si>
  <si>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</si>
  <si>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</si>
  <si>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</si>
  <si>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</si>
  <si>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</si>
  <si>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</si>
  <si>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</si>
  <si>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</si>
  <si>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</si>
  <si>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</si>
  <si>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</si>
  <si>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</si>
  <si>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</si>
  <si>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</si>
  <si>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</si>
  <si>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</si>
  <si>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</si>
  <si>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</si>
  <si>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</si>
  <si>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</si>
  <si>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</si>
  <si>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</si>
  <si>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</si>
  <si>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</si>
  <si>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</si>
  <si>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</si>
  <si>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</si>
  <si>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</si>
  <si>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</si>
  <si>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</si>
  <si>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</si>
  <si>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</si>
  <si>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</si>
  <si>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</si>
  <si>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</si>
  <si>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</si>
  <si>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</si>
  <si>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</si>
  <si>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</si>
  <si>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</si>
  <si>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</si>
  <si>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</si>
  <si>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</si>
  <si>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</si>
  <si>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</si>
  <si>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</si>
  <si>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</si>
  <si>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</si>
  <si>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</si>
  <si>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</si>
  <si>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</si>
  <si>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</si>
  <si>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</si>
  <si>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</si>
  <si>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</si>
  <si>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</si>
  <si>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</si>
  <si>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</si>
  <si>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</si>
  <si>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</si>
  <si>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</si>
  <si>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</si>
  <si>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</si>
  <si>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</si>
  <si>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</si>
  <si>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</si>
  <si>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</si>
  <si>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</si>
  <si>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</si>
  <si>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</si>
  <si>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</si>
  <si>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</si>
  <si>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</si>
  <si>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</si>
  <si>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</si>
  <si>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</si>
  <si>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</si>
  <si>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</si>
  <si>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</si>
  <si>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</si>
  <si>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</si>
  <si>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</si>
  <si>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</si>
  <si>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</si>
  <si>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</si>
  <si>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</si>
  <si>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</si>
  <si>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</si>
  <si>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</si>
  <si>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</si>
  <si>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</si>
  <si>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</si>
  <si>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</si>
  <si>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</si>
  <si>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</si>
  <si>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</si>
  <si>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</si>
  <si>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</si>
  <si>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</si>
  <si>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</si>
  <si>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</si>
  <si>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</si>
  <si>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</si>
  <si>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</si>
  <si>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</si>
  <si>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</si>
  <si>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</si>
  <si>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</si>
  <si>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</si>
  <si>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</si>
  <si>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</si>
  <si>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</si>
  <si>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</si>
  <si>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</si>
  <si>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</si>
  <si>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</si>
  <si>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</si>
  <si>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</si>
  <si>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</si>
  <si>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</si>
  <si>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</si>
  <si>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</si>
  <si>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</si>
  <si>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</si>
  <si>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</si>
  <si>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</si>
  <si>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</si>
  <si>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</si>
  <si>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</si>
  <si>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</si>
  <si>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</si>
  <si>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</si>
  <si>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</si>
  <si>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</si>
  <si>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</si>
  <si>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</si>
  <si>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</si>
  <si>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</si>
  <si>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</si>
  <si>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</si>
  <si>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</si>
  <si>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</si>
  <si>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</si>
  <si>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</si>
  <si>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</si>
  <si>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</si>
  <si>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</si>
  <si>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</si>
  <si>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</si>
  <si>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</si>
  <si>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</si>
  <si>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</si>
  <si>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</si>
  <si>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</si>
  <si>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</si>
  <si>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</si>
  <si>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</si>
  <si>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</si>
  <si>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</si>
  <si>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</si>
  <si>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</si>
  <si>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</si>
  <si>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</si>
  <si>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</si>
  <si>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</si>
  <si>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</si>
  <si>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</si>
  <si>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</si>
  <si>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</si>
  <si>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</si>
  <si>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</si>
  <si>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</si>
  <si>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</si>
  <si>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</si>
  <si>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</si>
  <si>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</si>
  <si>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</si>
  <si>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</si>
  <si>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</si>
  <si>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</si>
  <si>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</si>
  <si>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</si>
  <si>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</si>
  <si>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</si>
  <si>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</si>
  <si>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</si>
  <si>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</si>
  <si>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</si>
  <si>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</si>
  <si>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</si>
  <si>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</si>
  <si>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</si>
  <si>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</si>
  <si>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</si>
  <si>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</si>
  <si>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</si>
  <si>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</si>
  <si>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</si>
  <si>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</si>
  <si>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</si>
  <si>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</si>
  <si>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</si>
  <si>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</si>
  <si>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</si>
  <si>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</si>
  <si>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</si>
  <si>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</si>
  <si>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</si>
  <si>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</si>
  <si>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</si>
  <si>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</si>
  <si>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</si>
  <si>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</si>
  <si>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</si>
  <si>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</si>
  <si>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</si>
  <si>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</si>
  <si>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</si>
  <si>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</si>
  <si>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</si>
  <si>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</si>
  <si>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</si>
  <si>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</si>
  <si>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</si>
  <si>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</si>
  <si>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</si>
  <si>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</si>
  <si>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</si>
  <si>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</si>
  <si>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</si>
  <si>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</si>
  <si>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</si>
  <si>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</si>
  <si>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</si>
  <si>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</si>
  <si>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</si>
  <si>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</si>
  <si>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</si>
  <si>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</si>
  <si>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</si>
  <si>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</si>
  <si>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</si>
  <si>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</si>
  <si>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</si>
  <si>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</si>
  <si>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</si>
  <si>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</si>
  <si>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</si>
  <si>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</si>
  <si>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</si>
  <si>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</si>
  <si>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</si>
  <si>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</si>
  <si>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</si>
  <si>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</si>
  <si>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</si>
  <si>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</si>
  <si>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</si>
  <si>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</si>
  <si>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</si>
  <si>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</si>
  <si>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</si>
  <si>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</si>
  <si>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</si>
  <si>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</si>
  <si>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</si>
  <si>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</si>
  <si>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</si>
  <si>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</si>
  <si>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</si>
  <si>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</si>
  <si>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</si>
  <si>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</si>
  <si>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</si>
  <si>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</si>
  <si>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</si>
  <si>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</si>
  <si>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</si>
  <si>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</si>
  <si>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</si>
  <si>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</si>
  <si>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</si>
  <si>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</si>
  <si>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</si>
  <si>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</si>
  <si>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</si>
  <si>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</si>
  <si>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</si>
  <si>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</si>
  <si>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</si>
  <si>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</si>
  <si>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</si>
  <si>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</si>
  <si>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</si>
  <si>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</si>
  <si>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</si>
  <si>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</si>
  <si>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</si>
  <si>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</si>
  <si>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</si>
  <si>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</si>
  <si>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</si>
  <si>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</si>
  <si>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</si>
  <si>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</si>
  <si>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</si>
  <si>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</si>
  <si>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</si>
  <si>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</si>
  <si>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</si>
  <si>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</si>
  <si>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</si>
  <si>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</si>
  <si>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</si>
  <si>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</si>
  <si>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</si>
  <si>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</si>
  <si>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</si>
  <si>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</si>
  <si>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</si>
  <si>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</si>
  <si>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</si>
  <si>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</si>
  <si>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</si>
  <si>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</si>
  <si>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</si>
  <si>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</si>
  <si>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</si>
  <si>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</si>
  <si>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</si>
  <si>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</si>
  <si>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</si>
  <si>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</si>
  <si>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</si>
  <si>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</si>
  <si>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</si>
  <si>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</si>
  <si>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</si>
  <si>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</si>
  <si>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</si>
  <si>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</si>
  <si>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</si>
  <si>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</si>
  <si>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</si>
  <si>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</si>
  <si>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</si>
  <si>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</si>
  <si>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</si>
  <si>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</si>
  <si>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</si>
  <si>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</si>
  <si>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</si>
  <si>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</si>
  <si>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</si>
  <si>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</si>
  <si>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</si>
  <si>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</si>
  <si>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</si>
  <si>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</si>
  <si>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</si>
  <si>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</si>
  <si>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</si>
  <si>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</si>
  <si>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</si>
  <si>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</si>
  <si>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</si>
  <si>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</si>
  <si>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</si>
  <si>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</si>
  <si>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</si>
  <si>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</si>
  <si>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</si>
  <si>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</si>
  <si>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</si>
  <si>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</si>
  <si>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</si>
  <si>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</si>
  <si>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</si>
  <si>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</si>
  <si>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</si>
  <si>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</si>
  <si>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</si>
  <si>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</si>
  <si>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</si>
  <si>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</si>
  <si>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</si>
  <si>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</si>
  <si>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</si>
  <si>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</si>
  <si>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</si>
  <si>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</si>
  <si>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</si>
  <si>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</si>
  <si>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</si>
  <si>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</si>
  <si>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</si>
  <si>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</si>
  <si>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</si>
  <si>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</si>
  <si>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</si>
  <si>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</si>
  <si>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</si>
  <si>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</si>
  <si>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</si>
  <si>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</si>
  <si>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</si>
  <si>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</si>
  <si>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</si>
  <si>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</si>
  <si>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</si>
  <si>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</si>
  <si>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</si>
  <si>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</si>
  <si>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</si>
  <si>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</si>
  <si>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</si>
  <si>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</si>
  <si>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</si>
  <si>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</si>
  <si>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</si>
  <si>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</si>
  <si>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</si>
  <si>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</si>
  <si>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</si>
  <si>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</si>
  <si>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</si>
  <si>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</si>
  <si>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</si>
  <si>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</si>
  <si>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</si>
  <si>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</si>
  <si>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</si>
  <si>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</si>
  <si>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</si>
  <si>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</si>
  <si>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</si>
  <si>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</si>
  <si>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</si>
  <si>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</si>
  <si>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</si>
  <si>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</si>
  <si>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</si>
  <si>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</si>
  <si>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</si>
  <si>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</si>
  <si>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</si>
  <si>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</si>
  <si>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</si>
  <si>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</si>
  <si>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</si>
  <si>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</si>
  <si>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</si>
  <si>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</si>
  <si>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</si>
  <si>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</si>
  <si>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</si>
  <si>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</si>
  <si>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</si>
  <si>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</si>
  <si>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</si>
  <si>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</si>
  <si>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</si>
  <si>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</si>
  <si>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</si>
  <si>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</si>
  <si>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</si>
  <si>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</si>
  <si>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</si>
  <si>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</si>
  <si>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</si>
  <si>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</si>
  <si>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</si>
  <si>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</si>
  <si>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</si>
  <si>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</si>
  <si>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</si>
  <si>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</si>
  <si>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</si>
  <si>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</si>
  <si>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</si>
  <si>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</si>
  <si>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</si>
  <si>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</si>
  <si>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</si>
  <si>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</si>
  <si>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</si>
  <si>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</si>
  <si>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</si>
  <si>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</si>
  <si>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</si>
  <si>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</si>
  <si>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</si>
  <si>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</si>
  <si>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</si>
  <si>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</si>
  <si>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</si>
  <si>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</si>
  <si>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</si>
  <si>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</si>
  <si>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</si>
  <si>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</si>
  <si>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</si>
  <si>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</si>
  <si>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</si>
  <si>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</si>
  <si>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</si>
  <si>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</si>
  <si>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</si>
  <si>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</si>
  <si>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</si>
  <si>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</si>
  <si>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</si>
  <si>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</si>
  <si>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</si>
  <si>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</si>
  <si>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</si>
  <si>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</si>
  <si>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</si>
  <si>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</si>
  <si>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</si>
  <si>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</si>
  <si>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</si>
  <si>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</si>
  <si>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</si>
  <si>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</si>
  <si>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</si>
  <si>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</si>
  <si>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</si>
  <si>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</si>
  <si>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</si>
  <si>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</si>
  <si>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</si>
  <si>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</si>
  <si>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</si>
  <si>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</si>
  <si>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</si>
  <si>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</si>
  <si>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</si>
  <si>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</si>
  <si>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</si>
  <si>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</si>
  <si>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</si>
  <si>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</si>
  <si>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</si>
  <si>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</si>
  <si>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</si>
  <si>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</si>
  <si>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</si>
  <si>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</si>
  <si>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</si>
  <si>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</si>
  <si>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</si>
  <si>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</si>
  <si>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</si>
  <si>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</si>
  <si>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</si>
  <si>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</si>
  <si>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</si>
  <si>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</si>
  <si>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</si>
  <si>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</si>
  <si>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</si>
  <si>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</si>
  <si>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</si>
  <si>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</si>
  <si>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</si>
  <si>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</si>
  <si>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</si>
  <si>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</si>
  <si>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</si>
  <si>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</si>
  <si>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</si>
  <si>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</si>
  <si>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</si>
  <si>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</si>
  <si>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</si>
  <si>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</si>
  <si>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</si>
  <si>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</si>
  <si>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</si>
  <si>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</si>
  <si>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</si>
  <si>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</si>
  <si>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</si>
  <si>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</si>
  <si>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</si>
  <si>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</si>
  <si>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</si>
  <si>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</si>
  <si>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</si>
  <si>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</si>
  <si>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</si>
  <si>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</si>
  <si>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</si>
  <si>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</si>
  <si>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</si>
  <si>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</si>
  <si>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</si>
  <si>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</si>
  <si>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</si>
  <si>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</si>
  <si>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</si>
  <si>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</si>
  <si>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</si>
  <si>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</si>
  <si>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</si>
  <si>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</si>
  <si>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</si>
  <si>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</si>
  <si>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</si>
  <si>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</si>
  <si>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</si>
  <si>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</si>
  <si>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</si>
  <si>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</si>
  <si>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</si>
  <si>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</si>
  <si>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</si>
  <si>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</si>
  <si>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</si>
  <si>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</si>
  <si>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</si>
  <si>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</si>
  <si>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</si>
  <si>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</si>
  <si>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</si>
  <si>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</si>
  <si>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</si>
  <si>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</si>
  <si>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</si>
  <si>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</si>
  <si>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</si>
  <si>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</si>
  <si>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</si>
  <si>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</si>
  <si>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</si>
  <si>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</si>
  <si>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</si>
  <si>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</si>
  <si>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</si>
  <si>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</si>
  <si>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</si>
  <si>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</si>
  <si>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</si>
  <si>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</si>
  <si>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</si>
  <si>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</si>
  <si>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</si>
  <si>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</si>
  <si>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</si>
  <si>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</si>
  <si>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</si>
  <si>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</si>
  <si>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</si>
  <si>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</si>
  <si>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</si>
  <si>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</si>
  <si>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</si>
  <si>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</si>
  <si>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</si>
  <si>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</si>
  <si>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</si>
  <si>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</si>
  <si>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</si>
  <si>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</si>
  <si>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</si>
  <si>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</si>
  <si>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</si>
  <si>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</si>
  <si>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</si>
  <si>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</si>
  <si>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</si>
  <si>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</si>
  <si>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</si>
  <si>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</si>
  <si>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</si>
  <si>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</si>
  <si>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</si>
  <si>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</si>
  <si>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</si>
  <si>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</si>
  <si>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</si>
  <si>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</si>
  <si>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</si>
  <si>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</si>
  <si>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</si>
  <si>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</si>
  <si>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</si>
  <si>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</si>
  <si>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</si>
  <si>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</si>
  <si>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</si>
  <si>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</si>
  <si>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</si>
  <si>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</si>
  <si>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</si>
  <si>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</si>
  <si>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</si>
  <si>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</si>
  <si>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</si>
  <si>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</si>
  <si>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</si>
  <si>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</si>
  <si>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</si>
  <si>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</si>
  <si>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</si>
  <si>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</si>
  <si>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</si>
  <si>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</si>
  <si>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</si>
  <si>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</si>
  <si>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</si>
  <si>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</si>
  <si>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</si>
  <si>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</si>
  <si>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</si>
  <si>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</si>
  <si>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</si>
  <si>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</si>
  <si>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</si>
  <si>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</si>
  <si>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</si>
  <si>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</si>
  <si>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</si>
  <si>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</si>
  <si>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</si>
  <si>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</si>
  <si>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</si>
  <si>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</si>
  <si>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</si>
  <si>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</si>
  <si>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</si>
  <si>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</si>
  <si>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</si>
  <si>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</si>
  <si>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</si>
  <si>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</si>
  <si>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</si>
  <si>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</si>
  <si>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</si>
  <si>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</si>
  <si>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</si>
  <si>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</si>
  <si>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</si>
  <si>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</si>
  <si>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</si>
  <si>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</si>
  <si>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</si>
  <si>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</si>
  <si>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</si>
  <si>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</si>
  <si>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</si>
  <si>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</si>
  <si>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</si>
  <si>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</si>
  <si>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</si>
  <si>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</si>
  <si>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</si>
  <si>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</si>
  <si>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</si>
  <si>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</si>
  <si>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</si>
  <si>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</si>
  <si>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</si>
  <si>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</si>
  <si>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</si>
  <si>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</si>
  <si>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</si>
  <si>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</si>
  <si>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</si>
  <si>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</si>
  <si>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</si>
  <si>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</si>
  <si>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</si>
  <si>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</si>
  <si>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</si>
  <si>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</si>
  <si>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</si>
  <si>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</si>
  <si>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</si>
  <si>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</si>
  <si>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</si>
  <si>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</si>
  <si>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</si>
  <si>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</si>
  <si>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</si>
  <si>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</si>
  <si>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</si>
  <si>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</si>
  <si>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</si>
  <si>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</si>
  <si>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</si>
  <si>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</si>
  <si>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</si>
  <si>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</si>
  <si>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</si>
  <si>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</si>
  <si>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</si>
  <si>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</si>
  <si>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</si>
  <si>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</si>
  <si>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</si>
  <si>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</si>
  <si>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</si>
  <si>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</si>
  <si>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</si>
  <si>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</si>
  <si>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</si>
  <si>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</si>
  <si>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</si>
  <si>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</si>
  <si>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</si>
  <si>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</si>
  <si>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</si>
  <si>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</si>
  <si>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</si>
  <si>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</si>
  <si>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</si>
  <si>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</si>
  <si>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</si>
  <si>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</si>
  <si>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</si>
  <si>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</si>
  <si>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</si>
  <si>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</si>
  <si>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</si>
  <si>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</si>
  <si>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</si>
  <si>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</si>
  <si>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</si>
  <si>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</si>
  <si>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</si>
  <si>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</si>
  <si>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</si>
  <si>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</si>
  <si>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</si>
  <si>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</si>
  <si>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</si>
  <si>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</si>
  <si>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</si>
  <si>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</si>
  <si>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</si>
  <si>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</si>
  <si>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</si>
  <si>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</si>
  <si>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</si>
  <si>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</si>
  <si>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</si>
  <si>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</si>
  <si>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</si>
  <si>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</si>
  <si>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</si>
  <si>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</si>
  <si>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</si>
  <si>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</si>
  <si>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</si>
  <si>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</si>
  <si>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</si>
  <si>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</si>
  <si>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</si>
  <si>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</si>
  <si>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</si>
  <si>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</si>
  <si>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</si>
  <si>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</si>
  <si>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</si>
  <si>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</si>
  <si>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</si>
  <si>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</si>
  <si>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</si>
  <si>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</si>
  <si>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</si>
  <si>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</si>
  <si>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</si>
  <si>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</si>
  <si>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</si>
  <si>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</si>
  <si>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</si>
  <si>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</si>
  <si>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</si>
  <si>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</si>
  <si>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</si>
  <si>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</si>
  <si>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</si>
  <si>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</si>
  <si>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</si>
  <si>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</si>
  <si>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</si>
  <si>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</si>
  <si>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</si>
  <si>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</si>
  <si>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</si>
  <si>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</si>
  <si>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</si>
  <si>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</si>
  <si>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</si>
  <si>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</si>
  <si>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</si>
  <si>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</si>
  <si>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</si>
  <si>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</si>
  <si>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</si>
  <si>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</si>
  <si>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</si>
  <si>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</si>
  <si>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</si>
  <si>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</si>
  <si>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</si>
  <si>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</si>
  <si>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</si>
  <si>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</si>
  <si>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</si>
  <si>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</si>
  <si>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</si>
  <si>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</si>
  <si>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</si>
  <si>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</si>
  <si>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</si>
  <si>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</si>
  <si>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</si>
  <si>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</si>
  <si>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</si>
  <si>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</si>
  <si>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</si>
  <si>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</si>
  <si>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</si>
  <si>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</si>
  <si>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</si>
  <si>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</si>
  <si>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</si>
  <si>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</si>
  <si>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</si>
  <si>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</si>
  <si>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</si>
  <si>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</si>
  <si>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</si>
  <si>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</si>
  <si>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</si>
  <si>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</si>
  <si>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</si>
  <si>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</si>
  <si>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</si>
  <si>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</si>
  <si>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</si>
  <si>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</si>
  <si>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</si>
  <si>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</si>
  <si>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</si>
  <si>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</si>
  <si>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</si>
  <si>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</si>
  <si>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</si>
  <si>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</si>
  <si>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</si>
  <si>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</si>
  <si>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</si>
  <si>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</si>
  <si>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</si>
  <si>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</si>
  <si>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</si>
  <si>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</si>
  <si>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</si>
  <si>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</si>
  <si>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</si>
  <si>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</si>
  <si>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</si>
  <si>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</si>
  <si>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</si>
  <si>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</si>
  <si>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</si>
  <si>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</si>
  <si>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</si>
  <si>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</si>
  <si>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</si>
  <si>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</si>
  <si>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</si>
  <si>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</si>
  <si>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</si>
  <si>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</si>
  <si>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</si>
  <si>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</si>
  <si>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</si>
  <si>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</si>
  <si>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</si>
  <si>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</si>
  <si>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</si>
  <si>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</si>
  <si>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</si>
  <si>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</si>
  <si>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</si>
  <si>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</si>
  <si>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</si>
  <si>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</si>
  <si>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</si>
  <si>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</si>
  <si>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</si>
  <si>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</si>
  <si>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</si>
  <si>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</si>
  <si>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</si>
  <si>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</si>
  <si>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</si>
  <si>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</si>
  <si>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</si>
  <si>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</si>
  <si>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</si>
  <si>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</si>
  <si>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</si>
  <si>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</si>
  <si>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</si>
  <si>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</si>
  <si>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</si>
  <si>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</si>
  <si>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</si>
  <si>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</si>
  <si>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</si>
  <si>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</si>
  <si>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</si>
  <si>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</si>
  <si>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</si>
  <si>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</si>
  <si>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</si>
  <si>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</si>
  <si>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</si>
  <si>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</si>
  <si>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</si>
  <si>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</si>
  <si>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</si>
  <si>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</si>
  <si>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</si>
  <si>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</si>
  <si>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</si>
  <si>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</si>
  <si>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</si>
  <si>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</si>
  <si>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</si>
  <si>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</si>
  <si>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</si>
  <si>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</si>
  <si>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</si>
  <si>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</si>
  <si>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</si>
  <si>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</si>
  <si>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</si>
  <si>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</si>
  <si>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</si>
  <si>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</si>
  <si>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</si>
  <si>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</si>
  <si>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</si>
  <si>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</si>
  <si>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</si>
  <si>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</si>
  <si>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</si>
  <si>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</si>
  <si>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</si>
  <si>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</si>
  <si>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</si>
  <si>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</si>
  <si>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</si>
  <si>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</si>
  <si>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</si>
  <si>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</si>
  <si>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</si>
  <si>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</si>
  <si>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</si>
  <si>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</si>
  <si>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</si>
  <si>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</si>
  <si>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</si>
  <si>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</si>
  <si>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</si>
  <si>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</si>
  <si>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</si>
  <si>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</si>
  <si>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</si>
  <si>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</si>
  <si>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</si>
  <si>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</si>
  <si>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</si>
  <si>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</si>
  <si>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</si>
  <si>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</si>
  <si>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</si>
  <si>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</si>
  <si>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</si>
  <si>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</si>
  <si>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</si>
  <si>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</si>
  <si>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</si>
  <si>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</si>
  <si>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</si>
  <si>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</si>
  <si>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</si>
  <si>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</si>
  <si>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</si>
  <si>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</si>
  <si>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</si>
  <si>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</si>
  <si>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</si>
  <si>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</si>
  <si>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</si>
  <si>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</si>
  <si>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</si>
  <si>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</si>
  <si>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</si>
  <si>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</si>
  <si>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</si>
  <si>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</si>
  <si>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</si>
  <si>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</si>
  <si>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</si>
  <si>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</si>
  <si>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</si>
  <si>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</si>
  <si>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</si>
  <si>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</si>
  <si>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</si>
  <si>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</si>
  <si>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</si>
  <si>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</si>
  <si>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</si>
  <si>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</si>
  <si>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</si>
  <si>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</si>
  <si>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</si>
  <si>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</si>
  <si>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</si>
  <si>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</si>
  <si>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</si>
  <si>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</si>
  <si>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</si>
  <si>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</si>
  <si>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</si>
  <si>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</si>
  <si>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</si>
  <si>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</si>
  <si>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</si>
  <si>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</si>
  <si>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</si>
  <si>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</si>
  <si>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</si>
  <si>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</si>
  <si>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</si>
  <si>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</si>
  <si>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</si>
  <si>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</si>
  <si>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</si>
  <si>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</si>
  <si>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</si>
  <si>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</si>
  <si>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</si>
  <si>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</si>
  <si>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</si>
  <si>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</si>
  <si>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</si>
  <si>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</si>
  <si>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</si>
  <si>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</si>
  <si>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</si>
  <si>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</si>
  <si>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</si>
  <si>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</si>
  <si>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</si>
  <si>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</si>
  <si>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</si>
  <si>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</si>
  <si>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</si>
  <si>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</si>
  <si>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</si>
  <si>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</si>
  <si>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</si>
  <si>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</si>
  <si>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</si>
  <si>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</si>
  <si>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</si>
  <si>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</si>
  <si>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</si>
  <si>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</si>
  <si>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</si>
  <si>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</si>
  <si>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</si>
  <si>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</si>
  <si>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</si>
  <si>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</si>
  <si>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</si>
  <si>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</si>
  <si>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</si>
  <si>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</si>
  <si>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</si>
  <si>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</si>
  <si>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</si>
  <si>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</si>
  <si>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</si>
  <si>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</si>
  <si>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</si>
  <si>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</si>
  <si>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</si>
  <si>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</si>
  <si>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</si>
  <si>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</si>
  <si>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</si>
  <si>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</si>
  <si>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</si>
  <si>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</si>
  <si>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</si>
  <si>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</si>
  <si>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</si>
  <si>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</si>
  <si>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</si>
  <si>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</si>
  <si>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</si>
  <si>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</si>
  <si>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</si>
  <si>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</si>
  <si>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</si>
  <si>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</si>
  <si>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</si>
  <si>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</si>
  <si>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</si>
  <si>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</si>
  <si>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</si>
  <si>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</si>
  <si>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</si>
  <si>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</si>
  <si>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</si>
  <si>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</si>
  <si>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</si>
  <si>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</si>
  <si>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</si>
  <si>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</si>
  <si>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</si>
  <si>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</si>
  <si>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</si>
  <si>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</si>
  <si>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</si>
  <si>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</si>
  <si>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</si>
  <si>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</si>
  <si>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</si>
  <si>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</si>
  <si>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</si>
  <si>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</si>
  <si>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</si>
  <si>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</si>
  <si>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</si>
  <si>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</si>
  <si>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</si>
  <si>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</si>
  <si>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</si>
  <si>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</si>
  <si>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</si>
  <si>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</si>
  <si>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</si>
  <si>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</si>
  <si>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</si>
  <si>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</si>
  <si>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</si>
  <si>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</si>
  <si>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</si>
  <si>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</si>
  <si>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</si>
  <si>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</si>
  <si>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</si>
  <si>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</si>
  <si>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</si>
  <si>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</si>
  <si>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</si>
  <si>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</si>
  <si>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</si>
  <si>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</si>
  <si>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</si>
  <si>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</si>
  <si>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</si>
  <si>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</si>
  <si>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</si>
  <si>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</si>
  <si>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</si>
  <si>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</si>
  <si>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</si>
  <si>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</si>
  <si>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</si>
  <si>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</si>
  <si>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</si>
  <si>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</si>
  <si>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</si>
  <si>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</si>
  <si>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</si>
  <si>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</si>
  <si>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</si>
  <si>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</si>
  <si>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</si>
  <si>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</si>
  <si>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</si>
  <si>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</si>
  <si>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</si>
  <si>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</si>
  <si>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</si>
  <si>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</si>
  <si>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</si>
  <si>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</si>
  <si>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</si>
  <si>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</si>
  <si>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</si>
  <si>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</si>
  <si>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</si>
  <si>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</si>
  <si>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</si>
  <si>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</si>
  <si>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</si>
  <si>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</si>
  <si>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</si>
  <si>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</si>
  <si>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</si>
  <si>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</si>
  <si>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</si>
  <si>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</si>
  <si>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</si>
  <si>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</si>
  <si>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</si>
  <si>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</si>
  <si>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</si>
  <si>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</si>
  <si>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</si>
  <si>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</si>
  <si>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</si>
  <si>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</si>
  <si>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</si>
  <si>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</si>
  <si>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</si>
  <si>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</si>
  <si>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</si>
  <si>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</si>
  <si>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</si>
  <si>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</si>
  <si>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</si>
  <si>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</si>
  <si>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</si>
  <si>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</si>
  <si>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</si>
  <si>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</si>
  <si>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</si>
  <si>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</si>
  <si>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</si>
  <si>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</si>
  <si>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</si>
  <si>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</si>
  <si>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</si>
  <si>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</si>
  <si>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</si>
  <si>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</si>
  <si>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</si>
  <si>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</si>
  <si>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</si>
  <si>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</si>
  <si>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</si>
  <si>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</si>
  <si>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</si>
  <si>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</si>
  <si>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</si>
  <si>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</si>
  <si>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</si>
  <si>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</si>
  <si>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</si>
  <si>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</si>
  <si>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</si>
  <si>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</si>
  <si>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</si>
  <si>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</si>
  <si>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</si>
  <si>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</si>
  <si>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</si>
  <si>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</si>
  <si>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</si>
  <si>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</si>
  <si>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</si>
  <si>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</si>
  <si>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</si>
  <si>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</si>
  <si>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</si>
  <si>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</si>
  <si>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</si>
  <si>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</si>
  <si>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</si>
  <si>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</si>
  <si>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</si>
  <si>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</si>
  <si>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</si>
  <si>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</si>
  <si>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</si>
  <si>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</si>
  <si>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</si>
  <si>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</si>
  <si>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</si>
  <si>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</si>
  <si>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</si>
  <si>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</si>
  <si>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</si>
  <si>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</si>
  <si>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</si>
  <si>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</si>
  <si>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</si>
  <si>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</si>
  <si>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</si>
  <si>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</si>
  <si>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</si>
  <si>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</si>
  <si>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</si>
  <si>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</si>
  <si>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</si>
  <si>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</si>
  <si>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</si>
  <si>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</si>
  <si>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</si>
  <si>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</si>
  <si>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</si>
  <si>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</si>
  <si>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</si>
  <si>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</si>
  <si>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</si>
  <si>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</si>
  <si>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</si>
  <si>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</si>
  <si>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</si>
  <si>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</si>
  <si>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</si>
  <si>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</si>
  <si>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</si>
  <si>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</si>
  <si>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</si>
  <si>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</si>
  <si>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</si>
  <si>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</si>
  <si>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</si>
  <si>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</si>
  <si>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</si>
  <si>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</si>
  <si>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</si>
  <si>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</si>
  <si>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</si>
  <si>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</si>
  <si>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</si>
  <si>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</si>
  <si>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</si>
  <si>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</si>
  <si>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</si>
  <si>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</si>
  <si>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</si>
  <si>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</si>
  <si>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</si>
  <si>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</si>
  <si>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</si>
  <si>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</si>
  <si>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</si>
  <si>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</si>
  <si>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</si>
  <si>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</si>
  <si>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</si>
  <si>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</si>
  <si>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</si>
  <si>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</si>
  <si>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</si>
  <si>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</si>
  <si>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</si>
  <si>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</si>
  <si>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</si>
  <si>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</si>
  <si>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</si>
  <si>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</si>
  <si>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</si>
  <si>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</si>
  <si>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</si>
  <si>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</si>
  <si>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</si>
  <si>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</si>
  <si>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</si>
  <si>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</si>
  <si>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</si>
  <si>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</si>
  <si>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</si>
  <si>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</si>
  <si>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</si>
  <si>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</si>
  <si>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</si>
  <si>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</si>
  <si>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</si>
  <si>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</si>
  <si>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</si>
  <si>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</si>
  <si>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</si>
  <si>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</si>
  <si>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</si>
  <si>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</si>
  <si>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</si>
  <si>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</si>
  <si>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</si>
  <si>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</si>
  <si>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</si>
  <si>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</si>
  <si>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</si>
  <si>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</si>
  <si>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</si>
  <si>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</si>
  <si>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</si>
  <si>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</si>
  <si>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</si>
  <si>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</si>
  <si>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</si>
  <si>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</si>
  <si>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</si>
  <si>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</si>
  <si>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</si>
  <si>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</si>
  <si>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</si>
  <si>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</si>
  <si>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</si>
  <si>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</si>
  <si>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</si>
  <si>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</si>
  <si>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</si>
  <si>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</si>
  <si>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</si>
  <si>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</si>
  <si>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</si>
  <si>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</si>
  <si>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</si>
  <si>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</si>
  <si>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</si>
  <si>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</si>
  <si>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</si>
  <si>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</si>
  <si>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</si>
  <si>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</si>
  <si>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</si>
  <si>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</si>
  <si>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</si>
  <si>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</si>
  <si>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</si>
  <si>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</si>
  <si>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</si>
  <si>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</si>
  <si>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</si>
  <si>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</si>
  <si>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</si>
  <si>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</si>
  <si>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</si>
  <si>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</si>
  <si>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</si>
  <si>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</si>
  <si>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</si>
  <si>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</si>
  <si>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</si>
  <si>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</si>
  <si>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</si>
  <si>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</si>
  <si>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</si>
  <si>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</si>
  <si>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</si>
  <si>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</si>
  <si>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</si>
  <si>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</si>
  <si>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</si>
  <si>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</si>
  <si>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</si>
  <si>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</si>
  <si>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</si>
  <si>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</si>
  <si>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</si>
  <si>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</si>
  <si>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</si>
  <si>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</si>
  <si>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</si>
  <si>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</si>
  <si>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</si>
  <si>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</si>
  <si>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</si>
  <si>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</si>
  <si>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</si>
  <si>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</si>
  <si>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</si>
  <si>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</si>
  <si>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</si>
  <si>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</si>
  <si>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</si>
  <si>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</si>
  <si>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</si>
  <si>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</si>
  <si>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</si>
  <si>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</si>
  <si>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</si>
  <si>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</si>
  <si>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</si>
  <si>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</si>
  <si>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</si>
  <si>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</si>
  <si>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</si>
  <si>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</si>
  <si>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</si>
  <si>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</si>
  <si>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</si>
  <si>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</si>
  <si>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</si>
  <si>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</si>
  <si>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</si>
  <si>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</si>
  <si>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</si>
  <si>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</si>
  <si>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</si>
  <si>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</si>
  <si>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</si>
  <si>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</si>
  <si>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</si>
  <si>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</si>
  <si>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</si>
  <si>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</si>
  <si>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</si>
  <si>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</si>
  <si>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</si>
  <si>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</si>
  <si>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</si>
  <si>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</si>
  <si>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</si>
  <si>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</si>
  <si>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</si>
  <si>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</si>
  <si>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</si>
  <si>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</si>
  <si>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</si>
  <si>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</si>
  <si>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</si>
  <si>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</si>
  <si>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</si>
  <si>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</si>
  <si>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</si>
  <si>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</si>
  <si>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</si>
  <si>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</si>
  <si>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</si>
  <si>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</si>
  <si>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</si>
  <si>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</si>
  <si>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</si>
  <si>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</si>
  <si>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</si>
  <si>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</si>
  <si>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</si>
  <si>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</si>
  <si>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</si>
  <si>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</si>
  <si>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</si>
  <si>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</si>
  <si>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</si>
  <si>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</si>
  <si>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</si>
  <si>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</si>
  <si>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</si>
  <si>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</si>
  <si>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</si>
  <si>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</si>
  <si>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</si>
  <si>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</si>
  <si>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</si>
  <si>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</si>
  <si>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</si>
  <si>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</si>
  <si>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</si>
  <si>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</si>
  <si>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</si>
  <si>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</si>
  <si>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</si>
  <si>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</si>
  <si>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</si>
  <si>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</si>
  <si>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</si>
  <si>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</si>
  <si>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</si>
  <si>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</si>
  <si>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</si>
  <si>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</si>
  <si>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</si>
  <si>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</si>
  <si>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</si>
  <si>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</si>
  <si>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</si>
  <si>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</si>
  <si>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</si>
  <si>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</si>
  <si>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</si>
  <si>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</si>
  <si>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</si>
  <si>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</si>
  <si>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</si>
  <si>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</si>
  <si>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</si>
  <si>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</si>
  <si>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</si>
  <si>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</si>
  <si>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</si>
  <si>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</si>
  <si>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</si>
  <si>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</si>
  <si>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</si>
  <si>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</si>
  <si>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</si>
  <si>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</si>
  <si>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</si>
  <si>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</si>
  <si>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</si>
  <si>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</si>
  <si>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</si>
  <si>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</si>
  <si>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</si>
  <si>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</si>
  <si>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</si>
  <si>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</si>
  <si>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</si>
  <si>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</si>
  <si>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</si>
  <si>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</si>
  <si>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</si>
  <si>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</si>
  <si>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</si>
  <si>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</si>
  <si>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</si>
  <si>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</si>
  <si>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</si>
  <si>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</si>
  <si>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</si>
  <si>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</si>
  <si>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</si>
  <si>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</si>
  <si>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</si>
  <si>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</si>
  <si>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</si>
  <si>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</si>
  <si>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</si>
  <si>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</si>
  <si>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</si>
  <si>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</si>
  <si>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</si>
  <si>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</si>
  <si>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</si>
  <si>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</si>
  <si>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</si>
  <si>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</si>
  <si>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</si>
  <si>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</si>
  <si>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</si>
  <si>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</si>
  <si>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</si>
  <si>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</si>
  <si>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</si>
  <si>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</si>
  <si>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</si>
  <si>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</si>
  <si>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</si>
  <si>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</si>
  <si>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</si>
  <si>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</si>
  <si>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</si>
  <si>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</si>
  <si>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</si>
  <si>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</si>
  <si>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</si>
  <si>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</si>
  <si>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</si>
  <si>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</si>
  <si>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</si>
  <si>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</si>
  <si>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</si>
  <si>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</si>
  <si>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</si>
  <si>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</si>
  <si>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</si>
  <si>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</si>
  <si>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</si>
  <si>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</si>
  <si>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</si>
  <si>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</si>
  <si>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</si>
  <si>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</si>
  <si>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</si>
  <si>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</si>
  <si>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</si>
  <si>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</si>
  <si>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</si>
  <si>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</si>
  <si>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</si>
  <si>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</si>
  <si>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</si>
  <si>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</si>
  <si>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</si>
  <si>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</si>
  <si>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</si>
  <si>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</si>
  <si>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</si>
  <si>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</si>
  <si>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</si>
  <si>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</si>
  <si>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</si>
  <si>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</si>
  <si>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</si>
  <si>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</si>
  <si>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</si>
  <si>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</si>
  <si>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</si>
  <si>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</si>
  <si>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</si>
  <si>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</si>
  <si>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</si>
  <si>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</si>
  <si>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</si>
  <si>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</si>
  <si>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</si>
  <si>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</si>
  <si>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</si>
  <si>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</si>
  <si>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</si>
  <si>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</si>
  <si>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</si>
  <si>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</si>
  <si>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</si>
  <si>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</si>
  <si>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</si>
  <si>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</si>
  <si>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</si>
  <si>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</si>
  <si>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</si>
  <si>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</si>
  <si>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</si>
  <si>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</si>
  <si>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</si>
  <si>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</si>
  <si>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</si>
  <si>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</si>
  <si>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</si>
  <si>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</si>
  <si>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</si>
  <si>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</si>
  <si>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</si>
  <si>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</si>
  <si>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</si>
  <si>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</si>
  <si>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</si>
  <si>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</si>
  <si>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</si>
  <si>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</si>
  <si>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</si>
  <si>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</si>
  <si>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</si>
  <si>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</si>
  <si>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</si>
  <si>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</si>
  <si>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</si>
  <si>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</si>
  <si>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</si>
  <si>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</si>
  <si>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</si>
  <si>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</si>
  <si>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</si>
  <si>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</si>
  <si>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</si>
  <si>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</si>
  <si>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</si>
  <si>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</si>
  <si>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</si>
  <si>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</si>
  <si>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</si>
  <si>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</si>
  <si>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</si>
  <si>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</si>
  <si>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</si>
  <si>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</si>
  <si>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</si>
  <si>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</si>
  <si>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</si>
  <si>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</si>
  <si>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</si>
  <si>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</si>
  <si>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</si>
  <si>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</si>
  <si>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</si>
  <si>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</si>
  <si>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</si>
  <si>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</si>
  <si>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</si>
  <si>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</si>
  <si>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</si>
  <si>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</si>
  <si>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</si>
  <si>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</si>
  <si>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</si>
  <si>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</si>
  <si>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</si>
  <si>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</si>
  <si>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</si>
  <si>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</si>
  <si>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</si>
  <si>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</si>
  <si>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</si>
  <si>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</si>
  <si>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</si>
  <si>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</si>
  <si>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</si>
  <si>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</si>
  <si>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</si>
  <si>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</si>
  <si>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</si>
  <si>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</si>
  <si>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</si>
  <si>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</si>
  <si>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</si>
  <si>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</si>
  <si>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</si>
  <si>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</si>
  <si>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</si>
  <si>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</si>
  <si>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</si>
  <si>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</si>
  <si>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</si>
  <si>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</si>
  <si>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</si>
  <si>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</si>
  <si>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</si>
  <si>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</si>
  <si>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</si>
  <si>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</si>
  <si>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</si>
  <si>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</si>
  <si>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</si>
  <si>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</si>
  <si>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</si>
  <si>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</si>
  <si>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</si>
  <si>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</si>
  <si>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</si>
  <si>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</si>
  <si>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</si>
  <si>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</si>
  <si>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</si>
  <si>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</si>
  <si>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</si>
  <si>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</si>
  <si>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</si>
  <si>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</si>
  <si>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</si>
  <si>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</si>
  <si>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</si>
  <si>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</si>
  <si>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</si>
  <si>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</si>
  <si>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</si>
  <si>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</si>
  <si>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</si>
  <si>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</si>
  <si>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</si>
  <si>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</si>
  <si>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</si>
  <si>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</si>
  <si>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</si>
  <si>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</si>
  <si>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</si>
  <si>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</si>
  <si>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</si>
  <si>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</si>
  <si>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</si>
  <si>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</si>
  <si>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</si>
  <si>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</si>
  <si>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</si>
  <si>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</si>
  <si>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</si>
  <si>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</si>
  <si>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</si>
  <si>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</si>
  <si>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</si>
  <si>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</si>
  <si>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</si>
  <si>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</si>
  <si>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</si>
  <si>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</si>
  <si>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</si>
  <si>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</si>
  <si>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</si>
  <si>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</si>
  <si>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</si>
  <si>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</si>
  <si>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</si>
  <si>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</si>
  <si>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</si>
  <si>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</si>
  <si>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</si>
  <si>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</si>
  <si>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</si>
  <si>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</si>
  <si>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</si>
  <si>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</si>
  <si>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</si>
  <si>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</si>
  <si>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</si>
  <si>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</si>
  <si>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</si>
  <si>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</si>
  <si>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</si>
  <si>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</si>
  <si>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</si>
  <si>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</si>
  <si>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</si>
  <si>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</si>
  <si>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</si>
  <si>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</si>
  <si>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</si>
  <si>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</si>
  <si>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</si>
  <si>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</si>
  <si>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</si>
  <si>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</si>
  <si>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</si>
  <si>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</si>
  <si>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</si>
  <si>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</si>
  <si>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</si>
  <si>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</si>
  <si>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</si>
  <si>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</si>
  <si>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</si>
  <si>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</si>
  <si>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</si>
  <si>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</si>
  <si>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</si>
  <si>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</si>
  <si>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</si>
  <si>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</si>
  <si>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</si>
  <si>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</si>
  <si>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</si>
  <si>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</si>
  <si>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</si>
  <si>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</si>
  <si>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</si>
  <si>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</si>
  <si>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</si>
  <si>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</si>
  <si>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</si>
  <si>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</si>
  <si>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</si>
  <si>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</si>
  <si>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</si>
  <si>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</si>
  <si>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</si>
  <si>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</si>
  <si>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</si>
  <si>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</si>
  <si>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</si>
  <si>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</si>
  <si>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</si>
  <si>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</si>
  <si>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</si>
  <si>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</si>
  <si>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</si>
  <si>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</si>
  <si>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</si>
  <si>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</si>
  <si>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</si>
  <si>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</si>
  <si>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</si>
  <si>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</si>
  <si>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</si>
  <si>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</si>
  <si>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</si>
  <si>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</si>
  <si>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</si>
  <si>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</si>
  <si>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</si>
  <si>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</si>
  <si>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</si>
  <si>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</si>
  <si>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</si>
  <si>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</si>
  <si>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</si>
  <si>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</si>
  <si>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</si>
  <si>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</si>
  <si>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</si>
  <si>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</si>
  <si>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</si>
  <si>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</si>
  <si>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</si>
  <si>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</si>
  <si>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</si>
  <si>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</si>
  <si>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</si>
  <si>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</si>
  <si>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</si>
  <si>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</si>
  <si>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</si>
  <si>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</si>
  <si>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</si>
  <si>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</si>
  <si>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</si>
  <si>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</si>
  <si>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</si>
  <si>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</si>
  <si>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</si>
  <si>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</si>
  <si>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</si>
  <si>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</si>
  <si>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</si>
  <si>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</si>
  <si>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</si>
  <si>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</si>
  <si>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</si>
  <si>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</si>
  <si>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</si>
  <si>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</si>
  <si>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</si>
  <si>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</si>
  <si>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</si>
  <si>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</si>
  <si>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</si>
  <si>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</si>
  <si>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</si>
  <si>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</si>
  <si>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</si>
  <si>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</si>
  <si>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</si>
  <si>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</si>
  <si>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</si>
  <si>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</si>
  <si>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</si>
  <si>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</si>
  <si>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</si>
  <si>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</si>
  <si>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</si>
  <si>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</si>
  <si>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</si>
  <si>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</si>
  <si>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</si>
  <si>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</si>
  <si>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</si>
  <si>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</si>
  <si>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</si>
  <si>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</si>
  <si>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</si>
  <si>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</si>
  <si>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</si>
  <si>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</si>
  <si>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</si>
  <si>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</si>
  <si>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</si>
  <si>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</si>
  <si>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</si>
  <si>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</si>
  <si>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</si>
  <si>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</si>
  <si>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</si>
  <si>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</si>
  <si>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</si>
  <si>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</si>
  <si>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</si>
  <si>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</si>
  <si>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</si>
  <si>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</si>
  <si>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</si>
  <si>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</si>
  <si>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</si>
  <si>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</si>
  <si>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</si>
  <si>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</si>
  <si>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</si>
  <si>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</si>
  <si>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</si>
  <si>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</si>
  <si>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</si>
  <si>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</si>
  <si>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</si>
  <si>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</si>
  <si>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</si>
  <si>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</si>
  <si>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</si>
  <si>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</si>
  <si>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</si>
  <si>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</si>
  <si>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</si>
  <si>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</si>
  <si>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</si>
  <si>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</si>
  <si>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</si>
  <si>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</si>
  <si>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</si>
  <si>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</si>
  <si>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</si>
  <si>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</si>
  <si>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</si>
  <si>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</si>
  <si>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</si>
  <si>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</si>
  <si>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</si>
  <si>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</si>
  <si>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</si>
  <si>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</si>
  <si>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</si>
  <si>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</si>
  <si>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</si>
  <si>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</si>
  <si>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</si>
  <si>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</si>
  <si>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</si>
  <si>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</si>
  <si>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</si>
  <si>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</si>
  <si>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</si>
  <si>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</si>
  <si>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</si>
  <si>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</si>
  <si>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</si>
  <si>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</si>
  <si>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</si>
  <si>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</si>
  <si>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</si>
  <si>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</si>
  <si>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</si>
  <si>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</si>
  <si>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</si>
  <si>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</si>
  <si>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</si>
  <si>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</si>
  <si>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</si>
  <si>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</si>
  <si>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</si>
  <si>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</si>
  <si>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</si>
  <si>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</si>
  <si>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</si>
  <si>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</si>
  <si>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</si>
  <si>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</si>
  <si>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</si>
  <si>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</si>
  <si>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</si>
  <si>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</si>
  <si>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</si>
  <si>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</si>
  <si>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</si>
  <si>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</si>
  <si>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</si>
  <si>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</si>
  <si>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</si>
  <si>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</si>
  <si>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</si>
  <si>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</si>
  <si>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</si>
  <si>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</si>
  <si>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</si>
  <si>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</si>
  <si>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</si>
  <si>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</si>
  <si>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</si>
  <si>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</si>
  <si>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</si>
  <si>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</si>
  <si>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</si>
  <si>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</si>
  <si>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</si>
  <si>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</si>
  <si>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</si>
  <si>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</si>
  <si>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</si>
  <si>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</si>
  <si>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</si>
  <si>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</si>
  <si>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</si>
  <si>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</si>
  <si>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</si>
  <si>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</si>
  <si>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</si>
  <si>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</si>
  <si>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</si>
  <si>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</si>
  <si>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</si>
  <si>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</si>
  <si>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</si>
  <si>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</si>
  <si>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</si>
  <si>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</si>
  <si>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</si>
  <si>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</si>
  <si>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</si>
  <si>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</si>
  <si>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</si>
  <si>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</si>
  <si>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</si>
  <si>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</si>
  <si>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</si>
  <si>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</si>
  <si>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</si>
  <si>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</si>
  <si>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</si>
  <si>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</si>
  <si>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</si>
  <si>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</si>
  <si>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</si>
  <si>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</si>
  <si>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</si>
  <si>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</si>
  <si>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</si>
  <si>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</si>
  <si>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</si>
  <si>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</si>
  <si>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</si>
  <si>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</si>
  <si>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</si>
  <si>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</si>
  <si>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</si>
  <si>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</si>
  <si>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</si>
  <si>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</si>
  <si>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</si>
  <si>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</si>
  <si>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</si>
  <si>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</si>
  <si>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</si>
  <si>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</si>
  <si>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</si>
  <si>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</si>
  <si>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</si>
  <si>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</si>
  <si>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</si>
  <si>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</si>
  <si>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</si>
  <si>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</si>
  <si>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</si>
  <si>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</si>
  <si>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</si>
  <si>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</si>
  <si>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</si>
  <si>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</si>
  <si>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</si>
  <si>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</si>
  <si>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</si>
  <si>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</si>
  <si>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</si>
  <si>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</si>
  <si>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</si>
  <si>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</si>
  <si>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</si>
  <si>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</si>
  <si>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</si>
  <si>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</si>
  <si>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</si>
  <si>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</si>
  <si>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</si>
  <si>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</si>
  <si>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</si>
  <si>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</si>
  <si>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</si>
  <si>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</si>
  <si>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</si>
  <si>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</si>
  <si>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</si>
  <si>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</si>
  <si>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</si>
  <si>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</si>
  <si>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</si>
  <si>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</si>
  <si>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</si>
  <si>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</si>
  <si>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</si>
  <si>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</si>
  <si>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</si>
  <si>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</si>
  <si>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</si>
  <si>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</si>
  <si>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</si>
  <si>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</si>
  <si>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</si>
  <si>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</si>
  <si>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</si>
  <si>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</si>
  <si>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</si>
  <si>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</si>
  <si>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</si>
  <si>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</si>
  <si>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</si>
  <si>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</si>
  <si>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</si>
  <si>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</si>
  <si>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</si>
  <si>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</si>
  <si>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</si>
  <si>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</si>
  <si>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</si>
  <si>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</si>
  <si>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</si>
  <si>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</si>
  <si>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</si>
  <si>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</si>
  <si>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</si>
  <si>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</si>
  <si>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</si>
  <si>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</si>
  <si>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</si>
  <si>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</si>
  <si>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</si>
  <si>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</si>
  <si>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</si>
  <si>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</si>
  <si>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</si>
  <si>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</si>
  <si>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</si>
  <si>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</si>
  <si>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</si>
  <si>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</si>
  <si>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</si>
  <si>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</si>
  <si>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</si>
  <si>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</si>
  <si>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</si>
  <si>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</si>
  <si>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</si>
  <si>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</si>
  <si>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</si>
  <si>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</si>
  <si>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</si>
  <si>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</si>
  <si>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</si>
  <si>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</si>
  <si>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</si>
  <si>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</si>
  <si>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</si>
  <si>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</si>
  <si>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</si>
  <si>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</si>
  <si>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</si>
  <si>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</si>
  <si>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</si>
  <si>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</si>
  <si>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</si>
  <si>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</si>
  <si>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</si>
  <si>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</si>
  <si>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</si>
  <si>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</si>
  <si>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</si>
  <si>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</si>
  <si>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</si>
  <si>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</si>
  <si>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</si>
  <si>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</si>
  <si>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</si>
  <si>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</si>
  <si>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</si>
  <si>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</si>
  <si>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</si>
  <si>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</si>
  <si>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</si>
  <si>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</si>
  <si>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</si>
  <si>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</si>
  <si>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</si>
  <si>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</si>
  <si>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</si>
  <si>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</si>
  <si>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</si>
  <si>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</si>
  <si>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</si>
  <si>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</si>
  <si>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</si>
  <si>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</si>
  <si>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</si>
  <si>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</si>
  <si>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</si>
  <si>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</si>
  <si>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</si>
  <si>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</si>
  <si>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</si>
  <si>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</si>
  <si>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</si>
  <si>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</si>
  <si>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</si>
  <si>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</si>
  <si>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</si>
  <si>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</si>
  <si>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</si>
  <si>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</si>
  <si>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</si>
  <si>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</si>
  <si>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</si>
  <si>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</si>
  <si>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</si>
  <si>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</si>
  <si>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</si>
  <si>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</si>
  <si>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</si>
  <si>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</si>
  <si>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</si>
  <si>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</si>
  <si>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</si>
  <si>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</si>
  <si>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</si>
  <si>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</si>
  <si>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</si>
  <si>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</si>
  <si>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</si>
  <si>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</si>
  <si>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</si>
  <si>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</si>
  <si>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</si>
  <si>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</si>
  <si>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</si>
  <si>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</si>
  <si>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</si>
  <si>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</si>
  <si>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</si>
  <si>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</si>
  <si>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</si>
  <si>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</si>
  <si>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</si>
  <si>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</si>
  <si>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</si>
  <si>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</si>
  <si>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</si>
  <si>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</si>
  <si>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</si>
  <si>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</si>
  <si>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</si>
  <si>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</si>
  <si>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</si>
  <si>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</si>
  <si>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</si>
  <si>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</si>
  <si>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</si>
  <si>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</si>
  <si>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</si>
  <si>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</si>
  <si>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</si>
  <si>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</si>
  <si>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</si>
  <si>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</si>
  <si>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</si>
  <si>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</si>
  <si>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</si>
  <si>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</si>
  <si>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</si>
  <si>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</si>
  <si>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</si>
  <si>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</si>
  <si>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</si>
  <si>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</si>
  <si>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</si>
  <si>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</si>
  <si>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</si>
  <si>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</si>
  <si>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</si>
  <si>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</si>
  <si>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</si>
  <si>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</si>
  <si>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</si>
  <si>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</si>
  <si>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</si>
  <si>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</si>
  <si>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</si>
  <si>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</si>
  <si>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</si>
  <si>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</si>
  <si>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</si>
  <si>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</si>
  <si>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</si>
  <si>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</si>
  <si>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</si>
  <si>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</si>
  <si>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</si>
  <si>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</si>
  <si>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</si>
  <si>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</si>
  <si>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</si>
  <si>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</si>
  <si>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</si>
  <si>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</si>
  <si>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</si>
  <si>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</si>
  <si>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</si>
  <si>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</si>
  <si>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</si>
  <si>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</si>
  <si>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</si>
  <si>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</si>
  <si>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</si>
  <si>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</si>
  <si>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</si>
  <si>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</si>
  <si>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</si>
  <si>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</si>
  <si>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</si>
  <si>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</si>
  <si>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</si>
  <si>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</si>
  <si>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</si>
  <si>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</si>
  <si>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</si>
  <si>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</si>
  <si>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</si>
  <si>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</si>
  <si>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</si>
  <si>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</si>
  <si>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</si>
  <si>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</si>
  <si>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</si>
  <si>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</si>
  <si>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</si>
  <si>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</si>
  <si>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</si>
  <si>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</si>
  <si>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</si>
  <si>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</si>
  <si>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</si>
  <si>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</si>
  <si>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</si>
  <si>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</si>
  <si>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</si>
  <si>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</si>
  <si>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</si>
  <si>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</si>
  <si>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</si>
  <si>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</si>
  <si>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</si>
  <si>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</si>
  <si>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</si>
  <si>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</si>
  <si>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</si>
  <si>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</si>
  <si>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</si>
  <si>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</si>
  <si>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</si>
  <si>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</si>
  <si>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</si>
  <si>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</si>
  <si>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</si>
  <si>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</si>
  <si>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</si>
  <si>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</si>
  <si>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</si>
  <si>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</si>
  <si>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</si>
  <si>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</si>
  <si>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</si>
  <si>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</si>
  <si>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</si>
  <si>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</si>
  <si>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</si>
  <si>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</si>
  <si>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</si>
  <si>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</si>
  <si>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</si>
  <si>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</si>
  <si>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</si>
  <si>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</si>
  <si>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</si>
  <si>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</si>
  <si>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</si>
  <si>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</si>
  <si>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</si>
  <si>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</si>
  <si>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</si>
  <si>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</si>
  <si>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</si>
  <si>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</si>
  <si>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</si>
  <si>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</si>
  <si>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</si>
  <si>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</si>
  <si>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</si>
  <si>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</si>
  <si>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</si>
  <si>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</si>
  <si>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</si>
  <si>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</si>
  <si>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</si>
  <si>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</si>
  <si>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</si>
  <si>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</si>
  <si>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</si>
  <si>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</si>
  <si>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</si>
  <si>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</si>
  <si>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</si>
  <si>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</si>
  <si>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</si>
  <si>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</si>
  <si>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</si>
  <si>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</si>
  <si>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</si>
  <si>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</si>
  <si>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</si>
  <si>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</si>
  <si>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</si>
  <si>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</si>
  <si>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</si>
  <si>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</si>
  <si>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</si>
  <si>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</si>
  <si>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</si>
  <si>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</si>
  <si>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</si>
  <si>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</si>
  <si>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</si>
  <si>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</si>
  <si>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</si>
  <si>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</si>
  <si>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</si>
  <si>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</si>
  <si>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</si>
  <si>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</si>
  <si>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</si>
  <si>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</si>
  <si>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</si>
  <si>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</si>
  <si>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</si>
  <si>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</si>
  <si>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</si>
  <si>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</si>
  <si>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</si>
  <si>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</si>
  <si>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</si>
  <si>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</si>
  <si>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</si>
  <si>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</si>
  <si>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</si>
  <si>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</si>
  <si>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</si>
  <si>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</si>
  <si>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</si>
  <si>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</si>
  <si>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</si>
  <si>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</si>
  <si>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</si>
  <si>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</si>
  <si>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</si>
  <si>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</si>
  <si>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</si>
  <si>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</si>
  <si>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</si>
  <si>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</si>
  <si>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</si>
  <si>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</si>
  <si>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</si>
  <si>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</si>
  <si>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</si>
  <si>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</si>
  <si>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</si>
  <si>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</si>
  <si>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</si>
  <si>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</si>
  <si>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</si>
  <si>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</si>
  <si>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</si>
  <si>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</si>
  <si>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</si>
  <si>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</si>
  <si>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</si>
  <si>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</si>
  <si>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</si>
  <si>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</si>
  <si>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</si>
  <si>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</si>
  <si>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</si>
  <si>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</si>
  <si>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</si>
  <si>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</si>
  <si>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</si>
  <si>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</si>
  <si>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</si>
  <si>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</si>
  <si>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</si>
  <si>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</si>
  <si>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</si>
  <si>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</si>
  <si>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</si>
  <si>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</si>
  <si>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</si>
  <si>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</si>
  <si>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</si>
  <si>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</si>
  <si>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</si>
  <si>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</si>
  <si>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</si>
  <si>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</si>
  <si>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</si>
  <si>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</si>
  <si>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</si>
  <si>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</si>
  <si>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</si>
  <si>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</si>
  <si>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</si>
  <si>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</si>
  <si>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</si>
  <si>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</si>
  <si>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</si>
  <si>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</si>
  <si>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</si>
  <si>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</si>
  <si>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</si>
  <si>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</si>
  <si>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</si>
  <si>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</si>
  <si>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</si>
  <si>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</si>
  <si>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</si>
  <si>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</si>
  <si>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</si>
  <si>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</si>
  <si>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</si>
  <si>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</si>
  <si>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</si>
  <si>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</si>
  <si>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</si>
  <si>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</si>
  <si>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</si>
  <si>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</si>
  <si>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</si>
  <si>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</si>
  <si>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</si>
  <si>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</si>
  <si>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</si>
  <si>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</si>
  <si>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</si>
  <si>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</si>
  <si>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</si>
  <si>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</si>
  <si>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</si>
  <si>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</si>
  <si>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</si>
  <si>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</si>
  <si>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</si>
  <si>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</si>
  <si>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</si>
  <si>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</si>
  <si>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</si>
  <si>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</si>
  <si>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</si>
  <si>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</si>
  <si>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</si>
  <si>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</si>
  <si>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</si>
  <si>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</si>
  <si>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</si>
  <si>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</si>
  <si>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</si>
  <si>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</si>
  <si>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</si>
  <si>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</si>
  <si>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</si>
  <si>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</si>
  <si>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</si>
  <si>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</si>
  <si>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</si>
  <si>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</si>
  <si>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</si>
  <si>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</si>
  <si>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</si>
  <si>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</si>
  <si>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</si>
  <si>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</si>
  <si>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</si>
  <si>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</si>
  <si>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</si>
  <si>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</si>
  <si>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</si>
  <si>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</si>
  <si>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</si>
  <si>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</si>
  <si>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</si>
  <si>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</si>
  <si>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</si>
  <si>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</si>
  <si>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</si>
  <si>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</si>
  <si>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</si>
  <si>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</si>
  <si>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</si>
  <si>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</si>
  <si>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</si>
  <si>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</si>
  <si>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</si>
  <si>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</si>
  <si>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</si>
  <si>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</si>
  <si>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</si>
  <si>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</si>
  <si>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</si>
  <si>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</si>
  <si>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</si>
  <si>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</si>
  <si>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</si>
  <si>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</si>
  <si>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</si>
  <si>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</si>
  <si>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</si>
  <si>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</si>
  <si>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</si>
  <si>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</si>
  <si>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</si>
  <si>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</si>
  <si>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</si>
  <si>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</si>
  <si>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</si>
  <si>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</si>
  <si>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</si>
  <si>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</si>
  <si>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</si>
  <si>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</si>
  <si>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</si>
  <si>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</si>
  <si>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</si>
  <si>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</si>
  <si>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</si>
  <si>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</si>
  <si>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</si>
  <si>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</si>
  <si>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</si>
  <si>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</si>
  <si>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</si>
  <si>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</si>
  <si>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</si>
  <si>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</si>
  <si>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</si>
  <si>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</si>
  <si>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</si>
  <si>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</si>
  <si>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</si>
  <si>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</si>
  <si>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</si>
  <si>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</si>
  <si>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</si>
  <si>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</si>
  <si>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</si>
  <si>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</si>
  <si>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</si>
  <si>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</si>
  <si>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</si>
  <si>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</si>
  <si>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</si>
  <si>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</si>
  <si>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</si>
  <si>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</si>
  <si>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</si>
  <si>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</si>
  <si>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</si>
  <si>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</si>
  <si>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</si>
  <si>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</si>
  <si>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</si>
  <si>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</si>
  <si>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</si>
  <si>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</si>
  <si>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</si>
  <si>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</si>
  <si>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</si>
  <si>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</si>
  <si>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</si>
  <si>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</si>
  <si>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</si>
  <si>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</si>
  <si>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</si>
  <si>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</si>
  <si>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</si>
  <si>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</si>
  <si>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</si>
  <si>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</si>
  <si>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</si>
  <si>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</si>
  <si>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</si>
  <si>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</si>
  <si>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</si>
  <si>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</si>
  <si>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</si>
  <si>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</si>
  <si>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</si>
  <si>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</si>
  <si>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</si>
  <si>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</si>
  <si>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</si>
  <si>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</si>
  <si>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</si>
  <si>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</si>
  <si>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</si>
  <si>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</si>
  <si>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</si>
  <si>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</si>
  <si>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</si>
  <si>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</si>
  <si>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</si>
  <si>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</si>
  <si>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</si>
  <si>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</si>
  <si>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</si>
  <si>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</si>
  <si>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</si>
  <si>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</si>
  <si>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</si>
  <si>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</si>
  <si>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</si>
  <si>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</si>
  <si>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</si>
  <si>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</si>
  <si>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</si>
  <si>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</si>
  <si>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</si>
  <si>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</si>
  <si>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</si>
  <si>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</si>
  <si>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</si>
  <si>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</si>
  <si>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</si>
  <si>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</si>
  <si>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</si>
  <si>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</si>
  <si>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</si>
  <si>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</si>
  <si>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</si>
  <si>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</si>
  <si>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</si>
  <si>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</si>
  <si>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</si>
  <si>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</si>
  <si>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</si>
  <si>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</si>
  <si>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</si>
  <si>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</si>
  <si>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</si>
  <si>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</si>
  <si>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</si>
  <si>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</si>
  <si>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</si>
  <si>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</si>
  <si>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</si>
  <si>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</si>
  <si>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</si>
  <si>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</si>
  <si>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</si>
  <si>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</si>
  <si>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</si>
  <si>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</si>
  <si>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</si>
  <si>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</si>
  <si>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</si>
  <si>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</si>
  <si>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</si>
  <si>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</si>
  <si>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</si>
  <si>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</si>
  <si>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</si>
  <si>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</si>
  <si>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</si>
  <si>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</si>
  <si>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</si>
  <si>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</si>
  <si>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</si>
  <si>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</si>
  <si>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</si>
  <si>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</si>
  <si>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</si>
  <si>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</si>
  <si>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</si>
  <si>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</si>
  <si>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</si>
  <si>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</si>
  <si>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</si>
  <si>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</si>
  <si>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</si>
  <si>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</si>
  <si>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</si>
  <si>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</si>
  <si>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</si>
  <si>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</si>
  <si>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</si>
  <si>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</si>
  <si>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</si>
  <si>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</si>
  <si>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</si>
  <si>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</si>
  <si>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</si>
  <si>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</si>
  <si>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</si>
  <si>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</si>
  <si>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</si>
  <si>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</si>
  <si>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</si>
  <si>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</si>
  <si>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</si>
  <si>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</si>
  <si>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</si>
  <si>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</si>
  <si>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</si>
  <si>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</si>
  <si>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</si>
  <si>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</si>
  <si>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</si>
  <si>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</si>
  <si>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</si>
  <si>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</si>
  <si>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</si>
  <si>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</si>
  <si>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</si>
  <si>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</si>
  <si>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</si>
  <si>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</si>
  <si>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</si>
  <si>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</si>
  <si>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</si>
  <si>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</si>
  <si>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</si>
  <si>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</si>
  <si>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</si>
  <si>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</si>
  <si>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</si>
  <si>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</si>
  <si>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</si>
  <si>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</si>
  <si>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</si>
  <si>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</si>
  <si>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</si>
  <si>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</si>
  <si>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</si>
  <si>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</si>
  <si>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</si>
  <si>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</si>
  <si>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</si>
  <si>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</si>
  <si>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</si>
  <si>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</si>
  <si>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</si>
  <si>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</si>
  <si>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</si>
  <si>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</si>
  <si>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</si>
  <si>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</si>
  <si>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</si>
  <si>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</si>
  <si>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</si>
  <si>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</si>
  <si>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</si>
  <si>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</si>
  <si>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</si>
  <si>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</si>
  <si>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</si>
  <si>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</si>
  <si>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</si>
  <si>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</si>
  <si>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</si>
  <si>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</si>
  <si>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</si>
  <si>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</si>
  <si>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</si>
  <si>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</si>
  <si>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</si>
  <si>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</si>
  <si>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</si>
  <si>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</si>
  <si>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</si>
  <si>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</si>
  <si>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</si>
  <si>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</si>
  <si>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</si>
  <si>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</si>
  <si>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</si>
  <si>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</si>
  <si>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</si>
  <si>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</si>
  <si>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</si>
  <si>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</si>
  <si>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</si>
  <si>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</si>
  <si>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</si>
  <si>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</si>
  <si>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</si>
  <si>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</si>
  <si>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</si>
  <si>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</si>
  <si>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</si>
  <si>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</si>
  <si>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</si>
  <si>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</si>
  <si>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</si>
  <si>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</si>
  <si>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</si>
  <si>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</si>
  <si>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</si>
  <si>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</si>
  <si>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</si>
  <si>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</si>
  <si>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</si>
  <si>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</si>
  <si>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</si>
  <si>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</si>
  <si>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</si>
  <si>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</si>
  <si>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</si>
  <si>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</si>
  <si>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</si>
  <si>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</si>
  <si>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</si>
  <si>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</si>
  <si>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</si>
  <si>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</si>
  <si>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</si>
  <si>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</si>
  <si>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</si>
  <si>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</si>
  <si>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</si>
  <si>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</si>
  <si>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</si>
  <si>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</si>
  <si>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</si>
  <si>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</si>
  <si>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</si>
  <si>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</si>
  <si>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</si>
  <si>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</si>
  <si>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</si>
  <si>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</si>
  <si>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</si>
  <si>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</si>
  <si>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</si>
  <si>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</si>
  <si>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</si>
  <si>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</si>
  <si>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</si>
  <si>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</si>
  <si>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</si>
  <si>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</si>
  <si>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</si>
  <si>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</si>
  <si>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</si>
  <si>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</si>
  <si>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</si>
  <si>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</si>
  <si>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</si>
  <si>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</si>
  <si>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</si>
  <si>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</si>
  <si>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</si>
  <si>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</si>
  <si>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</si>
  <si>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</si>
  <si>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</si>
  <si>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</si>
  <si>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</si>
  <si>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</si>
  <si>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</si>
  <si>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</si>
  <si>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</si>
  <si>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</si>
  <si>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</si>
  <si>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</si>
  <si>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</si>
  <si>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</si>
  <si>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</si>
  <si>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</si>
  <si>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</si>
  <si>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</si>
  <si>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</si>
  <si>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</si>
  <si>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</si>
  <si>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</si>
  <si>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</si>
  <si>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</si>
  <si>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</si>
  <si>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</si>
  <si>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</si>
  <si>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</si>
  <si>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</si>
  <si>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</si>
  <si>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</si>
  <si>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</si>
  <si>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</si>
  <si>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</si>
  <si>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</si>
  <si>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</si>
  <si>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</si>
  <si>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</si>
  <si>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</si>
  <si>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</si>
  <si>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</si>
  <si>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</si>
  <si>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</si>
  <si>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</si>
  <si>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</si>
  <si>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</si>
  <si>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</si>
  <si>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</si>
  <si>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</si>
  <si>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</si>
  <si>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</si>
  <si>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</si>
  <si>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</si>
  <si>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</si>
  <si>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</si>
  <si>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</si>
  <si>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</si>
  <si>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</si>
  <si>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</si>
  <si>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</si>
  <si>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</si>
  <si>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</si>
  <si>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</si>
  <si>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</si>
  <si>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</si>
  <si>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</si>
  <si>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</si>
  <si>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</si>
  <si>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</si>
  <si>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</si>
  <si>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</si>
  <si>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</si>
  <si>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</si>
  <si>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</si>
  <si>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</si>
  <si>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</si>
  <si>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</si>
  <si>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</si>
  <si>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</si>
  <si>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</si>
  <si>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</si>
  <si>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</si>
  <si>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</si>
  <si>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</si>
  <si>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</si>
  <si>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</si>
  <si>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</si>
  <si>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</si>
  <si>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</si>
  <si>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</si>
  <si>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</si>
  <si>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</si>
  <si>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</si>
  <si>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</si>
  <si>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</si>
  <si>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</si>
  <si>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</si>
  <si>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</si>
  <si>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</si>
  <si>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</si>
  <si>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</si>
  <si>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</si>
  <si>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</si>
  <si>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</si>
  <si>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</si>
  <si>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</si>
  <si>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</si>
  <si>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</si>
  <si>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</si>
  <si>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</si>
  <si>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</si>
  <si>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</si>
  <si>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</si>
  <si>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</si>
  <si>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</si>
  <si>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</si>
  <si>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</si>
  <si>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</si>
  <si>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</si>
  <si>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</si>
  <si>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</si>
  <si>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</si>
  <si>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</si>
  <si>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</si>
  <si>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</si>
  <si>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</si>
  <si>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</si>
  <si>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</si>
  <si>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</si>
  <si>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</si>
  <si>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</si>
  <si>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</si>
  <si>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</si>
  <si>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</si>
  <si>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</si>
  <si>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</si>
  <si>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</si>
  <si>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</si>
  <si>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</si>
  <si>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</si>
  <si>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</si>
  <si>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</si>
  <si>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</si>
  <si>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</si>
  <si>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</si>
  <si>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</si>
  <si>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</si>
  <si>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</si>
  <si>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</si>
  <si>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</si>
  <si>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</si>
  <si>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</si>
  <si>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</si>
  <si>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</si>
  <si>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</si>
  <si>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</si>
  <si>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</si>
  <si>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</si>
  <si>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</si>
  <si>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</si>
  <si>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</si>
  <si>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</si>
  <si>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</si>
  <si>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</si>
  <si>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</si>
  <si>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</si>
  <si>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</si>
  <si>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</si>
  <si>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</si>
  <si>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</si>
  <si>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</si>
  <si>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</si>
  <si>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</si>
  <si>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</si>
  <si>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</si>
  <si>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</si>
  <si>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</si>
  <si>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</si>
  <si>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</si>
  <si>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</si>
  <si>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</si>
  <si>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</si>
  <si>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</si>
  <si>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</si>
  <si>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</si>
  <si>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</si>
  <si>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</si>
  <si>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</si>
  <si>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</si>
  <si>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</si>
  <si>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</si>
  <si>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</si>
  <si>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</si>
  <si>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</si>
  <si>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</si>
  <si>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</si>
  <si>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</si>
  <si>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</si>
  <si>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</si>
  <si>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</si>
  <si>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</si>
  <si>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</si>
  <si>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</si>
  <si>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</si>
  <si>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</si>
  <si>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</si>
  <si>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</si>
  <si>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</si>
  <si>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</si>
  <si>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</si>
  <si>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</si>
  <si>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</si>
  <si>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</si>
  <si>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</si>
  <si>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</si>
  <si>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</si>
  <si>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</si>
  <si>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</si>
  <si>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</si>
  <si>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</si>
  <si>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</si>
  <si>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</si>
  <si>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</si>
  <si>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</si>
  <si>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</si>
  <si>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</si>
  <si>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</si>
  <si>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</si>
  <si>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</si>
  <si>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</si>
  <si>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</si>
  <si>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</si>
  <si>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</si>
  <si>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</si>
  <si>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</si>
  <si>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</si>
  <si>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</si>
  <si>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</si>
  <si>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</si>
  <si>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</si>
  <si>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</si>
  <si>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</si>
  <si>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</si>
  <si>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</si>
  <si>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</si>
  <si>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</si>
  <si>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</si>
  <si>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</si>
  <si>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</si>
  <si>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</si>
  <si>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</si>
  <si>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</si>
  <si>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</si>
  <si>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</si>
  <si>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</si>
  <si>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</si>
  <si>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</si>
  <si>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</si>
  <si>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</si>
  <si>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</si>
  <si>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</si>
  <si>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</si>
  <si>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</si>
  <si>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</si>
  <si>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</si>
  <si>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</si>
  <si>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</si>
  <si>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</si>
  <si>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</si>
  <si>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</si>
  <si>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</si>
  <si>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</si>
  <si>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</si>
  <si>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</si>
  <si>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</si>
  <si>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</si>
  <si>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</si>
  <si>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</si>
  <si>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</si>
  <si>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</si>
  <si>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</si>
  <si>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</si>
  <si>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</si>
  <si>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</si>
  <si>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</si>
  <si>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</si>
  <si>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</si>
  <si>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</si>
  <si>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</si>
  <si>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</si>
  <si>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</si>
  <si>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</si>
  <si>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</si>
  <si>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</si>
  <si>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</si>
  <si>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</si>
  <si>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</si>
  <si>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</si>
  <si>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</si>
  <si>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</si>
  <si>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</si>
  <si>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</si>
  <si>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</si>
  <si>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</si>
  <si>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</si>
  <si>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</si>
  <si>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</si>
  <si>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</si>
  <si>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</si>
  <si>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</si>
  <si>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</si>
  <si>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</si>
  <si>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</si>
  <si>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</si>
  <si>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</si>
  <si>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</si>
  <si>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</si>
  <si>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</si>
  <si>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</si>
  <si>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</si>
  <si>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</si>
  <si>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</si>
  <si>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</si>
  <si>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</si>
  <si>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</si>
  <si>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</si>
  <si>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</si>
  <si>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</si>
  <si>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</si>
  <si>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</si>
  <si>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</si>
  <si>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</si>
  <si>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</si>
  <si>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</si>
  <si>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</si>
  <si>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</si>
  <si>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</si>
  <si>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</si>
  <si>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</si>
  <si>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</si>
  <si>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</si>
  <si>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</si>
  <si>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</si>
  <si>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</si>
  <si>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</si>
  <si>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</si>
  <si>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</si>
  <si>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</si>
  <si>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</si>
  <si>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</si>
  <si>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</si>
  <si>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</si>
  <si>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</si>
  <si>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</si>
  <si>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</si>
  <si>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</si>
  <si>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</si>
  <si>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</si>
  <si>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</si>
  <si>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</si>
  <si>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</si>
  <si>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</si>
  <si>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</si>
  <si>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</si>
  <si>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</si>
  <si>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</si>
  <si>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</si>
  <si>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</si>
  <si>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</si>
  <si>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</si>
  <si>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</si>
  <si>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</si>
  <si>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</si>
  <si>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</si>
  <si>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</si>
  <si>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</si>
  <si>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</si>
  <si>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</si>
  <si>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</si>
  <si>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</si>
  <si>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</si>
  <si>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</si>
  <si>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</si>
  <si>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</si>
  <si>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</si>
  <si>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</si>
  <si>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</si>
  <si>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</si>
  <si>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</si>
  <si>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</si>
  <si>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</si>
  <si>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</si>
  <si>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</si>
  <si>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</si>
  <si>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</si>
  <si>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</si>
  <si>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</si>
  <si>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</si>
  <si>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</si>
  <si>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</si>
  <si>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</si>
  <si>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</si>
  <si>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</si>
  <si>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</si>
  <si>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</si>
  <si>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</si>
  <si>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</si>
  <si>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</si>
  <si>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</si>
  <si>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</si>
  <si>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</si>
  <si>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</si>
  <si>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</si>
  <si>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</si>
  <si>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</si>
  <si>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</si>
  <si>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</si>
  <si>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</si>
  <si>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</si>
  <si>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</si>
  <si>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</si>
  <si>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</si>
  <si>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</si>
  <si>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</si>
  <si>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</si>
  <si>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</si>
  <si>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</si>
  <si>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</si>
  <si>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</si>
  <si>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</si>
  <si>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</si>
  <si>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</si>
  <si>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</si>
  <si>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</si>
  <si>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</si>
  <si>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</si>
  <si>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</si>
  <si>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</si>
  <si>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</si>
  <si>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</si>
  <si>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</si>
  <si>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</si>
  <si>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</si>
  <si>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</si>
  <si>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</si>
  <si>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</si>
  <si>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</si>
  <si>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</si>
  <si>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</si>
  <si>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</si>
  <si>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</si>
  <si>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</si>
  <si>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</si>
  <si>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</si>
  <si>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</si>
  <si>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</si>
  <si>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</si>
  <si>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</si>
  <si>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</si>
  <si>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</si>
  <si>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</si>
  <si>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</si>
  <si>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</si>
  <si>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</si>
  <si>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</si>
  <si>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</si>
  <si>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</si>
  <si>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</si>
  <si>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</si>
  <si>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</si>
  <si>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</si>
  <si>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</si>
  <si>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</si>
  <si>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</si>
  <si>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</si>
  <si>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</si>
  <si>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</si>
  <si>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</si>
  <si>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</si>
  <si>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</si>
  <si>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</si>
  <si>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</si>
  <si>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</si>
  <si>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</si>
  <si>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</si>
  <si>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</si>
  <si>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</si>
  <si>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</si>
  <si>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</si>
  <si>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</si>
  <si>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</si>
  <si>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</si>
  <si>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</si>
  <si>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</si>
  <si>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</si>
  <si>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</si>
  <si>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</si>
  <si>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</si>
  <si>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</si>
  <si>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</si>
  <si>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</si>
  <si>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</si>
  <si>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</si>
  <si>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</si>
  <si>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</si>
  <si>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</si>
  <si>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</si>
  <si>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</si>
  <si>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</si>
  <si>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</si>
  <si>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</si>
  <si>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</si>
  <si>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</si>
  <si>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</si>
  <si>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</si>
  <si>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</si>
  <si>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</si>
  <si>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</si>
  <si>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</si>
  <si>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</si>
  <si>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</si>
  <si>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</si>
  <si>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</si>
  <si>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</si>
  <si>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</si>
  <si>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</si>
  <si>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</si>
  <si>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</si>
  <si>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</si>
  <si>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</si>
  <si>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</si>
  <si>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</si>
  <si>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</si>
  <si>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</si>
  <si>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</si>
  <si>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</si>
  <si>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</si>
  <si>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</si>
  <si>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</si>
  <si>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</si>
  <si>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</si>
  <si>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</si>
  <si>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</si>
  <si>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</si>
  <si>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</si>
  <si>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</si>
  <si>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</si>
  <si>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</si>
  <si>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</si>
  <si>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</si>
  <si>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</si>
  <si>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</si>
  <si>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</si>
  <si>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</si>
  <si>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</si>
  <si>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</si>
  <si>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</si>
  <si>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</si>
  <si>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</si>
  <si>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</si>
  <si>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</si>
  <si>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</si>
  <si>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</si>
  <si>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</si>
  <si>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</si>
  <si>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</si>
  <si>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</si>
  <si>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</si>
  <si>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</si>
  <si>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</si>
  <si>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</si>
  <si>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</si>
  <si>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</si>
  <si>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</si>
  <si>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</si>
  <si>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</si>
  <si>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</si>
  <si>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</si>
  <si>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</si>
  <si>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</si>
  <si>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</si>
  <si>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</si>
  <si>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</si>
  <si>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</si>
  <si>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</si>
  <si>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</si>
  <si>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</si>
  <si>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</si>
  <si>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</si>
  <si>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</si>
  <si>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</si>
  <si>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</si>
  <si>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</si>
  <si>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</si>
  <si>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</si>
  <si>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</si>
  <si>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</si>
  <si>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</si>
  <si>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</si>
  <si>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</si>
  <si>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</si>
  <si>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</si>
  <si>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</si>
  <si>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</si>
  <si>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</si>
  <si>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</si>
  <si>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</si>
  <si>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</si>
  <si>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</si>
  <si>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</si>
  <si>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</si>
  <si>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</si>
  <si>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</si>
  <si>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</si>
  <si>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</si>
  <si>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</si>
  <si>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</si>
  <si>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</si>
  <si>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</si>
  <si>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</si>
  <si>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</si>
  <si>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</si>
  <si>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</si>
  <si>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</si>
  <si>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</si>
  <si>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</si>
  <si>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</si>
  <si>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</si>
  <si>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</si>
  <si>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</si>
  <si>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</si>
  <si>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</si>
  <si>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</si>
  <si>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</si>
  <si>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</si>
  <si>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</si>
  <si>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</si>
  <si>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</si>
  <si>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</si>
  <si>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</si>
  <si>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</si>
  <si>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</si>
  <si>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</si>
  <si>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</si>
  <si>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</si>
  <si>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</si>
  <si>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</si>
  <si>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</si>
  <si>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</si>
  <si>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</si>
  <si>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</si>
  <si>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</si>
  <si>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</si>
  <si>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</si>
  <si>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</si>
  <si>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</si>
  <si>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</si>
  <si>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</si>
  <si>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</si>
  <si>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</si>
  <si>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</si>
  <si>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</si>
  <si>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</si>
  <si>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</si>
  <si>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</si>
  <si>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</si>
  <si>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</si>
  <si>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</si>
  <si>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</si>
  <si>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</si>
  <si>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</si>
  <si>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</si>
  <si>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</si>
  <si>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</si>
  <si>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</si>
  <si>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</si>
  <si>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</si>
  <si>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</si>
  <si>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</si>
  <si>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</si>
  <si>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</si>
  <si>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</si>
  <si>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</si>
  <si>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</si>
  <si>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</si>
  <si>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</si>
  <si>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</si>
  <si>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</si>
  <si>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</si>
  <si>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</si>
  <si>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</si>
  <si>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</si>
  <si>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</si>
  <si>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</si>
  <si>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</si>
  <si>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</si>
  <si>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</si>
  <si>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</si>
  <si>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</si>
  <si>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</si>
  <si>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</si>
  <si>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</si>
  <si>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</si>
  <si>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</si>
  <si>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</si>
  <si>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</si>
  <si>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</si>
  <si>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</si>
  <si>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</si>
  <si>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</si>
  <si>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</si>
  <si>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</si>
  <si>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</si>
  <si>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</si>
  <si>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</si>
  <si>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</si>
  <si>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</si>
  <si>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</si>
  <si>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</si>
  <si>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</si>
  <si>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</si>
  <si>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</si>
  <si>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</si>
  <si>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</si>
  <si>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</si>
  <si>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</si>
  <si>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</si>
  <si>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</si>
  <si>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</si>
  <si>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</si>
  <si>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</si>
  <si>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</si>
  <si>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</si>
  <si>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</si>
  <si>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</si>
  <si>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</si>
  <si>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</si>
  <si>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</si>
  <si>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</si>
  <si>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</si>
  <si>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</si>
  <si>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</si>
  <si>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</si>
  <si>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</si>
  <si>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</si>
  <si>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</si>
  <si>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</si>
  <si>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</si>
  <si>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</si>
  <si>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</si>
  <si>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</si>
  <si>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</si>
  <si>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</si>
  <si>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</si>
  <si>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</si>
  <si>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</si>
  <si>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</si>
  <si>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</si>
  <si>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</si>
  <si>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</si>
  <si>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</si>
  <si>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</si>
  <si>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</si>
  <si>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</si>
  <si>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</si>
  <si>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</si>
  <si>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</si>
  <si>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</si>
  <si>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</si>
  <si>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</si>
  <si>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</si>
  <si>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</si>
  <si>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</si>
  <si>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</si>
  <si>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</si>
  <si>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</si>
  <si>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</si>
  <si>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</si>
  <si>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</si>
  <si>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</si>
  <si>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</si>
  <si>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</si>
  <si>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</si>
  <si>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</si>
  <si>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</si>
  <si>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</si>
  <si>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</si>
  <si>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</si>
  <si>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</si>
  <si>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</si>
  <si>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</si>
  <si>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</si>
  <si>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</si>
  <si>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</si>
  <si>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</si>
  <si>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</si>
  <si>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</si>
  <si>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</si>
  <si>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</si>
  <si>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</si>
  <si>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</si>
  <si>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</si>
  <si>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</si>
  <si>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</si>
  <si>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</si>
  <si>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</si>
  <si>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</si>
  <si>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</si>
  <si>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</si>
  <si>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</si>
  <si>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</si>
  <si>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</si>
  <si>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</si>
  <si>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</si>
  <si>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</si>
  <si>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</si>
  <si>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</si>
  <si>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</si>
  <si>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</si>
  <si>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</si>
  <si>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</si>
  <si>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</si>
  <si>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</si>
  <si>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</si>
  <si>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</si>
  <si>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</si>
  <si>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</si>
  <si>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</si>
  <si>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</si>
  <si>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</si>
  <si>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</si>
  <si>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</si>
  <si>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</si>
  <si>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</si>
  <si>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</si>
  <si>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</si>
  <si>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</si>
  <si>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</si>
  <si>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</si>
  <si>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</si>
  <si>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</si>
  <si>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</si>
  <si>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</si>
  <si>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</si>
  <si>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</si>
  <si>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</si>
  <si>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</si>
  <si>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</si>
  <si>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</si>
  <si>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</si>
  <si>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</si>
  <si>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</si>
  <si>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</si>
  <si>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</si>
  <si>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</si>
  <si>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</si>
  <si>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</si>
  <si>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</si>
  <si>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</si>
  <si>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</si>
  <si>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</si>
  <si>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</si>
  <si>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</si>
  <si>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</si>
  <si>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</si>
  <si>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</si>
  <si>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</si>
  <si>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</si>
  <si>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</si>
  <si>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</si>
  <si>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</si>
  <si>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</si>
  <si>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</si>
  <si>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</si>
  <si>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</si>
  <si>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</si>
  <si>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</si>
  <si>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</si>
  <si>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</si>
  <si>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</si>
  <si>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</si>
  <si>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</si>
  <si>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</si>
  <si>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</si>
  <si>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</si>
  <si>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</si>
  <si>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</si>
  <si>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</si>
  <si>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</si>
  <si>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</si>
  <si>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</si>
  <si>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</si>
  <si>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</si>
  <si>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</si>
  <si>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</si>
  <si>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</si>
  <si>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</si>
  <si>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</si>
  <si>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</si>
  <si>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</si>
  <si>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</si>
  <si>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</si>
  <si>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</si>
  <si>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</si>
  <si>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</si>
  <si>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</si>
  <si>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</si>
  <si>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</si>
  <si>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</si>
  <si>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</si>
  <si>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</si>
  <si>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</si>
  <si>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</si>
  <si>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</si>
  <si>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</si>
  <si>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</si>
  <si>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</si>
  <si>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</si>
  <si>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</si>
  <si>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</si>
  <si>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</si>
  <si>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</si>
  <si>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</si>
  <si>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</si>
  <si>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</si>
  <si>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</si>
  <si>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</si>
  <si>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</si>
  <si>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</si>
  <si>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</si>
  <si>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</si>
  <si>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</si>
  <si>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</si>
  <si>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</si>
  <si>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</si>
  <si>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</si>
  <si>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</si>
  <si>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</si>
  <si>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</si>
  <si>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</si>
  <si>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</si>
  <si>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</si>
  <si>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</si>
  <si>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</si>
  <si>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</si>
  <si>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</si>
  <si>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</si>
  <si>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</si>
  <si>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</si>
  <si>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</si>
  <si>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</si>
  <si>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</si>
  <si>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</si>
  <si>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</si>
  <si>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</si>
  <si>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</si>
  <si>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</si>
  <si>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</si>
  <si>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</si>
  <si>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</si>
  <si>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</si>
  <si>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</si>
  <si>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</si>
  <si>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</si>
  <si>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</si>
  <si>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</si>
  <si>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</si>
  <si>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</si>
  <si>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</si>
  <si>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</si>
  <si>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</si>
  <si>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</si>
  <si>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</si>
  <si>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</si>
  <si>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</si>
  <si>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</si>
  <si>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</si>
  <si>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</si>
  <si>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</si>
  <si>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</si>
  <si>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</si>
  <si>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</si>
  <si>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</si>
  <si>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</si>
  <si>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</si>
  <si>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</si>
  <si>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</si>
  <si>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</si>
  <si>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</si>
  <si>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</si>
  <si>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</si>
  <si>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</si>
  <si>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</si>
  <si>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</si>
  <si>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</si>
  <si>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</si>
  <si>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</si>
  <si>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</si>
  <si>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</si>
  <si>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</si>
  <si>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</si>
  <si>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</si>
  <si>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</si>
  <si>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</si>
  <si>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</si>
  <si>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</si>
  <si>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</si>
  <si>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</si>
  <si>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</si>
  <si>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</si>
  <si>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</si>
  <si>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</si>
  <si>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</si>
  <si>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</si>
  <si>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</si>
  <si>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</si>
  <si>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</si>
  <si>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</si>
  <si>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</si>
  <si>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</si>
  <si>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</si>
  <si>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</si>
  <si>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</si>
  <si>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</si>
  <si>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</si>
  <si>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</si>
  <si>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</si>
  <si>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</si>
  <si>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</si>
  <si>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</si>
  <si>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</si>
  <si>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</si>
  <si>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</si>
  <si>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</si>
  <si>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</si>
  <si>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</si>
  <si>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</si>
  <si>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</si>
  <si>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</si>
  <si>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</si>
  <si>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</si>
  <si>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</si>
  <si>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</si>
  <si>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</si>
  <si>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</si>
  <si>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</si>
  <si>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</si>
  <si>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</si>
  <si>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</si>
  <si>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</si>
  <si>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</si>
  <si>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</si>
  <si>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</si>
  <si>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</si>
  <si>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</si>
  <si>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</si>
  <si>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</si>
  <si>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</si>
  <si>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</si>
  <si>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</si>
  <si>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</si>
  <si>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</si>
  <si>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</si>
  <si>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</si>
  <si>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</si>
  <si>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</si>
  <si>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</si>
  <si>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</si>
  <si>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</si>
  <si>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</si>
  <si>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</si>
  <si>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</si>
  <si>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</si>
  <si>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</si>
  <si>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</si>
  <si>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</si>
  <si>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</si>
  <si>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</si>
  <si>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</si>
  <si>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</si>
  <si>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</si>
  <si>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</si>
  <si>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</si>
  <si>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</si>
  <si>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</si>
  <si>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</si>
  <si>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</si>
  <si>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</si>
  <si>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</si>
  <si>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</si>
  <si>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</si>
  <si>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</si>
  <si>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</si>
  <si>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</si>
  <si>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</si>
  <si>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</si>
  <si>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</si>
  <si>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</si>
  <si>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</si>
  <si>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</si>
  <si>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</si>
  <si>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</si>
  <si>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</si>
  <si>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</si>
  <si>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</si>
  <si>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</si>
  <si>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</si>
  <si>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</si>
  <si>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</si>
  <si>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</si>
  <si>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</si>
  <si>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</si>
  <si>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</si>
  <si>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</si>
  <si>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</si>
  <si>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</si>
  <si>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</si>
  <si>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</si>
  <si>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</si>
  <si>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</si>
  <si>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</si>
  <si>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</si>
  <si>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</si>
  <si>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</si>
  <si>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</si>
  <si>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</si>
  <si>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</si>
  <si>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</si>
  <si>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</si>
  <si>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</si>
  <si>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</si>
  <si>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</si>
  <si>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</si>
  <si>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</si>
  <si>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</si>
  <si>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</si>
  <si>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</si>
  <si>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</si>
  <si>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</si>
  <si>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</si>
  <si>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</si>
  <si>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</si>
  <si>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</si>
  <si>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</si>
  <si>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</si>
  <si>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</si>
  <si>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</si>
  <si>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</si>
  <si>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</si>
  <si>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</si>
  <si>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</si>
  <si>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</si>
  <si>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</si>
  <si>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</si>
  <si>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</si>
  <si>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</si>
  <si>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</si>
  <si>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</si>
  <si>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</si>
  <si>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</si>
  <si>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</si>
  <si>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</si>
  <si>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</si>
  <si>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</si>
  <si>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</si>
  <si>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</si>
  <si>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</si>
  <si>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</si>
  <si>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</si>
  <si>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</si>
  <si>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</si>
  <si>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</si>
  <si>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</si>
  <si>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</si>
  <si>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</si>
  <si>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</si>
  <si>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</si>
  <si>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</si>
  <si>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</si>
  <si>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</si>
  <si>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</si>
  <si>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</si>
  <si>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</si>
  <si>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</si>
  <si>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</si>
  <si>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</si>
  <si>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</si>
  <si>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</si>
  <si>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</si>
  <si>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</si>
  <si>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</si>
  <si>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</si>
  <si>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</si>
  <si>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</si>
  <si>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</si>
  <si>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</si>
  <si>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</si>
  <si>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</si>
  <si>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</si>
  <si>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</si>
  <si>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</si>
  <si>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</si>
  <si>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</si>
  <si>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</si>
  <si>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</si>
  <si>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</si>
  <si>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</si>
  <si>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</si>
  <si>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</si>
  <si>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</si>
  <si>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</si>
  <si>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</si>
  <si>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</si>
  <si>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</si>
  <si>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</si>
  <si>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</si>
  <si>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</si>
  <si>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</si>
  <si>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</si>
  <si>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</si>
  <si>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</si>
  <si>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</si>
  <si>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</si>
  <si>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</si>
  <si>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</si>
  <si>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</si>
  <si>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</si>
  <si>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</si>
  <si>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</si>
  <si>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</si>
  <si>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</si>
  <si>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</si>
  <si>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</si>
  <si>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</si>
  <si>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</si>
  <si>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</si>
  <si>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</si>
  <si>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</si>
  <si>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</si>
  <si>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</si>
  <si>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</si>
  <si>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</si>
  <si>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</si>
  <si>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</si>
  <si>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</si>
  <si>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</si>
  <si>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</si>
  <si>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</si>
  <si>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</si>
  <si>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</si>
  <si>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</si>
  <si>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</si>
  <si>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</si>
  <si>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</si>
  <si>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</si>
  <si>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</si>
  <si>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</si>
  <si>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</si>
  <si>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</si>
  <si>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</si>
  <si>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</si>
  <si>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</si>
  <si>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</si>
  <si>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</si>
  <si>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</si>
  <si>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</si>
  <si>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</si>
  <si>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</si>
  <si>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</si>
  <si>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</si>
  <si>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</si>
  <si>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</si>
  <si>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</si>
  <si>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</si>
  <si>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</si>
  <si>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</si>
  <si>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</si>
  <si>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</si>
  <si>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</si>
  <si>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</si>
  <si>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</si>
  <si>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</si>
  <si>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</si>
  <si>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</si>
  <si>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</si>
  <si>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</si>
  <si>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</si>
  <si>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</si>
  <si>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</si>
  <si>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</si>
  <si>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</si>
  <si>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</si>
  <si>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</si>
  <si>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</si>
  <si>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</si>
  <si>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</si>
  <si>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</si>
  <si>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</si>
  <si>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</si>
  <si>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</si>
  <si>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</si>
  <si>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</si>
  <si>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</si>
  <si>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</si>
  <si>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</si>
  <si>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</si>
  <si>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</si>
  <si>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</si>
  <si>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</si>
  <si>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</si>
  <si>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</si>
  <si>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</si>
  <si>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</si>
  <si>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</si>
  <si>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</si>
  <si>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</si>
  <si>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</si>
  <si>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</si>
  <si>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</si>
  <si>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</si>
  <si>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</si>
  <si>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</si>
  <si>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</si>
  <si>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</si>
  <si>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</si>
  <si>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</si>
  <si>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</si>
  <si>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</si>
  <si>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</si>
  <si>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</si>
  <si>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</si>
  <si>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</si>
  <si>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</si>
  <si>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</si>
  <si>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</si>
  <si>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</si>
  <si>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</si>
  <si>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</si>
  <si>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</si>
  <si>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</si>
  <si>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</si>
  <si>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</si>
  <si>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</si>
  <si>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</si>
  <si>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</si>
  <si>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</si>
  <si>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</si>
  <si>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</si>
  <si>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</si>
  <si>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</si>
  <si>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</si>
  <si>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</si>
  <si>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</si>
  <si>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</si>
  <si>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</si>
  <si>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</si>
  <si>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</si>
  <si>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</si>
  <si>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</si>
  <si>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</si>
  <si>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</si>
  <si>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</si>
  <si>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</si>
  <si>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</si>
  <si>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</si>
  <si>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</si>
  <si>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</si>
  <si>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</si>
  <si>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</si>
  <si>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</si>
  <si>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</si>
  <si>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</si>
  <si>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</si>
  <si>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</si>
  <si>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</si>
  <si>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</si>
  <si>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</si>
  <si>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</si>
  <si>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</si>
  <si>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</si>
  <si>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</si>
  <si>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</si>
  <si>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</si>
  <si>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</si>
  <si>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</si>
  <si>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</si>
  <si>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</si>
  <si>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</si>
  <si>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</si>
  <si>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</si>
  <si>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</si>
  <si>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</si>
  <si>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</si>
  <si>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</si>
  <si>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</si>
  <si>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</si>
  <si>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</si>
  <si>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</si>
  <si>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</si>
  <si>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</si>
  <si>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</si>
  <si>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</si>
  <si>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</si>
  <si>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</si>
  <si>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</si>
  <si>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</si>
  <si>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</si>
  <si>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</si>
  <si>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</si>
  <si>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</si>
  <si>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</si>
  <si>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</si>
  <si>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</si>
  <si>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</si>
  <si>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</si>
  <si>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</si>
  <si>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</si>
  <si>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</si>
  <si>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</si>
  <si>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</si>
  <si>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</si>
  <si>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</si>
  <si>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</si>
  <si>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</si>
  <si>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</si>
  <si>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</si>
  <si>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</si>
  <si>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</si>
  <si>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</si>
  <si>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</si>
  <si>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</si>
  <si>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</si>
  <si>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</si>
  <si>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</si>
  <si>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</si>
  <si>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</si>
  <si>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</si>
  <si>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</si>
  <si>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</si>
  <si>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</si>
  <si>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</si>
  <si>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</si>
  <si>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</si>
  <si>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</si>
  <si>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</si>
  <si>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</si>
  <si>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</si>
  <si>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</si>
  <si>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</si>
  <si>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</si>
  <si>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</si>
  <si>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</si>
  <si>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</si>
  <si>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</si>
  <si>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</si>
  <si>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</si>
  <si>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</si>
  <si>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</si>
  <si>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</si>
  <si>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</si>
  <si>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</si>
  <si>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</si>
  <si>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</si>
  <si>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</si>
  <si>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</si>
  <si>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</si>
  <si>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</si>
  <si>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</si>
  <si>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</si>
  <si>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</si>
  <si>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</si>
  <si>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</si>
  <si>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</si>
  <si>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</si>
  <si>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</si>
  <si>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</si>
  <si>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</si>
  <si>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</si>
  <si>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</si>
  <si>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</si>
  <si>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</si>
  <si>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</si>
  <si>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</si>
  <si>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</si>
  <si>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</si>
  <si>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</si>
  <si>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</si>
  <si>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</si>
  <si>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</si>
  <si>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</si>
  <si>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</si>
  <si>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</si>
  <si>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</si>
  <si>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</si>
  <si>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</si>
  <si>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</si>
  <si>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</si>
  <si>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</si>
  <si>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</si>
  <si>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</si>
  <si>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</si>
  <si>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</si>
  <si>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</si>
  <si>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</si>
  <si>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</si>
  <si>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</si>
  <si>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</si>
  <si>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</si>
  <si>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</si>
  <si>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</si>
  <si>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</si>
  <si>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</si>
  <si>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</si>
  <si>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</si>
  <si>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</si>
  <si>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</si>
  <si>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</si>
  <si>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</si>
  <si>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</si>
  <si>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</si>
  <si>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</si>
  <si>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</si>
  <si>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</si>
  <si>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</si>
  <si>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</si>
  <si>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</si>
  <si>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</si>
  <si>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</si>
  <si>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</si>
  <si>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</si>
  <si>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</si>
  <si>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</si>
  <si>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</si>
  <si>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</si>
  <si>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</si>
  <si>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</si>
  <si>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</si>
  <si>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</si>
  <si>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</si>
  <si>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</si>
  <si>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</si>
  <si>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</si>
  <si>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</si>
  <si>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</si>
  <si>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</si>
  <si>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</si>
  <si>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</si>
  <si>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</si>
  <si>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</si>
  <si>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</si>
  <si>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</si>
  <si>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</si>
  <si>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</si>
  <si>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</si>
  <si>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</si>
  <si>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</si>
  <si>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</si>
  <si>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</si>
  <si>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</si>
  <si>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</si>
  <si>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</si>
  <si>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</si>
  <si>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</si>
  <si>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</si>
  <si>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</si>
  <si>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</si>
  <si>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</si>
  <si>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</si>
  <si>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</si>
  <si>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</si>
  <si>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</si>
  <si>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</si>
  <si>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</si>
  <si>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</si>
  <si>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</si>
  <si>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</si>
  <si>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</si>
  <si>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</si>
  <si>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</si>
  <si>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</si>
  <si>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</si>
  <si>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</si>
  <si>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</si>
  <si>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</si>
  <si>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</si>
  <si>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</si>
  <si>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</si>
  <si>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</si>
  <si>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</si>
  <si>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</si>
  <si>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</si>
  <si>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</si>
  <si>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</si>
  <si>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</si>
  <si>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</si>
  <si>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</si>
  <si>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</si>
  <si>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</si>
  <si>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</si>
  <si>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</si>
  <si>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</si>
  <si>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</si>
  <si>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</si>
  <si>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</si>
  <si>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</si>
  <si>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</si>
  <si>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</si>
  <si>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</si>
  <si>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</si>
  <si>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</si>
  <si>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</si>
  <si>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</si>
  <si>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</si>
  <si>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</si>
  <si>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</si>
  <si>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</si>
  <si>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</si>
  <si>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</si>
  <si>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</si>
  <si>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</si>
  <si>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</si>
  <si>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</si>
  <si>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</si>
  <si>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</si>
  <si>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</si>
  <si>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</si>
  <si>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</si>
  <si>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</si>
  <si>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</si>
  <si>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</si>
  <si>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</si>
  <si>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</si>
  <si>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</si>
  <si>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</si>
  <si>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</si>
  <si>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</si>
  <si>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</si>
  <si>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</si>
  <si>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</si>
  <si>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</si>
  <si>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</si>
  <si>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</si>
  <si>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</si>
  <si>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</si>
  <si>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</si>
  <si>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</si>
  <si>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</si>
  <si>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</si>
  <si>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</si>
  <si>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</si>
  <si>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</si>
  <si>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</si>
  <si>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</si>
  <si>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</si>
  <si>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</si>
  <si>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</si>
  <si>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</si>
  <si>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</si>
  <si>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</si>
  <si>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</si>
  <si>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</si>
  <si>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</si>
  <si>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</si>
  <si>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</si>
  <si>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</si>
  <si>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</si>
  <si>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</si>
  <si>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</si>
  <si>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</si>
  <si>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</si>
  <si>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</si>
  <si>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</si>
  <si>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</si>
  <si>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</si>
  <si>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</si>
  <si>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</si>
  <si>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</si>
  <si>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</si>
  <si>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</si>
  <si>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</si>
  <si>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</si>
  <si>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</si>
  <si>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</si>
  <si>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</si>
  <si>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</si>
  <si>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</si>
  <si>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</si>
  <si>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</si>
  <si>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</si>
  <si>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</si>
  <si>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</si>
  <si>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</si>
  <si>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</si>
  <si>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</si>
  <si>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</si>
  <si>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</si>
  <si>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</si>
  <si>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</si>
  <si>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</si>
  <si>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</si>
  <si>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</si>
  <si>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</si>
  <si>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</si>
  <si>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</si>
  <si>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</si>
  <si>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</si>
  <si>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</si>
  <si>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</si>
  <si>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</si>
  <si>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</si>
  <si>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</si>
  <si>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</si>
  <si>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</si>
  <si>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</si>
  <si>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</si>
  <si>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</si>
  <si>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</si>
  <si>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</si>
  <si>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</si>
  <si>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</si>
  <si>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</si>
  <si>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</si>
  <si>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</si>
  <si>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</si>
  <si>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</si>
  <si>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</si>
  <si>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</si>
  <si>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</si>
  <si>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</si>
  <si>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</si>
  <si>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</si>
  <si>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</si>
  <si>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</si>
  <si>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</si>
  <si>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</si>
  <si>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</si>
  <si>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</si>
  <si>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</si>
  <si>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</si>
  <si>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</si>
  <si>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</si>
  <si>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</si>
  <si>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</si>
  <si>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</si>
  <si>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</si>
  <si>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</si>
  <si>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</si>
  <si>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</si>
  <si>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</si>
  <si>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</si>
  <si>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</si>
  <si>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</si>
  <si>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</si>
  <si>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</si>
  <si>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</si>
  <si>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</si>
  <si>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</si>
  <si>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</si>
  <si>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</si>
  <si>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</si>
  <si>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</si>
  <si>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</si>
  <si>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</si>
  <si>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</si>
  <si>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</si>
  <si>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</si>
  <si>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</si>
  <si>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</si>
  <si>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</si>
  <si>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</si>
  <si>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</si>
  <si>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</si>
  <si>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</si>
  <si>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</si>
  <si>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</si>
  <si>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</si>
  <si>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</si>
  <si>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</si>
  <si>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</si>
  <si>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</si>
  <si>
    <t>First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</si>
</sst>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F800]dddd\,\ mmmm\ dd\,\ yyyy"/>
    <numFmt numFmtId="165" formatCode="_ [$₹-4009]\ * #,##0_ ;_ [$₹-4009]\ * \-#,##0_ ;_ [$₹-4009]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165" fontId="2" fillId="0" borderId="1" xfId="2" applyNumberFormat="1" applyFont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165" fontId="0" fillId="0" borderId="0" xfId="2" applyNumberFormat="1" applyFont="1"/>
    <xf numFmtId="44" fontId="2" fillId="0" borderId="1" xfId="1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  <xf numFmtId="0" fontId="0" fillId="0" borderId="1" xfId="0" pivotButton="1" applyBorder="1"/>
    <xf numFmtId="0" fontId="0" fillId="0" borderId="1" xfId="0" applyBorder="1"/>
  </cellXfs>
  <cellStyles count="3">
    <cellStyle name="Currency" xfId="1" builtinId="4"/>
    <cellStyle name="Normal" xfId="0" builtinId="0"/>
    <cellStyle name="Percent" xfId="2" builtinId="5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'Pivot Chart'!$B$4:$B$13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A-4F47-B6B5-C2CF10114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5210479"/>
        <c:axId val="595210959"/>
      </c:barChart>
      <c:catAx>
        <c:axId val="59521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10959"/>
        <c:crosses val="autoZero"/>
        <c:auto val="1"/>
        <c:lblAlgn val="ctr"/>
        <c:lblOffset val="100"/>
        <c:noMultiLvlLbl val="0"/>
      </c:catAx>
      <c:valAx>
        <c:axId val="59521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1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 salary_year_avg 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8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800" b="1" i="0" u="none" strike="noStrike" kern="1200" cap="all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 salary_year_avg </a:t>
          </a:r>
        </a:p>
      </cx:txPr>
    </cx:title>
    <cx:plotArea>
      <cx:plotAreaRegion>
        <cx:series layoutId="clusteredColumn" uniqueId="{67C6204D-E9DD-4D0E-8752-4DFC96133DAA}">
          <cx:tx>
            <cx:txData>
              <cx:f>_xlchart.v1.0</cx:f>
              <cx:v> salary_year_avg </cx:v>
            </cx:txData>
          </cx:tx>
          <cx:dataLabels pos="inEnd">
            <cx:visibility seriesName="0" categoryName="1" value="0"/>
          </cx:dataLabels>
          <cx:dataId val="0"/>
          <cx:layoutPr>
            <cx:binning intervalClosed="r"/>
          </cx:layoutPr>
        </cx:series>
      </cx:plotAreaRegion>
      <cx:axis id="0">
        <cx:valScaling/>
        <cx:majorGridlines/>
        <cx:tickLabels/>
      </cx:axis>
      <cx:axis id="1">
        <cx:catScaling gapWidth="0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797F7A8-D3F4-465E-B5F2-DE7C584334F8}">
  <sheetPr/>
  <sheetViews>
    <sheetView zoomScale="96" workbookViewId="0" zoomToFit="1"/>
  </sheetViews>
  <pageMargins left="0.25" right="0.25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657382</xdr:colOff>
      <xdr:row>8</xdr:row>
      <xdr:rowOff>143074</xdr:rowOff>
    </xdr:from>
    <xdr:to>
      <xdr:col>3</xdr:col>
      <xdr:colOff>78998</xdr:colOff>
      <xdr:row>11</xdr:row>
      <xdr:rowOff>14606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6C0DA65-1682-DD0F-4358-1680B47A142D}"/>
                </a:ext>
              </a:extLst>
            </xdr14:cNvPr>
            <xdr14:cNvContentPartPr/>
          </xdr14:nvContentPartPr>
          <xdr14:nvPr macro=""/>
          <xdr14:xfrm>
            <a:off x="657382" y="1606114"/>
            <a:ext cx="2096236" cy="420172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6C0DA65-1682-DD0F-4358-1680B47A142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1262" y="1599993"/>
              <a:ext cx="2108476" cy="4324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114300</xdr:colOff>
      <xdr:row>10</xdr:row>
      <xdr:rowOff>106560</xdr:rowOff>
    </xdr:from>
    <xdr:to>
      <xdr:col>5</xdr:col>
      <xdr:colOff>701760</xdr:colOff>
      <xdr:row>10</xdr:row>
      <xdr:rowOff>168120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B3A8E96-E3F3-C518-F679-DA26F16A573A}"/>
                </a:ext>
              </a:extLst>
            </xdr14:cNvPr>
            <xdr14:cNvContentPartPr/>
          </xdr14:nvContentPartPr>
          <xdr14:nvPr macro=""/>
          <xdr14:xfrm>
            <a:off x="2788920" y="1935360"/>
            <a:ext cx="2012400" cy="615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B3A8E96-E3F3-C518-F679-DA26F16A573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82800" y="1929240"/>
              <a:ext cx="202464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139140</xdr:colOff>
      <xdr:row>9</xdr:row>
      <xdr:rowOff>75960</xdr:rowOff>
    </xdr:from>
    <xdr:to>
      <xdr:col>3</xdr:col>
      <xdr:colOff>532260</xdr:colOff>
      <xdr:row>12</xdr:row>
      <xdr:rowOff>41760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DA57778-13BE-B211-157E-4274EA2FA9C1}"/>
                </a:ext>
              </a:extLst>
            </xdr14:cNvPr>
            <xdr14:cNvContentPartPr/>
          </xdr14:nvContentPartPr>
          <xdr14:nvPr macro=""/>
          <xdr14:xfrm>
            <a:off x="2813760" y="1721880"/>
            <a:ext cx="393120" cy="5144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DA57778-13BE-B211-157E-4274EA2FA9C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807640" y="1715760"/>
              <a:ext cx="405360" cy="526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477375" cy="627856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62B2889-12A5-0DD0-6C41-72FCE6A272BE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A77416BD-D804-0019-A252-DB378EE66E97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477375" cy="627856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179070</xdr:rowOff>
    </xdr:from>
    <xdr:to>
      <xdr:col>10</xdr:col>
      <xdr:colOff>312420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D61D3-497E-B5D8-3EC5-A7F911BEC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07:54:05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424 0 24447,'-423'1166'0,"6244"-1166"0,-6244-1166 0,-4552 1166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07:54:08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24575,'3036'0'0,"-2643"5"0,416 58 0,-327-18 0,-112-13 0,-332-28 0,64 8 0,1-4 0,115-6 0,-196-6-1365,-7-1-5461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31T07:55:21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863 0 24575,'-8'2'0,"1"-1"0,1 1 0,-1 0 0,0 1 0,0-1 0,1 1 0,-1 1 0,1-1 0,-10 8 0,-7 3 0,-177 115 0,143-89 0,-2-2 0,-118 57 0,123-74 0,19-8 0,-47 25 0,72-32 0,-3 1 0,0 0 0,-17 14 0,27-18 0,1-1 0,-1 0 0,0 1 0,1 0 0,0-1 0,-1 1 0,1 0 0,0 0 0,0 1 0,1-1 0,-1 0 0,1 0 0,0 1 0,0-1 0,-2 7 0,3-9 0,1 1 0,-1-1 0,0 0 0,0 1 0,1-1 0,-1 1 0,1-1 0,-1 0 0,1 0 0,-1 1 0,1-1 0,0 0 0,0 0 0,-1 0 0,1 1 0,0-1 0,0 0 0,0 0 0,0-1 0,1 1 0,-1 0 0,0 0 0,0 0 0,0-1 0,1 1 0,-1-1 0,0 1 0,1-1 0,-1 1 0,0-1 0,1 0 0,2 1 0,51 4 0,-48-4 0,34-1 0,-27 0 0,1 0 0,-1 0 0,1 2 0,17 3 0,-28-4 0,1 1 0,0 0 0,-1 0 0,1 0 0,-1 0 0,0 1 0,0-1 0,0 1 0,0 0 0,0 1 0,0-1 0,-1 0 0,0 1 0,0 0 0,0 0 0,4 7 0,2 6 0,-1 1 0,-1 0 0,10 36 0,-14-40 0,1 0 0,0-1 0,1 0 0,0 0 0,1 0 0,0-1 0,1 1 0,1-2 0,12 17 0,-13-21 0,-1 1 0,-1 0 0,1 0 0,-1 1 0,0 0 0,-1 0 0,0 0 0,-1 0 0,0 0 0,0 1 0,-1 0 0,0-1 0,-1 1 0,1 11 0,0-4 0,1 1 0,1-1 0,11 30 0,-13-40 0,1-1 0,0 1 0,0-1 0,1 0 0,0 0 0,0-1 0,1 1 0,-1-1 0,1 0 0,0 0 0,0 0 0,8 4 0,39 22 0,1-2 0,104 41 0,87 25-1365,-205-81-5461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22.552539930555" createdVersion="8" refreshedVersion="8" minRefreshableVersion="3" recordCount="3102" xr:uid="{FA35883F-5633-4ADF-8748-C36A96D8C665}">
  <cacheSource type="worksheet">
    <worksheetSource ref="A1:P3103" sheet="Data"/>
  </cacheSource>
  <cacheFields count="16">
    <cacheField name="job_title_short" numFmtId="0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0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0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0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0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0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0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0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0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0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0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0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0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0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0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0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0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0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0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0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0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0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0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0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0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0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0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0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0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0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0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0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0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1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1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1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1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2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2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2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2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2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2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2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2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2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2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2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2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2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2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2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2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2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2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2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2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2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2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2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2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2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2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2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2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2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2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2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2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2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2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2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2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2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2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2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2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2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2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2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2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2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2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2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2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2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2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2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2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2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2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2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2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2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2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2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2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2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2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2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2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2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2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2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2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2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2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2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2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2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2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2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2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2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2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2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2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2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2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2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2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2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2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2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2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2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2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2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2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2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2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2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2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2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2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2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2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2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2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2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2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2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2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2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2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2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2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2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2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2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2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2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2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2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2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2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2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2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2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2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2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2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2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2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2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2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2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2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2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2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2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2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2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2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2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2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2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2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2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2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2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2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2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2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2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2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2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2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2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2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2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2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2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2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2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2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2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2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2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2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2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2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2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2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2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2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2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2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2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2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2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2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2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2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2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2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2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2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2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2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2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2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2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2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2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2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2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2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2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2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2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2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2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2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2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2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2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2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2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2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2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2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2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2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2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2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2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2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2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2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2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2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2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2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2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2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2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2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2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2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2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2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2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2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2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2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2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2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2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2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2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2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2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2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2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2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2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2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2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2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2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2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2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2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2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2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2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2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2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2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2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2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2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2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2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2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2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2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2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2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2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2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2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2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2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2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2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2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2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2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2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2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2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2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2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2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2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2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2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2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2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2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2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2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2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2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2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2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2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2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2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2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2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2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2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2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2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2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2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2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2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2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2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2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2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2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2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2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2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2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2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2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2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2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2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2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2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2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2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2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2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2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2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2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2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2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2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2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2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2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2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2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2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2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2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2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2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2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2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2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2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2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2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2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2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2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2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2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2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2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2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2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2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2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2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2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2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2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2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2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2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2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2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2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2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2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2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2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2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2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2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2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2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2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2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2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2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2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2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2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2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2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2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2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2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2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2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2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2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2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2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2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2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2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2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2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2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2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2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2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2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2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2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2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2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2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2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2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2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2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2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2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2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2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2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2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2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2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2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2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2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2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2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2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2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2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2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2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2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2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2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2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2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2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2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2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2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2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2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2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2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2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2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2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2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2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2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2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2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2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2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2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2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2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2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2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2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2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2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2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2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2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2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2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2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2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2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2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2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2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2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2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2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2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2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2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2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2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2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2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2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2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2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2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2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2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2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2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2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2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2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2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2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2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2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2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2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2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2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2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2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2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2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2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2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2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2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2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2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2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2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2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2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2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2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2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2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2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2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2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2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2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2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2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2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2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2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2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2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2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2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2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2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2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2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2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2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2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2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2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2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2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2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2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2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2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2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2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2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2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2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2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2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2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2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2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2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2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2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2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2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2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2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2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2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2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2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2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2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2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2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2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2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2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2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2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2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2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2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2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2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2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2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2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2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2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2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2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2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2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2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2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2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2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2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2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2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2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2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2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2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2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2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2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2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2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2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2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2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2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2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2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2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2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2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2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2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2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2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2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2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2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2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2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2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2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2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2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2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2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2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2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2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2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2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2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2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2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2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2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2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2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2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2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2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2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2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2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2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2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2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2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2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2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2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2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2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2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2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2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2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2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2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2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2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2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2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2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2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2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2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2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2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2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2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2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2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2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2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2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2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2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2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2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2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2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2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2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2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2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2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2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2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2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2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2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2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2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2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2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2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2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2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2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2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2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2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2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2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2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2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2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2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2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2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2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2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2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2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2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2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2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2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2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2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2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2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2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2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2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2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2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2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2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2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2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2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2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2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2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2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2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2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2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2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2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2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2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2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2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2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2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2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2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2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2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2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2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2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2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2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2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2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2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2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2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2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2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2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2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2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2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2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2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2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2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2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  <r>
    <x v="3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3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3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3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3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3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3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3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3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3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3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3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3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3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3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3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3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3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3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3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3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3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3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3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3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3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3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3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3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3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3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3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3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3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3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3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3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3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3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3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3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3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3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3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3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3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3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3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3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3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3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3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3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3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3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3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3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3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3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3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3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3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3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3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3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3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3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3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3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3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3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3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3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3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3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3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3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3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3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3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3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3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3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3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3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3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3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3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3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3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3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3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3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3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3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3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3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3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3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3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3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3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3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3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3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3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3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3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3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3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3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3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3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3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3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3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3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3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3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3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3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3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3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3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3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3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3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3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3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3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3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3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3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3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3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3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3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3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3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3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3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3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3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3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3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3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3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3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3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3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3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3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3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3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3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3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3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3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3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3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3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3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3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3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3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3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3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3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3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3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3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3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3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3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3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3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3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3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3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3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3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3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3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3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3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3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3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3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3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3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3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3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3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3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3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3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3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3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3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3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3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3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3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3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3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3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3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3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3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3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3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3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3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3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3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3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3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3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3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3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3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3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3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3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3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3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3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3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3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3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3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3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3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3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3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3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3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3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3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3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3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3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3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3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3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3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3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3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3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3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3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3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3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3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3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3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3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3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3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3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3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3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3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3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3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3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3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3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3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3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3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3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3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3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3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3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3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3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3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3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3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3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3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3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3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3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3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3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3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3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3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3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3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3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3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3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3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3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3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3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3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3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3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3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3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3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3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3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3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3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3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3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3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3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3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3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3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3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3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3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3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3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3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3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3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3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3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3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3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3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3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3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3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3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3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3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3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3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3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3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3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3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3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3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3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3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3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3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3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3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3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3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3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3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3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3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3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3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3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3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3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3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3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3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3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3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3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3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3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3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3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3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3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3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3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3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3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3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3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3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3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3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3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3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3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3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3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3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3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3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3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3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3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3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3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3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3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3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3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3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3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3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3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3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3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3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3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3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3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3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3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3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3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3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3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3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3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3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3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3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3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3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3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3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3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3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3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3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3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3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3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3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3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3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3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3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3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3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3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3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3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3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3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3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3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3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3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3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3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3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3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3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3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3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3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3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3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3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3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3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3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3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3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3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3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3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3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4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4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4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4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4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4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4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4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4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4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4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4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4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4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4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4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4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4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4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4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4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4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4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4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4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4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4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4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4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4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4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4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4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4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4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4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4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4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4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4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4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4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4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4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4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4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4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4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4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4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4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4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4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4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4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4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4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4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4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4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4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4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4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4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4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4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4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4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4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4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4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4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4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4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4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4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4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4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4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4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4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4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4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4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4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4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4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4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4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4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4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4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4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4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4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4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4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4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4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4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4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4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4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4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4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4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4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4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4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4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4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4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4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4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4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4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4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4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4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4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4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4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4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4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4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4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4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4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4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4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4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4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4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4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4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4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4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4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4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4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4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4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4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4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4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4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4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4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4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4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4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4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4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4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4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4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4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4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4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4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4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4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4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4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4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4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4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4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4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4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4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4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4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4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4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4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4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4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4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4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4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4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4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4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4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4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4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4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4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4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4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4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4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4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4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4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4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4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4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4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4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4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4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4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4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4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4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4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4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4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4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4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4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4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4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4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4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4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4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4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4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4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4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4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4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4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4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4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4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4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4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4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4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4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4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4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4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4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4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4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4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4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4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4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4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4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4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4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4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4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4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4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4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4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4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4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4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4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4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4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4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4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4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4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4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4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4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4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4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4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4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4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4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4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4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4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4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4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4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4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4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4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4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4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4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4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4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4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4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4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4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4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4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4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4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4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4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4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4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4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4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4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4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4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4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4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4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4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4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4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4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4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4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4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4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4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4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4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4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4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4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4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4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4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4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4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4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4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4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4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4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4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4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4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4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4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4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4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4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4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4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4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4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4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4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4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4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4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4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4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4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4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4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4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4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4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4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4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4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4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4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4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4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4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4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4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4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4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4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4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4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4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4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4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4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4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4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4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4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4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4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4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4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4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4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4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4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4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4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4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4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4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4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4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4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4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4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4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4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4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4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4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4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4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4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4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4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4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4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4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4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4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4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4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4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4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4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4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4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4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4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4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4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4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4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4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4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4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4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4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4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4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4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4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4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4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4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4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4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4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4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4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4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4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4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4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4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4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4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4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4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4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4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4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4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4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4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4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4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4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4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4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4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4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4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4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4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4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4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4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4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4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4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4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4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4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4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4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4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4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4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4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4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4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4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4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4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4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4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4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4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4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4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4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4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4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4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4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4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4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4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4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4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4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4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4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4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4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4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4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4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4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4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4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4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4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4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4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4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4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4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4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4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4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4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4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4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4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4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4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4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4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4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4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4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4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4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4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4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4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4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4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4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4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4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4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4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4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4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4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4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4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4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4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4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4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4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4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4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4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4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4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4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4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4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4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4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4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4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4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4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4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4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4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4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4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4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4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4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4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4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4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4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4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4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5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5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5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5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5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5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5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5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5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5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5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5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5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5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5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5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5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5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5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5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5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5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5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5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5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5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5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5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5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5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5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5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5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5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5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5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5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5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5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5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5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5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5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5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5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5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5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5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5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5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5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5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5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5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5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5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5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5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5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5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5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5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5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5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5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5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5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5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5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5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5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5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6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6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6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6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6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6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6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6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6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6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6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6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6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6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6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6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6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6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6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6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6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6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6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6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6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6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6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6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6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6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6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6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6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6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6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6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6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6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6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6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6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6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6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6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6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6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6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6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6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6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6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6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6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6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6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6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6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6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6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6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6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6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6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6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6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6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6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6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6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6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6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6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6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6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6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6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6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6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6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6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6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6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6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6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6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6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6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6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6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6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6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6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6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6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6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6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6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6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6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6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6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6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6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6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6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6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6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6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6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6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6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6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6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6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6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6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6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6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6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6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6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6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6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6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6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6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6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6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6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6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6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6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6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6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6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6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6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6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6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6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6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6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6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6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6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6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6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6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6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6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6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6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6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6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6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6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6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6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6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6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6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6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6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6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6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6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6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6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6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6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6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6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6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6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6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6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6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6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6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6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6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6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6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6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7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7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7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7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7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7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7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7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7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7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7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7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7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7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7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7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7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7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7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7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7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7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7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7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7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7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7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7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7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7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7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7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7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7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7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7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7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7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7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7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7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7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7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7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7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7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7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7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7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7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7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7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7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7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7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7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7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7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7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7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7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7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7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7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7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7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7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7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7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7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7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7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7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7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7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7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7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7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7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7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7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7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7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7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7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7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7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7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7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7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7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7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7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7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7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7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7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7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7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7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7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7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7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7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7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7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7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7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7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7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7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7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7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7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7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7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7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7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7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7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7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7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7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7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7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7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7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7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7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7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7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7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7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7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7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7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7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8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8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8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8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8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8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8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8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8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8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8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8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8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8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8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8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8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8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8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8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8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8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8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8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8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8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8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8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8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8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8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8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8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8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8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8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8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8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8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8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8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8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8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8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8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8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8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8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8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8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8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8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8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8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8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8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8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8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8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8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8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8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8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8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8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8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8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8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8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8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8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8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8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8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8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8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8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8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8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8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8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8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8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8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8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8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8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8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8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8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8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8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8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8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8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8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8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8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8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8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8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8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8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8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8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8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8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8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8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8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8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8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8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8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8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8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8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8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8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8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8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8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8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8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8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8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8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8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8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8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8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8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8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8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8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8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8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8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8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8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8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8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8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8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8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8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8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8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8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8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8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8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8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8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8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8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8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8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8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8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8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8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8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8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8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8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8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8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8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8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8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8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8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8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8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8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8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8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8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8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8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8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8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8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8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8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8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8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8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8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8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8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8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8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8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8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8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8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8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8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8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8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8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8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8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8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8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8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8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8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8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8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8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8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8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8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8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8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8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8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8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8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8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8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8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8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8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8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8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8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8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8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9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9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9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9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9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9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9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9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9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9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9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9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9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9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9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9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9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9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9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9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9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9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9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9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9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9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9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9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9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9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9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9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9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9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B2CF7-BD6B-4606-AFB2-CCFE85F2FFB5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59AF15-B533-4A32-A8A2-1C53E1C12304}" name="Table3" displayName="Table3" ref="A2:F7">
  <autoFilter ref="A2:F7" xr:uid="{7359AF15-B533-4A32-A8A2-1C53E1C123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7B873F2-AC31-4208-A07F-642DDF9C4A52}" name="Skill" totalsRowLabel="Total"/>
    <tableColumn id="2" xr3:uid="{EC65C1F5-68AD-409F-A0B5-FA1E5CC01162}" name="date started"/>
    <tableColumn id="3" xr3:uid="{95B2398E-80EF-477A-A779-0F0C8EA27AAD}" name="level"/>
    <tableColumn id="4" xr3:uid="{9015330F-514D-4154-84D2-9618EE0ED6FB}" name="difficulty" dataDxfId="7">
      <calculatedColumnFormula>Table3[[#This Row],[level]]*2</calculatedColumnFormula>
    </tableColumn>
    <tableColumn id="5" xr3:uid="{88B08466-C166-45BD-A4F5-70B84D713577}" name="skill &amp; level" dataDxfId="6">
      <calculatedColumnFormula>Table3[[#This Row],[Skill]] &amp; " - " &amp; Table3[[#This Row],[level]]</calculatedColumnFormula>
    </tableColumn>
    <tableColumn id="6" xr3:uid="{93E247D5-E63A-4915-93B5-BADED86F702E}" name="skill known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604D-DD7D-4121-ADBB-5245F5F4DEF3}">
  <dimension ref="A2:XFD17"/>
  <sheetViews>
    <sheetView workbookViewId="0">
      <selection activeCell="D33" sqref="D33"/>
    </sheetView>
  </sheetViews>
  <sheetFormatPr defaultRowHeight="14.4" x14ac:dyDescent="0.3"/>
  <cols>
    <col min="1" max="1" width="10.33203125" customWidth="1"/>
    <col min="2" max="2" width="18.33203125" bestFit="1" customWidth="1"/>
    <col min="3" max="4" width="10.33203125" customWidth="1"/>
    <col min="5" max="5" width="10.44140625" bestFit="1" customWidth="1"/>
    <col min="6" max="8" width="10.33203125" customWidth="1"/>
    <col min="15" max="15" width="10.77734375" customWidth="1"/>
  </cols>
  <sheetData>
    <row r="2" spans="1:1638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</v>
      </c>
      <c r="H2" t="str" cm="1">
        <f t="array" ref="H2:M7">Table3[#All]</f>
        <v>Skill</v>
      </c>
      <c r="I2" t="str">
        <v>date started</v>
      </c>
      <c r="J2" t="str">
        <v>level</v>
      </c>
      <c r="K2" t="str">
        <v>difficulty</v>
      </c>
      <c r="L2" t="str">
        <v>skill &amp; level</v>
      </c>
      <c r="M2" t="str">
        <v>skill known</v>
      </c>
    </row>
    <row r="3" spans="1:16384" x14ac:dyDescent="0.3">
      <c r="A3" t="s">
        <v>5</v>
      </c>
      <c r="B3" s="1">
        <v>46018</v>
      </c>
      <c r="C3">
        <v>3</v>
      </c>
      <c r="D3">
        <f>Table3[[#This Row],[level]]*2</f>
        <v>6</v>
      </c>
      <c r="E3" t="str">
        <f>Table3[[#This Row],[Skill]] &amp; " - " &amp; Table3[[#This Row],[level]]</f>
        <v>Excel - 3</v>
      </c>
      <c r="F3" t="b">
        <v>1</v>
      </c>
      <c r="H3" t="str">
        <v>Excel</v>
      </c>
      <c r="I3">
        <v>46018</v>
      </c>
      <c r="J3">
        <v>3</v>
      </c>
      <c r="K3">
        <v>6</v>
      </c>
      <c r="L3" t="str">
        <v>Excel - 3</v>
      </c>
      <c r="M3" t="b">
        <v>1</v>
      </c>
    </row>
    <row r="4" spans="1:16384" x14ac:dyDescent="0.3">
      <c r="A4" t="s">
        <v>6</v>
      </c>
      <c r="B4" s="1">
        <v>46019</v>
      </c>
      <c r="C4">
        <v>4</v>
      </c>
      <c r="D4">
        <f>Table3[[#This Row],[level]]*2</f>
        <v>8</v>
      </c>
      <c r="E4" t="str">
        <f>Table3[[#This Row],[Skill]] &amp; " - " &amp; Table3[[#This Row],[level]]</f>
        <v>Python - 4</v>
      </c>
      <c r="F4" t="b">
        <v>1</v>
      </c>
      <c r="H4" t="str">
        <v>Python</v>
      </c>
      <c r="I4">
        <v>46019</v>
      </c>
      <c r="J4">
        <v>4</v>
      </c>
      <c r="K4">
        <v>8</v>
      </c>
      <c r="L4" t="str">
        <v>Python - 4</v>
      </c>
      <c r="M4" t="b">
        <v>1</v>
      </c>
    </row>
    <row r="5" spans="1:16384" x14ac:dyDescent="0.3">
      <c r="A5" t="s">
        <v>7</v>
      </c>
      <c r="B5" s="1">
        <v>46020</v>
      </c>
      <c r="C5">
        <v>5</v>
      </c>
      <c r="D5">
        <f>Table3[[#This Row],[level]]*2</f>
        <v>10</v>
      </c>
      <c r="E5" t="str">
        <f>Table3[[#This Row],[Skill]] &amp; " - " &amp; Table3[[#This Row],[level]]</f>
        <v>SQl - 5</v>
      </c>
      <c r="F5" t="b">
        <v>1</v>
      </c>
      <c r="H5" t="str">
        <v>SQl</v>
      </c>
      <c r="I5">
        <v>46020</v>
      </c>
      <c r="J5">
        <v>5</v>
      </c>
      <c r="K5">
        <v>10</v>
      </c>
      <c r="L5" t="str">
        <v>SQl - 5</v>
      </c>
      <c r="M5" t="b">
        <v>1</v>
      </c>
    </row>
    <row r="6" spans="1:16384" x14ac:dyDescent="0.3">
      <c r="A6" t="s">
        <v>8</v>
      </c>
      <c r="B6" s="1">
        <v>46021</v>
      </c>
      <c r="C6">
        <v>2</v>
      </c>
      <c r="D6">
        <f>Table3[[#This Row],[level]]*2</f>
        <v>4</v>
      </c>
      <c r="E6" t="str">
        <f>Table3[[#This Row],[Skill]] &amp; " - " &amp; Table3[[#This Row],[level]]</f>
        <v>PowerBI - 2</v>
      </c>
      <c r="F6" t="b">
        <v>0</v>
      </c>
      <c r="H6" t="str">
        <v>PowerBI</v>
      </c>
      <c r="I6">
        <v>46021</v>
      </c>
      <c r="J6">
        <v>2</v>
      </c>
      <c r="K6">
        <v>4</v>
      </c>
      <c r="L6" t="str">
        <v>PowerBI - 2</v>
      </c>
      <c r="M6" t="b">
        <v>0</v>
      </c>
    </row>
    <row r="7" spans="1:16384" x14ac:dyDescent="0.3">
      <c r="A7" t="s">
        <v>9</v>
      </c>
      <c r="B7" s="1">
        <v>46022</v>
      </c>
      <c r="C7">
        <v>3</v>
      </c>
      <c r="D7">
        <f>Table3[[#This Row],[level]]*2</f>
        <v>6</v>
      </c>
      <c r="E7" t="str">
        <f>Table3[[#This Row],[Skill]] &amp; " - " &amp; Table3[[#This Row],[level]]</f>
        <v>Tableau - 3</v>
      </c>
      <c r="F7" t="b">
        <v>0</v>
      </c>
      <c r="H7" t="str">
        <v>Tableau</v>
      </c>
      <c r="I7">
        <v>46022</v>
      </c>
      <c r="J7">
        <v>3</v>
      </c>
      <c r="K7">
        <v>6</v>
      </c>
      <c r="L7" t="str">
        <v>Tableau - 3</v>
      </c>
      <c r="M7" t="b">
        <v>0</v>
      </c>
    </row>
    <row r="9" spans="1:16384" x14ac:dyDescent="0.3">
      <c r="C9">
        <f>AVERAGE(Table3[level])</f>
        <v>3.4</v>
      </c>
    </row>
    <row r="10" spans="1:16384" x14ac:dyDescent="0.3">
      <c r="B10" s="2">
        <v>1</v>
      </c>
    </row>
    <row r="11" spans="1:16384" x14ac:dyDescent="0.3">
      <c r="G11" t="s">
        <v>6402</v>
      </c>
    </row>
    <row r="16" spans="1:16384" x14ac:dyDescent="0.3">
      <c r="A16" t="str" cm="1">
        <f t="array" ref="A16:XFD17">5:6</f>
        <v>SQl</v>
      </c>
      <c r="B16">
        <v>46020</v>
      </c>
      <c r="C16">
        <v>5</v>
      </c>
      <c r="D16">
        <v>10</v>
      </c>
      <c r="E16" t="str">
        <v>SQl - 5</v>
      </c>
      <c r="F16" t="b">
        <v>1</v>
      </c>
      <c r="G16">
        <v>0</v>
      </c>
      <c r="H16" t="str">
        <v>SQl</v>
      </c>
      <c r="I16">
        <v>46020</v>
      </c>
      <c r="J16">
        <v>5</v>
      </c>
      <c r="K16">
        <v>10</v>
      </c>
      <c r="L16" t="str">
        <v>SQl - 5</v>
      </c>
      <c r="M16" t="b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0</v>
      </c>
      <c r="GKH16">
        <v>0</v>
      </c>
      <c r="GKI16">
        <v>0</v>
      </c>
      <c r="GKJ16">
        <v>0</v>
      </c>
      <c r="GKK16">
        <v>0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</v>
      </c>
      <c r="GKT16">
        <v>0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>
        <v>0</v>
      </c>
      <c r="GLK16">
        <v>0</v>
      </c>
      <c r="GLL16">
        <v>0</v>
      </c>
      <c r="GLM16">
        <v>0</v>
      </c>
      <c r="GLN16">
        <v>0</v>
      </c>
      <c r="GLO16">
        <v>0</v>
      </c>
      <c r="GLP16">
        <v>0</v>
      </c>
      <c r="GLQ16">
        <v>0</v>
      </c>
      <c r="GLR16">
        <v>0</v>
      </c>
      <c r="GLS16">
        <v>0</v>
      </c>
      <c r="GLT16">
        <v>0</v>
      </c>
      <c r="GLU16">
        <v>0</v>
      </c>
      <c r="GLV16">
        <v>0</v>
      </c>
      <c r="GLW16">
        <v>0</v>
      </c>
      <c r="GLX16">
        <v>0</v>
      </c>
      <c r="GLY16">
        <v>0</v>
      </c>
      <c r="GLZ16">
        <v>0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0</v>
      </c>
      <c r="GMJ16">
        <v>0</v>
      </c>
      <c r="GMK16">
        <v>0</v>
      </c>
      <c r="GML16">
        <v>0</v>
      </c>
      <c r="GMM16">
        <v>0</v>
      </c>
      <c r="GMN16">
        <v>0</v>
      </c>
      <c r="GMO16">
        <v>0</v>
      </c>
      <c r="GMP16">
        <v>0</v>
      </c>
      <c r="GMQ16">
        <v>0</v>
      </c>
      <c r="GMR16">
        <v>0</v>
      </c>
      <c r="GMS16">
        <v>0</v>
      </c>
      <c r="GMT16">
        <v>0</v>
      </c>
      <c r="GMU16">
        <v>0</v>
      </c>
      <c r="GMV16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0</v>
      </c>
      <c r="GPB16">
        <v>0</v>
      </c>
      <c r="GPC16">
        <v>0</v>
      </c>
      <c r="GPD16">
        <v>0</v>
      </c>
      <c r="GPE16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0</v>
      </c>
      <c r="GUB16">
        <v>0</v>
      </c>
      <c r="GUC16">
        <v>0</v>
      </c>
      <c r="GUD16">
        <v>0</v>
      </c>
      <c r="GUE16">
        <v>0</v>
      </c>
      <c r="GUF16">
        <v>0</v>
      </c>
      <c r="GUG16">
        <v>0</v>
      </c>
      <c r="GUH16">
        <v>0</v>
      </c>
      <c r="GUI16">
        <v>0</v>
      </c>
      <c r="GUJ16">
        <v>0</v>
      </c>
      <c r="GUK16">
        <v>0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0</v>
      </c>
      <c r="GVA16">
        <v>0</v>
      </c>
      <c r="GVB16">
        <v>0</v>
      </c>
      <c r="GVC16">
        <v>0</v>
      </c>
      <c r="GVD16">
        <v>0</v>
      </c>
      <c r="GVE16">
        <v>0</v>
      </c>
      <c r="GVF16">
        <v>0</v>
      </c>
      <c r="GVG16">
        <v>0</v>
      </c>
      <c r="GVH16">
        <v>0</v>
      </c>
      <c r="GVI16">
        <v>0</v>
      </c>
      <c r="GVJ16">
        <v>0</v>
      </c>
      <c r="GVK16">
        <v>0</v>
      </c>
      <c r="GVL16">
        <v>0</v>
      </c>
      <c r="GVM16">
        <v>0</v>
      </c>
      <c r="GVN16">
        <v>0</v>
      </c>
      <c r="GVO16">
        <v>0</v>
      </c>
      <c r="GVP16">
        <v>0</v>
      </c>
      <c r="GVQ16">
        <v>0</v>
      </c>
      <c r="GVR16">
        <v>0</v>
      </c>
      <c r="GVS16">
        <v>0</v>
      </c>
      <c r="GVT16">
        <v>0</v>
      </c>
      <c r="GVU16">
        <v>0</v>
      </c>
      <c r="GVV16">
        <v>0</v>
      </c>
      <c r="GVW16">
        <v>0</v>
      </c>
      <c r="GVX16">
        <v>0</v>
      </c>
      <c r="GVY16">
        <v>0</v>
      </c>
      <c r="GVZ16">
        <v>0</v>
      </c>
      <c r="GWA16">
        <v>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0</v>
      </c>
      <c r="GWI16">
        <v>0</v>
      </c>
      <c r="GWJ16">
        <v>0</v>
      </c>
      <c r="GWK16">
        <v>0</v>
      </c>
      <c r="GWL16">
        <v>0</v>
      </c>
      <c r="GWM16">
        <v>0</v>
      </c>
      <c r="GWN16">
        <v>0</v>
      </c>
      <c r="GWO16">
        <v>0</v>
      </c>
      <c r="GWP16">
        <v>0</v>
      </c>
      <c r="GWQ16">
        <v>0</v>
      </c>
      <c r="GWR16">
        <v>0</v>
      </c>
      <c r="GWS16">
        <v>0</v>
      </c>
      <c r="GWT16">
        <v>0</v>
      </c>
      <c r="GWU16">
        <v>0</v>
      </c>
      <c r="GWV16">
        <v>0</v>
      </c>
      <c r="GWW16">
        <v>0</v>
      </c>
      <c r="GWX16">
        <v>0</v>
      </c>
      <c r="GWY16">
        <v>0</v>
      </c>
      <c r="GWZ16">
        <v>0</v>
      </c>
      <c r="GXA16">
        <v>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0</v>
      </c>
      <c r="GXL16">
        <v>0</v>
      </c>
      <c r="GXM16">
        <v>0</v>
      </c>
      <c r="GXN16">
        <v>0</v>
      </c>
      <c r="GXO16">
        <v>0</v>
      </c>
      <c r="GXP16">
        <v>0</v>
      </c>
      <c r="GXQ16">
        <v>0</v>
      </c>
      <c r="GXR16">
        <v>0</v>
      </c>
      <c r="GXS16">
        <v>0</v>
      </c>
      <c r="GXT16">
        <v>0</v>
      </c>
      <c r="GXU16">
        <v>0</v>
      </c>
      <c r="GXV16">
        <v>0</v>
      </c>
      <c r="GXW16">
        <v>0</v>
      </c>
      <c r="GXX16">
        <v>0</v>
      </c>
      <c r="GXY16">
        <v>0</v>
      </c>
      <c r="GXZ16">
        <v>0</v>
      </c>
      <c r="GYA16">
        <v>0</v>
      </c>
      <c r="GYB16">
        <v>0</v>
      </c>
      <c r="GYC16">
        <v>0</v>
      </c>
      <c r="GYD16">
        <v>0</v>
      </c>
      <c r="GYE16">
        <v>0</v>
      </c>
      <c r="GYF16">
        <v>0</v>
      </c>
      <c r="GYG16">
        <v>0</v>
      </c>
      <c r="GYH16">
        <v>0</v>
      </c>
      <c r="GYI16">
        <v>0</v>
      </c>
      <c r="GYJ16">
        <v>0</v>
      </c>
      <c r="GYK16">
        <v>0</v>
      </c>
      <c r="GYL16">
        <v>0</v>
      </c>
      <c r="GYM16">
        <v>0</v>
      </c>
      <c r="GYN16">
        <v>0</v>
      </c>
      <c r="GYO16">
        <v>0</v>
      </c>
      <c r="GYP16">
        <v>0</v>
      </c>
      <c r="GYQ16">
        <v>0</v>
      </c>
      <c r="GYR16">
        <v>0</v>
      </c>
      <c r="GYS16">
        <v>0</v>
      </c>
      <c r="GYT16">
        <v>0</v>
      </c>
      <c r="GYU16">
        <v>0</v>
      </c>
      <c r="GYV16">
        <v>0</v>
      </c>
      <c r="GYW16">
        <v>0</v>
      </c>
      <c r="GYX16">
        <v>0</v>
      </c>
      <c r="GYY16">
        <v>0</v>
      </c>
      <c r="GYZ16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>
        <v>0</v>
      </c>
      <c r="GZH16">
        <v>0</v>
      </c>
      <c r="GZI16">
        <v>0</v>
      </c>
      <c r="GZJ16">
        <v>0</v>
      </c>
      <c r="GZK16">
        <v>0</v>
      </c>
      <c r="GZL16">
        <v>0</v>
      </c>
      <c r="GZM16">
        <v>0</v>
      </c>
      <c r="GZN16">
        <v>0</v>
      </c>
      <c r="GZO16">
        <v>0</v>
      </c>
      <c r="GZP16">
        <v>0</v>
      </c>
      <c r="GZQ16">
        <v>0</v>
      </c>
      <c r="GZR16">
        <v>0</v>
      </c>
      <c r="GZS16">
        <v>0</v>
      </c>
      <c r="GZT16">
        <v>0</v>
      </c>
      <c r="GZU16">
        <v>0</v>
      </c>
      <c r="GZV16">
        <v>0</v>
      </c>
      <c r="GZW16">
        <v>0</v>
      </c>
      <c r="GZX16">
        <v>0</v>
      </c>
      <c r="GZY16">
        <v>0</v>
      </c>
      <c r="GZZ16">
        <v>0</v>
      </c>
      <c r="HAA16">
        <v>0</v>
      </c>
      <c r="HAB16">
        <v>0</v>
      </c>
      <c r="HAC16">
        <v>0</v>
      </c>
      <c r="HAD16">
        <v>0</v>
      </c>
      <c r="HAE16">
        <v>0</v>
      </c>
      <c r="HAF16">
        <v>0</v>
      </c>
      <c r="HAG16">
        <v>0</v>
      </c>
      <c r="HAH16">
        <v>0</v>
      </c>
      <c r="HAI16">
        <v>0</v>
      </c>
      <c r="HAJ16">
        <v>0</v>
      </c>
      <c r="HAK16">
        <v>0</v>
      </c>
      <c r="HAL16">
        <v>0</v>
      </c>
      <c r="HAM16">
        <v>0</v>
      </c>
      <c r="HAN16">
        <v>0</v>
      </c>
      <c r="HAO16">
        <v>0</v>
      </c>
      <c r="HAP16">
        <v>0</v>
      </c>
      <c r="HAQ16">
        <v>0</v>
      </c>
      <c r="HAR16">
        <v>0</v>
      </c>
      <c r="HAS16">
        <v>0</v>
      </c>
      <c r="HAT16">
        <v>0</v>
      </c>
      <c r="HAU16">
        <v>0</v>
      </c>
      <c r="HAV16">
        <v>0</v>
      </c>
      <c r="HAW16">
        <v>0</v>
      </c>
      <c r="HAX16">
        <v>0</v>
      </c>
      <c r="HAY16">
        <v>0</v>
      </c>
      <c r="HAZ16">
        <v>0</v>
      </c>
      <c r="HBA16">
        <v>0</v>
      </c>
      <c r="HBB16">
        <v>0</v>
      </c>
      <c r="HBC16">
        <v>0</v>
      </c>
      <c r="HBD16">
        <v>0</v>
      </c>
      <c r="HBE16">
        <v>0</v>
      </c>
      <c r="HBF16">
        <v>0</v>
      </c>
      <c r="HBG16">
        <v>0</v>
      </c>
      <c r="HBH16">
        <v>0</v>
      </c>
      <c r="HBI16">
        <v>0</v>
      </c>
      <c r="HBJ16">
        <v>0</v>
      </c>
      <c r="HBK16">
        <v>0</v>
      </c>
      <c r="HBL16">
        <v>0</v>
      </c>
      <c r="HBM16">
        <v>0</v>
      </c>
      <c r="HBN16">
        <v>0</v>
      </c>
      <c r="HBO16">
        <v>0</v>
      </c>
      <c r="HBP16">
        <v>0</v>
      </c>
      <c r="HBQ16">
        <v>0</v>
      </c>
      <c r="HBR16">
        <v>0</v>
      </c>
      <c r="HBS16">
        <v>0</v>
      </c>
      <c r="HBT16">
        <v>0</v>
      </c>
      <c r="HBU16">
        <v>0</v>
      </c>
      <c r="HBV16">
        <v>0</v>
      </c>
      <c r="HBW16">
        <v>0</v>
      </c>
      <c r="HBX16">
        <v>0</v>
      </c>
      <c r="HBY16">
        <v>0</v>
      </c>
      <c r="HBZ16">
        <v>0</v>
      </c>
      <c r="HCA16">
        <v>0</v>
      </c>
      <c r="HCB16">
        <v>0</v>
      </c>
      <c r="HCC16">
        <v>0</v>
      </c>
      <c r="HCD16">
        <v>0</v>
      </c>
      <c r="HCE16">
        <v>0</v>
      </c>
      <c r="HCF16">
        <v>0</v>
      </c>
      <c r="HCG16">
        <v>0</v>
      </c>
      <c r="HCH16">
        <v>0</v>
      </c>
      <c r="HCI16">
        <v>0</v>
      </c>
      <c r="HCJ16">
        <v>0</v>
      </c>
      <c r="HCK16">
        <v>0</v>
      </c>
      <c r="HCL16">
        <v>0</v>
      </c>
      <c r="HCM16">
        <v>0</v>
      </c>
      <c r="HCN16">
        <v>0</v>
      </c>
      <c r="HCO16">
        <v>0</v>
      </c>
      <c r="HCP16">
        <v>0</v>
      </c>
      <c r="HCQ16">
        <v>0</v>
      </c>
      <c r="HCR16">
        <v>0</v>
      </c>
      <c r="HCS16">
        <v>0</v>
      </c>
      <c r="HCT16">
        <v>0</v>
      </c>
      <c r="HCU16">
        <v>0</v>
      </c>
      <c r="HCV16">
        <v>0</v>
      </c>
      <c r="HCW16">
        <v>0</v>
      </c>
      <c r="HCX16">
        <v>0</v>
      </c>
      <c r="HCY16">
        <v>0</v>
      </c>
      <c r="HCZ16">
        <v>0</v>
      </c>
      <c r="HDA16">
        <v>0</v>
      </c>
      <c r="HDB16">
        <v>0</v>
      </c>
      <c r="HDC16">
        <v>0</v>
      </c>
      <c r="HDD16">
        <v>0</v>
      </c>
      <c r="HDE16">
        <v>0</v>
      </c>
      <c r="HDF16">
        <v>0</v>
      </c>
      <c r="HDG16">
        <v>0</v>
      </c>
      <c r="HDH16">
        <v>0</v>
      </c>
      <c r="HDI16">
        <v>0</v>
      </c>
      <c r="HDJ16">
        <v>0</v>
      </c>
      <c r="HDK16">
        <v>0</v>
      </c>
      <c r="HDL16">
        <v>0</v>
      </c>
      <c r="HDM16">
        <v>0</v>
      </c>
      <c r="HDN16">
        <v>0</v>
      </c>
      <c r="HDO16">
        <v>0</v>
      </c>
      <c r="HDP16">
        <v>0</v>
      </c>
      <c r="HDQ16">
        <v>0</v>
      </c>
      <c r="HDR16">
        <v>0</v>
      </c>
      <c r="HDS16">
        <v>0</v>
      </c>
      <c r="HDT16">
        <v>0</v>
      </c>
      <c r="HDU16">
        <v>0</v>
      </c>
      <c r="HDV16">
        <v>0</v>
      </c>
      <c r="HDW16">
        <v>0</v>
      </c>
      <c r="HDX16">
        <v>0</v>
      </c>
      <c r="HDY16">
        <v>0</v>
      </c>
      <c r="HDZ16">
        <v>0</v>
      </c>
      <c r="HEA16">
        <v>0</v>
      </c>
      <c r="HEB16">
        <v>0</v>
      </c>
      <c r="HEC16">
        <v>0</v>
      </c>
      <c r="HED16">
        <v>0</v>
      </c>
      <c r="HEE16">
        <v>0</v>
      </c>
      <c r="HEF16">
        <v>0</v>
      </c>
      <c r="HEG16">
        <v>0</v>
      </c>
      <c r="HEH16">
        <v>0</v>
      </c>
      <c r="HEI16">
        <v>0</v>
      </c>
      <c r="HEJ16">
        <v>0</v>
      </c>
      <c r="HEK16">
        <v>0</v>
      </c>
      <c r="HEL16">
        <v>0</v>
      </c>
      <c r="HEM16">
        <v>0</v>
      </c>
      <c r="HEN16">
        <v>0</v>
      </c>
      <c r="HEO16">
        <v>0</v>
      </c>
      <c r="HEP16">
        <v>0</v>
      </c>
      <c r="HEQ16">
        <v>0</v>
      </c>
      <c r="HER16">
        <v>0</v>
      </c>
      <c r="HES16">
        <v>0</v>
      </c>
      <c r="HET16">
        <v>0</v>
      </c>
      <c r="HEU16">
        <v>0</v>
      </c>
      <c r="HEV16">
        <v>0</v>
      </c>
      <c r="HEW16">
        <v>0</v>
      </c>
      <c r="HEX16">
        <v>0</v>
      </c>
      <c r="HEY16">
        <v>0</v>
      </c>
      <c r="HEZ16">
        <v>0</v>
      </c>
      <c r="HFA16">
        <v>0</v>
      </c>
      <c r="HFB16">
        <v>0</v>
      </c>
      <c r="HFC16">
        <v>0</v>
      </c>
      <c r="HFD16">
        <v>0</v>
      </c>
      <c r="HFE16">
        <v>0</v>
      </c>
      <c r="HFF16">
        <v>0</v>
      </c>
      <c r="HFG16">
        <v>0</v>
      </c>
      <c r="HFH16">
        <v>0</v>
      </c>
      <c r="HFI16">
        <v>0</v>
      </c>
      <c r="HFJ16">
        <v>0</v>
      </c>
      <c r="HFK16">
        <v>0</v>
      </c>
      <c r="HFL16">
        <v>0</v>
      </c>
      <c r="HFM16">
        <v>0</v>
      </c>
      <c r="HFN16">
        <v>0</v>
      </c>
      <c r="HFO16">
        <v>0</v>
      </c>
      <c r="HFP16">
        <v>0</v>
      </c>
      <c r="HFQ16">
        <v>0</v>
      </c>
      <c r="HFR16">
        <v>0</v>
      </c>
      <c r="HFS16">
        <v>0</v>
      </c>
      <c r="HFT16">
        <v>0</v>
      </c>
      <c r="HFU16">
        <v>0</v>
      </c>
      <c r="HFV16">
        <v>0</v>
      </c>
      <c r="HFW16">
        <v>0</v>
      </c>
      <c r="HFX16">
        <v>0</v>
      </c>
      <c r="HFY16">
        <v>0</v>
      </c>
      <c r="HFZ16">
        <v>0</v>
      </c>
      <c r="HGA16">
        <v>0</v>
      </c>
      <c r="HGB16">
        <v>0</v>
      </c>
      <c r="HGC16">
        <v>0</v>
      </c>
      <c r="HGD16">
        <v>0</v>
      </c>
      <c r="HGE16">
        <v>0</v>
      </c>
      <c r="HGF16">
        <v>0</v>
      </c>
      <c r="HGG16">
        <v>0</v>
      </c>
      <c r="HGH16">
        <v>0</v>
      </c>
      <c r="HGI16">
        <v>0</v>
      </c>
      <c r="HGJ16">
        <v>0</v>
      </c>
      <c r="HGK16">
        <v>0</v>
      </c>
      <c r="HGL16">
        <v>0</v>
      </c>
      <c r="HGM16">
        <v>0</v>
      </c>
      <c r="HGN16">
        <v>0</v>
      </c>
      <c r="HGO16">
        <v>0</v>
      </c>
      <c r="HGP16">
        <v>0</v>
      </c>
      <c r="HGQ16">
        <v>0</v>
      </c>
      <c r="HGR16">
        <v>0</v>
      </c>
      <c r="HGS16">
        <v>0</v>
      </c>
      <c r="HGT16">
        <v>0</v>
      </c>
      <c r="HGU16">
        <v>0</v>
      </c>
      <c r="HGV16">
        <v>0</v>
      </c>
      <c r="HGW16">
        <v>0</v>
      </c>
      <c r="HGX16">
        <v>0</v>
      </c>
      <c r="HGY16">
        <v>0</v>
      </c>
      <c r="HGZ16">
        <v>0</v>
      </c>
      <c r="HHA16">
        <v>0</v>
      </c>
      <c r="HHB16">
        <v>0</v>
      </c>
      <c r="HHC16">
        <v>0</v>
      </c>
      <c r="HHD16">
        <v>0</v>
      </c>
      <c r="HHE16">
        <v>0</v>
      </c>
      <c r="HHF16">
        <v>0</v>
      </c>
      <c r="HHG16">
        <v>0</v>
      </c>
      <c r="HHH16">
        <v>0</v>
      </c>
      <c r="HHI16">
        <v>0</v>
      </c>
      <c r="HHJ16">
        <v>0</v>
      </c>
      <c r="HHK16">
        <v>0</v>
      </c>
      <c r="HHL16">
        <v>0</v>
      </c>
      <c r="HHM16">
        <v>0</v>
      </c>
      <c r="HHN16">
        <v>0</v>
      </c>
      <c r="HHO16">
        <v>0</v>
      </c>
      <c r="HHP16">
        <v>0</v>
      </c>
      <c r="HHQ16">
        <v>0</v>
      </c>
      <c r="HHR16">
        <v>0</v>
      </c>
      <c r="HHS16">
        <v>0</v>
      </c>
      <c r="HHT16">
        <v>0</v>
      </c>
      <c r="HHU16">
        <v>0</v>
      </c>
      <c r="HHV16">
        <v>0</v>
      </c>
      <c r="HHW16">
        <v>0</v>
      </c>
      <c r="HHX16">
        <v>0</v>
      </c>
      <c r="HHY16">
        <v>0</v>
      </c>
      <c r="HHZ16">
        <v>0</v>
      </c>
      <c r="HIA16">
        <v>0</v>
      </c>
      <c r="HIB16">
        <v>0</v>
      </c>
      <c r="HIC16">
        <v>0</v>
      </c>
      <c r="HID16">
        <v>0</v>
      </c>
      <c r="HIE16">
        <v>0</v>
      </c>
      <c r="HIF16">
        <v>0</v>
      </c>
      <c r="HIG16">
        <v>0</v>
      </c>
      <c r="HIH16">
        <v>0</v>
      </c>
      <c r="HII16">
        <v>0</v>
      </c>
      <c r="HIJ16">
        <v>0</v>
      </c>
      <c r="HIK16">
        <v>0</v>
      </c>
      <c r="HIL16">
        <v>0</v>
      </c>
      <c r="HIM16">
        <v>0</v>
      </c>
      <c r="HIN16">
        <v>0</v>
      </c>
      <c r="HIO16">
        <v>0</v>
      </c>
      <c r="HIP16">
        <v>0</v>
      </c>
      <c r="HIQ16">
        <v>0</v>
      </c>
      <c r="HIR16">
        <v>0</v>
      </c>
      <c r="HIS16">
        <v>0</v>
      </c>
      <c r="HIT16">
        <v>0</v>
      </c>
      <c r="HIU16">
        <v>0</v>
      </c>
      <c r="HIV16">
        <v>0</v>
      </c>
      <c r="HIW16">
        <v>0</v>
      </c>
      <c r="HIX16">
        <v>0</v>
      </c>
      <c r="HIY16">
        <v>0</v>
      </c>
      <c r="HIZ16">
        <v>0</v>
      </c>
      <c r="HJA16">
        <v>0</v>
      </c>
      <c r="HJB16">
        <v>0</v>
      </c>
      <c r="HJC16">
        <v>0</v>
      </c>
      <c r="HJD16">
        <v>0</v>
      </c>
      <c r="HJE16">
        <v>0</v>
      </c>
      <c r="HJF16">
        <v>0</v>
      </c>
      <c r="HJG16">
        <v>0</v>
      </c>
      <c r="HJH16">
        <v>0</v>
      </c>
      <c r="HJI16">
        <v>0</v>
      </c>
      <c r="HJJ16">
        <v>0</v>
      </c>
      <c r="HJK16">
        <v>0</v>
      </c>
      <c r="HJL16">
        <v>0</v>
      </c>
      <c r="HJM16">
        <v>0</v>
      </c>
      <c r="HJN16">
        <v>0</v>
      </c>
      <c r="HJO16">
        <v>0</v>
      </c>
      <c r="HJP16">
        <v>0</v>
      </c>
      <c r="HJQ16">
        <v>0</v>
      </c>
      <c r="HJR16">
        <v>0</v>
      </c>
      <c r="HJS16">
        <v>0</v>
      </c>
      <c r="HJT16">
        <v>0</v>
      </c>
      <c r="HJU16">
        <v>0</v>
      </c>
      <c r="HJV16">
        <v>0</v>
      </c>
      <c r="HJW16">
        <v>0</v>
      </c>
      <c r="HJX16">
        <v>0</v>
      </c>
      <c r="HJY16">
        <v>0</v>
      </c>
      <c r="HJZ16">
        <v>0</v>
      </c>
      <c r="HKA16">
        <v>0</v>
      </c>
      <c r="HKB16">
        <v>0</v>
      </c>
      <c r="HKC16">
        <v>0</v>
      </c>
      <c r="HKD16">
        <v>0</v>
      </c>
      <c r="HKE16">
        <v>0</v>
      </c>
      <c r="HKF16">
        <v>0</v>
      </c>
      <c r="HKG16">
        <v>0</v>
      </c>
      <c r="HKH16">
        <v>0</v>
      </c>
      <c r="HKI16">
        <v>0</v>
      </c>
      <c r="HKJ16">
        <v>0</v>
      </c>
      <c r="HKK16">
        <v>0</v>
      </c>
      <c r="HKL16">
        <v>0</v>
      </c>
      <c r="HKM16">
        <v>0</v>
      </c>
      <c r="HKN16">
        <v>0</v>
      </c>
      <c r="HKO16">
        <v>0</v>
      </c>
      <c r="HKP16">
        <v>0</v>
      </c>
      <c r="HKQ16">
        <v>0</v>
      </c>
      <c r="HKR16">
        <v>0</v>
      </c>
      <c r="HKS16">
        <v>0</v>
      </c>
      <c r="HKT16">
        <v>0</v>
      </c>
      <c r="HKU16">
        <v>0</v>
      </c>
      <c r="HKV16">
        <v>0</v>
      </c>
      <c r="HKW16">
        <v>0</v>
      </c>
      <c r="HKX16">
        <v>0</v>
      </c>
      <c r="HKY16">
        <v>0</v>
      </c>
      <c r="HKZ16">
        <v>0</v>
      </c>
      <c r="HLA16">
        <v>0</v>
      </c>
      <c r="HLB16">
        <v>0</v>
      </c>
      <c r="HLC16">
        <v>0</v>
      </c>
      <c r="HLD16">
        <v>0</v>
      </c>
      <c r="HLE16">
        <v>0</v>
      </c>
      <c r="HLF16">
        <v>0</v>
      </c>
      <c r="HLG16">
        <v>0</v>
      </c>
      <c r="HLH16">
        <v>0</v>
      </c>
      <c r="HLI16">
        <v>0</v>
      </c>
      <c r="HLJ16">
        <v>0</v>
      </c>
      <c r="HLK16">
        <v>0</v>
      </c>
      <c r="HLL16">
        <v>0</v>
      </c>
      <c r="HLM16">
        <v>0</v>
      </c>
      <c r="HLN16">
        <v>0</v>
      </c>
      <c r="HLO16">
        <v>0</v>
      </c>
      <c r="HLP16">
        <v>0</v>
      </c>
      <c r="HLQ16">
        <v>0</v>
      </c>
      <c r="HLR16">
        <v>0</v>
      </c>
      <c r="HLS16">
        <v>0</v>
      </c>
      <c r="HLT16">
        <v>0</v>
      </c>
      <c r="HLU16">
        <v>0</v>
      </c>
      <c r="HLV16">
        <v>0</v>
      </c>
      <c r="HLW16">
        <v>0</v>
      </c>
      <c r="HLX16">
        <v>0</v>
      </c>
      <c r="HLY16">
        <v>0</v>
      </c>
      <c r="HLZ16">
        <v>0</v>
      </c>
      <c r="HMA16">
        <v>0</v>
      </c>
      <c r="HMB16">
        <v>0</v>
      </c>
      <c r="HMC16">
        <v>0</v>
      </c>
      <c r="HMD16">
        <v>0</v>
      </c>
      <c r="HME16">
        <v>0</v>
      </c>
      <c r="HMF16">
        <v>0</v>
      </c>
      <c r="HMG16">
        <v>0</v>
      </c>
      <c r="HMH16">
        <v>0</v>
      </c>
      <c r="HMI16">
        <v>0</v>
      </c>
      <c r="HMJ16">
        <v>0</v>
      </c>
      <c r="HMK16">
        <v>0</v>
      </c>
      <c r="HML16">
        <v>0</v>
      </c>
      <c r="HMM16">
        <v>0</v>
      </c>
      <c r="HMN16">
        <v>0</v>
      </c>
      <c r="HMO16">
        <v>0</v>
      </c>
      <c r="HMP16">
        <v>0</v>
      </c>
      <c r="HMQ16">
        <v>0</v>
      </c>
      <c r="HMR16">
        <v>0</v>
      </c>
      <c r="HMS16">
        <v>0</v>
      </c>
      <c r="HMT16">
        <v>0</v>
      </c>
      <c r="HMU16">
        <v>0</v>
      </c>
      <c r="HMV16">
        <v>0</v>
      </c>
      <c r="HMW16">
        <v>0</v>
      </c>
      <c r="HMX16">
        <v>0</v>
      </c>
      <c r="HMY16">
        <v>0</v>
      </c>
      <c r="HMZ16">
        <v>0</v>
      </c>
      <c r="HNA16">
        <v>0</v>
      </c>
      <c r="HNB16">
        <v>0</v>
      </c>
      <c r="HNC16">
        <v>0</v>
      </c>
      <c r="HND16">
        <v>0</v>
      </c>
      <c r="HNE16">
        <v>0</v>
      </c>
      <c r="HNF16">
        <v>0</v>
      </c>
      <c r="HNG16">
        <v>0</v>
      </c>
      <c r="HNH16">
        <v>0</v>
      </c>
      <c r="HNI16">
        <v>0</v>
      </c>
      <c r="HNJ16">
        <v>0</v>
      </c>
      <c r="HNK16">
        <v>0</v>
      </c>
      <c r="HNL16">
        <v>0</v>
      </c>
      <c r="HNM16">
        <v>0</v>
      </c>
      <c r="HNN16">
        <v>0</v>
      </c>
      <c r="HNO16">
        <v>0</v>
      </c>
      <c r="HNP16">
        <v>0</v>
      </c>
      <c r="HNQ16">
        <v>0</v>
      </c>
      <c r="HNR16">
        <v>0</v>
      </c>
      <c r="HNS16">
        <v>0</v>
      </c>
      <c r="HNT16">
        <v>0</v>
      </c>
      <c r="HNU16">
        <v>0</v>
      </c>
      <c r="HNV16">
        <v>0</v>
      </c>
      <c r="HNW16">
        <v>0</v>
      </c>
      <c r="HNX16">
        <v>0</v>
      </c>
      <c r="HNY16">
        <v>0</v>
      </c>
      <c r="HNZ16">
        <v>0</v>
      </c>
      <c r="HOA16">
        <v>0</v>
      </c>
      <c r="HOB16">
        <v>0</v>
      </c>
      <c r="HOC16">
        <v>0</v>
      </c>
      <c r="HOD16">
        <v>0</v>
      </c>
      <c r="HOE16">
        <v>0</v>
      </c>
      <c r="HOF16">
        <v>0</v>
      </c>
      <c r="HOG16">
        <v>0</v>
      </c>
      <c r="HOH16">
        <v>0</v>
      </c>
      <c r="HOI16">
        <v>0</v>
      </c>
      <c r="HOJ16">
        <v>0</v>
      </c>
      <c r="HOK16">
        <v>0</v>
      </c>
      <c r="HOL16">
        <v>0</v>
      </c>
      <c r="HOM16">
        <v>0</v>
      </c>
      <c r="HON16">
        <v>0</v>
      </c>
      <c r="HOO16">
        <v>0</v>
      </c>
      <c r="HOP16">
        <v>0</v>
      </c>
      <c r="HOQ16">
        <v>0</v>
      </c>
      <c r="HOR16">
        <v>0</v>
      </c>
      <c r="HOS16">
        <v>0</v>
      </c>
      <c r="HOT16">
        <v>0</v>
      </c>
      <c r="HOU16">
        <v>0</v>
      </c>
      <c r="HOV16">
        <v>0</v>
      </c>
      <c r="HOW16">
        <v>0</v>
      </c>
      <c r="HOX16">
        <v>0</v>
      </c>
      <c r="HOY16">
        <v>0</v>
      </c>
      <c r="HOZ16">
        <v>0</v>
      </c>
      <c r="HPA16">
        <v>0</v>
      </c>
      <c r="HPB16">
        <v>0</v>
      </c>
      <c r="HPC16">
        <v>0</v>
      </c>
      <c r="HPD16">
        <v>0</v>
      </c>
      <c r="HPE16">
        <v>0</v>
      </c>
      <c r="HPF16">
        <v>0</v>
      </c>
      <c r="HPG16">
        <v>0</v>
      </c>
      <c r="HPH16">
        <v>0</v>
      </c>
      <c r="HPI16">
        <v>0</v>
      </c>
      <c r="HPJ16">
        <v>0</v>
      </c>
      <c r="HPK16">
        <v>0</v>
      </c>
      <c r="HPL16">
        <v>0</v>
      </c>
      <c r="HPM16">
        <v>0</v>
      </c>
      <c r="HPN16">
        <v>0</v>
      </c>
      <c r="HPO16">
        <v>0</v>
      </c>
      <c r="HPP16">
        <v>0</v>
      </c>
      <c r="HPQ16">
        <v>0</v>
      </c>
      <c r="HPR16">
        <v>0</v>
      </c>
      <c r="HPS16">
        <v>0</v>
      </c>
      <c r="HPT16">
        <v>0</v>
      </c>
      <c r="HPU16">
        <v>0</v>
      </c>
      <c r="HPV16">
        <v>0</v>
      </c>
      <c r="HPW16">
        <v>0</v>
      </c>
      <c r="HPX16">
        <v>0</v>
      </c>
      <c r="HPY16">
        <v>0</v>
      </c>
      <c r="HPZ16">
        <v>0</v>
      </c>
      <c r="HQA16">
        <v>0</v>
      </c>
      <c r="HQB16">
        <v>0</v>
      </c>
      <c r="HQC16">
        <v>0</v>
      </c>
      <c r="HQD16">
        <v>0</v>
      </c>
      <c r="HQE16">
        <v>0</v>
      </c>
      <c r="HQF16">
        <v>0</v>
      </c>
      <c r="HQG16">
        <v>0</v>
      </c>
      <c r="HQH16">
        <v>0</v>
      </c>
      <c r="HQI16">
        <v>0</v>
      </c>
      <c r="HQJ16">
        <v>0</v>
      </c>
      <c r="HQK16">
        <v>0</v>
      </c>
      <c r="HQL16">
        <v>0</v>
      </c>
      <c r="HQM16">
        <v>0</v>
      </c>
      <c r="HQN16">
        <v>0</v>
      </c>
      <c r="HQO16">
        <v>0</v>
      </c>
      <c r="HQP16">
        <v>0</v>
      </c>
      <c r="HQQ16">
        <v>0</v>
      </c>
      <c r="HQR16">
        <v>0</v>
      </c>
      <c r="HQS16">
        <v>0</v>
      </c>
      <c r="HQT16">
        <v>0</v>
      </c>
      <c r="HQU16">
        <v>0</v>
      </c>
      <c r="HQV16">
        <v>0</v>
      </c>
      <c r="HQW16">
        <v>0</v>
      </c>
      <c r="HQX16">
        <v>0</v>
      </c>
      <c r="HQY16">
        <v>0</v>
      </c>
      <c r="HQZ16">
        <v>0</v>
      </c>
      <c r="HRA16">
        <v>0</v>
      </c>
      <c r="HRB16">
        <v>0</v>
      </c>
      <c r="HRC16">
        <v>0</v>
      </c>
      <c r="HRD16">
        <v>0</v>
      </c>
      <c r="HRE16">
        <v>0</v>
      </c>
      <c r="HRF16">
        <v>0</v>
      </c>
      <c r="HRG16">
        <v>0</v>
      </c>
      <c r="HRH16">
        <v>0</v>
      </c>
      <c r="HRI16">
        <v>0</v>
      </c>
      <c r="HRJ16">
        <v>0</v>
      </c>
      <c r="HRK16">
        <v>0</v>
      </c>
      <c r="HRL16">
        <v>0</v>
      </c>
      <c r="HRM16">
        <v>0</v>
      </c>
      <c r="HRN16">
        <v>0</v>
      </c>
      <c r="HRO16">
        <v>0</v>
      </c>
      <c r="HRP16">
        <v>0</v>
      </c>
      <c r="HRQ16">
        <v>0</v>
      </c>
      <c r="HRR16">
        <v>0</v>
      </c>
      <c r="HRS16">
        <v>0</v>
      </c>
      <c r="HRT16">
        <v>0</v>
      </c>
      <c r="HRU16">
        <v>0</v>
      </c>
      <c r="HRV16">
        <v>0</v>
      </c>
      <c r="HRW16">
        <v>0</v>
      </c>
      <c r="HRX16">
        <v>0</v>
      </c>
      <c r="HRY16">
        <v>0</v>
      </c>
      <c r="HRZ16">
        <v>0</v>
      </c>
      <c r="HSA16">
        <v>0</v>
      </c>
      <c r="HSB16">
        <v>0</v>
      </c>
      <c r="HSC16">
        <v>0</v>
      </c>
      <c r="HSD16">
        <v>0</v>
      </c>
      <c r="HSE16">
        <v>0</v>
      </c>
      <c r="HSF16">
        <v>0</v>
      </c>
      <c r="HSG16">
        <v>0</v>
      </c>
      <c r="HSH16">
        <v>0</v>
      </c>
      <c r="HSI16">
        <v>0</v>
      </c>
      <c r="HSJ16">
        <v>0</v>
      </c>
      <c r="HSK16">
        <v>0</v>
      </c>
      <c r="HSL16">
        <v>0</v>
      </c>
      <c r="HSM16">
        <v>0</v>
      </c>
      <c r="HSN16">
        <v>0</v>
      </c>
      <c r="HSO16">
        <v>0</v>
      </c>
      <c r="HSP16">
        <v>0</v>
      </c>
      <c r="HSQ16">
        <v>0</v>
      </c>
      <c r="HSR16">
        <v>0</v>
      </c>
      <c r="HSS16">
        <v>0</v>
      </c>
      <c r="HST16">
        <v>0</v>
      </c>
      <c r="HSU16">
        <v>0</v>
      </c>
      <c r="HSV16">
        <v>0</v>
      </c>
      <c r="HSW16">
        <v>0</v>
      </c>
      <c r="HSX16">
        <v>0</v>
      </c>
      <c r="HSY16">
        <v>0</v>
      </c>
      <c r="HSZ16">
        <v>0</v>
      </c>
      <c r="HTA16">
        <v>0</v>
      </c>
      <c r="HTB16">
        <v>0</v>
      </c>
      <c r="HTC16">
        <v>0</v>
      </c>
      <c r="HTD16">
        <v>0</v>
      </c>
      <c r="HTE16">
        <v>0</v>
      </c>
      <c r="HTF16">
        <v>0</v>
      </c>
      <c r="HTG16">
        <v>0</v>
      </c>
      <c r="HTH16">
        <v>0</v>
      </c>
      <c r="HTI16">
        <v>0</v>
      </c>
      <c r="HTJ16">
        <v>0</v>
      </c>
      <c r="HTK16">
        <v>0</v>
      </c>
      <c r="HTL16">
        <v>0</v>
      </c>
      <c r="HTM16">
        <v>0</v>
      </c>
      <c r="HTN16">
        <v>0</v>
      </c>
      <c r="HTO16">
        <v>0</v>
      </c>
      <c r="HTP16">
        <v>0</v>
      </c>
      <c r="HTQ16">
        <v>0</v>
      </c>
      <c r="HTR16">
        <v>0</v>
      </c>
      <c r="HTS16">
        <v>0</v>
      </c>
      <c r="HTT16">
        <v>0</v>
      </c>
      <c r="HTU16">
        <v>0</v>
      </c>
      <c r="HTV16">
        <v>0</v>
      </c>
      <c r="HTW16">
        <v>0</v>
      </c>
      <c r="HTX16">
        <v>0</v>
      </c>
      <c r="HTY16">
        <v>0</v>
      </c>
      <c r="HTZ16">
        <v>0</v>
      </c>
      <c r="HUA16">
        <v>0</v>
      </c>
      <c r="HUB16">
        <v>0</v>
      </c>
      <c r="HUC16">
        <v>0</v>
      </c>
      <c r="HUD16">
        <v>0</v>
      </c>
      <c r="HUE16">
        <v>0</v>
      </c>
      <c r="HUF16">
        <v>0</v>
      </c>
      <c r="HUG16">
        <v>0</v>
      </c>
      <c r="HUH16">
        <v>0</v>
      </c>
      <c r="HUI16">
        <v>0</v>
      </c>
      <c r="HUJ16">
        <v>0</v>
      </c>
      <c r="HUK16">
        <v>0</v>
      </c>
      <c r="HUL16">
        <v>0</v>
      </c>
      <c r="HUM16">
        <v>0</v>
      </c>
      <c r="HUN16">
        <v>0</v>
      </c>
      <c r="HUO16">
        <v>0</v>
      </c>
      <c r="HUP16">
        <v>0</v>
      </c>
      <c r="HUQ16">
        <v>0</v>
      </c>
      <c r="HUR16">
        <v>0</v>
      </c>
      <c r="HUS16">
        <v>0</v>
      </c>
      <c r="HUT16">
        <v>0</v>
      </c>
      <c r="HUU16">
        <v>0</v>
      </c>
      <c r="HUV16">
        <v>0</v>
      </c>
      <c r="HUW16">
        <v>0</v>
      </c>
      <c r="HUX16">
        <v>0</v>
      </c>
      <c r="HUY16">
        <v>0</v>
      </c>
      <c r="HUZ16">
        <v>0</v>
      </c>
      <c r="HVA16">
        <v>0</v>
      </c>
      <c r="HVB16">
        <v>0</v>
      </c>
      <c r="HVC16">
        <v>0</v>
      </c>
      <c r="HVD16">
        <v>0</v>
      </c>
      <c r="HVE16">
        <v>0</v>
      </c>
      <c r="HVF16">
        <v>0</v>
      </c>
      <c r="HVG16">
        <v>0</v>
      </c>
      <c r="HVH16">
        <v>0</v>
      </c>
      <c r="HVI16">
        <v>0</v>
      </c>
      <c r="HVJ16">
        <v>0</v>
      </c>
      <c r="HVK16">
        <v>0</v>
      </c>
      <c r="HVL16">
        <v>0</v>
      </c>
      <c r="HVM16">
        <v>0</v>
      </c>
      <c r="HVN16">
        <v>0</v>
      </c>
      <c r="HVO16">
        <v>0</v>
      </c>
      <c r="HVP16">
        <v>0</v>
      </c>
      <c r="HVQ16">
        <v>0</v>
      </c>
      <c r="HVR16">
        <v>0</v>
      </c>
      <c r="HVS16">
        <v>0</v>
      </c>
      <c r="HVT16">
        <v>0</v>
      </c>
      <c r="HVU16">
        <v>0</v>
      </c>
      <c r="HVV16">
        <v>0</v>
      </c>
      <c r="HVW16">
        <v>0</v>
      </c>
      <c r="HVX16">
        <v>0</v>
      </c>
      <c r="HVY16">
        <v>0</v>
      </c>
      <c r="HVZ16">
        <v>0</v>
      </c>
      <c r="HWA16">
        <v>0</v>
      </c>
      <c r="HWB16">
        <v>0</v>
      </c>
      <c r="HWC16">
        <v>0</v>
      </c>
      <c r="HWD16">
        <v>0</v>
      </c>
      <c r="HWE16">
        <v>0</v>
      </c>
      <c r="HWF16">
        <v>0</v>
      </c>
      <c r="HWG16">
        <v>0</v>
      </c>
      <c r="HWH16">
        <v>0</v>
      </c>
      <c r="HWI16">
        <v>0</v>
      </c>
      <c r="HWJ16">
        <v>0</v>
      </c>
      <c r="HWK16">
        <v>0</v>
      </c>
      <c r="HWL16">
        <v>0</v>
      </c>
      <c r="HWM16">
        <v>0</v>
      </c>
      <c r="HWN16">
        <v>0</v>
      </c>
      <c r="HWO16">
        <v>0</v>
      </c>
      <c r="HWP16">
        <v>0</v>
      </c>
      <c r="HWQ16">
        <v>0</v>
      </c>
      <c r="HWR16">
        <v>0</v>
      </c>
      <c r="HWS16">
        <v>0</v>
      </c>
      <c r="HWT16">
        <v>0</v>
      </c>
      <c r="HWU16">
        <v>0</v>
      </c>
      <c r="HWV16">
        <v>0</v>
      </c>
      <c r="HWW16">
        <v>0</v>
      </c>
      <c r="HWX16">
        <v>0</v>
      </c>
      <c r="HWY16">
        <v>0</v>
      </c>
      <c r="HWZ16">
        <v>0</v>
      </c>
      <c r="HXA16">
        <v>0</v>
      </c>
      <c r="HXB16">
        <v>0</v>
      </c>
      <c r="HXC16">
        <v>0</v>
      </c>
      <c r="HXD16">
        <v>0</v>
      </c>
      <c r="HXE16">
        <v>0</v>
      </c>
      <c r="HXF16">
        <v>0</v>
      </c>
      <c r="HXG16">
        <v>0</v>
      </c>
      <c r="HXH16">
        <v>0</v>
      </c>
      <c r="HXI16">
        <v>0</v>
      </c>
      <c r="HXJ16">
        <v>0</v>
      </c>
      <c r="HXK16">
        <v>0</v>
      </c>
      <c r="HXL16">
        <v>0</v>
      </c>
      <c r="HXM16">
        <v>0</v>
      </c>
      <c r="HXN16">
        <v>0</v>
      </c>
      <c r="HXO16">
        <v>0</v>
      </c>
      <c r="HXP16">
        <v>0</v>
      </c>
      <c r="HXQ16">
        <v>0</v>
      </c>
      <c r="HXR16">
        <v>0</v>
      </c>
      <c r="HXS16">
        <v>0</v>
      </c>
      <c r="HXT16">
        <v>0</v>
      </c>
      <c r="HXU16">
        <v>0</v>
      </c>
      <c r="HXV16">
        <v>0</v>
      </c>
      <c r="HXW16">
        <v>0</v>
      </c>
      <c r="HXX16">
        <v>0</v>
      </c>
      <c r="HXY16">
        <v>0</v>
      </c>
      <c r="HXZ16">
        <v>0</v>
      </c>
      <c r="HYA16">
        <v>0</v>
      </c>
      <c r="HYB16">
        <v>0</v>
      </c>
      <c r="HYC16">
        <v>0</v>
      </c>
      <c r="HYD16">
        <v>0</v>
      </c>
      <c r="HYE16">
        <v>0</v>
      </c>
      <c r="HYF16">
        <v>0</v>
      </c>
      <c r="HYG16">
        <v>0</v>
      </c>
      <c r="HYH16">
        <v>0</v>
      </c>
      <c r="HYI16">
        <v>0</v>
      </c>
      <c r="HYJ16">
        <v>0</v>
      </c>
      <c r="HYK16">
        <v>0</v>
      </c>
      <c r="HYL16">
        <v>0</v>
      </c>
      <c r="HYM16">
        <v>0</v>
      </c>
      <c r="HYN16">
        <v>0</v>
      </c>
      <c r="HYO16">
        <v>0</v>
      </c>
      <c r="HYP16">
        <v>0</v>
      </c>
      <c r="HYQ16">
        <v>0</v>
      </c>
      <c r="HYR16">
        <v>0</v>
      </c>
      <c r="HYS16">
        <v>0</v>
      </c>
      <c r="HYT16">
        <v>0</v>
      </c>
      <c r="HYU16">
        <v>0</v>
      </c>
      <c r="HYV16">
        <v>0</v>
      </c>
      <c r="HYW16">
        <v>0</v>
      </c>
      <c r="HYX16">
        <v>0</v>
      </c>
      <c r="HYY16">
        <v>0</v>
      </c>
      <c r="HYZ16">
        <v>0</v>
      </c>
      <c r="HZA16">
        <v>0</v>
      </c>
      <c r="HZB16">
        <v>0</v>
      </c>
      <c r="HZC16">
        <v>0</v>
      </c>
      <c r="HZD16">
        <v>0</v>
      </c>
      <c r="HZE16">
        <v>0</v>
      </c>
      <c r="HZF16">
        <v>0</v>
      </c>
      <c r="HZG16">
        <v>0</v>
      </c>
      <c r="HZH16">
        <v>0</v>
      </c>
      <c r="HZI16">
        <v>0</v>
      </c>
      <c r="HZJ16">
        <v>0</v>
      </c>
      <c r="HZK16">
        <v>0</v>
      </c>
      <c r="HZL16">
        <v>0</v>
      </c>
      <c r="HZM16">
        <v>0</v>
      </c>
      <c r="HZN16">
        <v>0</v>
      </c>
      <c r="HZO16">
        <v>0</v>
      </c>
      <c r="HZP16">
        <v>0</v>
      </c>
      <c r="HZQ16">
        <v>0</v>
      </c>
      <c r="HZR16">
        <v>0</v>
      </c>
      <c r="HZS16">
        <v>0</v>
      </c>
      <c r="HZT16">
        <v>0</v>
      </c>
      <c r="HZU16">
        <v>0</v>
      </c>
      <c r="HZV16">
        <v>0</v>
      </c>
      <c r="HZW16">
        <v>0</v>
      </c>
      <c r="HZX16">
        <v>0</v>
      </c>
      <c r="HZY16">
        <v>0</v>
      </c>
      <c r="HZZ16">
        <v>0</v>
      </c>
      <c r="IAA16">
        <v>0</v>
      </c>
      <c r="IAB16">
        <v>0</v>
      </c>
      <c r="IAC16">
        <v>0</v>
      </c>
      <c r="IAD16">
        <v>0</v>
      </c>
      <c r="IAE16">
        <v>0</v>
      </c>
      <c r="IAF16">
        <v>0</v>
      </c>
      <c r="IAG16">
        <v>0</v>
      </c>
      <c r="IAH16">
        <v>0</v>
      </c>
      <c r="IAI16">
        <v>0</v>
      </c>
      <c r="IAJ16">
        <v>0</v>
      </c>
      <c r="IAK16">
        <v>0</v>
      </c>
      <c r="IAL16">
        <v>0</v>
      </c>
      <c r="IAM16">
        <v>0</v>
      </c>
      <c r="IAN16">
        <v>0</v>
      </c>
      <c r="IAO16">
        <v>0</v>
      </c>
      <c r="IAP16">
        <v>0</v>
      </c>
      <c r="IAQ16">
        <v>0</v>
      </c>
      <c r="IAR16">
        <v>0</v>
      </c>
      <c r="IAS16">
        <v>0</v>
      </c>
      <c r="IAT16">
        <v>0</v>
      </c>
      <c r="IAU16">
        <v>0</v>
      </c>
      <c r="IAV16">
        <v>0</v>
      </c>
      <c r="IAW16">
        <v>0</v>
      </c>
      <c r="IAX16">
        <v>0</v>
      </c>
      <c r="IAY16">
        <v>0</v>
      </c>
      <c r="IAZ16">
        <v>0</v>
      </c>
      <c r="IBA16">
        <v>0</v>
      </c>
      <c r="IBB16">
        <v>0</v>
      </c>
      <c r="IBC16">
        <v>0</v>
      </c>
      <c r="IBD16">
        <v>0</v>
      </c>
      <c r="IBE16">
        <v>0</v>
      </c>
      <c r="IBF16">
        <v>0</v>
      </c>
      <c r="IBG16">
        <v>0</v>
      </c>
      <c r="IBH16">
        <v>0</v>
      </c>
      <c r="IBI16">
        <v>0</v>
      </c>
      <c r="IBJ16">
        <v>0</v>
      </c>
      <c r="IBK16">
        <v>0</v>
      </c>
      <c r="IBL16">
        <v>0</v>
      </c>
      <c r="IBM16">
        <v>0</v>
      </c>
      <c r="IBN16">
        <v>0</v>
      </c>
      <c r="IBO16">
        <v>0</v>
      </c>
      <c r="IBP16">
        <v>0</v>
      </c>
      <c r="IBQ16">
        <v>0</v>
      </c>
      <c r="IBR16">
        <v>0</v>
      </c>
      <c r="IBS16">
        <v>0</v>
      </c>
      <c r="IBT16">
        <v>0</v>
      </c>
      <c r="IBU16">
        <v>0</v>
      </c>
      <c r="IBV16">
        <v>0</v>
      </c>
      <c r="IBW16">
        <v>0</v>
      </c>
      <c r="IBX16">
        <v>0</v>
      </c>
      <c r="IBY16">
        <v>0</v>
      </c>
      <c r="IBZ16">
        <v>0</v>
      </c>
      <c r="ICA16">
        <v>0</v>
      </c>
      <c r="ICB16">
        <v>0</v>
      </c>
      <c r="ICC16">
        <v>0</v>
      </c>
      <c r="ICD16">
        <v>0</v>
      </c>
      <c r="ICE16">
        <v>0</v>
      </c>
      <c r="ICF16">
        <v>0</v>
      </c>
      <c r="ICG16">
        <v>0</v>
      </c>
      <c r="ICH16">
        <v>0</v>
      </c>
      <c r="ICI16">
        <v>0</v>
      </c>
      <c r="ICJ16">
        <v>0</v>
      </c>
      <c r="ICK16">
        <v>0</v>
      </c>
      <c r="ICL16">
        <v>0</v>
      </c>
      <c r="ICM16">
        <v>0</v>
      </c>
      <c r="ICN16">
        <v>0</v>
      </c>
      <c r="ICO16">
        <v>0</v>
      </c>
      <c r="ICP16">
        <v>0</v>
      </c>
      <c r="ICQ16">
        <v>0</v>
      </c>
      <c r="ICR16">
        <v>0</v>
      </c>
      <c r="ICS16">
        <v>0</v>
      </c>
      <c r="ICT16">
        <v>0</v>
      </c>
      <c r="ICU16">
        <v>0</v>
      </c>
      <c r="ICV16">
        <v>0</v>
      </c>
      <c r="ICW16">
        <v>0</v>
      </c>
      <c r="ICX16">
        <v>0</v>
      </c>
      <c r="ICY16">
        <v>0</v>
      </c>
      <c r="ICZ16">
        <v>0</v>
      </c>
      <c r="IDA16">
        <v>0</v>
      </c>
      <c r="IDB16">
        <v>0</v>
      </c>
      <c r="IDC16">
        <v>0</v>
      </c>
      <c r="IDD16">
        <v>0</v>
      </c>
      <c r="IDE16">
        <v>0</v>
      </c>
      <c r="IDF16">
        <v>0</v>
      </c>
      <c r="IDG16">
        <v>0</v>
      </c>
      <c r="IDH16">
        <v>0</v>
      </c>
      <c r="IDI16">
        <v>0</v>
      </c>
      <c r="IDJ16">
        <v>0</v>
      </c>
      <c r="IDK16">
        <v>0</v>
      </c>
      <c r="IDL16">
        <v>0</v>
      </c>
      <c r="IDM16">
        <v>0</v>
      </c>
      <c r="IDN16">
        <v>0</v>
      </c>
      <c r="IDO16">
        <v>0</v>
      </c>
      <c r="IDP16">
        <v>0</v>
      </c>
      <c r="IDQ16">
        <v>0</v>
      </c>
      <c r="IDR16">
        <v>0</v>
      </c>
      <c r="IDS16">
        <v>0</v>
      </c>
      <c r="IDT16">
        <v>0</v>
      </c>
      <c r="IDU16">
        <v>0</v>
      </c>
      <c r="IDV16">
        <v>0</v>
      </c>
      <c r="IDW16">
        <v>0</v>
      </c>
      <c r="IDX16">
        <v>0</v>
      </c>
      <c r="IDY16">
        <v>0</v>
      </c>
      <c r="IDZ16">
        <v>0</v>
      </c>
      <c r="IEA16">
        <v>0</v>
      </c>
      <c r="IEB16">
        <v>0</v>
      </c>
      <c r="IEC16">
        <v>0</v>
      </c>
      <c r="IED16">
        <v>0</v>
      </c>
      <c r="IEE16">
        <v>0</v>
      </c>
      <c r="IEF16">
        <v>0</v>
      </c>
      <c r="IEG16">
        <v>0</v>
      </c>
      <c r="IEH16">
        <v>0</v>
      </c>
      <c r="IEI16">
        <v>0</v>
      </c>
      <c r="IEJ16">
        <v>0</v>
      </c>
      <c r="IEK16">
        <v>0</v>
      </c>
      <c r="IEL16">
        <v>0</v>
      </c>
      <c r="IEM16">
        <v>0</v>
      </c>
      <c r="IEN16">
        <v>0</v>
      </c>
      <c r="IEO16">
        <v>0</v>
      </c>
      <c r="IEP16">
        <v>0</v>
      </c>
      <c r="IEQ16">
        <v>0</v>
      </c>
      <c r="IER16">
        <v>0</v>
      </c>
      <c r="IES16">
        <v>0</v>
      </c>
      <c r="IET16">
        <v>0</v>
      </c>
      <c r="IEU16">
        <v>0</v>
      </c>
      <c r="IEV16">
        <v>0</v>
      </c>
      <c r="IEW16">
        <v>0</v>
      </c>
      <c r="IEX16">
        <v>0</v>
      </c>
      <c r="IEY16">
        <v>0</v>
      </c>
      <c r="IEZ16">
        <v>0</v>
      </c>
      <c r="IFA16">
        <v>0</v>
      </c>
      <c r="IFB16">
        <v>0</v>
      </c>
      <c r="IFC16">
        <v>0</v>
      </c>
      <c r="IFD16">
        <v>0</v>
      </c>
      <c r="IFE16">
        <v>0</v>
      </c>
      <c r="IFF16">
        <v>0</v>
      </c>
      <c r="IFG16">
        <v>0</v>
      </c>
      <c r="IFH16">
        <v>0</v>
      </c>
      <c r="IFI16">
        <v>0</v>
      </c>
      <c r="IFJ16">
        <v>0</v>
      </c>
      <c r="IFK16">
        <v>0</v>
      </c>
      <c r="IFL16">
        <v>0</v>
      </c>
      <c r="IFM16">
        <v>0</v>
      </c>
      <c r="IFN16">
        <v>0</v>
      </c>
      <c r="IFO16">
        <v>0</v>
      </c>
      <c r="IFP16">
        <v>0</v>
      </c>
      <c r="IFQ16">
        <v>0</v>
      </c>
      <c r="IFR16">
        <v>0</v>
      </c>
      <c r="IFS16">
        <v>0</v>
      </c>
      <c r="IFT16">
        <v>0</v>
      </c>
      <c r="IFU16">
        <v>0</v>
      </c>
      <c r="IFV16">
        <v>0</v>
      </c>
      <c r="IFW16">
        <v>0</v>
      </c>
      <c r="IFX16">
        <v>0</v>
      </c>
      <c r="IFY16">
        <v>0</v>
      </c>
      <c r="IFZ16">
        <v>0</v>
      </c>
      <c r="IGA16">
        <v>0</v>
      </c>
      <c r="IGB16">
        <v>0</v>
      </c>
      <c r="IGC16">
        <v>0</v>
      </c>
      <c r="IGD16">
        <v>0</v>
      </c>
      <c r="IGE16">
        <v>0</v>
      </c>
      <c r="IGF16">
        <v>0</v>
      </c>
      <c r="IGG16">
        <v>0</v>
      </c>
      <c r="IGH16">
        <v>0</v>
      </c>
      <c r="IGI16">
        <v>0</v>
      </c>
      <c r="IGJ16">
        <v>0</v>
      </c>
      <c r="IGK16">
        <v>0</v>
      </c>
      <c r="IGL16">
        <v>0</v>
      </c>
      <c r="IGM16">
        <v>0</v>
      </c>
      <c r="IGN16">
        <v>0</v>
      </c>
      <c r="IGO16">
        <v>0</v>
      </c>
      <c r="IGP16">
        <v>0</v>
      </c>
      <c r="IGQ16">
        <v>0</v>
      </c>
      <c r="IGR16">
        <v>0</v>
      </c>
      <c r="IGS16">
        <v>0</v>
      </c>
      <c r="IGT16">
        <v>0</v>
      </c>
      <c r="IGU16">
        <v>0</v>
      </c>
      <c r="IGV16">
        <v>0</v>
      </c>
      <c r="IGW16">
        <v>0</v>
      </c>
      <c r="IGX16">
        <v>0</v>
      </c>
      <c r="IGY16">
        <v>0</v>
      </c>
      <c r="IGZ16">
        <v>0</v>
      </c>
      <c r="IHA16">
        <v>0</v>
      </c>
      <c r="IHB16">
        <v>0</v>
      </c>
      <c r="IHC16">
        <v>0</v>
      </c>
      <c r="IHD16">
        <v>0</v>
      </c>
      <c r="IHE16">
        <v>0</v>
      </c>
      <c r="IHF16">
        <v>0</v>
      </c>
      <c r="IHG16">
        <v>0</v>
      </c>
      <c r="IHH16">
        <v>0</v>
      </c>
      <c r="IHI16">
        <v>0</v>
      </c>
      <c r="IHJ16">
        <v>0</v>
      </c>
      <c r="IHK16">
        <v>0</v>
      </c>
      <c r="IHL16">
        <v>0</v>
      </c>
      <c r="IHM16">
        <v>0</v>
      </c>
      <c r="IHN16">
        <v>0</v>
      </c>
      <c r="IHO16">
        <v>0</v>
      </c>
      <c r="IHP16">
        <v>0</v>
      </c>
      <c r="IHQ16">
        <v>0</v>
      </c>
      <c r="IHR16">
        <v>0</v>
      </c>
      <c r="IHS16">
        <v>0</v>
      </c>
      <c r="IHT16">
        <v>0</v>
      </c>
      <c r="IHU16">
        <v>0</v>
      </c>
      <c r="IHV16">
        <v>0</v>
      </c>
      <c r="IHW16">
        <v>0</v>
      </c>
      <c r="IHX16">
        <v>0</v>
      </c>
      <c r="IHY16">
        <v>0</v>
      </c>
      <c r="IHZ16">
        <v>0</v>
      </c>
      <c r="IIA16">
        <v>0</v>
      </c>
      <c r="IIB16">
        <v>0</v>
      </c>
      <c r="IIC16">
        <v>0</v>
      </c>
      <c r="IID16">
        <v>0</v>
      </c>
      <c r="IIE16">
        <v>0</v>
      </c>
      <c r="IIF16">
        <v>0</v>
      </c>
      <c r="IIG16">
        <v>0</v>
      </c>
      <c r="IIH16">
        <v>0</v>
      </c>
      <c r="III16">
        <v>0</v>
      </c>
      <c r="IIJ16">
        <v>0</v>
      </c>
      <c r="IIK16">
        <v>0</v>
      </c>
      <c r="IIL16">
        <v>0</v>
      </c>
      <c r="IIM16">
        <v>0</v>
      </c>
      <c r="IIN16">
        <v>0</v>
      </c>
      <c r="IIO16">
        <v>0</v>
      </c>
      <c r="IIP16">
        <v>0</v>
      </c>
      <c r="IIQ16">
        <v>0</v>
      </c>
      <c r="IIR16">
        <v>0</v>
      </c>
      <c r="IIS16">
        <v>0</v>
      </c>
      <c r="IIT16">
        <v>0</v>
      </c>
      <c r="IIU16">
        <v>0</v>
      </c>
      <c r="IIV16">
        <v>0</v>
      </c>
      <c r="IIW16">
        <v>0</v>
      </c>
      <c r="IIX16">
        <v>0</v>
      </c>
      <c r="IIY16">
        <v>0</v>
      </c>
      <c r="IIZ16">
        <v>0</v>
      </c>
      <c r="IJA16">
        <v>0</v>
      </c>
      <c r="IJB16">
        <v>0</v>
      </c>
      <c r="IJC16">
        <v>0</v>
      </c>
      <c r="IJD16">
        <v>0</v>
      </c>
      <c r="IJE16">
        <v>0</v>
      </c>
      <c r="IJF16">
        <v>0</v>
      </c>
      <c r="IJG16">
        <v>0</v>
      </c>
      <c r="IJH16">
        <v>0</v>
      </c>
      <c r="IJI16">
        <v>0</v>
      </c>
      <c r="IJJ16">
        <v>0</v>
      </c>
      <c r="IJK16">
        <v>0</v>
      </c>
      <c r="IJL16">
        <v>0</v>
      </c>
      <c r="IJM16">
        <v>0</v>
      </c>
      <c r="IJN16">
        <v>0</v>
      </c>
      <c r="IJO16">
        <v>0</v>
      </c>
      <c r="IJP16">
        <v>0</v>
      </c>
      <c r="IJQ16">
        <v>0</v>
      </c>
      <c r="IJR16">
        <v>0</v>
      </c>
      <c r="IJS16">
        <v>0</v>
      </c>
      <c r="IJT16">
        <v>0</v>
      </c>
      <c r="IJU16">
        <v>0</v>
      </c>
      <c r="IJV16">
        <v>0</v>
      </c>
      <c r="IJW16">
        <v>0</v>
      </c>
      <c r="IJX16">
        <v>0</v>
      </c>
      <c r="IJY16">
        <v>0</v>
      </c>
      <c r="IJZ16">
        <v>0</v>
      </c>
      <c r="IKA16">
        <v>0</v>
      </c>
      <c r="IKB16">
        <v>0</v>
      </c>
      <c r="IKC16">
        <v>0</v>
      </c>
      <c r="IKD16">
        <v>0</v>
      </c>
      <c r="IKE16">
        <v>0</v>
      </c>
      <c r="IKF16">
        <v>0</v>
      </c>
      <c r="IKG16">
        <v>0</v>
      </c>
      <c r="IKH16">
        <v>0</v>
      </c>
      <c r="IKI16">
        <v>0</v>
      </c>
      <c r="IKJ16">
        <v>0</v>
      </c>
      <c r="IKK16">
        <v>0</v>
      </c>
      <c r="IKL16">
        <v>0</v>
      </c>
      <c r="IKM16">
        <v>0</v>
      </c>
      <c r="IKN16">
        <v>0</v>
      </c>
      <c r="IKO16">
        <v>0</v>
      </c>
      <c r="IKP16">
        <v>0</v>
      </c>
      <c r="IKQ16">
        <v>0</v>
      </c>
      <c r="IKR16">
        <v>0</v>
      </c>
      <c r="IKS16">
        <v>0</v>
      </c>
      <c r="IKT16">
        <v>0</v>
      </c>
      <c r="IKU16">
        <v>0</v>
      </c>
      <c r="IKV16">
        <v>0</v>
      </c>
      <c r="IKW16">
        <v>0</v>
      </c>
      <c r="IKX16">
        <v>0</v>
      </c>
      <c r="IKY16">
        <v>0</v>
      </c>
      <c r="IKZ16">
        <v>0</v>
      </c>
      <c r="ILA16">
        <v>0</v>
      </c>
      <c r="ILB16">
        <v>0</v>
      </c>
      <c r="ILC16">
        <v>0</v>
      </c>
      <c r="ILD16">
        <v>0</v>
      </c>
      <c r="ILE16">
        <v>0</v>
      </c>
      <c r="ILF16">
        <v>0</v>
      </c>
      <c r="ILG16">
        <v>0</v>
      </c>
      <c r="ILH16">
        <v>0</v>
      </c>
      <c r="ILI16">
        <v>0</v>
      </c>
      <c r="ILJ16">
        <v>0</v>
      </c>
      <c r="ILK16">
        <v>0</v>
      </c>
      <c r="ILL16">
        <v>0</v>
      </c>
      <c r="ILM16">
        <v>0</v>
      </c>
      <c r="ILN16">
        <v>0</v>
      </c>
      <c r="ILO16">
        <v>0</v>
      </c>
      <c r="ILP16">
        <v>0</v>
      </c>
      <c r="ILQ16">
        <v>0</v>
      </c>
      <c r="ILR16">
        <v>0</v>
      </c>
      <c r="ILS16">
        <v>0</v>
      </c>
      <c r="ILT16">
        <v>0</v>
      </c>
      <c r="ILU16">
        <v>0</v>
      </c>
      <c r="ILV16">
        <v>0</v>
      </c>
      <c r="ILW16">
        <v>0</v>
      </c>
      <c r="ILX16">
        <v>0</v>
      </c>
      <c r="ILY16">
        <v>0</v>
      </c>
      <c r="ILZ16">
        <v>0</v>
      </c>
      <c r="IMA16">
        <v>0</v>
      </c>
      <c r="IMB16">
        <v>0</v>
      </c>
      <c r="IMC16">
        <v>0</v>
      </c>
      <c r="IMD16">
        <v>0</v>
      </c>
      <c r="IME16">
        <v>0</v>
      </c>
      <c r="IMF16">
        <v>0</v>
      </c>
      <c r="IMG16">
        <v>0</v>
      </c>
      <c r="IMH16">
        <v>0</v>
      </c>
      <c r="IMI16">
        <v>0</v>
      </c>
      <c r="IMJ16">
        <v>0</v>
      </c>
      <c r="IMK16">
        <v>0</v>
      </c>
      <c r="IML16">
        <v>0</v>
      </c>
      <c r="IMM16">
        <v>0</v>
      </c>
      <c r="IMN16">
        <v>0</v>
      </c>
      <c r="IMO16">
        <v>0</v>
      </c>
      <c r="IMP16">
        <v>0</v>
      </c>
      <c r="IMQ16">
        <v>0</v>
      </c>
      <c r="IMR16">
        <v>0</v>
      </c>
      <c r="IMS16">
        <v>0</v>
      </c>
      <c r="IMT16">
        <v>0</v>
      </c>
      <c r="IMU16">
        <v>0</v>
      </c>
      <c r="IMV16">
        <v>0</v>
      </c>
      <c r="IMW16">
        <v>0</v>
      </c>
      <c r="IMX16">
        <v>0</v>
      </c>
      <c r="IMY16">
        <v>0</v>
      </c>
      <c r="IMZ16">
        <v>0</v>
      </c>
      <c r="INA16">
        <v>0</v>
      </c>
      <c r="INB16">
        <v>0</v>
      </c>
      <c r="INC16">
        <v>0</v>
      </c>
      <c r="IND16">
        <v>0</v>
      </c>
      <c r="INE16">
        <v>0</v>
      </c>
      <c r="INF16">
        <v>0</v>
      </c>
      <c r="ING16">
        <v>0</v>
      </c>
      <c r="INH16">
        <v>0</v>
      </c>
      <c r="INI16">
        <v>0</v>
      </c>
      <c r="INJ16">
        <v>0</v>
      </c>
      <c r="INK16">
        <v>0</v>
      </c>
      <c r="INL16">
        <v>0</v>
      </c>
      <c r="INM16">
        <v>0</v>
      </c>
      <c r="INN16">
        <v>0</v>
      </c>
      <c r="INO16">
        <v>0</v>
      </c>
      <c r="INP16">
        <v>0</v>
      </c>
      <c r="INQ16">
        <v>0</v>
      </c>
      <c r="INR16">
        <v>0</v>
      </c>
      <c r="INS16">
        <v>0</v>
      </c>
      <c r="INT16">
        <v>0</v>
      </c>
      <c r="INU16">
        <v>0</v>
      </c>
      <c r="INV16">
        <v>0</v>
      </c>
      <c r="INW16">
        <v>0</v>
      </c>
      <c r="INX16">
        <v>0</v>
      </c>
      <c r="INY16">
        <v>0</v>
      </c>
      <c r="INZ16">
        <v>0</v>
      </c>
      <c r="IOA16">
        <v>0</v>
      </c>
      <c r="IOB16">
        <v>0</v>
      </c>
      <c r="IOC16">
        <v>0</v>
      </c>
      <c r="IOD16">
        <v>0</v>
      </c>
      <c r="IOE16">
        <v>0</v>
      </c>
      <c r="IOF16">
        <v>0</v>
      </c>
      <c r="IOG16">
        <v>0</v>
      </c>
      <c r="IOH16">
        <v>0</v>
      </c>
      <c r="IOI16">
        <v>0</v>
      </c>
      <c r="IOJ16">
        <v>0</v>
      </c>
      <c r="IOK16">
        <v>0</v>
      </c>
      <c r="IOL16">
        <v>0</v>
      </c>
      <c r="IOM16">
        <v>0</v>
      </c>
      <c r="ION16">
        <v>0</v>
      </c>
      <c r="IOO16">
        <v>0</v>
      </c>
      <c r="IOP16">
        <v>0</v>
      </c>
      <c r="IOQ16">
        <v>0</v>
      </c>
      <c r="IOR16">
        <v>0</v>
      </c>
      <c r="IOS16">
        <v>0</v>
      </c>
      <c r="IOT16">
        <v>0</v>
      </c>
      <c r="IOU16">
        <v>0</v>
      </c>
      <c r="IOV16">
        <v>0</v>
      </c>
      <c r="IOW16">
        <v>0</v>
      </c>
      <c r="IOX16">
        <v>0</v>
      </c>
      <c r="IOY16">
        <v>0</v>
      </c>
      <c r="IOZ16">
        <v>0</v>
      </c>
      <c r="IPA16">
        <v>0</v>
      </c>
      <c r="IPB16">
        <v>0</v>
      </c>
      <c r="IPC16">
        <v>0</v>
      </c>
      <c r="IPD16">
        <v>0</v>
      </c>
      <c r="IPE16">
        <v>0</v>
      </c>
      <c r="IPF16">
        <v>0</v>
      </c>
      <c r="IPG16">
        <v>0</v>
      </c>
      <c r="IPH16">
        <v>0</v>
      </c>
      <c r="IPI16">
        <v>0</v>
      </c>
      <c r="IPJ16">
        <v>0</v>
      </c>
      <c r="IPK16">
        <v>0</v>
      </c>
      <c r="IPL16">
        <v>0</v>
      </c>
      <c r="IPM16">
        <v>0</v>
      </c>
      <c r="IPN16">
        <v>0</v>
      </c>
      <c r="IPO16">
        <v>0</v>
      </c>
      <c r="IPP16">
        <v>0</v>
      </c>
      <c r="IPQ16">
        <v>0</v>
      </c>
      <c r="IPR16">
        <v>0</v>
      </c>
      <c r="IPS16">
        <v>0</v>
      </c>
      <c r="IPT16">
        <v>0</v>
      </c>
      <c r="IPU16">
        <v>0</v>
      </c>
      <c r="IPV16">
        <v>0</v>
      </c>
      <c r="IPW16">
        <v>0</v>
      </c>
      <c r="IPX16">
        <v>0</v>
      </c>
      <c r="IPY16">
        <v>0</v>
      </c>
      <c r="IPZ16">
        <v>0</v>
      </c>
      <c r="IQA16">
        <v>0</v>
      </c>
      <c r="IQB16">
        <v>0</v>
      </c>
      <c r="IQC16">
        <v>0</v>
      </c>
      <c r="IQD16">
        <v>0</v>
      </c>
      <c r="IQE16">
        <v>0</v>
      </c>
      <c r="IQF16">
        <v>0</v>
      </c>
      <c r="IQG16">
        <v>0</v>
      </c>
      <c r="IQH16">
        <v>0</v>
      </c>
      <c r="IQI16">
        <v>0</v>
      </c>
      <c r="IQJ16">
        <v>0</v>
      </c>
      <c r="IQK16">
        <v>0</v>
      </c>
      <c r="IQL16">
        <v>0</v>
      </c>
      <c r="IQM16">
        <v>0</v>
      </c>
      <c r="IQN16">
        <v>0</v>
      </c>
      <c r="IQO16">
        <v>0</v>
      </c>
      <c r="IQP16">
        <v>0</v>
      </c>
      <c r="IQQ16">
        <v>0</v>
      </c>
      <c r="IQR16">
        <v>0</v>
      </c>
      <c r="IQS16">
        <v>0</v>
      </c>
      <c r="IQT16">
        <v>0</v>
      </c>
      <c r="IQU16">
        <v>0</v>
      </c>
      <c r="IQV16">
        <v>0</v>
      </c>
      <c r="IQW16">
        <v>0</v>
      </c>
      <c r="IQX16">
        <v>0</v>
      </c>
      <c r="IQY16">
        <v>0</v>
      </c>
      <c r="IQZ16">
        <v>0</v>
      </c>
      <c r="IRA16">
        <v>0</v>
      </c>
      <c r="IRB16">
        <v>0</v>
      </c>
      <c r="IRC16">
        <v>0</v>
      </c>
      <c r="IRD16">
        <v>0</v>
      </c>
      <c r="IRE16">
        <v>0</v>
      </c>
      <c r="IRF16">
        <v>0</v>
      </c>
      <c r="IRG16">
        <v>0</v>
      </c>
      <c r="IRH16">
        <v>0</v>
      </c>
      <c r="IRI16">
        <v>0</v>
      </c>
      <c r="IRJ16">
        <v>0</v>
      </c>
      <c r="IRK16">
        <v>0</v>
      </c>
      <c r="IRL16">
        <v>0</v>
      </c>
      <c r="IRM16">
        <v>0</v>
      </c>
      <c r="IRN16">
        <v>0</v>
      </c>
      <c r="IRO16">
        <v>0</v>
      </c>
      <c r="IRP16">
        <v>0</v>
      </c>
      <c r="IRQ16">
        <v>0</v>
      </c>
      <c r="IRR16">
        <v>0</v>
      </c>
      <c r="IRS16">
        <v>0</v>
      </c>
      <c r="IRT16">
        <v>0</v>
      </c>
      <c r="IRU16">
        <v>0</v>
      </c>
      <c r="IRV16">
        <v>0</v>
      </c>
      <c r="IRW16">
        <v>0</v>
      </c>
      <c r="IRX16">
        <v>0</v>
      </c>
      <c r="IRY16">
        <v>0</v>
      </c>
      <c r="IRZ16">
        <v>0</v>
      </c>
      <c r="ISA16">
        <v>0</v>
      </c>
      <c r="ISB16">
        <v>0</v>
      </c>
      <c r="ISC16">
        <v>0</v>
      </c>
      <c r="ISD16">
        <v>0</v>
      </c>
      <c r="ISE16">
        <v>0</v>
      </c>
      <c r="ISF16">
        <v>0</v>
      </c>
      <c r="ISG16">
        <v>0</v>
      </c>
      <c r="ISH16">
        <v>0</v>
      </c>
      <c r="ISI16">
        <v>0</v>
      </c>
      <c r="ISJ16">
        <v>0</v>
      </c>
      <c r="ISK16">
        <v>0</v>
      </c>
      <c r="ISL16">
        <v>0</v>
      </c>
      <c r="ISM16">
        <v>0</v>
      </c>
      <c r="ISN16">
        <v>0</v>
      </c>
      <c r="ISO16">
        <v>0</v>
      </c>
      <c r="ISP16">
        <v>0</v>
      </c>
      <c r="ISQ16">
        <v>0</v>
      </c>
      <c r="ISR16">
        <v>0</v>
      </c>
      <c r="ISS16">
        <v>0</v>
      </c>
      <c r="IST16">
        <v>0</v>
      </c>
      <c r="ISU16">
        <v>0</v>
      </c>
      <c r="ISV16">
        <v>0</v>
      </c>
      <c r="ISW16">
        <v>0</v>
      </c>
      <c r="ISX16">
        <v>0</v>
      </c>
      <c r="ISY16">
        <v>0</v>
      </c>
      <c r="ISZ16">
        <v>0</v>
      </c>
      <c r="ITA16">
        <v>0</v>
      </c>
      <c r="ITB16">
        <v>0</v>
      </c>
      <c r="ITC16">
        <v>0</v>
      </c>
      <c r="ITD16">
        <v>0</v>
      </c>
      <c r="ITE16">
        <v>0</v>
      </c>
      <c r="ITF16">
        <v>0</v>
      </c>
      <c r="ITG16">
        <v>0</v>
      </c>
      <c r="ITH16">
        <v>0</v>
      </c>
      <c r="ITI16">
        <v>0</v>
      </c>
      <c r="ITJ16">
        <v>0</v>
      </c>
      <c r="ITK16">
        <v>0</v>
      </c>
      <c r="ITL16">
        <v>0</v>
      </c>
      <c r="ITM16">
        <v>0</v>
      </c>
      <c r="ITN16">
        <v>0</v>
      </c>
      <c r="ITO16">
        <v>0</v>
      </c>
      <c r="ITP16">
        <v>0</v>
      </c>
      <c r="ITQ16">
        <v>0</v>
      </c>
      <c r="ITR16">
        <v>0</v>
      </c>
      <c r="ITS16">
        <v>0</v>
      </c>
      <c r="ITT16">
        <v>0</v>
      </c>
      <c r="ITU16">
        <v>0</v>
      </c>
      <c r="ITV16">
        <v>0</v>
      </c>
      <c r="ITW16">
        <v>0</v>
      </c>
      <c r="ITX16">
        <v>0</v>
      </c>
      <c r="ITY16">
        <v>0</v>
      </c>
      <c r="ITZ16">
        <v>0</v>
      </c>
      <c r="IUA16">
        <v>0</v>
      </c>
      <c r="IUB16">
        <v>0</v>
      </c>
      <c r="IUC16">
        <v>0</v>
      </c>
      <c r="IUD16">
        <v>0</v>
      </c>
      <c r="IUE16">
        <v>0</v>
      </c>
      <c r="IUF16">
        <v>0</v>
      </c>
      <c r="IUG16">
        <v>0</v>
      </c>
      <c r="IUH16">
        <v>0</v>
      </c>
      <c r="IUI16">
        <v>0</v>
      </c>
      <c r="IUJ16">
        <v>0</v>
      </c>
      <c r="IUK16">
        <v>0</v>
      </c>
      <c r="IUL16">
        <v>0</v>
      </c>
      <c r="IUM16">
        <v>0</v>
      </c>
      <c r="IUN16">
        <v>0</v>
      </c>
      <c r="IUO16">
        <v>0</v>
      </c>
      <c r="IUP16">
        <v>0</v>
      </c>
      <c r="IUQ16">
        <v>0</v>
      </c>
      <c r="IUR16">
        <v>0</v>
      </c>
      <c r="IUS16">
        <v>0</v>
      </c>
      <c r="IUT16">
        <v>0</v>
      </c>
      <c r="IUU16">
        <v>0</v>
      </c>
      <c r="IUV16">
        <v>0</v>
      </c>
      <c r="IUW16">
        <v>0</v>
      </c>
      <c r="IUX16">
        <v>0</v>
      </c>
      <c r="IUY16">
        <v>0</v>
      </c>
      <c r="IUZ16">
        <v>0</v>
      </c>
      <c r="IVA16">
        <v>0</v>
      </c>
      <c r="IVB16">
        <v>0</v>
      </c>
      <c r="IVC16">
        <v>0</v>
      </c>
      <c r="IVD16">
        <v>0</v>
      </c>
      <c r="IVE16">
        <v>0</v>
      </c>
      <c r="IVF16">
        <v>0</v>
      </c>
      <c r="IVG16">
        <v>0</v>
      </c>
      <c r="IVH16">
        <v>0</v>
      </c>
      <c r="IVI16">
        <v>0</v>
      </c>
      <c r="IVJ16">
        <v>0</v>
      </c>
      <c r="IVK16">
        <v>0</v>
      </c>
      <c r="IVL16">
        <v>0</v>
      </c>
      <c r="IVM16">
        <v>0</v>
      </c>
      <c r="IVN16">
        <v>0</v>
      </c>
      <c r="IVO16">
        <v>0</v>
      </c>
      <c r="IVP16">
        <v>0</v>
      </c>
      <c r="IVQ16">
        <v>0</v>
      </c>
      <c r="IVR16">
        <v>0</v>
      </c>
      <c r="IVS16">
        <v>0</v>
      </c>
      <c r="IVT16">
        <v>0</v>
      </c>
      <c r="IVU16">
        <v>0</v>
      </c>
      <c r="IVV16">
        <v>0</v>
      </c>
      <c r="IVW16">
        <v>0</v>
      </c>
      <c r="IVX16">
        <v>0</v>
      </c>
      <c r="IVY16">
        <v>0</v>
      </c>
      <c r="IVZ16">
        <v>0</v>
      </c>
      <c r="IWA16">
        <v>0</v>
      </c>
      <c r="IWB16">
        <v>0</v>
      </c>
      <c r="IWC16">
        <v>0</v>
      </c>
      <c r="IWD16">
        <v>0</v>
      </c>
      <c r="IWE16">
        <v>0</v>
      </c>
      <c r="IWF16">
        <v>0</v>
      </c>
      <c r="IWG16">
        <v>0</v>
      </c>
      <c r="IWH16">
        <v>0</v>
      </c>
      <c r="IWI16">
        <v>0</v>
      </c>
      <c r="IWJ16">
        <v>0</v>
      </c>
      <c r="IWK16">
        <v>0</v>
      </c>
      <c r="IWL16">
        <v>0</v>
      </c>
      <c r="IWM16">
        <v>0</v>
      </c>
      <c r="IWN16">
        <v>0</v>
      </c>
      <c r="IWO16">
        <v>0</v>
      </c>
      <c r="IWP16">
        <v>0</v>
      </c>
      <c r="IWQ16">
        <v>0</v>
      </c>
      <c r="IWR16">
        <v>0</v>
      </c>
      <c r="IWS16">
        <v>0</v>
      </c>
      <c r="IWT16">
        <v>0</v>
      </c>
      <c r="IWU16">
        <v>0</v>
      </c>
      <c r="IWV16">
        <v>0</v>
      </c>
      <c r="IWW16">
        <v>0</v>
      </c>
      <c r="IWX16">
        <v>0</v>
      </c>
      <c r="IWY16">
        <v>0</v>
      </c>
      <c r="IWZ16">
        <v>0</v>
      </c>
      <c r="IXA16">
        <v>0</v>
      </c>
      <c r="IXB16">
        <v>0</v>
      </c>
      <c r="IXC16">
        <v>0</v>
      </c>
      <c r="IXD16">
        <v>0</v>
      </c>
      <c r="IXE16">
        <v>0</v>
      </c>
      <c r="IXF16">
        <v>0</v>
      </c>
      <c r="IXG16">
        <v>0</v>
      </c>
      <c r="IXH16">
        <v>0</v>
      </c>
      <c r="IXI16">
        <v>0</v>
      </c>
      <c r="IXJ16">
        <v>0</v>
      </c>
      <c r="IXK16">
        <v>0</v>
      </c>
      <c r="IXL16">
        <v>0</v>
      </c>
      <c r="IXM16">
        <v>0</v>
      </c>
      <c r="IXN16">
        <v>0</v>
      </c>
      <c r="IXO16">
        <v>0</v>
      </c>
      <c r="IXP16">
        <v>0</v>
      </c>
      <c r="IXQ16">
        <v>0</v>
      </c>
      <c r="IXR16">
        <v>0</v>
      </c>
      <c r="IXS16">
        <v>0</v>
      </c>
      <c r="IXT16">
        <v>0</v>
      </c>
      <c r="IXU16">
        <v>0</v>
      </c>
      <c r="IXV16">
        <v>0</v>
      </c>
      <c r="IXW16">
        <v>0</v>
      </c>
      <c r="IXX16">
        <v>0</v>
      </c>
      <c r="IXY16">
        <v>0</v>
      </c>
      <c r="IXZ16">
        <v>0</v>
      </c>
      <c r="IYA16">
        <v>0</v>
      </c>
      <c r="IYB16">
        <v>0</v>
      </c>
      <c r="IYC16">
        <v>0</v>
      </c>
      <c r="IYD16">
        <v>0</v>
      </c>
      <c r="IYE16">
        <v>0</v>
      </c>
      <c r="IYF16">
        <v>0</v>
      </c>
      <c r="IYG16">
        <v>0</v>
      </c>
      <c r="IYH16">
        <v>0</v>
      </c>
      <c r="IYI16">
        <v>0</v>
      </c>
      <c r="IYJ16">
        <v>0</v>
      </c>
      <c r="IYK16">
        <v>0</v>
      </c>
      <c r="IYL16">
        <v>0</v>
      </c>
      <c r="IYM16">
        <v>0</v>
      </c>
      <c r="IYN16">
        <v>0</v>
      </c>
      <c r="IYO16">
        <v>0</v>
      </c>
      <c r="IYP16">
        <v>0</v>
      </c>
      <c r="IYQ16">
        <v>0</v>
      </c>
      <c r="IYR16">
        <v>0</v>
      </c>
      <c r="IYS16">
        <v>0</v>
      </c>
      <c r="IYT16">
        <v>0</v>
      </c>
      <c r="IYU16">
        <v>0</v>
      </c>
      <c r="IYV16">
        <v>0</v>
      </c>
      <c r="IYW16">
        <v>0</v>
      </c>
      <c r="IYX16">
        <v>0</v>
      </c>
      <c r="IYY16">
        <v>0</v>
      </c>
      <c r="IYZ16">
        <v>0</v>
      </c>
      <c r="IZA16">
        <v>0</v>
      </c>
      <c r="IZB16">
        <v>0</v>
      </c>
      <c r="IZC16">
        <v>0</v>
      </c>
      <c r="IZD16">
        <v>0</v>
      </c>
      <c r="IZE16">
        <v>0</v>
      </c>
      <c r="IZF16">
        <v>0</v>
      </c>
      <c r="IZG16">
        <v>0</v>
      </c>
      <c r="IZH16">
        <v>0</v>
      </c>
      <c r="IZI16">
        <v>0</v>
      </c>
      <c r="IZJ16">
        <v>0</v>
      </c>
      <c r="IZK16">
        <v>0</v>
      </c>
      <c r="IZL16">
        <v>0</v>
      </c>
      <c r="IZM16">
        <v>0</v>
      </c>
      <c r="IZN16">
        <v>0</v>
      </c>
      <c r="IZO16">
        <v>0</v>
      </c>
      <c r="IZP16">
        <v>0</v>
      </c>
      <c r="IZQ16">
        <v>0</v>
      </c>
      <c r="IZR16">
        <v>0</v>
      </c>
      <c r="IZS16">
        <v>0</v>
      </c>
      <c r="IZT16">
        <v>0</v>
      </c>
      <c r="IZU16">
        <v>0</v>
      </c>
      <c r="IZV16">
        <v>0</v>
      </c>
      <c r="IZW16">
        <v>0</v>
      </c>
      <c r="IZX16">
        <v>0</v>
      </c>
      <c r="IZY16">
        <v>0</v>
      </c>
      <c r="IZZ16">
        <v>0</v>
      </c>
      <c r="JAA16">
        <v>0</v>
      </c>
      <c r="JAB16">
        <v>0</v>
      </c>
      <c r="JAC16">
        <v>0</v>
      </c>
      <c r="JAD16">
        <v>0</v>
      </c>
      <c r="JAE16">
        <v>0</v>
      </c>
      <c r="JAF16">
        <v>0</v>
      </c>
      <c r="JAG16">
        <v>0</v>
      </c>
      <c r="JAH16">
        <v>0</v>
      </c>
      <c r="JAI16">
        <v>0</v>
      </c>
      <c r="JAJ16">
        <v>0</v>
      </c>
      <c r="JAK16">
        <v>0</v>
      </c>
      <c r="JAL16">
        <v>0</v>
      </c>
      <c r="JAM16">
        <v>0</v>
      </c>
      <c r="JAN16">
        <v>0</v>
      </c>
      <c r="JAO16">
        <v>0</v>
      </c>
      <c r="JAP16">
        <v>0</v>
      </c>
      <c r="JAQ16">
        <v>0</v>
      </c>
      <c r="JAR16">
        <v>0</v>
      </c>
      <c r="JAS16">
        <v>0</v>
      </c>
      <c r="JAT16">
        <v>0</v>
      </c>
      <c r="JAU16">
        <v>0</v>
      </c>
      <c r="JAV16">
        <v>0</v>
      </c>
      <c r="JAW16">
        <v>0</v>
      </c>
      <c r="JAX16">
        <v>0</v>
      </c>
      <c r="JAY16">
        <v>0</v>
      </c>
      <c r="JAZ16">
        <v>0</v>
      </c>
      <c r="JBA16">
        <v>0</v>
      </c>
      <c r="JBB16">
        <v>0</v>
      </c>
      <c r="JBC16">
        <v>0</v>
      </c>
      <c r="JBD16">
        <v>0</v>
      </c>
      <c r="JBE16">
        <v>0</v>
      </c>
      <c r="JBF16">
        <v>0</v>
      </c>
      <c r="JBG16">
        <v>0</v>
      </c>
      <c r="JBH16">
        <v>0</v>
      </c>
      <c r="JBI16">
        <v>0</v>
      </c>
      <c r="JBJ16">
        <v>0</v>
      </c>
      <c r="JBK16">
        <v>0</v>
      </c>
      <c r="JBL16">
        <v>0</v>
      </c>
      <c r="JBM16">
        <v>0</v>
      </c>
      <c r="JBN16">
        <v>0</v>
      </c>
      <c r="JBO16">
        <v>0</v>
      </c>
      <c r="JBP16">
        <v>0</v>
      </c>
      <c r="JBQ16">
        <v>0</v>
      </c>
      <c r="JBR16">
        <v>0</v>
      </c>
      <c r="JBS16">
        <v>0</v>
      </c>
      <c r="JBT16">
        <v>0</v>
      </c>
      <c r="JBU16">
        <v>0</v>
      </c>
      <c r="JBV16">
        <v>0</v>
      </c>
      <c r="JBW16">
        <v>0</v>
      </c>
      <c r="JBX16">
        <v>0</v>
      </c>
      <c r="JBY16">
        <v>0</v>
      </c>
      <c r="JBZ16">
        <v>0</v>
      </c>
      <c r="JCA16">
        <v>0</v>
      </c>
      <c r="JCB16">
        <v>0</v>
      </c>
      <c r="JCC16">
        <v>0</v>
      </c>
      <c r="JCD16">
        <v>0</v>
      </c>
      <c r="JCE16">
        <v>0</v>
      </c>
      <c r="JCF16">
        <v>0</v>
      </c>
      <c r="JCG16">
        <v>0</v>
      </c>
      <c r="JCH16">
        <v>0</v>
      </c>
      <c r="JCI16">
        <v>0</v>
      </c>
      <c r="JCJ16">
        <v>0</v>
      </c>
      <c r="JCK16">
        <v>0</v>
      </c>
      <c r="JCL16">
        <v>0</v>
      </c>
      <c r="JCM16">
        <v>0</v>
      </c>
      <c r="JCN16">
        <v>0</v>
      </c>
      <c r="JCO16">
        <v>0</v>
      </c>
      <c r="JCP16">
        <v>0</v>
      </c>
      <c r="JCQ16">
        <v>0</v>
      </c>
      <c r="JCR16">
        <v>0</v>
      </c>
      <c r="JCS16">
        <v>0</v>
      </c>
      <c r="JCT16">
        <v>0</v>
      </c>
      <c r="JCU16">
        <v>0</v>
      </c>
      <c r="JCV16">
        <v>0</v>
      </c>
      <c r="JCW16">
        <v>0</v>
      </c>
      <c r="JCX16">
        <v>0</v>
      </c>
      <c r="JCY16">
        <v>0</v>
      </c>
      <c r="JCZ16">
        <v>0</v>
      </c>
      <c r="JDA16">
        <v>0</v>
      </c>
      <c r="JDB16">
        <v>0</v>
      </c>
      <c r="JDC16">
        <v>0</v>
      </c>
      <c r="JDD16">
        <v>0</v>
      </c>
      <c r="JDE16">
        <v>0</v>
      </c>
      <c r="JDF16">
        <v>0</v>
      </c>
      <c r="JDG16">
        <v>0</v>
      </c>
      <c r="JDH16">
        <v>0</v>
      </c>
      <c r="JDI16">
        <v>0</v>
      </c>
      <c r="JDJ16">
        <v>0</v>
      </c>
      <c r="JDK16">
        <v>0</v>
      </c>
      <c r="JDL16">
        <v>0</v>
      </c>
      <c r="JDM16">
        <v>0</v>
      </c>
      <c r="JDN16">
        <v>0</v>
      </c>
      <c r="JDO16">
        <v>0</v>
      </c>
      <c r="JDP16">
        <v>0</v>
      </c>
      <c r="JDQ16">
        <v>0</v>
      </c>
      <c r="JDR16">
        <v>0</v>
      </c>
      <c r="JDS16">
        <v>0</v>
      </c>
      <c r="JDT16">
        <v>0</v>
      </c>
      <c r="JDU16">
        <v>0</v>
      </c>
      <c r="JDV16">
        <v>0</v>
      </c>
      <c r="JDW16">
        <v>0</v>
      </c>
      <c r="JDX16">
        <v>0</v>
      </c>
      <c r="JDY16">
        <v>0</v>
      </c>
      <c r="JDZ16">
        <v>0</v>
      </c>
      <c r="JEA16">
        <v>0</v>
      </c>
      <c r="JEB16">
        <v>0</v>
      </c>
      <c r="JEC16">
        <v>0</v>
      </c>
      <c r="JED16">
        <v>0</v>
      </c>
      <c r="JEE16">
        <v>0</v>
      </c>
      <c r="JEF16">
        <v>0</v>
      </c>
      <c r="JEG16">
        <v>0</v>
      </c>
      <c r="JEH16">
        <v>0</v>
      </c>
      <c r="JEI16">
        <v>0</v>
      </c>
      <c r="JEJ16">
        <v>0</v>
      </c>
      <c r="JEK16">
        <v>0</v>
      </c>
      <c r="JEL16">
        <v>0</v>
      </c>
      <c r="JEM16">
        <v>0</v>
      </c>
      <c r="JEN16">
        <v>0</v>
      </c>
      <c r="JEO16">
        <v>0</v>
      </c>
      <c r="JEP16">
        <v>0</v>
      </c>
      <c r="JEQ16">
        <v>0</v>
      </c>
      <c r="JER16">
        <v>0</v>
      </c>
      <c r="JES16">
        <v>0</v>
      </c>
      <c r="JET16">
        <v>0</v>
      </c>
      <c r="JEU16">
        <v>0</v>
      </c>
      <c r="JEV16">
        <v>0</v>
      </c>
      <c r="JEW16">
        <v>0</v>
      </c>
      <c r="JEX16">
        <v>0</v>
      </c>
      <c r="JEY16">
        <v>0</v>
      </c>
      <c r="JEZ16">
        <v>0</v>
      </c>
      <c r="JFA16">
        <v>0</v>
      </c>
      <c r="JFB16">
        <v>0</v>
      </c>
      <c r="JFC16">
        <v>0</v>
      </c>
      <c r="JFD16">
        <v>0</v>
      </c>
      <c r="JFE16">
        <v>0</v>
      </c>
      <c r="JFF16">
        <v>0</v>
      </c>
      <c r="JFG16">
        <v>0</v>
      </c>
      <c r="JFH16">
        <v>0</v>
      </c>
      <c r="JFI16">
        <v>0</v>
      </c>
      <c r="JFJ16">
        <v>0</v>
      </c>
      <c r="JFK16">
        <v>0</v>
      </c>
      <c r="JFL16">
        <v>0</v>
      </c>
      <c r="JFM16">
        <v>0</v>
      </c>
      <c r="JFN16">
        <v>0</v>
      </c>
      <c r="JFO16">
        <v>0</v>
      </c>
      <c r="JFP16">
        <v>0</v>
      </c>
      <c r="JFQ16">
        <v>0</v>
      </c>
      <c r="JFR16">
        <v>0</v>
      </c>
      <c r="JFS16">
        <v>0</v>
      </c>
      <c r="JFT16">
        <v>0</v>
      </c>
      <c r="JFU16">
        <v>0</v>
      </c>
      <c r="JFV16">
        <v>0</v>
      </c>
      <c r="JFW16">
        <v>0</v>
      </c>
      <c r="JFX16">
        <v>0</v>
      </c>
      <c r="JFY16">
        <v>0</v>
      </c>
      <c r="JFZ16">
        <v>0</v>
      </c>
      <c r="JGA16">
        <v>0</v>
      </c>
      <c r="JGB16">
        <v>0</v>
      </c>
      <c r="JGC16">
        <v>0</v>
      </c>
      <c r="JGD16">
        <v>0</v>
      </c>
      <c r="JGE16">
        <v>0</v>
      </c>
      <c r="JGF16">
        <v>0</v>
      </c>
      <c r="JGG16">
        <v>0</v>
      </c>
      <c r="JGH16">
        <v>0</v>
      </c>
      <c r="JGI16">
        <v>0</v>
      </c>
      <c r="JGJ16">
        <v>0</v>
      </c>
      <c r="JGK16">
        <v>0</v>
      </c>
      <c r="JGL16">
        <v>0</v>
      </c>
      <c r="JGM16">
        <v>0</v>
      </c>
      <c r="JGN16">
        <v>0</v>
      </c>
      <c r="JGO16">
        <v>0</v>
      </c>
      <c r="JGP16">
        <v>0</v>
      </c>
      <c r="JGQ16">
        <v>0</v>
      </c>
      <c r="JGR16">
        <v>0</v>
      </c>
      <c r="JGS16">
        <v>0</v>
      </c>
      <c r="JGT16">
        <v>0</v>
      </c>
      <c r="JGU16">
        <v>0</v>
      </c>
      <c r="JGV16">
        <v>0</v>
      </c>
      <c r="JGW16">
        <v>0</v>
      </c>
      <c r="JGX16">
        <v>0</v>
      </c>
      <c r="JGY16">
        <v>0</v>
      </c>
      <c r="JGZ16">
        <v>0</v>
      </c>
      <c r="JHA16">
        <v>0</v>
      </c>
      <c r="JHB16">
        <v>0</v>
      </c>
      <c r="JHC16">
        <v>0</v>
      </c>
      <c r="JHD16">
        <v>0</v>
      </c>
      <c r="JHE16">
        <v>0</v>
      </c>
      <c r="JHF16">
        <v>0</v>
      </c>
      <c r="JHG16">
        <v>0</v>
      </c>
      <c r="JHH16">
        <v>0</v>
      </c>
      <c r="JHI16">
        <v>0</v>
      </c>
      <c r="JHJ16">
        <v>0</v>
      </c>
      <c r="JHK16">
        <v>0</v>
      </c>
      <c r="JHL16">
        <v>0</v>
      </c>
      <c r="JHM16">
        <v>0</v>
      </c>
      <c r="JHN16">
        <v>0</v>
      </c>
      <c r="JHO16">
        <v>0</v>
      </c>
      <c r="JHP16">
        <v>0</v>
      </c>
      <c r="JHQ16">
        <v>0</v>
      </c>
      <c r="JHR16">
        <v>0</v>
      </c>
      <c r="JHS16">
        <v>0</v>
      </c>
      <c r="JHT16">
        <v>0</v>
      </c>
      <c r="JHU16">
        <v>0</v>
      </c>
      <c r="JHV16">
        <v>0</v>
      </c>
      <c r="JHW16">
        <v>0</v>
      </c>
      <c r="JHX16">
        <v>0</v>
      </c>
      <c r="JHY16">
        <v>0</v>
      </c>
      <c r="JHZ16">
        <v>0</v>
      </c>
      <c r="JIA16">
        <v>0</v>
      </c>
      <c r="JIB16">
        <v>0</v>
      </c>
      <c r="JIC16">
        <v>0</v>
      </c>
      <c r="JID16">
        <v>0</v>
      </c>
      <c r="JIE16">
        <v>0</v>
      </c>
      <c r="JIF16">
        <v>0</v>
      </c>
      <c r="JIG16">
        <v>0</v>
      </c>
      <c r="JIH16">
        <v>0</v>
      </c>
      <c r="JII16">
        <v>0</v>
      </c>
      <c r="JIJ16">
        <v>0</v>
      </c>
      <c r="JIK16">
        <v>0</v>
      </c>
      <c r="JIL16">
        <v>0</v>
      </c>
      <c r="JIM16">
        <v>0</v>
      </c>
      <c r="JIN16">
        <v>0</v>
      </c>
      <c r="JIO16">
        <v>0</v>
      </c>
      <c r="JIP16">
        <v>0</v>
      </c>
      <c r="JIQ16">
        <v>0</v>
      </c>
      <c r="JIR16">
        <v>0</v>
      </c>
      <c r="JIS16">
        <v>0</v>
      </c>
      <c r="JIT16">
        <v>0</v>
      </c>
      <c r="JIU16">
        <v>0</v>
      </c>
      <c r="JIV16">
        <v>0</v>
      </c>
      <c r="JIW16">
        <v>0</v>
      </c>
      <c r="JIX16">
        <v>0</v>
      </c>
      <c r="JIY16">
        <v>0</v>
      </c>
      <c r="JIZ16">
        <v>0</v>
      </c>
      <c r="JJA16">
        <v>0</v>
      </c>
      <c r="JJB16">
        <v>0</v>
      </c>
      <c r="JJC16">
        <v>0</v>
      </c>
      <c r="JJD16">
        <v>0</v>
      </c>
      <c r="JJE16">
        <v>0</v>
      </c>
      <c r="JJF16">
        <v>0</v>
      </c>
      <c r="JJG16">
        <v>0</v>
      </c>
      <c r="JJH16">
        <v>0</v>
      </c>
      <c r="JJI16">
        <v>0</v>
      </c>
      <c r="JJJ16">
        <v>0</v>
      </c>
      <c r="JJK16">
        <v>0</v>
      </c>
      <c r="JJL16">
        <v>0</v>
      </c>
      <c r="JJM16">
        <v>0</v>
      </c>
      <c r="JJN16">
        <v>0</v>
      </c>
      <c r="JJO16">
        <v>0</v>
      </c>
      <c r="JJP16">
        <v>0</v>
      </c>
      <c r="JJQ16">
        <v>0</v>
      </c>
      <c r="JJR16">
        <v>0</v>
      </c>
      <c r="JJS16">
        <v>0</v>
      </c>
      <c r="JJT16">
        <v>0</v>
      </c>
      <c r="JJU16">
        <v>0</v>
      </c>
      <c r="JJV16">
        <v>0</v>
      </c>
      <c r="JJW16">
        <v>0</v>
      </c>
      <c r="JJX16">
        <v>0</v>
      </c>
      <c r="JJY16">
        <v>0</v>
      </c>
      <c r="JJZ16">
        <v>0</v>
      </c>
      <c r="JKA16">
        <v>0</v>
      </c>
      <c r="JKB16">
        <v>0</v>
      </c>
      <c r="JKC16">
        <v>0</v>
      </c>
      <c r="JKD16">
        <v>0</v>
      </c>
      <c r="JKE16">
        <v>0</v>
      </c>
      <c r="JKF16">
        <v>0</v>
      </c>
      <c r="JKG16">
        <v>0</v>
      </c>
      <c r="JKH16">
        <v>0</v>
      </c>
      <c r="JKI16">
        <v>0</v>
      </c>
      <c r="JKJ16">
        <v>0</v>
      </c>
      <c r="JKK16">
        <v>0</v>
      </c>
      <c r="JKL16">
        <v>0</v>
      </c>
      <c r="JKM16">
        <v>0</v>
      </c>
      <c r="JKN16">
        <v>0</v>
      </c>
      <c r="JKO16">
        <v>0</v>
      </c>
      <c r="JKP16">
        <v>0</v>
      </c>
      <c r="JKQ16">
        <v>0</v>
      </c>
      <c r="JKR16">
        <v>0</v>
      </c>
      <c r="JKS16">
        <v>0</v>
      </c>
      <c r="JKT16">
        <v>0</v>
      </c>
      <c r="JKU16">
        <v>0</v>
      </c>
      <c r="JKV16">
        <v>0</v>
      </c>
      <c r="JKW16">
        <v>0</v>
      </c>
      <c r="JKX16">
        <v>0</v>
      </c>
      <c r="JKY16">
        <v>0</v>
      </c>
      <c r="JKZ16">
        <v>0</v>
      </c>
      <c r="JLA16">
        <v>0</v>
      </c>
      <c r="JLB16">
        <v>0</v>
      </c>
      <c r="JLC16">
        <v>0</v>
      </c>
      <c r="JLD16">
        <v>0</v>
      </c>
      <c r="JLE16">
        <v>0</v>
      </c>
      <c r="JLF16">
        <v>0</v>
      </c>
      <c r="JLG16">
        <v>0</v>
      </c>
      <c r="JLH16">
        <v>0</v>
      </c>
      <c r="JLI16">
        <v>0</v>
      </c>
      <c r="JLJ16">
        <v>0</v>
      </c>
      <c r="JLK16">
        <v>0</v>
      </c>
      <c r="JLL16">
        <v>0</v>
      </c>
      <c r="JLM16">
        <v>0</v>
      </c>
      <c r="JLN16">
        <v>0</v>
      </c>
      <c r="JLO16">
        <v>0</v>
      </c>
      <c r="JLP16">
        <v>0</v>
      </c>
      <c r="JLQ16">
        <v>0</v>
      </c>
      <c r="JLR16">
        <v>0</v>
      </c>
      <c r="JLS16">
        <v>0</v>
      </c>
      <c r="JLT16">
        <v>0</v>
      </c>
      <c r="JLU16">
        <v>0</v>
      </c>
      <c r="JLV16">
        <v>0</v>
      </c>
      <c r="JLW16">
        <v>0</v>
      </c>
      <c r="JLX16">
        <v>0</v>
      </c>
      <c r="JLY16">
        <v>0</v>
      </c>
      <c r="JLZ16">
        <v>0</v>
      </c>
      <c r="JMA16">
        <v>0</v>
      </c>
      <c r="JMB16">
        <v>0</v>
      </c>
      <c r="JMC16">
        <v>0</v>
      </c>
      <c r="JMD16">
        <v>0</v>
      </c>
      <c r="JME16">
        <v>0</v>
      </c>
      <c r="JMF16">
        <v>0</v>
      </c>
      <c r="JMG16">
        <v>0</v>
      </c>
      <c r="JMH16">
        <v>0</v>
      </c>
      <c r="JMI16">
        <v>0</v>
      </c>
      <c r="JMJ16">
        <v>0</v>
      </c>
      <c r="JMK16">
        <v>0</v>
      </c>
      <c r="JML16">
        <v>0</v>
      </c>
      <c r="JMM16">
        <v>0</v>
      </c>
      <c r="JMN16">
        <v>0</v>
      </c>
      <c r="JMO16">
        <v>0</v>
      </c>
      <c r="JMP16">
        <v>0</v>
      </c>
      <c r="JMQ16">
        <v>0</v>
      </c>
      <c r="JMR16">
        <v>0</v>
      </c>
      <c r="JMS16">
        <v>0</v>
      </c>
      <c r="JMT16">
        <v>0</v>
      </c>
      <c r="JMU16">
        <v>0</v>
      </c>
      <c r="JMV16">
        <v>0</v>
      </c>
      <c r="JMW16">
        <v>0</v>
      </c>
      <c r="JMX16">
        <v>0</v>
      </c>
      <c r="JMY16">
        <v>0</v>
      </c>
      <c r="JMZ16">
        <v>0</v>
      </c>
      <c r="JNA16">
        <v>0</v>
      </c>
      <c r="JNB16">
        <v>0</v>
      </c>
      <c r="JNC16">
        <v>0</v>
      </c>
      <c r="JND16">
        <v>0</v>
      </c>
      <c r="JNE16">
        <v>0</v>
      </c>
      <c r="JNF16">
        <v>0</v>
      </c>
      <c r="JNG16">
        <v>0</v>
      </c>
      <c r="JNH16">
        <v>0</v>
      </c>
      <c r="JNI16">
        <v>0</v>
      </c>
      <c r="JNJ16">
        <v>0</v>
      </c>
      <c r="JNK16">
        <v>0</v>
      </c>
      <c r="JNL16">
        <v>0</v>
      </c>
      <c r="JNM16">
        <v>0</v>
      </c>
      <c r="JNN16">
        <v>0</v>
      </c>
      <c r="JNO16">
        <v>0</v>
      </c>
      <c r="JNP16">
        <v>0</v>
      </c>
      <c r="JNQ16">
        <v>0</v>
      </c>
      <c r="JNR16">
        <v>0</v>
      </c>
      <c r="JNS16">
        <v>0</v>
      </c>
      <c r="JNT16">
        <v>0</v>
      </c>
      <c r="JNU16">
        <v>0</v>
      </c>
      <c r="JNV16">
        <v>0</v>
      </c>
      <c r="JNW16">
        <v>0</v>
      </c>
      <c r="JNX16">
        <v>0</v>
      </c>
      <c r="JNY16">
        <v>0</v>
      </c>
      <c r="JNZ16">
        <v>0</v>
      </c>
      <c r="JOA16">
        <v>0</v>
      </c>
      <c r="JOB16">
        <v>0</v>
      </c>
      <c r="JOC16">
        <v>0</v>
      </c>
      <c r="JOD16">
        <v>0</v>
      </c>
      <c r="JOE16">
        <v>0</v>
      </c>
      <c r="JOF16">
        <v>0</v>
      </c>
      <c r="JOG16">
        <v>0</v>
      </c>
      <c r="JOH16">
        <v>0</v>
      </c>
      <c r="JOI16">
        <v>0</v>
      </c>
      <c r="JOJ16">
        <v>0</v>
      </c>
      <c r="JOK16">
        <v>0</v>
      </c>
      <c r="JOL16">
        <v>0</v>
      </c>
      <c r="JOM16">
        <v>0</v>
      </c>
      <c r="JON16">
        <v>0</v>
      </c>
      <c r="JOO16">
        <v>0</v>
      </c>
      <c r="JOP16">
        <v>0</v>
      </c>
      <c r="JOQ16">
        <v>0</v>
      </c>
      <c r="JOR16">
        <v>0</v>
      </c>
      <c r="JOS16">
        <v>0</v>
      </c>
      <c r="JOT16">
        <v>0</v>
      </c>
      <c r="JOU16">
        <v>0</v>
      </c>
      <c r="JOV16">
        <v>0</v>
      </c>
      <c r="JOW16">
        <v>0</v>
      </c>
      <c r="JOX16">
        <v>0</v>
      </c>
      <c r="JOY16">
        <v>0</v>
      </c>
      <c r="JOZ16">
        <v>0</v>
      </c>
      <c r="JPA16">
        <v>0</v>
      </c>
      <c r="JPB16">
        <v>0</v>
      </c>
      <c r="JPC16">
        <v>0</v>
      </c>
      <c r="JPD16">
        <v>0</v>
      </c>
      <c r="JPE16">
        <v>0</v>
      </c>
      <c r="JPF16">
        <v>0</v>
      </c>
      <c r="JPG16">
        <v>0</v>
      </c>
      <c r="JPH16">
        <v>0</v>
      </c>
      <c r="JPI16">
        <v>0</v>
      </c>
      <c r="JPJ16">
        <v>0</v>
      </c>
      <c r="JPK16">
        <v>0</v>
      </c>
      <c r="JPL16">
        <v>0</v>
      </c>
      <c r="JPM16">
        <v>0</v>
      </c>
      <c r="JPN16">
        <v>0</v>
      </c>
      <c r="JPO16">
        <v>0</v>
      </c>
      <c r="JPP16">
        <v>0</v>
      </c>
      <c r="JPQ16">
        <v>0</v>
      </c>
      <c r="JPR16">
        <v>0</v>
      </c>
      <c r="JPS16">
        <v>0</v>
      </c>
      <c r="JPT16">
        <v>0</v>
      </c>
      <c r="JPU16">
        <v>0</v>
      </c>
      <c r="JPV16">
        <v>0</v>
      </c>
      <c r="JPW16">
        <v>0</v>
      </c>
      <c r="JPX16">
        <v>0</v>
      </c>
      <c r="JPY16">
        <v>0</v>
      </c>
      <c r="JPZ16">
        <v>0</v>
      </c>
      <c r="JQA16">
        <v>0</v>
      </c>
      <c r="JQB16">
        <v>0</v>
      </c>
      <c r="JQC16">
        <v>0</v>
      </c>
      <c r="JQD16">
        <v>0</v>
      </c>
      <c r="JQE16">
        <v>0</v>
      </c>
      <c r="JQF16">
        <v>0</v>
      </c>
      <c r="JQG16">
        <v>0</v>
      </c>
      <c r="JQH16">
        <v>0</v>
      </c>
      <c r="JQI16">
        <v>0</v>
      </c>
      <c r="JQJ16">
        <v>0</v>
      </c>
      <c r="JQK16">
        <v>0</v>
      </c>
      <c r="JQL16">
        <v>0</v>
      </c>
      <c r="JQM16">
        <v>0</v>
      </c>
      <c r="JQN16">
        <v>0</v>
      </c>
      <c r="JQO16">
        <v>0</v>
      </c>
      <c r="JQP16">
        <v>0</v>
      </c>
      <c r="JQQ16">
        <v>0</v>
      </c>
      <c r="JQR16">
        <v>0</v>
      </c>
      <c r="JQS16">
        <v>0</v>
      </c>
      <c r="JQT16">
        <v>0</v>
      </c>
      <c r="JQU16">
        <v>0</v>
      </c>
      <c r="JQV16">
        <v>0</v>
      </c>
      <c r="JQW16">
        <v>0</v>
      </c>
      <c r="JQX16">
        <v>0</v>
      </c>
      <c r="JQY16">
        <v>0</v>
      </c>
      <c r="JQZ16">
        <v>0</v>
      </c>
      <c r="JRA16">
        <v>0</v>
      </c>
      <c r="JRB16">
        <v>0</v>
      </c>
      <c r="JRC16">
        <v>0</v>
      </c>
      <c r="JRD16">
        <v>0</v>
      </c>
      <c r="JRE16">
        <v>0</v>
      </c>
      <c r="JRF16">
        <v>0</v>
      </c>
      <c r="JRG16">
        <v>0</v>
      </c>
      <c r="JRH16">
        <v>0</v>
      </c>
      <c r="JRI16">
        <v>0</v>
      </c>
      <c r="JRJ16">
        <v>0</v>
      </c>
      <c r="JRK16">
        <v>0</v>
      </c>
      <c r="JRL16">
        <v>0</v>
      </c>
      <c r="JRM16">
        <v>0</v>
      </c>
      <c r="JRN16">
        <v>0</v>
      </c>
      <c r="JRO16">
        <v>0</v>
      </c>
      <c r="JRP16">
        <v>0</v>
      </c>
      <c r="JRQ16">
        <v>0</v>
      </c>
      <c r="JRR16">
        <v>0</v>
      </c>
      <c r="JRS16">
        <v>0</v>
      </c>
      <c r="JRT16">
        <v>0</v>
      </c>
      <c r="JRU16">
        <v>0</v>
      </c>
      <c r="JRV16">
        <v>0</v>
      </c>
      <c r="JRW16">
        <v>0</v>
      </c>
      <c r="JRX16">
        <v>0</v>
      </c>
      <c r="JRY16">
        <v>0</v>
      </c>
      <c r="JRZ16">
        <v>0</v>
      </c>
      <c r="JSA16">
        <v>0</v>
      </c>
      <c r="JSB16">
        <v>0</v>
      </c>
      <c r="JSC16">
        <v>0</v>
      </c>
      <c r="JSD16">
        <v>0</v>
      </c>
      <c r="JSE16">
        <v>0</v>
      </c>
      <c r="JSF16">
        <v>0</v>
      </c>
      <c r="JSG16">
        <v>0</v>
      </c>
      <c r="JSH16">
        <v>0</v>
      </c>
      <c r="JSI16">
        <v>0</v>
      </c>
      <c r="JSJ16">
        <v>0</v>
      </c>
      <c r="JSK16">
        <v>0</v>
      </c>
      <c r="JSL16">
        <v>0</v>
      </c>
      <c r="JSM16">
        <v>0</v>
      </c>
      <c r="JSN16">
        <v>0</v>
      </c>
      <c r="JSO16">
        <v>0</v>
      </c>
      <c r="JSP16">
        <v>0</v>
      </c>
      <c r="JSQ16">
        <v>0</v>
      </c>
      <c r="JSR16">
        <v>0</v>
      </c>
      <c r="JSS16">
        <v>0</v>
      </c>
      <c r="JST16">
        <v>0</v>
      </c>
      <c r="JSU16">
        <v>0</v>
      </c>
      <c r="JSV16">
        <v>0</v>
      </c>
      <c r="JSW16">
        <v>0</v>
      </c>
      <c r="JSX16">
        <v>0</v>
      </c>
      <c r="JSY16">
        <v>0</v>
      </c>
      <c r="JSZ16">
        <v>0</v>
      </c>
      <c r="JTA16">
        <v>0</v>
      </c>
      <c r="JTB16">
        <v>0</v>
      </c>
      <c r="JTC16">
        <v>0</v>
      </c>
      <c r="JTD16">
        <v>0</v>
      </c>
      <c r="JTE16">
        <v>0</v>
      </c>
      <c r="JTF16">
        <v>0</v>
      </c>
      <c r="JTG16">
        <v>0</v>
      </c>
      <c r="JTH16">
        <v>0</v>
      </c>
      <c r="JTI16">
        <v>0</v>
      </c>
      <c r="JTJ16">
        <v>0</v>
      </c>
      <c r="JTK16">
        <v>0</v>
      </c>
      <c r="JTL16">
        <v>0</v>
      </c>
      <c r="JTM16">
        <v>0</v>
      </c>
      <c r="JTN16">
        <v>0</v>
      </c>
      <c r="JTO16">
        <v>0</v>
      </c>
      <c r="JTP16">
        <v>0</v>
      </c>
      <c r="JTQ16">
        <v>0</v>
      </c>
      <c r="JTR16">
        <v>0</v>
      </c>
      <c r="JTS16">
        <v>0</v>
      </c>
      <c r="JTT16">
        <v>0</v>
      </c>
      <c r="JTU16">
        <v>0</v>
      </c>
      <c r="JTV16">
        <v>0</v>
      </c>
      <c r="JTW16">
        <v>0</v>
      </c>
      <c r="JTX16">
        <v>0</v>
      </c>
      <c r="JTY16">
        <v>0</v>
      </c>
      <c r="JTZ16">
        <v>0</v>
      </c>
      <c r="JUA16">
        <v>0</v>
      </c>
      <c r="JUB16">
        <v>0</v>
      </c>
      <c r="JUC16">
        <v>0</v>
      </c>
      <c r="JUD16">
        <v>0</v>
      </c>
      <c r="JUE16">
        <v>0</v>
      </c>
      <c r="JUF16">
        <v>0</v>
      </c>
      <c r="JUG16">
        <v>0</v>
      </c>
      <c r="JUH16">
        <v>0</v>
      </c>
      <c r="JUI16">
        <v>0</v>
      </c>
      <c r="JUJ16">
        <v>0</v>
      </c>
      <c r="JUK16">
        <v>0</v>
      </c>
      <c r="JUL16">
        <v>0</v>
      </c>
      <c r="JUM16">
        <v>0</v>
      </c>
      <c r="JUN16">
        <v>0</v>
      </c>
      <c r="JUO16">
        <v>0</v>
      </c>
      <c r="JUP16">
        <v>0</v>
      </c>
      <c r="JUQ16">
        <v>0</v>
      </c>
      <c r="JUR16">
        <v>0</v>
      </c>
      <c r="JUS16">
        <v>0</v>
      </c>
      <c r="JUT16">
        <v>0</v>
      </c>
      <c r="JUU16">
        <v>0</v>
      </c>
      <c r="JUV16">
        <v>0</v>
      </c>
      <c r="JUW16">
        <v>0</v>
      </c>
      <c r="JUX16">
        <v>0</v>
      </c>
      <c r="JUY16">
        <v>0</v>
      </c>
      <c r="JUZ16">
        <v>0</v>
      </c>
      <c r="JVA16">
        <v>0</v>
      </c>
      <c r="JVB16">
        <v>0</v>
      </c>
      <c r="JVC16">
        <v>0</v>
      </c>
      <c r="JVD16">
        <v>0</v>
      </c>
      <c r="JVE16">
        <v>0</v>
      </c>
      <c r="JVF16">
        <v>0</v>
      </c>
      <c r="JVG16">
        <v>0</v>
      </c>
      <c r="JVH16">
        <v>0</v>
      </c>
      <c r="JVI16">
        <v>0</v>
      </c>
      <c r="JVJ16">
        <v>0</v>
      </c>
      <c r="JVK16">
        <v>0</v>
      </c>
      <c r="JVL16">
        <v>0</v>
      </c>
      <c r="JVM16">
        <v>0</v>
      </c>
      <c r="JVN16">
        <v>0</v>
      </c>
      <c r="JVO16">
        <v>0</v>
      </c>
      <c r="JVP16">
        <v>0</v>
      </c>
      <c r="JVQ16">
        <v>0</v>
      </c>
      <c r="JVR16">
        <v>0</v>
      </c>
      <c r="JVS16">
        <v>0</v>
      </c>
      <c r="JVT16">
        <v>0</v>
      </c>
      <c r="JVU16">
        <v>0</v>
      </c>
      <c r="JVV16">
        <v>0</v>
      </c>
      <c r="JVW16">
        <v>0</v>
      </c>
      <c r="JVX16">
        <v>0</v>
      </c>
      <c r="JVY16">
        <v>0</v>
      </c>
      <c r="JVZ16">
        <v>0</v>
      </c>
      <c r="JWA16">
        <v>0</v>
      </c>
      <c r="JWB16">
        <v>0</v>
      </c>
      <c r="JWC16">
        <v>0</v>
      </c>
      <c r="JWD16">
        <v>0</v>
      </c>
      <c r="JWE16">
        <v>0</v>
      </c>
      <c r="JWF16">
        <v>0</v>
      </c>
      <c r="JWG16">
        <v>0</v>
      </c>
      <c r="JWH16">
        <v>0</v>
      </c>
      <c r="JWI16">
        <v>0</v>
      </c>
      <c r="JWJ16">
        <v>0</v>
      </c>
      <c r="JWK16">
        <v>0</v>
      </c>
      <c r="JWL16">
        <v>0</v>
      </c>
      <c r="JWM16">
        <v>0</v>
      </c>
      <c r="JWN16">
        <v>0</v>
      </c>
      <c r="JWO16">
        <v>0</v>
      </c>
      <c r="JWP16">
        <v>0</v>
      </c>
      <c r="JWQ16">
        <v>0</v>
      </c>
      <c r="JWR16">
        <v>0</v>
      </c>
      <c r="JWS16">
        <v>0</v>
      </c>
      <c r="JWT16">
        <v>0</v>
      </c>
      <c r="JWU16">
        <v>0</v>
      </c>
      <c r="JWV16">
        <v>0</v>
      </c>
      <c r="JWW16">
        <v>0</v>
      </c>
      <c r="JWX16">
        <v>0</v>
      </c>
      <c r="JWY16">
        <v>0</v>
      </c>
      <c r="JWZ16">
        <v>0</v>
      </c>
      <c r="JXA16">
        <v>0</v>
      </c>
      <c r="JXB16">
        <v>0</v>
      </c>
      <c r="JXC16">
        <v>0</v>
      </c>
      <c r="JXD16">
        <v>0</v>
      </c>
      <c r="JXE16">
        <v>0</v>
      </c>
      <c r="JXF16">
        <v>0</v>
      </c>
      <c r="JXG16">
        <v>0</v>
      </c>
      <c r="JXH16">
        <v>0</v>
      </c>
      <c r="JXI16">
        <v>0</v>
      </c>
      <c r="JXJ16">
        <v>0</v>
      </c>
      <c r="JXK16">
        <v>0</v>
      </c>
      <c r="JXL16">
        <v>0</v>
      </c>
      <c r="JXM16">
        <v>0</v>
      </c>
      <c r="JXN16">
        <v>0</v>
      </c>
      <c r="JXO16">
        <v>0</v>
      </c>
      <c r="JXP16">
        <v>0</v>
      </c>
      <c r="JXQ16">
        <v>0</v>
      </c>
      <c r="JXR16">
        <v>0</v>
      </c>
      <c r="JXS16">
        <v>0</v>
      </c>
      <c r="JXT16">
        <v>0</v>
      </c>
      <c r="JXU16">
        <v>0</v>
      </c>
      <c r="JXV16">
        <v>0</v>
      </c>
      <c r="JXW16">
        <v>0</v>
      </c>
      <c r="JXX16">
        <v>0</v>
      </c>
      <c r="JXY16">
        <v>0</v>
      </c>
      <c r="JXZ16">
        <v>0</v>
      </c>
      <c r="JYA16">
        <v>0</v>
      </c>
      <c r="JYB16">
        <v>0</v>
      </c>
      <c r="JYC16">
        <v>0</v>
      </c>
      <c r="JYD16">
        <v>0</v>
      </c>
      <c r="JYE16">
        <v>0</v>
      </c>
      <c r="JYF16">
        <v>0</v>
      </c>
      <c r="JYG16">
        <v>0</v>
      </c>
      <c r="JYH16">
        <v>0</v>
      </c>
      <c r="JYI16">
        <v>0</v>
      </c>
      <c r="JYJ16">
        <v>0</v>
      </c>
      <c r="JYK16">
        <v>0</v>
      </c>
      <c r="JYL16">
        <v>0</v>
      </c>
      <c r="JYM16">
        <v>0</v>
      </c>
      <c r="JYN16">
        <v>0</v>
      </c>
      <c r="JYO16">
        <v>0</v>
      </c>
      <c r="JYP16">
        <v>0</v>
      </c>
      <c r="JYQ16">
        <v>0</v>
      </c>
      <c r="JYR16">
        <v>0</v>
      </c>
      <c r="JYS16">
        <v>0</v>
      </c>
      <c r="JYT16">
        <v>0</v>
      </c>
      <c r="JYU16">
        <v>0</v>
      </c>
      <c r="JYV16">
        <v>0</v>
      </c>
      <c r="JYW16">
        <v>0</v>
      </c>
      <c r="JYX16">
        <v>0</v>
      </c>
      <c r="JYY16">
        <v>0</v>
      </c>
      <c r="JYZ16">
        <v>0</v>
      </c>
      <c r="JZA16">
        <v>0</v>
      </c>
      <c r="JZB16">
        <v>0</v>
      </c>
      <c r="JZC16">
        <v>0</v>
      </c>
      <c r="JZD16">
        <v>0</v>
      </c>
      <c r="JZE16">
        <v>0</v>
      </c>
      <c r="JZF16">
        <v>0</v>
      </c>
      <c r="JZG16">
        <v>0</v>
      </c>
      <c r="JZH16">
        <v>0</v>
      </c>
      <c r="JZI16">
        <v>0</v>
      </c>
      <c r="JZJ16">
        <v>0</v>
      </c>
      <c r="JZK16">
        <v>0</v>
      </c>
      <c r="JZL16">
        <v>0</v>
      </c>
      <c r="JZM16">
        <v>0</v>
      </c>
      <c r="JZN16">
        <v>0</v>
      </c>
      <c r="JZO16">
        <v>0</v>
      </c>
      <c r="JZP16">
        <v>0</v>
      </c>
      <c r="JZQ16">
        <v>0</v>
      </c>
      <c r="JZR16">
        <v>0</v>
      </c>
      <c r="JZS16">
        <v>0</v>
      </c>
      <c r="JZT16">
        <v>0</v>
      </c>
      <c r="JZU16">
        <v>0</v>
      </c>
      <c r="JZV16">
        <v>0</v>
      </c>
      <c r="JZW16">
        <v>0</v>
      </c>
      <c r="JZX16">
        <v>0</v>
      </c>
      <c r="JZY16">
        <v>0</v>
      </c>
      <c r="JZZ16">
        <v>0</v>
      </c>
      <c r="KAA16">
        <v>0</v>
      </c>
      <c r="KAB16">
        <v>0</v>
      </c>
      <c r="KAC16">
        <v>0</v>
      </c>
      <c r="KAD16">
        <v>0</v>
      </c>
      <c r="KAE16">
        <v>0</v>
      </c>
      <c r="KAF16">
        <v>0</v>
      </c>
      <c r="KAG16">
        <v>0</v>
      </c>
      <c r="KAH16">
        <v>0</v>
      </c>
      <c r="KAI16">
        <v>0</v>
      </c>
      <c r="KAJ16">
        <v>0</v>
      </c>
      <c r="KAK16">
        <v>0</v>
      </c>
      <c r="KAL16">
        <v>0</v>
      </c>
      <c r="KAM16">
        <v>0</v>
      </c>
      <c r="KAN16">
        <v>0</v>
      </c>
      <c r="KAO16">
        <v>0</v>
      </c>
      <c r="KAP16">
        <v>0</v>
      </c>
      <c r="KAQ16">
        <v>0</v>
      </c>
      <c r="KAR16">
        <v>0</v>
      </c>
      <c r="KAS16">
        <v>0</v>
      </c>
      <c r="KAT16">
        <v>0</v>
      </c>
      <c r="KAU16">
        <v>0</v>
      </c>
      <c r="KAV16">
        <v>0</v>
      </c>
      <c r="KAW16">
        <v>0</v>
      </c>
      <c r="KAX16">
        <v>0</v>
      </c>
      <c r="KAY16">
        <v>0</v>
      </c>
      <c r="KAZ16">
        <v>0</v>
      </c>
      <c r="KBA16">
        <v>0</v>
      </c>
      <c r="KBB16">
        <v>0</v>
      </c>
      <c r="KBC16">
        <v>0</v>
      </c>
      <c r="KBD16">
        <v>0</v>
      </c>
      <c r="KBE16">
        <v>0</v>
      </c>
      <c r="KBF16">
        <v>0</v>
      </c>
      <c r="KBG16">
        <v>0</v>
      </c>
      <c r="KBH16">
        <v>0</v>
      </c>
      <c r="KBI16">
        <v>0</v>
      </c>
      <c r="KBJ16">
        <v>0</v>
      </c>
      <c r="KBK16">
        <v>0</v>
      </c>
      <c r="KBL16">
        <v>0</v>
      </c>
      <c r="KBM16">
        <v>0</v>
      </c>
      <c r="KBN16">
        <v>0</v>
      </c>
      <c r="KBO16">
        <v>0</v>
      </c>
      <c r="KBP16">
        <v>0</v>
      </c>
      <c r="KBQ16">
        <v>0</v>
      </c>
      <c r="KBR16">
        <v>0</v>
      </c>
      <c r="KBS16">
        <v>0</v>
      </c>
      <c r="KBT16">
        <v>0</v>
      </c>
      <c r="KBU16">
        <v>0</v>
      </c>
      <c r="KBV16">
        <v>0</v>
      </c>
      <c r="KBW16">
        <v>0</v>
      </c>
      <c r="KBX16">
        <v>0</v>
      </c>
      <c r="KBY16">
        <v>0</v>
      </c>
      <c r="KBZ16">
        <v>0</v>
      </c>
      <c r="KCA16">
        <v>0</v>
      </c>
      <c r="KCB16">
        <v>0</v>
      </c>
      <c r="KCC16">
        <v>0</v>
      </c>
      <c r="KCD16">
        <v>0</v>
      </c>
      <c r="KCE16">
        <v>0</v>
      </c>
      <c r="KCF16">
        <v>0</v>
      </c>
      <c r="KCG16">
        <v>0</v>
      </c>
      <c r="KCH16">
        <v>0</v>
      </c>
      <c r="KCI16">
        <v>0</v>
      </c>
      <c r="KCJ16">
        <v>0</v>
      </c>
      <c r="KCK16">
        <v>0</v>
      </c>
      <c r="KCL16">
        <v>0</v>
      </c>
      <c r="KCM16">
        <v>0</v>
      </c>
      <c r="KCN16">
        <v>0</v>
      </c>
      <c r="KCO16">
        <v>0</v>
      </c>
      <c r="KCP16">
        <v>0</v>
      </c>
      <c r="KCQ16">
        <v>0</v>
      </c>
      <c r="KCR16">
        <v>0</v>
      </c>
      <c r="KCS16">
        <v>0</v>
      </c>
      <c r="KCT16">
        <v>0</v>
      </c>
      <c r="KCU16">
        <v>0</v>
      </c>
      <c r="KCV16">
        <v>0</v>
      </c>
      <c r="KCW16">
        <v>0</v>
      </c>
      <c r="KCX16">
        <v>0</v>
      </c>
      <c r="KCY16">
        <v>0</v>
      </c>
      <c r="KCZ16">
        <v>0</v>
      </c>
      <c r="KDA16">
        <v>0</v>
      </c>
      <c r="KDB16">
        <v>0</v>
      </c>
      <c r="KDC16">
        <v>0</v>
      </c>
      <c r="KDD16">
        <v>0</v>
      </c>
      <c r="KDE16">
        <v>0</v>
      </c>
      <c r="KDF16">
        <v>0</v>
      </c>
      <c r="KDG16">
        <v>0</v>
      </c>
      <c r="KDH16">
        <v>0</v>
      </c>
      <c r="KDI16">
        <v>0</v>
      </c>
      <c r="KDJ16">
        <v>0</v>
      </c>
      <c r="KDK16">
        <v>0</v>
      </c>
      <c r="KDL16">
        <v>0</v>
      </c>
      <c r="KDM16">
        <v>0</v>
      </c>
      <c r="KDN16">
        <v>0</v>
      </c>
      <c r="KDO16">
        <v>0</v>
      </c>
      <c r="KDP16">
        <v>0</v>
      </c>
      <c r="KDQ16">
        <v>0</v>
      </c>
      <c r="KDR16">
        <v>0</v>
      </c>
      <c r="KDS16">
        <v>0</v>
      </c>
      <c r="KDT16">
        <v>0</v>
      </c>
      <c r="KDU16">
        <v>0</v>
      </c>
      <c r="KDV16">
        <v>0</v>
      </c>
      <c r="KDW16">
        <v>0</v>
      </c>
      <c r="KDX16">
        <v>0</v>
      </c>
      <c r="KDY16">
        <v>0</v>
      </c>
      <c r="KDZ16">
        <v>0</v>
      </c>
      <c r="KEA16">
        <v>0</v>
      </c>
      <c r="KEB16">
        <v>0</v>
      </c>
      <c r="KEC16">
        <v>0</v>
      </c>
      <c r="KED16">
        <v>0</v>
      </c>
      <c r="KEE16">
        <v>0</v>
      </c>
      <c r="KEF16">
        <v>0</v>
      </c>
      <c r="KEG16">
        <v>0</v>
      </c>
      <c r="KEH16">
        <v>0</v>
      </c>
      <c r="KEI16">
        <v>0</v>
      </c>
      <c r="KEJ16">
        <v>0</v>
      </c>
      <c r="KEK16">
        <v>0</v>
      </c>
      <c r="KEL16">
        <v>0</v>
      </c>
      <c r="KEM16">
        <v>0</v>
      </c>
      <c r="KEN16">
        <v>0</v>
      </c>
      <c r="KEO16">
        <v>0</v>
      </c>
      <c r="KEP16">
        <v>0</v>
      </c>
      <c r="KEQ16">
        <v>0</v>
      </c>
      <c r="KER16">
        <v>0</v>
      </c>
      <c r="KES16">
        <v>0</v>
      </c>
      <c r="KET16">
        <v>0</v>
      </c>
      <c r="KEU16">
        <v>0</v>
      </c>
      <c r="KEV16">
        <v>0</v>
      </c>
      <c r="KEW16">
        <v>0</v>
      </c>
      <c r="KEX16">
        <v>0</v>
      </c>
      <c r="KEY16">
        <v>0</v>
      </c>
      <c r="KEZ16">
        <v>0</v>
      </c>
      <c r="KFA16">
        <v>0</v>
      </c>
      <c r="KFB16">
        <v>0</v>
      </c>
      <c r="KFC16">
        <v>0</v>
      </c>
      <c r="KFD16">
        <v>0</v>
      </c>
      <c r="KFE16">
        <v>0</v>
      </c>
      <c r="KFF16">
        <v>0</v>
      </c>
      <c r="KFG16">
        <v>0</v>
      </c>
      <c r="KFH16">
        <v>0</v>
      </c>
      <c r="KFI16">
        <v>0</v>
      </c>
      <c r="KFJ16">
        <v>0</v>
      </c>
      <c r="KFK16">
        <v>0</v>
      </c>
      <c r="KFL16">
        <v>0</v>
      </c>
      <c r="KFM16">
        <v>0</v>
      </c>
      <c r="KFN16">
        <v>0</v>
      </c>
      <c r="KFO16">
        <v>0</v>
      </c>
      <c r="KFP16">
        <v>0</v>
      </c>
      <c r="KFQ16">
        <v>0</v>
      </c>
      <c r="KFR16">
        <v>0</v>
      </c>
      <c r="KFS16">
        <v>0</v>
      </c>
      <c r="KFT16">
        <v>0</v>
      </c>
      <c r="KFU16">
        <v>0</v>
      </c>
      <c r="KFV16">
        <v>0</v>
      </c>
      <c r="KFW16">
        <v>0</v>
      </c>
      <c r="KFX16">
        <v>0</v>
      </c>
      <c r="KFY16">
        <v>0</v>
      </c>
      <c r="KFZ16">
        <v>0</v>
      </c>
      <c r="KGA16">
        <v>0</v>
      </c>
      <c r="KGB16">
        <v>0</v>
      </c>
      <c r="KGC16">
        <v>0</v>
      </c>
      <c r="KGD16">
        <v>0</v>
      </c>
      <c r="KGE16">
        <v>0</v>
      </c>
      <c r="KGF16">
        <v>0</v>
      </c>
      <c r="KGG16">
        <v>0</v>
      </c>
      <c r="KGH16">
        <v>0</v>
      </c>
      <c r="KGI16">
        <v>0</v>
      </c>
      <c r="KGJ16">
        <v>0</v>
      </c>
      <c r="KGK16">
        <v>0</v>
      </c>
      <c r="KGL16">
        <v>0</v>
      </c>
      <c r="KGM16">
        <v>0</v>
      </c>
      <c r="KGN16">
        <v>0</v>
      </c>
      <c r="KGO16">
        <v>0</v>
      </c>
      <c r="KGP16">
        <v>0</v>
      </c>
      <c r="KGQ16">
        <v>0</v>
      </c>
      <c r="KGR16">
        <v>0</v>
      </c>
      <c r="KGS16">
        <v>0</v>
      </c>
      <c r="KGT16">
        <v>0</v>
      </c>
      <c r="KGU16">
        <v>0</v>
      </c>
      <c r="KGV16">
        <v>0</v>
      </c>
      <c r="KGW16">
        <v>0</v>
      </c>
      <c r="KGX16">
        <v>0</v>
      </c>
      <c r="KGY16">
        <v>0</v>
      </c>
      <c r="KGZ16">
        <v>0</v>
      </c>
      <c r="KHA16">
        <v>0</v>
      </c>
      <c r="KHB16">
        <v>0</v>
      </c>
      <c r="KHC16">
        <v>0</v>
      </c>
      <c r="KHD16">
        <v>0</v>
      </c>
      <c r="KHE16">
        <v>0</v>
      </c>
      <c r="KHF16">
        <v>0</v>
      </c>
      <c r="KHG16">
        <v>0</v>
      </c>
      <c r="KHH16">
        <v>0</v>
      </c>
      <c r="KHI16">
        <v>0</v>
      </c>
      <c r="KHJ16">
        <v>0</v>
      </c>
      <c r="KHK16">
        <v>0</v>
      </c>
      <c r="KHL16">
        <v>0</v>
      </c>
      <c r="KHM16">
        <v>0</v>
      </c>
      <c r="KHN16">
        <v>0</v>
      </c>
      <c r="KHO16">
        <v>0</v>
      </c>
      <c r="KHP16">
        <v>0</v>
      </c>
      <c r="KHQ16">
        <v>0</v>
      </c>
      <c r="KHR16">
        <v>0</v>
      </c>
      <c r="KHS16">
        <v>0</v>
      </c>
      <c r="KHT16">
        <v>0</v>
      </c>
      <c r="KHU16">
        <v>0</v>
      </c>
      <c r="KHV16">
        <v>0</v>
      </c>
      <c r="KHW16">
        <v>0</v>
      </c>
      <c r="KHX16">
        <v>0</v>
      </c>
      <c r="KHY16">
        <v>0</v>
      </c>
      <c r="KHZ16">
        <v>0</v>
      </c>
      <c r="KIA16">
        <v>0</v>
      </c>
      <c r="KIB16">
        <v>0</v>
      </c>
      <c r="KIC16">
        <v>0</v>
      </c>
      <c r="KID16">
        <v>0</v>
      </c>
      <c r="KIE16">
        <v>0</v>
      </c>
      <c r="KIF16">
        <v>0</v>
      </c>
      <c r="KIG16">
        <v>0</v>
      </c>
      <c r="KIH16">
        <v>0</v>
      </c>
      <c r="KII16">
        <v>0</v>
      </c>
      <c r="KIJ16">
        <v>0</v>
      </c>
      <c r="KIK16">
        <v>0</v>
      </c>
      <c r="KIL16">
        <v>0</v>
      </c>
      <c r="KIM16">
        <v>0</v>
      </c>
      <c r="KIN16">
        <v>0</v>
      </c>
      <c r="KIO16">
        <v>0</v>
      </c>
      <c r="KIP16">
        <v>0</v>
      </c>
      <c r="KIQ16">
        <v>0</v>
      </c>
      <c r="KIR16">
        <v>0</v>
      </c>
      <c r="KIS16">
        <v>0</v>
      </c>
      <c r="KIT16">
        <v>0</v>
      </c>
      <c r="KIU16">
        <v>0</v>
      </c>
      <c r="KIV16">
        <v>0</v>
      </c>
      <c r="KIW16">
        <v>0</v>
      </c>
      <c r="KIX16">
        <v>0</v>
      </c>
      <c r="KIY16">
        <v>0</v>
      </c>
      <c r="KIZ16">
        <v>0</v>
      </c>
      <c r="KJA16">
        <v>0</v>
      </c>
      <c r="KJB16">
        <v>0</v>
      </c>
      <c r="KJC16">
        <v>0</v>
      </c>
      <c r="KJD16">
        <v>0</v>
      </c>
      <c r="KJE16">
        <v>0</v>
      </c>
      <c r="KJF16">
        <v>0</v>
      </c>
      <c r="KJG16">
        <v>0</v>
      </c>
      <c r="KJH16">
        <v>0</v>
      </c>
      <c r="KJI16">
        <v>0</v>
      </c>
      <c r="KJJ16">
        <v>0</v>
      </c>
      <c r="KJK16">
        <v>0</v>
      </c>
      <c r="KJL16">
        <v>0</v>
      </c>
      <c r="KJM16">
        <v>0</v>
      </c>
      <c r="KJN16">
        <v>0</v>
      </c>
      <c r="KJO16">
        <v>0</v>
      </c>
      <c r="KJP16">
        <v>0</v>
      </c>
      <c r="KJQ16">
        <v>0</v>
      </c>
      <c r="KJR16">
        <v>0</v>
      </c>
      <c r="KJS16">
        <v>0</v>
      </c>
      <c r="KJT16">
        <v>0</v>
      </c>
      <c r="KJU16">
        <v>0</v>
      </c>
      <c r="KJV16">
        <v>0</v>
      </c>
      <c r="KJW16">
        <v>0</v>
      </c>
      <c r="KJX16">
        <v>0</v>
      </c>
      <c r="KJY16">
        <v>0</v>
      </c>
      <c r="KJZ16">
        <v>0</v>
      </c>
      <c r="KKA16">
        <v>0</v>
      </c>
      <c r="KKB16">
        <v>0</v>
      </c>
      <c r="KKC16">
        <v>0</v>
      </c>
      <c r="KKD16">
        <v>0</v>
      </c>
      <c r="KKE16">
        <v>0</v>
      </c>
      <c r="KKF16">
        <v>0</v>
      </c>
      <c r="KKG16">
        <v>0</v>
      </c>
      <c r="KKH16">
        <v>0</v>
      </c>
      <c r="KKI16">
        <v>0</v>
      </c>
      <c r="KKJ16">
        <v>0</v>
      </c>
      <c r="KKK16">
        <v>0</v>
      </c>
      <c r="KKL16">
        <v>0</v>
      </c>
      <c r="KKM16">
        <v>0</v>
      </c>
      <c r="KKN16">
        <v>0</v>
      </c>
      <c r="KKO16">
        <v>0</v>
      </c>
      <c r="KKP16">
        <v>0</v>
      </c>
      <c r="KKQ16">
        <v>0</v>
      </c>
      <c r="KKR16">
        <v>0</v>
      </c>
      <c r="KKS16">
        <v>0</v>
      </c>
      <c r="KKT16">
        <v>0</v>
      </c>
      <c r="KKU16">
        <v>0</v>
      </c>
      <c r="KKV16">
        <v>0</v>
      </c>
      <c r="KKW16">
        <v>0</v>
      </c>
      <c r="KKX16">
        <v>0</v>
      </c>
      <c r="KKY16">
        <v>0</v>
      </c>
      <c r="KKZ16">
        <v>0</v>
      </c>
      <c r="KLA16">
        <v>0</v>
      </c>
      <c r="KLB16">
        <v>0</v>
      </c>
      <c r="KLC16">
        <v>0</v>
      </c>
      <c r="KLD16">
        <v>0</v>
      </c>
      <c r="KLE16">
        <v>0</v>
      </c>
      <c r="KLF16">
        <v>0</v>
      </c>
      <c r="KLG16">
        <v>0</v>
      </c>
      <c r="KLH16">
        <v>0</v>
      </c>
      <c r="KLI16">
        <v>0</v>
      </c>
      <c r="KLJ16">
        <v>0</v>
      </c>
      <c r="KLK16">
        <v>0</v>
      </c>
      <c r="KLL16">
        <v>0</v>
      </c>
      <c r="KLM16">
        <v>0</v>
      </c>
      <c r="KLN16">
        <v>0</v>
      </c>
      <c r="KLO16">
        <v>0</v>
      </c>
      <c r="KLP16">
        <v>0</v>
      </c>
      <c r="KLQ16">
        <v>0</v>
      </c>
      <c r="KLR16">
        <v>0</v>
      </c>
      <c r="KLS16">
        <v>0</v>
      </c>
      <c r="KLT16">
        <v>0</v>
      </c>
      <c r="KLU16">
        <v>0</v>
      </c>
      <c r="KLV16">
        <v>0</v>
      </c>
      <c r="KLW16">
        <v>0</v>
      </c>
      <c r="KLX16">
        <v>0</v>
      </c>
      <c r="KLY16">
        <v>0</v>
      </c>
      <c r="KLZ16">
        <v>0</v>
      </c>
      <c r="KMA16">
        <v>0</v>
      </c>
      <c r="KMB16">
        <v>0</v>
      </c>
      <c r="KMC16">
        <v>0</v>
      </c>
      <c r="KMD16">
        <v>0</v>
      </c>
      <c r="KME16">
        <v>0</v>
      </c>
      <c r="KMF16">
        <v>0</v>
      </c>
      <c r="KMG16">
        <v>0</v>
      </c>
      <c r="KMH16">
        <v>0</v>
      </c>
      <c r="KMI16">
        <v>0</v>
      </c>
      <c r="KMJ16">
        <v>0</v>
      </c>
      <c r="KMK16">
        <v>0</v>
      </c>
      <c r="KML16">
        <v>0</v>
      </c>
      <c r="KMM16">
        <v>0</v>
      </c>
      <c r="KMN16">
        <v>0</v>
      </c>
      <c r="KMO16">
        <v>0</v>
      </c>
      <c r="KMP16">
        <v>0</v>
      </c>
      <c r="KMQ16">
        <v>0</v>
      </c>
      <c r="KMR16">
        <v>0</v>
      </c>
      <c r="KMS16">
        <v>0</v>
      </c>
      <c r="KMT16">
        <v>0</v>
      </c>
      <c r="KMU16">
        <v>0</v>
      </c>
      <c r="KMV16">
        <v>0</v>
      </c>
      <c r="KMW16">
        <v>0</v>
      </c>
      <c r="KMX16">
        <v>0</v>
      </c>
      <c r="KMY16">
        <v>0</v>
      </c>
      <c r="KMZ16">
        <v>0</v>
      </c>
      <c r="KNA16">
        <v>0</v>
      </c>
      <c r="KNB16">
        <v>0</v>
      </c>
      <c r="KNC16">
        <v>0</v>
      </c>
      <c r="KND16">
        <v>0</v>
      </c>
      <c r="KNE16">
        <v>0</v>
      </c>
      <c r="KNF16">
        <v>0</v>
      </c>
      <c r="KNG16">
        <v>0</v>
      </c>
      <c r="KNH16">
        <v>0</v>
      </c>
      <c r="KNI16">
        <v>0</v>
      </c>
      <c r="KNJ16">
        <v>0</v>
      </c>
      <c r="KNK16">
        <v>0</v>
      </c>
      <c r="KNL16">
        <v>0</v>
      </c>
      <c r="KNM16">
        <v>0</v>
      </c>
      <c r="KNN16">
        <v>0</v>
      </c>
      <c r="KNO16">
        <v>0</v>
      </c>
      <c r="KNP16">
        <v>0</v>
      </c>
      <c r="KNQ16">
        <v>0</v>
      </c>
      <c r="KNR16">
        <v>0</v>
      </c>
      <c r="KNS16">
        <v>0</v>
      </c>
      <c r="KNT16">
        <v>0</v>
      </c>
      <c r="KNU16">
        <v>0</v>
      </c>
      <c r="KNV16">
        <v>0</v>
      </c>
      <c r="KNW16">
        <v>0</v>
      </c>
      <c r="KNX16">
        <v>0</v>
      </c>
      <c r="KNY16">
        <v>0</v>
      </c>
      <c r="KNZ16">
        <v>0</v>
      </c>
      <c r="KOA16">
        <v>0</v>
      </c>
      <c r="KOB16">
        <v>0</v>
      </c>
      <c r="KOC16">
        <v>0</v>
      </c>
      <c r="KOD16">
        <v>0</v>
      </c>
      <c r="KOE16">
        <v>0</v>
      </c>
      <c r="KOF16">
        <v>0</v>
      </c>
      <c r="KOG16">
        <v>0</v>
      </c>
      <c r="KOH16">
        <v>0</v>
      </c>
      <c r="KOI16">
        <v>0</v>
      </c>
      <c r="KOJ16">
        <v>0</v>
      </c>
      <c r="KOK16">
        <v>0</v>
      </c>
      <c r="KOL16">
        <v>0</v>
      </c>
      <c r="KOM16">
        <v>0</v>
      </c>
      <c r="KON16">
        <v>0</v>
      </c>
      <c r="KOO16">
        <v>0</v>
      </c>
      <c r="KOP16">
        <v>0</v>
      </c>
      <c r="KOQ16">
        <v>0</v>
      </c>
      <c r="KOR16">
        <v>0</v>
      </c>
      <c r="KOS16">
        <v>0</v>
      </c>
      <c r="KOT16">
        <v>0</v>
      </c>
      <c r="KOU16">
        <v>0</v>
      </c>
      <c r="KOV16">
        <v>0</v>
      </c>
      <c r="KOW16">
        <v>0</v>
      </c>
      <c r="KOX16">
        <v>0</v>
      </c>
      <c r="KOY16">
        <v>0</v>
      </c>
      <c r="KOZ16">
        <v>0</v>
      </c>
      <c r="KPA16">
        <v>0</v>
      </c>
      <c r="KPB16">
        <v>0</v>
      </c>
      <c r="KPC16">
        <v>0</v>
      </c>
      <c r="KPD16">
        <v>0</v>
      </c>
      <c r="KPE16">
        <v>0</v>
      </c>
      <c r="KPF16">
        <v>0</v>
      </c>
      <c r="KPG16">
        <v>0</v>
      </c>
      <c r="KPH16">
        <v>0</v>
      </c>
      <c r="KPI16">
        <v>0</v>
      </c>
      <c r="KPJ16">
        <v>0</v>
      </c>
      <c r="KPK16">
        <v>0</v>
      </c>
      <c r="KPL16">
        <v>0</v>
      </c>
      <c r="KPM16">
        <v>0</v>
      </c>
      <c r="KPN16">
        <v>0</v>
      </c>
      <c r="KPO16">
        <v>0</v>
      </c>
      <c r="KPP16">
        <v>0</v>
      </c>
      <c r="KPQ16">
        <v>0</v>
      </c>
      <c r="KPR16">
        <v>0</v>
      </c>
      <c r="KPS16">
        <v>0</v>
      </c>
      <c r="KPT16">
        <v>0</v>
      </c>
      <c r="KPU16">
        <v>0</v>
      </c>
      <c r="KPV16">
        <v>0</v>
      </c>
      <c r="KPW16">
        <v>0</v>
      </c>
      <c r="KPX16">
        <v>0</v>
      </c>
      <c r="KPY16">
        <v>0</v>
      </c>
      <c r="KPZ16">
        <v>0</v>
      </c>
      <c r="KQA16">
        <v>0</v>
      </c>
      <c r="KQB16">
        <v>0</v>
      </c>
      <c r="KQC16">
        <v>0</v>
      </c>
      <c r="KQD16">
        <v>0</v>
      </c>
      <c r="KQE16">
        <v>0</v>
      </c>
      <c r="KQF16">
        <v>0</v>
      </c>
      <c r="KQG16">
        <v>0</v>
      </c>
      <c r="KQH16">
        <v>0</v>
      </c>
      <c r="KQI16">
        <v>0</v>
      </c>
      <c r="KQJ16">
        <v>0</v>
      </c>
      <c r="KQK16">
        <v>0</v>
      </c>
      <c r="KQL16">
        <v>0</v>
      </c>
      <c r="KQM16">
        <v>0</v>
      </c>
      <c r="KQN16">
        <v>0</v>
      </c>
      <c r="KQO16">
        <v>0</v>
      </c>
      <c r="KQP16">
        <v>0</v>
      </c>
      <c r="KQQ16">
        <v>0</v>
      </c>
      <c r="KQR16">
        <v>0</v>
      </c>
      <c r="KQS16">
        <v>0</v>
      </c>
      <c r="KQT16">
        <v>0</v>
      </c>
      <c r="KQU16">
        <v>0</v>
      </c>
      <c r="KQV16">
        <v>0</v>
      </c>
      <c r="KQW16">
        <v>0</v>
      </c>
      <c r="KQX16">
        <v>0</v>
      </c>
      <c r="KQY16">
        <v>0</v>
      </c>
      <c r="KQZ16">
        <v>0</v>
      </c>
      <c r="KRA16">
        <v>0</v>
      </c>
      <c r="KRB16">
        <v>0</v>
      </c>
      <c r="KRC16">
        <v>0</v>
      </c>
      <c r="KRD16">
        <v>0</v>
      </c>
      <c r="KRE16">
        <v>0</v>
      </c>
      <c r="KRF16">
        <v>0</v>
      </c>
      <c r="KRG16">
        <v>0</v>
      </c>
      <c r="KRH16">
        <v>0</v>
      </c>
      <c r="KRI16">
        <v>0</v>
      </c>
      <c r="KRJ16">
        <v>0</v>
      </c>
      <c r="KRK16">
        <v>0</v>
      </c>
      <c r="KRL16">
        <v>0</v>
      </c>
      <c r="KRM16">
        <v>0</v>
      </c>
      <c r="KRN16">
        <v>0</v>
      </c>
      <c r="KRO16">
        <v>0</v>
      </c>
      <c r="KRP16">
        <v>0</v>
      </c>
      <c r="KRQ16">
        <v>0</v>
      </c>
      <c r="KRR16">
        <v>0</v>
      </c>
      <c r="KRS16">
        <v>0</v>
      </c>
      <c r="KRT16">
        <v>0</v>
      </c>
      <c r="KRU16">
        <v>0</v>
      </c>
      <c r="KRV16">
        <v>0</v>
      </c>
      <c r="KRW16">
        <v>0</v>
      </c>
      <c r="KRX16">
        <v>0</v>
      </c>
      <c r="KRY16">
        <v>0</v>
      </c>
      <c r="KRZ16">
        <v>0</v>
      </c>
      <c r="KSA16">
        <v>0</v>
      </c>
      <c r="KSB16">
        <v>0</v>
      </c>
      <c r="KSC16">
        <v>0</v>
      </c>
      <c r="KSD16">
        <v>0</v>
      </c>
      <c r="KSE16">
        <v>0</v>
      </c>
      <c r="KSF16">
        <v>0</v>
      </c>
      <c r="KSG16">
        <v>0</v>
      </c>
      <c r="KSH16">
        <v>0</v>
      </c>
      <c r="KSI16">
        <v>0</v>
      </c>
      <c r="KSJ16">
        <v>0</v>
      </c>
      <c r="KSK16">
        <v>0</v>
      </c>
      <c r="KSL16">
        <v>0</v>
      </c>
      <c r="KSM16">
        <v>0</v>
      </c>
      <c r="KSN16">
        <v>0</v>
      </c>
      <c r="KSO16">
        <v>0</v>
      </c>
      <c r="KSP16">
        <v>0</v>
      </c>
      <c r="KSQ16">
        <v>0</v>
      </c>
      <c r="KSR16">
        <v>0</v>
      </c>
      <c r="KSS16">
        <v>0</v>
      </c>
      <c r="KST16">
        <v>0</v>
      </c>
      <c r="KSU16">
        <v>0</v>
      </c>
      <c r="KSV16">
        <v>0</v>
      </c>
      <c r="KSW16">
        <v>0</v>
      </c>
      <c r="KSX16">
        <v>0</v>
      </c>
      <c r="KSY16">
        <v>0</v>
      </c>
      <c r="KSZ16">
        <v>0</v>
      </c>
      <c r="KTA16">
        <v>0</v>
      </c>
      <c r="KTB16">
        <v>0</v>
      </c>
      <c r="KTC16">
        <v>0</v>
      </c>
      <c r="KTD16">
        <v>0</v>
      </c>
      <c r="KTE16">
        <v>0</v>
      </c>
      <c r="KTF16">
        <v>0</v>
      </c>
      <c r="KTG16">
        <v>0</v>
      </c>
      <c r="KTH16">
        <v>0</v>
      </c>
      <c r="KTI16">
        <v>0</v>
      </c>
      <c r="KTJ16">
        <v>0</v>
      </c>
      <c r="KTK16">
        <v>0</v>
      </c>
      <c r="KTL16">
        <v>0</v>
      </c>
      <c r="KTM16">
        <v>0</v>
      </c>
      <c r="KTN16">
        <v>0</v>
      </c>
      <c r="KTO16">
        <v>0</v>
      </c>
      <c r="KTP16">
        <v>0</v>
      </c>
      <c r="KTQ16">
        <v>0</v>
      </c>
      <c r="KTR16">
        <v>0</v>
      </c>
      <c r="KTS16">
        <v>0</v>
      </c>
      <c r="KTT16">
        <v>0</v>
      </c>
      <c r="KTU16">
        <v>0</v>
      </c>
      <c r="KTV16">
        <v>0</v>
      </c>
      <c r="KTW16">
        <v>0</v>
      </c>
      <c r="KTX16">
        <v>0</v>
      </c>
      <c r="KTY16">
        <v>0</v>
      </c>
      <c r="KTZ16">
        <v>0</v>
      </c>
      <c r="KUA16">
        <v>0</v>
      </c>
      <c r="KUB16">
        <v>0</v>
      </c>
      <c r="KUC16">
        <v>0</v>
      </c>
      <c r="KUD16">
        <v>0</v>
      </c>
      <c r="KUE16">
        <v>0</v>
      </c>
      <c r="KUF16">
        <v>0</v>
      </c>
      <c r="KUG16">
        <v>0</v>
      </c>
      <c r="KUH16">
        <v>0</v>
      </c>
      <c r="KUI16">
        <v>0</v>
      </c>
      <c r="KUJ16">
        <v>0</v>
      </c>
      <c r="KUK16">
        <v>0</v>
      </c>
      <c r="KUL16">
        <v>0</v>
      </c>
      <c r="KUM16">
        <v>0</v>
      </c>
      <c r="KUN16">
        <v>0</v>
      </c>
      <c r="KUO16">
        <v>0</v>
      </c>
      <c r="KUP16">
        <v>0</v>
      </c>
      <c r="KUQ16">
        <v>0</v>
      </c>
      <c r="KUR16">
        <v>0</v>
      </c>
      <c r="KUS16">
        <v>0</v>
      </c>
      <c r="KUT16">
        <v>0</v>
      </c>
      <c r="KUU16">
        <v>0</v>
      </c>
      <c r="KUV16">
        <v>0</v>
      </c>
      <c r="KUW16">
        <v>0</v>
      </c>
      <c r="KUX16">
        <v>0</v>
      </c>
      <c r="KUY16">
        <v>0</v>
      </c>
      <c r="KUZ16">
        <v>0</v>
      </c>
      <c r="KVA16">
        <v>0</v>
      </c>
      <c r="KVB16">
        <v>0</v>
      </c>
      <c r="KVC16">
        <v>0</v>
      </c>
      <c r="KVD16">
        <v>0</v>
      </c>
      <c r="KVE16">
        <v>0</v>
      </c>
      <c r="KVF16">
        <v>0</v>
      </c>
      <c r="KVG16">
        <v>0</v>
      </c>
      <c r="KVH16">
        <v>0</v>
      </c>
      <c r="KVI16">
        <v>0</v>
      </c>
      <c r="KVJ16">
        <v>0</v>
      </c>
      <c r="KVK16">
        <v>0</v>
      </c>
      <c r="KVL16">
        <v>0</v>
      </c>
      <c r="KVM16">
        <v>0</v>
      </c>
      <c r="KVN16">
        <v>0</v>
      </c>
      <c r="KVO16">
        <v>0</v>
      </c>
      <c r="KVP16">
        <v>0</v>
      </c>
      <c r="KVQ16">
        <v>0</v>
      </c>
      <c r="KVR16">
        <v>0</v>
      </c>
      <c r="KVS16">
        <v>0</v>
      </c>
      <c r="KVT16">
        <v>0</v>
      </c>
      <c r="KVU16">
        <v>0</v>
      </c>
      <c r="KVV16">
        <v>0</v>
      </c>
      <c r="KVW16">
        <v>0</v>
      </c>
      <c r="KVX16">
        <v>0</v>
      </c>
      <c r="KVY16">
        <v>0</v>
      </c>
      <c r="KVZ16">
        <v>0</v>
      </c>
      <c r="KWA16">
        <v>0</v>
      </c>
      <c r="KWB16">
        <v>0</v>
      </c>
      <c r="KWC16">
        <v>0</v>
      </c>
      <c r="KWD16">
        <v>0</v>
      </c>
      <c r="KWE16">
        <v>0</v>
      </c>
      <c r="KWF16">
        <v>0</v>
      </c>
      <c r="KWG16">
        <v>0</v>
      </c>
      <c r="KWH16">
        <v>0</v>
      </c>
      <c r="KWI16">
        <v>0</v>
      </c>
      <c r="KWJ16">
        <v>0</v>
      </c>
      <c r="KWK16">
        <v>0</v>
      </c>
      <c r="KWL16">
        <v>0</v>
      </c>
      <c r="KWM16">
        <v>0</v>
      </c>
      <c r="KWN16">
        <v>0</v>
      </c>
      <c r="KWO16">
        <v>0</v>
      </c>
      <c r="KWP16">
        <v>0</v>
      </c>
      <c r="KWQ16">
        <v>0</v>
      </c>
      <c r="KWR16">
        <v>0</v>
      </c>
      <c r="KWS16">
        <v>0</v>
      </c>
      <c r="KWT16">
        <v>0</v>
      </c>
      <c r="KWU16">
        <v>0</v>
      </c>
      <c r="KWV16">
        <v>0</v>
      </c>
      <c r="KWW16">
        <v>0</v>
      </c>
      <c r="KWX16">
        <v>0</v>
      </c>
      <c r="KWY16">
        <v>0</v>
      </c>
      <c r="KWZ16">
        <v>0</v>
      </c>
      <c r="KXA16">
        <v>0</v>
      </c>
      <c r="KXB16">
        <v>0</v>
      </c>
      <c r="KXC16">
        <v>0</v>
      </c>
      <c r="KXD16">
        <v>0</v>
      </c>
      <c r="KXE16">
        <v>0</v>
      </c>
      <c r="KXF16">
        <v>0</v>
      </c>
      <c r="KXG16">
        <v>0</v>
      </c>
      <c r="KXH16">
        <v>0</v>
      </c>
      <c r="KXI16">
        <v>0</v>
      </c>
      <c r="KXJ16">
        <v>0</v>
      </c>
      <c r="KXK16">
        <v>0</v>
      </c>
      <c r="KXL16">
        <v>0</v>
      </c>
      <c r="KXM16">
        <v>0</v>
      </c>
      <c r="KXN16">
        <v>0</v>
      </c>
      <c r="KXO16">
        <v>0</v>
      </c>
      <c r="KXP16">
        <v>0</v>
      </c>
      <c r="KXQ16">
        <v>0</v>
      </c>
      <c r="KXR16">
        <v>0</v>
      </c>
      <c r="KXS16">
        <v>0</v>
      </c>
      <c r="KXT16">
        <v>0</v>
      </c>
      <c r="KXU16">
        <v>0</v>
      </c>
      <c r="KXV16">
        <v>0</v>
      </c>
      <c r="KXW16">
        <v>0</v>
      </c>
      <c r="KXX16">
        <v>0</v>
      </c>
      <c r="KXY16">
        <v>0</v>
      </c>
      <c r="KXZ16">
        <v>0</v>
      </c>
      <c r="KYA16">
        <v>0</v>
      </c>
      <c r="KYB16">
        <v>0</v>
      </c>
      <c r="KYC16">
        <v>0</v>
      </c>
      <c r="KYD16">
        <v>0</v>
      </c>
      <c r="KYE16">
        <v>0</v>
      </c>
      <c r="KYF16">
        <v>0</v>
      </c>
      <c r="KYG16">
        <v>0</v>
      </c>
      <c r="KYH16">
        <v>0</v>
      </c>
      <c r="KYI16">
        <v>0</v>
      </c>
      <c r="KYJ16">
        <v>0</v>
      </c>
      <c r="KYK16">
        <v>0</v>
      </c>
      <c r="KYL16">
        <v>0</v>
      </c>
      <c r="KYM16">
        <v>0</v>
      </c>
      <c r="KYN16">
        <v>0</v>
      </c>
      <c r="KYO16">
        <v>0</v>
      </c>
      <c r="KYP16">
        <v>0</v>
      </c>
      <c r="KYQ16">
        <v>0</v>
      </c>
      <c r="KYR16">
        <v>0</v>
      </c>
      <c r="KYS16">
        <v>0</v>
      </c>
      <c r="KYT16">
        <v>0</v>
      </c>
      <c r="KYU16">
        <v>0</v>
      </c>
      <c r="KYV16">
        <v>0</v>
      </c>
      <c r="KYW16">
        <v>0</v>
      </c>
      <c r="KYX16">
        <v>0</v>
      </c>
      <c r="KYY16">
        <v>0</v>
      </c>
      <c r="KYZ16">
        <v>0</v>
      </c>
      <c r="KZA16">
        <v>0</v>
      </c>
      <c r="KZB16">
        <v>0</v>
      </c>
      <c r="KZC16">
        <v>0</v>
      </c>
      <c r="KZD16">
        <v>0</v>
      </c>
      <c r="KZE16">
        <v>0</v>
      </c>
      <c r="KZF16">
        <v>0</v>
      </c>
      <c r="KZG16">
        <v>0</v>
      </c>
      <c r="KZH16">
        <v>0</v>
      </c>
      <c r="KZI16">
        <v>0</v>
      </c>
      <c r="KZJ16">
        <v>0</v>
      </c>
      <c r="KZK16">
        <v>0</v>
      </c>
      <c r="KZL16">
        <v>0</v>
      </c>
      <c r="KZM16">
        <v>0</v>
      </c>
      <c r="KZN16">
        <v>0</v>
      </c>
      <c r="KZO16">
        <v>0</v>
      </c>
      <c r="KZP16">
        <v>0</v>
      </c>
      <c r="KZQ16">
        <v>0</v>
      </c>
      <c r="KZR16">
        <v>0</v>
      </c>
      <c r="KZS16">
        <v>0</v>
      </c>
      <c r="KZT16">
        <v>0</v>
      </c>
      <c r="KZU16">
        <v>0</v>
      </c>
      <c r="KZV16">
        <v>0</v>
      </c>
      <c r="KZW16">
        <v>0</v>
      </c>
      <c r="KZX16">
        <v>0</v>
      </c>
      <c r="KZY16">
        <v>0</v>
      </c>
      <c r="KZZ16">
        <v>0</v>
      </c>
      <c r="LAA16">
        <v>0</v>
      </c>
      <c r="LAB16">
        <v>0</v>
      </c>
      <c r="LAC16">
        <v>0</v>
      </c>
      <c r="LAD16">
        <v>0</v>
      </c>
      <c r="LAE16">
        <v>0</v>
      </c>
      <c r="LAF16">
        <v>0</v>
      </c>
      <c r="LAG16">
        <v>0</v>
      </c>
      <c r="LAH16">
        <v>0</v>
      </c>
      <c r="LAI16">
        <v>0</v>
      </c>
      <c r="LAJ16">
        <v>0</v>
      </c>
      <c r="LAK16">
        <v>0</v>
      </c>
      <c r="LAL16">
        <v>0</v>
      </c>
      <c r="LAM16">
        <v>0</v>
      </c>
      <c r="LAN16">
        <v>0</v>
      </c>
      <c r="LAO16">
        <v>0</v>
      </c>
      <c r="LAP16">
        <v>0</v>
      </c>
      <c r="LAQ16">
        <v>0</v>
      </c>
      <c r="LAR16">
        <v>0</v>
      </c>
      <c r="LAS16">
        <v>0</v>
      </c>
      <c r="LAT16">
        <v>0</v>
      </c>
      <c r="LAU16">
        <v>0</v>
      </c>
      <c r="LAV16">
        <v>0</v>
      </c>
      <c r="LAW16">
        <v>0</v>
      </c>
      <c r="LAX16">
        <v>0</v>
      </c>
      <c r="LAY16">
        <v>0</v>
      </c>
      <c r="LAZ16">
        <v>0</v>
      </c>
      <c r="LBA16">
        <v>0</v>
      </c>
      <c r="LBB16">
        <v>0</v>
      </c>
      <c r="LBC16">
        <v>0</v>
      </c>
      <c r="LBD16">
        <v>0</v>
      </c>
      <c r="LBE16">
        <v>0</v>
      </c>
      <c r="LBF16">
        <v>0</v>
      </c>
      <c r="LBG16">
        <v>0</v>
      </c>
      <c r="LBH16">
        <v>0</v>
      </c>
      <c r="LBI16">
        <v>0</v>
      </c>
      <c r="LBJ16">
        <v>0</v>
      </c>
      <c r="LBK16">
        <v>0</v>
      </c>
      <c r="LBL16">
        <v>0</v>
      </c>
      <c r="LBM16">
        <v>0</v>
      </c>
      <c r="LBN16">
        <v>0</v>
      </c>
      <c r="LBO16">
        <v>0</v>
      </c>
      <c r="LBP16">
        <v>0</v>
      </c>
      <c r="LBQ16">
        <v>0</v>
      </c>
      <c r="LBR16">
        <v>0</v>
      </c>
      <c r="LBS16">
        <v>0</v>
      </c>
      <c r="LBT16">
        <v>0</v>
      </c>
      <c r="LBU16">
        <v>0</v>
      </c>
      <c r="LBV16">
        <v>0</v>
      </c>
      <c r="LBW16">
        <v>0</v>
      </c>
      <c r="LBX16">
        <v>0</v>
      </c>
      <c r="LBY16">
        <v>0</v>
      </c>
      <c r="LBZ16">
        <v>0</v>
      </c>
      <c r="LCA16">
        <v>0</v>
      </c>
      <c r="LCB16">
        <v>0</v>
      </c>
      <c r="LCC16">
        <v>0</v>
      </c>
      <c r="LCD16">
        <v>0</v>
      </c>
      <c r="LCE16">
        <v>0</v>
      </c>
      <c r="LCF16">
        <v>0</v>
      </c>
      <c r="LCG16">
        <v>0</v>
      </c>
      <c r="LCH16">
        <v>0</v>
      </c>
      <c r="LCI16">
        <v>0</v>
      </c>
      <c r="LCJ16">
        <v>0</v>
      </c>
      <c r="LCK16">
        <v>0</v>
      </c>
      <c r="LCL16">
        <v>0</v>
      </c>
      <c r="LCM16">
        <v>0</v>
      </c>
      <c r="LCN16">
        <v>0</v>
      </c>
      <c r="LCO16">
        <v>0</v>
      </c>
      <c r="LCP16">
        <v>0</v>
      </c>
      <c r="LCQ16">
        <v>0</v>
      </c>
      <c r="LCR16">
        <v>0</v>
      </c>
      <c r="LCS16">
        <v>0</v>
      </c>
      <c r="LCT16">
        <v>0</v>
      </c>
      <c r="LCU16">
        <v>0</v>
      </c>
      <c r="LCV16">
        <v>0</v>
      </c>
      <c r="LCW16">
        <v>0</v>
      </c>
      <c r="LCX16">
        <v>0</v>
      </c>
      <c r="LCY16">
        <v>0</v>
      </c>
      <c r="LCZ16">
        <v>0</v>
      </c>
      <c r="LDA16">
        <v>0</v>
      </c>
      <c r="LDB16">
        <v>0</v>
      </c>
      <c r="LDC16">
        <v>0</v>
      </c>
      <c r="LDD16">
        <v>0</v>
      </c>
      <c r="LDE16">
        <v>0</v>
      </c>
      <c r="LDF16">
        <v>0</v>
      </c>
      <c r="LDG16">
        <v>0</v>
      </c>
      <c r="LDH16">
        <v>0</v>
      </c>
      <c r="LDI16">
        <v>0</v>
      </c>
      <c r="LDJ16">
        <v>0</v>
      </c>
      <c r="LDK16">
        <v>0</v>
      </c>
      <c r="LDL16">
        <v>0</v>
      </c>
      <c r="LDM16">
        <v>0</v>
      </c>
      <c r="LDN16">
        <v>0</v>
      </c>
      <c r="LDO16">
        <v>0</v>
      </c>
      <c r="LDP16">
        <v>0</v>
      </c>
      <c r="LDQ16">
        <v>0</v>
      </c>
      <c r="LDR16">
        <v>0</v>
      </c>
      <c r="LDS16">
        <v>0</v>
      </c>
      <c r="LDT16">
        <v>0</v>
      </c>
      <c r="LDU16">
        <v>0</v>
      </c>
      <c r="LDV16">
        <v>0</v>
      </c>
      <c r="LDW16">
        <v>0</v>
      </c>
      <c r="LDX16">
        <v>0</v>
      </c>
      <c r="LDY16">
        <v>0</v>
      </c>
      <c r="LDZ16">
        <v>0</v>
      </c>
      <c r="LEA16">
        <v>0</v>
      </c>
      <c r="LEB16">
        <v>0</v>
      </c>
      <c r="LEC16">
        <v>0</v>
      </c>
      <c r="LED16">
        <v>0</v>
      </c>
      <c r="LEE16">
        <v>0</v>
      </c>
      <c r="LEF16">
        <v>0</v>
      </c>
      <c r="LEG16">
        <v>0</v>
      </c>
      <c r="LEH16">
        <v>0</v>
      </c>
      <c r="LEI16">
        <v>0</v>
      </c>
      <c r="LEJ16">
        <v>0</v>
      </c>
      <c r="LEK16">
        <v>0</v>
      </c>
      <c r="LEL16">
        <v>0</v>
      </c>
      <c r="LEM16">
        <v>0</v>
      </c>
      <c r="LEN16">
        <v>0</v>
      </c>
      <c r="LEO16">
        <v>0</v>
      </c>
      <c r="LEP16">
        <v>0</v>
      </c>
      <c r="LEQ16">
        <v>0</v>
      </c>
      <c r="LER16">
        <v>0</v>
      </c>
      <c r="LES16">
        <v>0</v>
      </c>
      <c r="LET16">
        <v>0</v>
      </c>
      <c r="LEU16">
        <v>0</v>
      </c>
      <c r="LEV16">
        <v>0</v>
      </c>
      <c r="LEW16">
        <v>0</v>
      </c>
      <c r="LEX16">
        <v>0</v>
      </c>
      <c r="LEY16">
        <v>0</v>
      </c>
      <c r="LEZ16">
        <v>0</v>
      </c>
      <c r="LFA16">
        <v>0</v>
      </c>
      <c r="LFB16">
        <v>0</v>
      </c>
      <c r="LFC16">
        <v>0</v>
      </c>
      <c r="LFD16">
        <v>0</v>
      </c>
      <c r="LFE16">
        <v>0</v>
      </c>
      <c r="LFF16">
        <v>0</v>
      </c>
      <c r="LFG16">
        <v>0</v>
      </c>
      <c r="LFH16">
        <v>0</v>
      </c>
      <c r="LFI16">
        <v>0</v>
      </c>
      <c r="LFJ16">
        <v>0</v>
      </c>
      <c r="LFK16">
        <v>0</v>
      </c>
      <c r="LFL16">
        <v>0</v>
      </c>
      <c r="LFM16">
        <v>0</v>
      </c>
      <c r="LFN16">
        <v>0</v>
      </c>
      <c r="LFO16">
        <v>0</v>
      </c>
      <c r="LFP16">
        <v>0</v>
      </c>
      <c r="LFQ16">
        <v>0</v>
      </c>
      <c r="LFR16">
        <v>0</v>
      </c>
      <c r="LFS16">
        <v>0</v>
      </c>
      <c r="LFT16">
        <v>0</v>
      </c>
      <c r="LFU16">
        <v>0</v>
      </c>
      <c r="LFV16">
        <v>0</v>
      </c>
      <c r="LFW16">
        <v>0</v>
      </c>
      <c r="LFX16">
        <v>0</v>
      </c>
      <c r="LFY16">
        <v>0</v>
      </c>
      <c r="LFZ16">
        <v>0</v>
      </c>
      <c r="LGA16">
        <v>0</v>
      </c>
      <c r="LGB16">
        <v>0</v>
      </c>
      <c r="LGC16">
        <v>0</v>
      </c>
      <c r="LGD16">
        <v>0</v>
      </c>
      <c r="LGE16">
        <v>0</v>
      </c>
      <c r="LGF16">
        <v>0</v>
      </c>
      <c r="LGG16">
        <v>0</v>
      </c>
      <c r="LGH16">
        <v>0</v>
      </c>
      <c r="LGI16">
        <v>0</v>
      </c>
      <c r="LGJ16">
        <v>0</v>
      </c>
      <c r="LGK16">
        <v>0</v>
      </c>
      <c r="LGL16">
        <v>0</v>
      </c>
      <c r="LGM16">
        <v>0</v>
      </c>
      <c r="LGN16">
        <v>0</v>
      </c>
      <c r="LGO16">
        <v>0</v>
      </c>
      <c r="LGP16">
        <v>0</v>
      </c>
      <c r="LGQ16">
        <v>0</v>
      </c>
      <c r="LGR16">
        <v>0</v>
      </c>
      <c r="LGS16">
        <v>0</v>
      </c>
      <c r="LGT16">
        <v>0</v>
      </c>
      <c r="LGU16">
        <v>0</v>
      </c>
      <c r="LGV16">
        <v>0</v>
      </c>
      <c r="LGW16">
        <v>0</v>
      </c>
      <c r="LGX16">
        <v>0</v>
      </c>
      <c r="LGY16">
        <v>0</v>
      </c>
      <c r="LGZ16">
        <v>0</v>
      </c>
      <c r="LHA16">
        <v>0</v>
      </c>
      <c r="LHB16">
        <v>0</v>
      </c>
      <c r="LHC16">
        <v>0</v>
      </c>
      <c r="LHD16">
        <v>0</v>
      </c>
      <c r="LHE16">
        <v>0</v>
      </c>
      <c r="LHF16">
        <v>0</v>
      </c>
      <c r="LHG16">
        <v>0</v>
      </c>
      <c r="LHH16">
        <v>0</v>
      </c>
      <c r="LHI16">
        <v>0</v>
      </c>
      <c r="LHJ16">
        <v>0</v>
      </c>
      <c r="LHK16">
        <v>0</v>
      </c>
      <c r="LHL16">
        <v>0</v>
      </c>
      <c r="LHM16">
        <v>0</v>
      </c>
      <c r="LHN16">
        <v>0</v>
      </c>
      <c r="LHO16">
        <v>0</v>
      </c>
      <c r="LHP16">
        <v>0</v>
      </c>
      <c r="LHQ16">
        <v>0</v>
      </c>
      <c r="LHR16">
        <v>0</v>
      </c>
      <c r="LHS16">
        <v>0</v>
      </c>
      <c r="LHT16">
        <v>0</v>
      </c>
      <c r="LHU16">
        <v>0</v>
      </c>
      <c r="LHV16">
        <v>0</v>
      </c>
      <c r="LHW16">
        <v>0</v>
      </c>
      <c r="LHX16">
        <v>0</v>
      </c>
      <c r="LHY16">
        <v>0</v>
      </c>
      <c r="LHZ16">
        <v>0</v>
      </c>
      <c r="LIA16">
        <v>0</v>
      </c>
      <c r="LIB16">
        <v>0</v>
      </c>
      <c r="LIC16">
        <v>0</v>
      </c>
      <c r="LID16">
        <v>0</v>
      </c>
      <c r="LIE16">
        <v>0</v>
      </c>
      <c r="LIF16">
        <v>0</v>
      </c>
      <c r="LIG16">
        <v>0</v>
      </c>
      <c r="LIH16">
        <v>0</v>
      </c>
      <c r="LII16">
        <v>0</v>
      </c>
      <c r="LIJ16">
        <v>0</v>
      </c>
      <c r="LIK16">
        <v>0</v>
      </c>
      <c r="LIL16">
        <v>0</v>
      </c>
      <c r="LIM16">
        <v>0</v>
      </c>
      <c r="LIN16">
        <v>0</v>
      </c>
      <c r="LIO16">
        <v>0</v>
      </c>
      <c r="LIP16">
        <v>0</v>
      </c>
      <c r="LIQ16">
        <v>0</v>
      </c>
      <c r="LIR16">
        <v>0</v>
      </c>
      <c r="LIS16">
        <v>0</v>
      </c>
      <c r="LIT16">
        <v>0</v>
      </c>
      <c r="LIU16">
        <v>0</v>
      </c>
      <c r="LIV16">
        <v>0</v>
      </c>
      <c r="LIW16">
        <v>0</v>
      </c>
      <c r="LIX16">
        <v>0</v>
      </c>
      <c r="LIY16">
        <v>0</v>
      </c>
      <c r="LIZ16">
        <v>0</v>
      </c>
      <c r="LJA16">
        <v>0</v>
      </c>
      <c r="LJB16">
        <v>0</v>
      </c>
      <c r="LJC16">
        <v>0</v>
      </c>
      <c r="LJD16">
        <v>0</v>
      </c>
      <c r="LJE16">
        <v>0</v>
      </c>
      <c r="LJF16">
        <v>0</v>
      </c>
      <c r="LJG16">
        <v>0</v>
      </c>
      <c r="LJH16">
        <v>0</v>
      </c>
      <c r="LJI16">
        <v>0</v>
      </c>
      <c r="LJJ16">
        <v>0</v>
      </c>
      <c r="LJK16">
        <v>0</v>
      </c>
      <c r="LJL16">
        <v>0</v>
      </c>
      <c r="LJM16">
        <v>0</v>
      </c>
      <c r="LJN16">
        <v>0</v>
      </c>
      <c r="LJO16">
        <v>0</v>
      </c>
      <c r="LJP16">
        <v>0</v>
      </c>
      <c r="LJQ16">
        <v>0</v>
      </c>
      <c r="LJR16">
        <v>0</v>
      </c>
      <c r="LJS16">
        <v>0</v>
      </c>
      <c r="LJT16">
        <v>0</v>
      </c>
      <c r="LJU16">
        <v>0</v>
      </c>
      <c r="LJV16">
        <v>0</v>
      </c>
      <c r="LJW16">
        <v>0</v>
      </c>
      <c r="LJX16">
        <v>0</v>
      </c>
      <c r="LJY16">
        <v>0</v>
      </c>
      <c r="LJZ16">
        <v>0</v>
      </c>
      <c r="LKA16">
        <v>0</v>
      </c>
      <c r="LKB16">
        <v>0</v>
      </c>
      <c r="LKC16">
        <v>0</v>
      </c>
      <c r="LKD16">
        <v>0</v>
      </c>
      <c r="LKE16">
        <v>0</v>
      </c>
      <c r="LKF16">
        <v>0</v>
      </c>
      <c r="LKG16">
        <v>0</v>
      </c>
      <c r="LKH16">
        <v>0</v>
      </c>
      <c r="LKI16">
        <v>0</v>
      </c>
      <c r="LKJ16">
        <v>0</v>
      </c>
      <c r="LKK16">
        <v>0</v>
      </c>
      <c r="LKL16">
        <v>0</v>
      </c>
      <c r="LKM16">
        <v>0</v>
      </c>
      <c r="LKN16">
        <v>0</v>
      </c>
      <c r="LKO16">
        <v>0</v>
      </c>
      <c r="LKP16">
        <v>0</v>
      </c>
      <c r="LKQ16">
        <v>0</v>
      </c>
      <c r="LKR16">
        <v>0</v>
      </c>
      <c r="LKS16">
        <v>0</v>
      </c>
      <c r="LKT16">
        <v>0</v>
      </c>
      <c r="LKU16">
        <v>0</v>
      </c>
      <c r="LKV16">
        <v>0</v>
      </c>
      <c r="LKW16">
        <v>0</v>
      </c>
      <c r="LKX16">
        <v>0</v>
      </c>
      <c r="LKY16">
        <v>0</v>
      </c>
      <c r="LKZ16">
        <v>0</v>
      </c>
      <c r="LLA16">
        <v>0</v>
      </c>
      <c r="LLB16">
        <v>0</v>
      </c>
      <c r="LLC16">
        <v>0</v>
      </c>
      <c r="LLD16">
        <v>0</v>
      </c>
      <c r="LLE16">
        <v>0</v>
      </c>
      <c r="LLF16">
        <v>0</v>
      </c>
      <c r="LLG16">
        <v>0</v>
      </c>
      <c r="LLH16">
        <v>0</v>
      </c>
      <c r="LLI16">
        <v>0</v>
      </c>
      <c r="LLJ16">
        <v>0</v>
      </c>
      <c r="LLK16">
        <v>0</v>
      </c>
      <c r="LLL16">
        <v>0</v>
      </c>
      <c r="LLM16">
        <v>0</v>
      </c>
      <c r="LLN16">
        <v>0</v>
      </c>
      <c r="LLO16">
        <v>0</v>
      </c>
      <c r="LLP16">
        <v>0</v>
      </c>
      <c r="LLQ16">
        <v>0</v>
      </c>
      <c r="LLR16">
        <v>0</v>
      </c>
      <c r="LLS16">
        <v>0</v>
      </c>
      <c r="LLT16">
        <v>0</v>
      </c>
      <c r="LLU16">
        <v>0</v>
      </c>
      <c r="LLV16">
        <v>0</v>
      </c>
      <c r="LLW16">
        <v>0</v>
      </c>
      <c r="LLX16">
        <v>0</v>
      </c>
      <c r="LLY16">
        <v>0</v>
      </c>
      <c r="LLZ16">
        <v>0</v>
      </c>
      <c r="LMA16">
        <v>0</v>
      </c>
      <c r="LMB16">
        <v>0</v>
      </c>
      <c r="LMC16">
        <v>0</v>
      </c>
      <c r="LMD16">
        <v>0</v>
      </c>
      <c r="LME16">
        <v>0</v>
      </c>
      <c r="LMF16">
        <v>0</v>
      </c>
      <c r="LMG16">
        <v>0</v>
      </c>
      <c r="LMH16">
        <v>0</v>
      </c>
      <c r="LMI16">
        <v>0</v>
      </c>
      <c r="LMJ16">
        <v>0</v>
      </c>
      <c r="LMK16">
        <v>0</v>
      </c>
      <c r="LML16">
        <v>0</v>
      </c>
      <c r="LMM16">
        <v>0</v>
      </c>
      <c r="LMN16">
        <v>0</v>
      </c>
      <c r="LMO16">
        <v>0</v>
      </c>
      <c r="LMP16">
        <v>0</v>
      </c>
      <c r="LMQ16">
        <v>0</v>
      </c>
      <c r="LMR16">
        <v>0</v>
      </c>
      <c r="LMS16">
        <v>0</v>
      </c>
      <c r="LMT16">
        <v>0</v>
      </c>
      <c r="LMU16">
        <v>0</v>
      </c>
      <c r="LMV16">
        <v>0</v>
      </c>
      <c r="LMW16">
        <v>0</v>
      </c>
      <c r="LMX16">
        <v>0</v>
      </c>
      <c r="LMY16">
        <v>0</v>
      </c>
      <c r="LMZ16">
        <v>0</v>
      </c>
      <c r="LNA16">
        <v>0</v>
      </c>
      <c r="LNB16">
        <v>0</v>
      </c>
      <c r="LNC16">
        <v>0</v>
      </c>
      <c r="LND16">
        <v>0</v>
      </c>
      <c r="LNE16">
        <v>0</v>
      </c>
      <c r="LNF16">
        <v>0</v>
      </c>
      <c r="LNG16">
        <v>0</v>
      </c>
      <c r="LNH16">
        <v>0</v>
      </c>
      <c r="LNI16">
        <v>0</v>
      </c>
      <c r="LNJ16">
        <v>0</v>
      </c>
      <c r="LNK16">
        <v>0</v>
      </c>
      <c r="LNL16">
        <v>0</v>
      </c>
      <c r="LNM16">
        <v>0</v>
      </c>
      <c r="LNN16">
        <v>0</v>
      </c>
      <c r="LNO16">
        <v>0</v>
      </c>
      <c r="LNP16">
        <v>0</v>
      </c>
      <c r="LNQ16">
        <v>0</v>
      </c>
      <c r="LNR16">
        <v>0</v>
      </c>
      <c r="LNS16">
        <v>0</v>
      </c>
      <c r="LNT16">
        <v>0</v>
      </c>
      <c r="LNU16">
        <v>0</v>
      </c>
      <c r="LNV16">
        <v>0</v>
      </c>
      <c r="LNW16">
        <v>0</v>
      </c>
      <c r="LNX16">
        <v>0</v>
      </c>
      <c r="LNY16">
        <v>0</v>
      </c>
      <c r="LNZ16">
        <v>0</v>
      </c>
      <c r="LOA16">
        <v>0</v>
      </c>
      <c r="LOB16">
        <v>0</v>
      </c>
      <c r="LOC16">
        <v>0</v>
      </c>
      <c r="LOD16">
        <v>0</v>
      </c>
      <c r="LOE16">
        <v>0</v>
      </c>
      <c r="LOF16">
        <v>0</v>
      </c>
      <c r="LOG16">
        <v>0</v>
      </c>
      <c r="LOH16">
        <v>0</v>
      </c>
      <c r="LOI16">
        <v>0</v>
      </c>
      <c r="LOJ16">
        <v>0</v>
      </c>
      <c r="LOK16">
        <v>0</v>
      </c>
      <c r="LOL16">
        <v>0</v>
      </c>
      <c r="LOM16">
        <v>0</v>
      </c>
      <c r="LON16">
        <v>0</v>
      </c>
      <c r="LOO16">
        <v>0</v>
      </c>
      <c r="LOP16">
        <v>0</v>
      </c>
      <c r="LOQ16">
        <v>0</v>
      </c>
      <c r="LOR16">
        <v>0</v>
      </c>
      <c r="LOS16">
        <v>0</v>
      </c>
      <c r="LOT16">
        <v>0</v>
      </c>
      <c r="LOU16">
        <v>0</v>
      </c>
      <c r="LOV16">
        <v>0</v>
      </c>
      <c r="LOW16">
        <v>0</v>
      </c>
      <c r="LOX16">
        <v>0</v>
      </c>
      <c r="LOY16">
        <v>0</v>
      </c>
      <c r="LOZ16">
        <v>0</v>
      </c>
      <c r="LPA16">
        <v>0</v>
      </c>
      <c r="LPB16">
        <v>0</v>
      </c>
      <c r="LPC16">
        <v>0</v>
      </c>
      <c r="LPD16">
        <v>0</v>
      </c>
      <c r="LPE16">
        <v>0</v>
      </c>
      <c r="LPF16">
        <v>0</v>
      </c>
      <c r="LPG16">
        <v>0</v>
      </c>
      <c r="LPH16">
        <v>0</v>
      </c>
      <c r="LPI16">
        <v>0</v>
      </c>
      <c r="LPJ16">
        <v>0</v>
      </c>
      <c r="LPK16">
        <v>0</v>
      </c>
      <c r="LPL16">
        <v>0</v>
      </c>
      <c r="LPM16">
        <v>0</v>
      </c>
      <c r="LPN16">
        <v>0</v>
      </c>
      <c r="LPO16">
        <v>0</v>
      </c>
      <c r="LPP16">
        <v>0</v>
      </c>
      <c r="LPQ16">
        <v>0</v>
      </c>
      <c r="LPR16">
        <v>0</v>
      </c>
      <c r="LPS16">
        <v>0</v>
      </c>
      <c r="LPT16">
        <v>0</v>
      </c>
      <c r="LPU16">
        <v>0</v>
      </c>
      <c r="LPV16">
        <v>0</v>
      </c>
      <c r="LPW16">
        <v>0</v>
      </c>
      <c r="LPX16">
        <v>0</v>
      </c>
      <c r="LPY16">
        <v>0</v>
      </c>
      <c r="LPZ16">
        <v>0</v>
      </c>
      <c r="LQA16">
        <v>0</v>
      </c>
      <c r="LQB16">
        <v>0</v>
      </c>
      <c r="LQC16">
        <v>0</v>
      </c>
      <c r="LQD16">
        <v>0</v>
      </c>
      <c r="LQE16">
        <v>0</v>
      </c>
      <c r="LQF16">
        <v>0</v>
      </c>
      <c r="LQG16">
        <v>0</v>
      </c>
      <c r="LQH16">
        <v>0</v>
      </c>
      <c r="LQI16">
        <v>0</v>
      </c>
      <c r="LQJ16">
        <v>0</v>
      </c>
      <c r="LQK16">
        <v>0</v>
      </c>
      <c r="LQL16">
        <v>0</v>
      </c>
      <c r="LQM16">
        <v>0</v>
      </c>
      <c r="LQN16">
        <v>0</v>
      </c>
      <c r="LQO16">
        <v>0</v>
      </c>
      <c r="LQP16">
        <v>0</v>
      </c>
      <c r="LQQ16">
        <v>0</v>
      </c>
      <c r="LQR16">
        <v>0</v>
      </c>
      <c r="LQS16">
        <v>0</v>
      </c>
      <c r="LQT16">
        <v>0</v>
      </c>
      <c r="LQU16">
        <v>0</v>
      </c>
      <c r="LQV16">
        <v>0</v>
      </c>
      <c r="LQW16">
        <v>0</v>
      </c>
      <c r="LQX16">
        <v>0</v>
      </c>
      <c r="LQY16">
        <v>0</v>
      </c>
      <c r="LQZ16">
        <v>0</v>
      </c>
      <c r="LRA16">
        <v>0</v>
      </c>
      <c r="LRB16">
        <v>0</v>
      </c>
      <c r="LRC16">
        <v>0</v>
      </c>
      <c r="LRD16">
        <v>0</v>
      </c>
      <c r="LRE16">
        <v>0</v>
      </c>
      <c r="LRF16">
        <v>0</v>
      </c>
      <c r="LRG16">
        <v>0</v>
      </c>
      <c r="LRH16">
        <v>0</v>
      </c>
      <c r="LRI16">
        <v>0</v>
      </c>
      <c r="LRJ16">
        <v>0</v>
      </c>
      <c r="LRK16">
        <v>0</v>
      </c>
      <c r="LRL16">
        <v>0</v>
      </c>
      <c r="LRM16">
        <v>0</v>
      </c>
      <c r="LRN16">
        <v>0</v>
      </c>
      <c r="LRO16">
        <v>0</v>
      </c>
      <c r="LRP16">
        <v>0</v>
      </c>
      <c r="LRQ16">
        <v>0</v>
      </c>
      <c r="LRR16">
        <v>0</v>
      </c>
      <c r="LRS16">
        <v>0</v>
      </c>
      <c r="LRT16">
        <v>0</v>
      </c>
      <c r="LRU16">
        <v>0</v>
      </c>
      <c r="LRV16">
        <v>0</v>
      </c>
      <c r="LRW16">
        <v>0</v>
      </c>
      <c r="LRX16">
        <v>0</v>
      </c>
      <c r="LRY16">
        <v>0</v>
      </c>
      <c r="LRZ16">
        <v>0</v>
      </c>
      <c r="LSA16">
        <v>0</v>
      </c>
      <c r="LSB16">
        <v>0</v>
      </c>
      <c r="LSC16">
        <v>0</v>
      </c>
      <c r="LSD16">
        <v>0</v>
      </c>
      <c r="LSE16">
        <v>0</v>
      </c>
      <c r="LSF16">
        <v>0</v>
      </c>
      <c r="LSG16">
        <v>0</v>
      </c>
      <c r="LSH16">
        <v>0</v>
      </c>
      <c r="LSI16">
        <v>0</v>
      </c>
      <c r="LSJ16">
        <v>0</v>
      </c>
      <c r="LSK16">
        <v>0</v>
      </c>
      <c r="LSL16">
        <v>0</v>
      </c>
      <c r="LSM16">
        <v>0</v>
      </c>
      <c r="LSN16">
        <v>0</v>
      </c>
      <c r="LSO16">
        <v>0</v>
      </c>
      <c r="LSP16">
        <v>0</v>
      </c>
      <c r="LSQ16">
        <v>0</v>
      </c>
      <c r="LSR16">
        <v>0</v>
      </c>
      <c r="LSS16">
        <v>0</v>
      </c>
      <c r="LST16">
        <v>0</v>
      </c>
      <c r="LSU16">
        <v>0</v>
      </c>
      <c r="LSV16">
        <v>0</v>
      </c>
      <c r="LSW16">
        <v>0</v>
      </c>
      <c r="LSX16">
        <v>0</v>
      </c>
      <c r="LSY16">
        <v>0</v>
      </c>
      <c r="LSZ16">
        <v>0</v>
      </c>
      <c r="LTA16">
        <v>0</v>
      </c>
      <c r="LTB16">
        <v>0</v>
      </c>
      <c r="LTC16">
        <v>0</v>
      </c>
      <c r="LTD16">
        <v>0</v>
      </c>
      <c r="LTE16">
        <v>0</v>
      </c>
      <c r="LTF16">
        <v>0</v>
      </c>
      <c r="LTG16">
        <v>0</v>
      </c>
      <c r="LTH16">
        <v>0</v>
      </c>
      <c r="LTI16">
        <v>0</v>
      </c>
      <c r="LTJ16">
        <v>0</v>
      </c>
      <c r="LTK16">
        <v>0</v>
      </c>
      <c r="LTL16">
        <v>0</v>
      </c>
      <c r="LTM16">
        <v>0</v>
      </c>
      <c r="LTN16">
        <v>0</v>
      </c>
      <c r="LTO16">
        <v>0</v>
      </c>
      <c r="LTP16">
        <v>0</v>
      </c>
      <c r="LTQ16">
        <v>0</v>
      </c>
      <c r="LTR16">
        <v>0</v>
      </c>
      <c r="LTS16">
        <v>0</v>
      </c>
      <c r="LTT16">
        <v>0</v>
      </c>
      <c r="LTU16">
        <v>0</v>
      </c>
      <c r="LTV16">
        <v>0</v>
      </c>
      <c r="LTW16">
        <v>0</v>
      </c>
      <c r="LTX16">
        <v>0</v>
      </c>
      <c r="LTY16">
        <v>0</v>
      </c>
      <c r="LTZ16">
        <v>0</v>
      </c>
      <c r="LUA16">
        <v>0</v>
      </c>
      <c r="LUB16">
        <v>0</v>
      </c>
      <c r="LUC16">
        <v>0</v>
      </c>
      <c r="LUD16">
        <v>0</v>
      </c>
      <c r="LUE16">
        <v>0</v>
      </c>
      <c r="LUF16">
        <v>0</v>
      </c>
      <c r="LUG16">
        <v>0</v>
      </c>
      <c r="LUH16">
        <v>0</v>
      </c>
      <c r="LUI16">
        <v>0</v>
      </c>
      <c r="LUJ16">
        <v>0</v>
      </c>
      <c r="LUK16">
        <v>0</v>
      </c>
      <c r="LUL16">
        <v>0</v>
      </c>
      <c r="LUM16">
        <v>0</v>
      </c>
      <c r="LUN16">
        <v>0</v>
      </c>
      <c r="LUO16">
        <v>0</v>
      </c>
      <c r="LUP16">
        <v>0</v>
      </c>
      <c r="LUQ16">
        <v>0</v>
      </c>
      <c r="LUR16">
        <v>0</v>
      </c>
      <c r="LUS16">
        <v>0</v>
      </c>
      <c r="LUT16">
        <v>0</v>
      </c>
      <c r="LUU16">
        <v>0</v>
      </c>
      <c r="LUV16">
        <v>0</v>
      </c>
      <c r="LUW16">
        <v>0</v>
      </c>
      <c r="LUX16">
        <v>0</v>
      </c>
      <c r="LUY16">
        <v>0</v>
      </c>
      <c r="LUZ16">
        <v>0</v>
      </c>
      <c r="LVA16">
        <v>0</v>
      </c>
      <c r="LVB16">
        <v>0</v>
      </c>
      <c r="LVC16">
        <v>0</v>
      </c>
      <c r="LVD16">
        <v>0</v>
      </c>
      <c r="LVE16">
        <v>0</v>
      </c>
      <c r="LVF16">
        <v>0</v>
      </c>
      <c r="LVG16">
        <v>0</v>
      </c>
      <c r="LVH16">
        <v>0</v>
      </c>
      <c r="LVI16">
        <v>0</v>
      </c>
      <c r="LVJ16">
        <v>0</v>
      </c>
      <c r="LVK16">
        <v>0</v>
      </c>
      <c r="LVL16">
        <v>0</v>
      </c>
      <c r="LVM16">
        <v>0</v>
      </c>
      <c r="LVN16">
        <v>0</v>
      </c>
      <c r="LVO16">
        <v>0</v>
      </c>
      <c r="LVP16">
        <v>0</v>
      </c>
      <c r="LVQ16">
        <v>0</v>
      </c>
      <c r="LVR16">
        <v>0</v>
      </c>
      <c r="LVS16">
        <v>0</v>
      </c>
      <c r="LVT16">
        <v>0</v>
      </c>
      <c r="LVU16">
        <v>0</v>
      </c>
      <c r="LVV16">
        <v>0</v>
      </c>
      <c r="LVW16">
        <v>0</v>
      </c>
      <c r="LVX16">
        <v>0</v>
      </c>
      <c r="LVY16">
        <v>0</v>
      </c>
      <c r="LVZ16">
        <v>0</v>
      </c>
      <c r="LWA16">
        <v>0</v>
      </c>
      <c r="LWB16">
        <v>0</v>
      </c>
      <c r="LWC16">
        <v>0</v>
      </c>
      <c r="LWD16">
        <v>0</v>
      </c>
      <c r="LWE16">
        <v>0</v>
      </c>
      <c r="LWF16">
        <v>0</v>
      </c>
      <c r="LWG16">
        <v>0</v>
      </c>
      <c r="LWH16">
        <v>0</v>
      </c>
      <c r="LWI16">
        <v>0</v>
      </c>
      <c r="LWJ16">
        <v>0</v>
      </c>
      <c r="LWK16">
        <v>0</v>
      </c>
      <c r="LWL16">
        <v>0</v>
      </c>
      <c r="LWM16">
        <v>0</v>
      </c>
      <c r="LWN16">
        <v>0</v>
      </c>
      <c r="LWO16">
        <v>0</v>
      </c>
      <c r="LWP16">
        <v>0</v>
      </c>
      <c r="LWQ16">
        <v>0</v>
      </c>
      <c r="LWR16">
        <v>0</v>
      </c>
      <c r="LWS16">
        <v>0</v>
      </c>
      <c r="LWT16">
        <v>0</v>
      </c>
      <c r="LWU16">
        <v>0</v>
      </c>
      <c r="LWV16">
        <v>0</v>
      </c>
      <c r="LWW16">
        <v>0</v>
      </c>
      <c r="LWX16">
        <v>0</v>
      </c>
      <c r="LWY16">
        <v>0</v>
      </c>
      <c r="LWZ16">
        <v>0</v>
      </c>
      <c r="LXA16">
        <v>0</v>
      </c>
      <c r="LXB16">
        <v>0</v>
      </c>
      <c r="LXC16">
        <v>0</v>
      </c>
      <c r="LXD16">
        <v>0</v>
      </c>
      <c r="LXE16">
        <v>0</v>
      </c>
      <c r="LXF16">
        <v>0</v>
      </c>
      <c r="LXG16">
        <v>0</v>
      </c>
      <c r="LXH16">
        <v>0</v>
      </c>
      <c r="LXI16">
        <v>0</v>
      </c>
      <c r="LXJ16">
        <v>0</v>
      </c>
      <c r="LXK16">
        <v>0</v>
      </c>
      <c r="LXL16">
        <v>0</v>
      </c>
      <c r="LXM16">
        <v>0</v>
      </c>
      <c r="LXN16">
        <v>0</v>
      </c>
      <c r="LXO16">
        <v>0</v>
      </c>
      <c r="LXP16">
        <v>0</v>
      </c>
      <c r="LXQ16">
        <v>0</v>
      </c>
      <c r="LXR16">
        <v>0</v>
      </c>
      <c r="LXS16">
        <v>0</v>
      </c>
      <c r="LXT16">
        <v>0</v>
      </c>
      <c r="LXU16">
        <v>0</v>
      </c>
      <c r="LXV16">
        <v>0</v>
      </c>
      <c r="LXW16">
        <v>0</v>
      </c>
      <c r="LXX16">
        <v>0</v>
      </c>
      <c r="LXY16">
        <v>0</v>
      </c>
      <c r="LXZ16">
        <v>0</v>
      </c>
      <c r="LYA16">
        <v>0</v>
      </c>
      <c r="LYB16">
        <v>0</v>
      </c>
      <c r="LYC16">
        <v>0</v>
      </c>
      <c r="LYD16">
        <v>0</v>
      </c>
      <c r="LYE16">
        <v>0</v>
      </c>
      <c r="LYF16">
        <v>0</v>
      </c>
      <c r="LYG16">
        <v>0</v>
      </c>
      <c r="LYH16">
        <v>0</v>
      </c>
      <c r="LYI16">
        <v>0</v>
      </c>
      <c r="LYJ16">
        <v>0</v>
      </c>
      <c r="LYK16">
        <v>0</v>
      </c>
      <c r="LYL16">
        <v>0</v>
      </c>
      <c r="LYM16">
        <v>0</v>
      </c>
      <c r="LYN16">
        <v>0</v>
      </c>
      <c r="LYO16">
        <v>0</v>
      </c>
      <c r="LYP16">
        <v>0</v>
      </c>
      <c r="LYQ16">
        <v>0</v>
      </c>
      <c r="LYR16">
        <v>0</v>
      </c>
      <c r="LYS16">
        <v>0</v>
      </c>
      <c r="LYT16">
        <v>0</v>
      </c>
      <c r="LYU16">
        <v>0</v>
      </c>
      <c r="LYV16">
        <v>0</v>
      </c>
      <c r="LYW16">
        <v>0</v>
      </c>
      <c r="LYX16">
        <v>0</v>
      </c>
      <c r="LYY16">
        <v>0</v>
      </c>
      <c r="LYZ16">
        <v>0</v>
      </c>
      <c r="LZA16">
        <v>0</v>
      </c>
      <c r="LZB16">
        <v>0</v>
      </c>
      <c r="LZC16">
        <v>0</v>
      </c>
      <c r="LZD16">
        <v>0</v>
      </c>
      <c r="LZE16">
        <v>0</v>
      </c>
      <c r="LZF16">
        <v>0</v>
      </c>
      <c r="LZG16">
        <v>0</v>
      </c>
      <c r="LZH16">
        <v>0</v>
      </c>
      <c r="LZI16">
        <v>0</v>
      </c>
      <c r="LZJ16">
        <v>0</v>
      </c>
      <c r="LZK16">
        <v>0</v>
      </c>
      <c r="LZL16">
        <v>0</v>
      </c>
      <c r="LZM16">
        <v>0</v>
      </c>
      <c r="LZN16">
        <v>0</v>
      </c>
      <c r="LZO16">
        <v>0</v>
      </c>
      <c r="LZP16">
        <v>0</v>
      </c>
      <c r="LZQ16">
        <v>0</v>
      </c>
      <c r="LZR16">
        <v>0</v>
      </c>
      <c r="LZS16">
        <v>0</v>
      </c>
      <c r="LZT16">
        <v>0</v>
      </c>
      <c r="LZU16">
        <v>0</v>
      </c>
      <c r="LZV16">
        <v>0</v>
      </c>
      <c r="LZW16">
        <v>0</v>
      </c>
      <c r="LZX16">
        <v>0</v>
      </c>
      <c r="LZY16">
        <v>0</v>
      </c>
      <c r="LZZ16">
        <v>0</v>
      </c>
      <c r="MAA16">
        <v>0</v>
      </c>
      <c r="MAB16">
        <v>0</v>
      </c>
      <c r="MAC16">
        <v>0</v>
      </c>
      <c r="MAD16">
        <v>0</v>
      </c>
      <c r="MAE16">
        <v>0</v>
      </c>
      <c r="MAF16">
        <v>0</v>
      </c>
      <c r="MAG16">
        <v>0</v>
      </c>
      <c r="MAH16">
        <v>0</v>
      </c>
      <c r="MAI16">
        <v>0</v>
      </c>
      <c r="MAJ16">
        <v>0</v>
      </c>
      <c r="MAK16">
        <v>0</v>
      </c>
      <c r="MAL16">
        <v>0</v>
      </c>
      <c r="MAM16">
        <v>0</v>
      </c>
      <c r="MAN16">
        <v>0</v>
      </c>
      <c r="MAO16">
        <v>0</v>
      </c>
      <c r="MAP16">
        <v>0</v>
      </c>
      <c r="MAQ16">
        <v>0</v>
      </c>
      <c r="MAR16">
        <v>0</v>
      </c>
      <c r="MAS16">
        <v>0</v>
      </c>
      <c r="MAT16">
        <v>0</v>
      </c>
      <c r="MAU16">
        <v>0</v>
      </c>
      <c r="MAV16">
        <v>0</v>
      </c>
      <c r="MAW16">
        <v>0</v>
      </c>
      <c r="MAX16">
        <v>0</v>
      </c>
      <c r="MAY16">
        <v>0</v>
      </c>
      <c r="MAZ16">
        <v>0</v>
      </c>
      <c r="MBA16">
        <v>0</v>
      </c>
      <c r="MBB16">
        <v>0</v>
      </c>
      <c r="MBC16">
        <v>0</v>
      </c>
      <c r="MBD16">
        <v>0</v>
      </c>
      <c r="MBE16">
        <v>0</v>
      </c>
      <c r="MBF16">
        <v>0</v>
      </c>
      <c r="MBG16">
        <v>0</v>
      </c>
      <c r="MBH16">
        <v>0</v>
      </c>
      <c r="MBI16">
        <v>0</v>
      </c>
      <c r="MBJ16">
        <v>0</v>
      </c>
      <c r="MBK16">
        <v>0</v>
      </c>
      <c r="MBL16">
        <v>0</v>
      </c>
      <c r="MBM16">
        <v>0</v>
      </c>
      <c r="MBN16">
        <v>0</v>
      </c>
      <c r="MBO16">
        <v>0</v>
      </c>
      <c r="MBP16">
        <v>0</v>
      </c>
      <c r="MBQ16">
        <v>0</v>
      </c>
      <c r="MBR16">
        <v>0</v>
      </c>
      <c r="MBS16">
        <v>0</v>
      </c>
      <c r="MBT16">
        <v>0</v>
      </c>
      <c r="MBU16">
        <v>0</v>
      </c>
      <c r="MBV16">
        <v>0</v>
      </c>
      <c r="MBW16">
        <v>0</v>
      </c>
      <c r="MBX16">
        <v>0</v>
      </c>
      <c r="MBY16">
        <v>0</v>
      </c>
      <c r="MBZ16">
        <v>0</v>
      </c>
      <c r="MCA16">
        <v>0</v>
      </c>
      <c r="MCB16">
        <v>0</v>
      </c>
      <c r="MCC16">
        <v>0</v>
      </c>
      <c r="MCD16">
        <v>0</v>
      </c>
      <c r="MCE16">
        <v>0</v>
      </c>
      <c r="MCF16">
        <v>0</v>
      </c>
      <c r="MCG16">
        <v>0</v>
      </c>
      <c r="MCH16">
        <v>0</v>
      </c>
      <c r="MCI16">
        <v>0</v>
      </c>
      <c r="MCJ16">
        <v>0</v>
      </c>
      <c r="MCK16">
        <v>0</v>
      </c>
      <c r="MCL16">
        <v>0</v>
      </c>
      <c r="MCM16">
        <v>0</v>
      </c>
      <c r="MCN16">
        <v>0</v>
      </c>
      <c r="MCO16">
        <v>0</v>
      </c>
      <c r="MCP16">
        <v>0</v>
      </c>
      <c r="MCQ16">
        <v>0</v>
      </c>
      <c r="MCR16">
        <v>0</v>
      </c>
      <c r="MCS16">
        <v>0</v>
      </c>
      <c r="MCT16">
        <v>0</v>
      </c>
      <c r="MCU16">
        <v>0</v>
      </c>
      <c r="MCV16">
        <v>0</v>
      </c>
      <c r="MCW16">
        <v>0</v>
      </c>
      <c r="MCX16">
        <v>0</v>
      </c>
      <c r="MCY16">
        <v>0</v>
      </c>
      <c r="MCZ16">
        <v>0</v>
      </c>
      <c r="MDA16">
        <v>0</v>
      </c>
      <c r="MDB16">
        <v>0</v>
      </c>
      <c r="MDC16">
        <v>0</v>
      </c>
      <c r="MDD16">
        <v>0</v>
      </c>
      <c r="MDE16">
        <v>0</v>
      </c>
      <c r="MDF16">
        <v>0</v>
      </c>
      <c r="MDG16">
        <v>0</v>
      </c>
      <c r="MDH16">
        <v>0</v>
      </c>
      <c r="MDI16">
        <v>0</v>
      </c>
      <c r="MDJ16">
        <v>0</v>
      </c>
      <c r="MDK16">
        <v>0</v>
      </c>
      <c r="MDL16">
        <v>0</v>
      </c>
      <c r="MDM16">
        <v>0</v>
      </c>
      <c r="MDN16">
        <v>0</v>
      </c>
      <c r="MDO16">
        <v>0</v>
      </c>
      <c r="MDP16">
        <v>0</v>
      </c>
      <c r="MDQ16">
        <v>0</v>
      </c>
      <c r="MDR16">
        <v>0</v>
      </c>
      <c r="MDS16">
        <v>0</v>
      </c>
      <c r="MDT16">
        <v>0</v>
      </c>
      <c r="MDU16">
        <v>0</v>
      </c>
      <c r="MDV16">
        <v>0</v>
      </c>
      <c r="MDW16">
        <v>0</v>
      </c>
      <c r="MDX16">
        <v>0</v>
      </c>
      <c r="MDY16">
        <v>0</v>
      </c>
      <c r="MDZ16">
        <v>0</v>
      </c>
      <c r="MEA16">
        <v>0</v>
      </c>
      <c r="MEB16">
        <v>0</v>
      </c>
      <c r="MEC16">
        <v>0</v>
      </c>
      <c r="MED16">
        <v>0</v>
      </c>
      <c r="MEE16">
        <v>0</v>
      </c>
      <c r="MEF16">
        <v>0</v>
      </c>
      <c r="MEG16">
        <v>0</v>
      </c>
      <c r="MEH16">
        <v>0</v>
      </c>
      <c r="MEI16">
        <v>0</v>
      </c>
      <c r="MEJ16">
        <v>0</v>
      </c>
      <c r="MEK16">
        <v>0</v>
      </c>
      <c r="MEL16">
        <v>0</v>
      </c>
      <c r="MEM16">
        <v>0</v>
      </c>
      <c r="MEN16">
        <v>0</v>
      </c>
      <c r="MEO16">
        <v>0</v>
      </c>
      <c r="MEP16">
        <v>0</v>
      </c>
      <c r="MEQ16">
        <v>0</v>
      </c>
      <c r="MER16">
        <v>0</v>
      </c>
      <c r="MES16">
        <v>0</v>
      </c>
      <c r="MET16">
        <v>0</v>
      </c>
      <c r="MEU16">
        <v>0</v>
      </c>
      <c r="MEV16">
        <v>0</v>
      </c>
      <c r="MEW16">
        <v>0</v>
      </c>
      <c r="MEX16">
        <v>0</v>
      </c>
      <c r="MEY16">
        <v>0</v>
      </c>
      <c r="MEZ16">
        <v>0</v>
      </c>
      <c r="MFA16">
        <v>0</v>
      </c>
      <c r="MFB16">
        <v>0</v>
      </c>
      <c r="MFC16">
        <v>0</v>
      </c>
      <c r="MFD16">
        <v>0</v>
      </c>
      <c r="MFE16">
        <v>0</v>
      </c>
      <c r="MFF16">
        <v>0</v>
      </c>
      <c r="MFG16">
        <v>0</v>
      </c>
      <c r="MFH16">
        <v>0</v>
      </c>
      <c r="MFI16">
        <v>0</v>
      </c>
      <c r="MFJ16">
        <v>0</v>
      </c>
      <c r="MFK16">
        <v>0</v>
      </c>
      <c r="MFL16">
        <v>0</v>
      </c>
      <c r="MFM16">
        <v>0</v>
      </c>
      <c r="MFN16">
        <v>0</v>
      </c>
      <c r="MFO16">
        <v>0</v>
      </c>
      <c r="MFP16">
        <v>0</v>
      </c>
      <c r="MFQ16">
        <v>0</v>
      </c>
      <c r="MFR16">
        <v>0</v>
      </c>
      <c r="MFS16">
        <v>0</v>
      </c>
      <c r="MFT16">
        <v>0</v>
      </c>
      <c r="MFU16">
        <v>0</v>
      </c>
      <c r="MFV16">
        <v>0</v>
      </c>
      <c r="MFW16">
        <v>0</v>
      </c>
      <c r="MFX16">
        <v>0</v>
      </c>
      <c r="MFY16">
        <v>0</v>
      </c>
      <c r="MFZ16">
        <v>0</v>
      </c>
      <c r="MGA16">
        <v>0</v>
      </c>
      <c r="MGB16">
        <v>0</v>
      </c>
      <c r="MGC16">
        <v>0</v>
      </c>
      <c r="MGD16">
        <v>0</v>
      </c>
      <c r="MGE16">
        <v>0</v>
      </c>
      <c r="MGF16">
        <v>0</v>
      </c>
      <c r="MGG16">
        <v>0</v>
      </c>
      <c r="MGH16">
        <v>0</v>
      </c>
      <c r="MGI16">
        <v>0</v>
      </c>
      <c r="MGJ16">
        <v>0</v>
      </c>
      <c r="MGK16">
        <v>0</v>
      </c>
      <c r="MGL16">
        <v>0</v>
      </c>
      <c r="MGM16">
        <v>0</v>
      </c>
      <c r="MGN16">
        <v>0</v>
      </c>
      <c r="MGO16">
        <v>0</v>
      </c>
      <c r="MGP16">
        <v>0</v>
      </c>
      <c r="MGQ16">
        <v>0</v>
      </c>
      <c r="MGR16">
        <v>0</v>
      </c>
      <c r="MGS16">
        <v>0</v>
      </c>
      <c r="MGT16">
        <v>0</v>
      </c>
      <c r="MGU16">
        <v>0</v>
      </c>
      <c r="MGV16">
        <v>0</v>
      </c>
      <c r="MGW16">
        <v>0</v>
      </c>
      <c r="MGX16">
        <v>0</v>
      </c>
      <c r="MGY16">
        <v>0</v>
      </c>
      <c r="MGZ16">
        <v>0</v>
      </c>
      <c r="MHA16">
        <v>0</v>
      </c>
      <c r="MHB16">
        <v>0</v>
      </c>
      <c r="MHC16">
        <v>0</v>
      </c>
      <c r="MHD16">
        <v>0</v>
      </c>
      <c r="MHE16">
        <v>0</v>
      </c>
      <c r="MHF16">
        <v>0</v>
      </c>
      <c r="MHG16">
        <v>0</v>
      </c>
      <c r="MHH16">
        <v>0</v>
      </c>
      <c r="MHI16">
        <v>0</v>
      </c>
      <c r="MHJ16">
        <v>0</v>
      </c>
      <c r="MHK16">
        <v>0</v>
      </c>
      <c r="MHL16">
        <v>0</v>
      </c>
      <c r="MHM16">
        <v>0</v>
      </c>
      <c r="MHN16">
        <v>0</v>
      </c>
      <c r="MHO16">
        <v>0</v>
      </c>
      <c r="MHP16">
        <v>0</v>
      </c>
      <c r="MHQ16">
        <v>0</v>
      </c>
      <c r="MHR16">
        <v>0</v>
      </c>
      <c r="MHS16">
        <v>0</v>
      </c>
      <c r="MHT16">
        <v>0</v>
      </c>
      <c r="MHU16">
        <v>0</v>
      </c>
      <c r="MHV16">
        <v>0</v>
      </c>
      <c r="MHW16">
        <v>0</v>
      </c>
      <c r="MHX16">
        <v>0</v>
      </c>
      <c r="MHY16">
        <v>0</v>
      </c>
      <c r="MHZ16">
        <v>0</v>
      </c>
      <c r="MIA16">
        <v>0</v>
      </c>
      <c r="MIB16">
        <v>0</v>
      </c>
      <c r="MIC16">
        <v>0</v>
      </c>
      <c r="MID16">
        <v>0</v>
      </c>
      <c r="MIE16">
        <v>0</v>
      </c>
      <c r="MIF16">
        <v>0</v>
      </c>
      <c r="MIG16">
        <v>0</v>
      </c>
      <c r="MIH16">
        <v>0</v>
      </c>
      <c r="MII16">
        <v>0</v>
      </c>
      <c r="MIJ16">
        <v>0</v>
      </c>
      <c r="MIK16">
        <v>0</v>
      </c>
      <c r="MIL16">
        <v>0</v>
      </c>
      <c r="MIM16">
        <v>0</v>
      </c>
      <c r="MIN16">
        <v>0</v>
      </c>
      <c r="MIO16">
        <v>0</v>
      </c>
      <c r="MIP16">
        <v>0</v>
      </c>
      <c r="MIQ16">
        <v>0</v>
      </c>
      <c r="MIR16">
        <v>0</v>
      </c>
      <c r="MIS16">
        <v>0</v>
      </c>
      <c r="MIT16">
        <v>0</v>
      </c>
      <c r="MIU16">
        <v>0</v>
      </c>
      <c r="MIV16">
        <v>0</v>
      </c>
      <c r="MIW16">
        <v>0</v>
      </c>
      <c r="MIX16">
        <v>0</v>
      </c>
      <c r="MIY16">
        <v>0</v>
      </c>
      <c r="MIZ16">
        <v>0</v>
      </c>
      <c r="MJA16">
        <v>0</v>
      </c>
      <c r="MJB16">
        <v>0</v>
      </c>
      <c r="MJC16">
        <v>0</v>
      </c>
      <c r="MJD16">
        <v>0</v>
      </c>
      <c r="MJE16">
        <v>0</v>
      </c>
      <c r="MJF16">
        <v>0</v>
      </c>
      <c r="MJG16">
        <v>0</v>
      </c>
      <c r="MJH16">
        <v>0</v>
      </c>
      <c r="MJI16">
        <v>0</v>
      </c>
      <c r="MJJ16">
        <v>0</v>
      </c>
      <c r="MJK16">
        <v>0</v>
      </c>
      <c r="MJL16">
        <v>0</v>
      </c>
      <c r="MJM16">
        <v>0</v>
      </c>
      <c r="MJN16">
        <v>0</v>
      </c>
      <c r="MJO16">
        <v>0</v>
      </c>
      <c r="MJP16">
        <v>0</v>
      </c>
      <c r="MJQ16">
        <v>0</v>
      </c>
      <c r="MJR16">
        <v>0</v>
      </c>
      <c r="MJS16">
        <v>0</v>
      </c>
      <c r="MJT16">
        <v>0</v>
      </c>
      <c r="MJU16">
        <v>0</v>
      </c>
      <c r="MJV16">
        <v>0</v>
      </c>
      <c r="MJW16">
        <v>0</v>
      </c>
      <c r="MJX16">
        <v>0</v>
      </c>
      <c r="MJY16">
        <v>0</v>
      </c>
      <c r="MJZ16">
        <v>0</v>
      </c>
      <c r="MKA16">
        <v>0</v>
      </c>
      <c r="MKB16">
        <v>0</v>
      </c>
      <c r="MKC16">
        <v>0</v>
      </c>
      <c r="MKD16">
        <v>0</v>
      </c>
      <c r="MKE16">
        <v>0</v>
      </c>
      <c r="MKF16">
        <v>0</v>
      </c>
      <c r="MKG16">
        <v>0</v>
      </c>
      <c r="MKH16">
        <v>0</v>
      </c>
      <c r="MKI16">
        <v>0</v>
      </c>
      <c r="MKJ16">
        <v>0</v>
      </c>
      <c r="MKK16">
        <v>0</v>
      </c>
      <c r="MKL16">
        <v>0</v>
      </c>
      <c r="MKM16">
        <v>0</v>
      </c>
      <c r="MKN16">
        <v>0</v>
      </c>
      <c r="MKO16">
        <v>0</v>
      </c>
      <c r="MKP16">
        <v>0</v>
      </c>
      <c r="MKQ16">
        <v>0</v>
      </c>
      <c r="MKR16">
        <v>0</v>
      </c>
      <c r="MKS16">
        <v>0</v>
      </c>
      <c r="MKT16">
        <v>0</v>
      </c>
      <c r="MKU16">
        <v>0</v>
      </c>
      <c r="MKV16">
        <v>0</v>
      </c>
      <c r="MKW16">
        <v>0</v>
      </c>
      <c r="MKX16">
        <v>0</v>
      </c>
      <c r="MKY16">
        <v>0</v>
      </c>
      <c r="MKZ16">
        <v>0</v>
      </c>
      <c r="MLA16">
        <v>0</v>
      </c>
      <c r="MLB16">
        <v>0</v>
      </c>
      <c r="MLC16">
        <v>0</v>
      </c>
      <c r="MLD16">
        <v>0</v>
      </c>
      <c r="MLE16">
        <v>0</v>
      </c>
      <c r="MLF16">
        <v>0</v>
      </c>
      <c r="MLG16">
        <v>0</v>
      </c>
      <c r="MLH16">
        <v>0</v>
      </c>
      <c r="MLI16">
        <v>0</v>
      </c>
      <c r="MLJ16">
        <v>0</v>
      </c>
      <c r="MLK16">
        <v>0</v>
      </c>
      <c r="MLL16">
        <v>0</v>
      </c>
      <c r="MLM16">
        <v>0</v>
      </c>
      <c r="MLN16">
        <v>0</v>
      </c>
      <c r="MLO16">
        <v>0</v>
      </c>
      <c r="MLP16">
        <v>0</v>
      </c>
      <c r="MLQ16">
        <v>0</v>
      </c>
      <c r="MLR16">
        <v>0</v>
      </c>
      <c r="MLS16">
        <v>0</v>
      </c>
      <c r="MLT16">
        <v>0</v>
      </c>
      <c r="MLU16">
        <v>0</v>
      </c>
      <c r="MLV16">
        <v>0</v>
      </c>
      <c r="MLW16">
        <v>0</v>
      </c>
      <c r="MLX16">
        <v>0</v>
      </c>
      <c r="MLY16">
        <v>0</v>
      </c>
      <c r="MLZ16">
        <v>0</v>
      </c>
      <c r="MMA16">
        <v>0</v>
      </c>
      <c r="MMB16">
        <v>0</v>
      </c>
      <c r="MMC16">
        <v>0</v>
      </c>
      <c r="MMD16">
        <v>0</v>
      </c>
      <c r="MME16">
        <v>0</v>
      </c>
      <c r="MMF16">
        <v>0</v>
      </c>
      <c r="MMG16">
        <v>0</v>
      </c>
      <c r="MMH16">
        <v>0</v>
      </c>
      <c r="MMI16">
        <v>0</v>
      </c>
      <c r="MMJ16">
        <v>0</v>
      </c>
      <c r="MMK16">
        <v>0</v>
      </c>
      <c r="MML16">
        <v>0</v>
      </c>
      <c r="MMM16">
        <v>0</v>
      </c>
      <c r="MMN16">
        <v>0</v>
      </c>
      <c r="MMO16">
        <v>0</v>
      </c>
      <c r="MMP16">
        <v>0</v>
      </c>
      <c r="MMQ16">
        <v>0</v>
      </c>
      <c r="MMR16">
        <v>0</v>
      </c>
      <c r="MMS16">
        <v>0</v>
      </c>
      <c r="MMT16">
        <v>0</v>
      </c>
      <c r="MMU16">
        <v>0</v>
      </c>
      <c r="MMV16">
        <v>0</v>
      </c>
      <c r="MMW16">
        <v>0</v>
      </c>
      <c r="MMX16">
        <v>0</v>
      </c>
      <c r="MMY16">
        <v>0</v>
      </c>
      <c r="MMZ16">
        <v>0</v>
      </c>
      <c r="MNA16">
        <v>0</v>
      </c>
      <c r="MNB16">
        <v>0</v>
      </c>
      <c r="MNC16">
        <v>0</v>
      </c>
      <c r="MND16">
        <v>0</v>
      </c>
      <c r="MNE16">
        <v>0</v>
      </c>
      <c r="MNF16">
        <v>0</v>
      </c>
      <c r="MNG16">
        <v>0</v>
      </c>
      <c r="MNH16">
        <v>0</v>
      </c>
      <c r="MNI16">
        <v>0</v>
      </c>
      <c r="MNJ16">
        <v>0</v>
      </c>
      <c r="MNK16">
        <v>0</v>
      </c>
      <c r="MNL16">
        <v>0</v>
      </c>
      <c r="MNM16">
        <v>0</v>
      </c>
      <c r="MNN16">
        <v>0</v>
      </c>
      <c r="MNO16">
        <v>0</v>
      </c>
      <c r="MNP16">
        <v>0</v>
      </c>
      <c r="MNQ16">
        <v>0</v>
      </c>
      <c r="MNR16">
        <v>0</v>
      </c>
      <c r="MNS16">
        <v>0</v>
      </c>
      <c r="MNT16">
        <v>0</v>
      </c>
      <c r="MNU16">
        <v>0</v>
      </c>
      <c r="MNV16">
        <v>0</v>
      </c>
      <c r="MNW16">
        <v>0</v>
      </c>
      <c r="MNX16">
        <v>0</v>
      </c>
      <c r="MNY16">
        <v>0</v>
      </c>
      <c r="MNZ16">
        <v>0</v>
      </c>
      <c r="MOA16">
        <v>0</v>
      </c>
      <c r="MOB16">
        <v>0</v>
      </c>
      <c r="MOC16">
        <v>0</v>
      </c>
      <c r="MOD16">
        <v>0</v>
      </c>
      <c r="MOE16">
        <v>0</v>
      </c>
      <c r="MOF16">
        <v>0</v>
      </c>
      <c r="MOG16">
        <v>0</v>
      </c>
      <c r="MOH16">
        <v>0</v>
      </c>
      <c r="MOI16">
        <v>0</v>
      </c>
      <c r="MOJ16">
        <v>0</v>
      </c>
      <c r="MOK16">
        <v>0</v>
      </c>
      <c r="MOL16">
        <v>0</v>
      </c>
      <c r="MOM16">
        <v>0</v>
      </c>
      <c r="MON16">
        <v>0</v>
      </c>
      <c r="MOO16">
        <v>0</v>
      </c>
      <c r="MOP16">
        <v>0</v>
      </c>
      <c r="MOQ16">
        <v>0</v>
      </c>
      <c r="MOR16">
        <v>0</v>
      </c>
      <c r="MOS16">
        <v>0</v>
      </c>
      <c r="MOT16">
        <v>0</v>
      </c>
      <c r="MOU16">
        <v>0</v>
      </c>
      <c r="MOV16">
        <v>0</v>
      </c>
      <c r="MOW16">
        <v>0</v>
      </c>
      <c r="MOX16">
        <v>0</v>
      </c>
      <c r="MOY16">
        <v>0</v>
      </c>
      <c r="MOZ16">
        <v>0</v>
      </c>
      <c r="MPA16">
        <v>0</v>
      </c>
      <c r="MPB16">
        <v>0</v>
      </c>
      <c r="MPC16">
        <v>0</v>
      </c>
      <c r="MPD16">
        <v>0</v>
      </c>
      <c r="MPE16">
        <v>0</v>
      </c>
      <c r="MPF16">
        <v>0</v>
      </c>
      <c r="MPG16">
        <v>0</v>
      </c>
      <c r="MPH16">
        <v>0</v>
      </c>
      <c r="MPI16">
        <v>0</v>
      </c>
      <c r="MPJ16">
        <v>0</v>
      </c>
      <c r="MPK16">
        <v>0</v>
      </c>
      <c r="MPL16">
        <v>0</v>
      </c>
      <c r="MPM16">
        <v>0</v>
      </c>
      <c r="MPN16">
        <v>0</v>
      </c>
      <c r="MPO16">
        <v>0</v>
      </c>
      <c r="MPP16">
        <v>0</v>
      </c>
      <c r="MPQ16">
        <v>0</v>
      </c>
      <c r="MPR16">
        <v>0</v>
      </c>
      <c r="MPS16">
        <v>0</v>
      </c>
      <c r="MPT16">
        <v>0</v>
      </c>
      <c r="MPU16">
        <v>0</v>
      </c>
      <c r="MPV16">
        <v>0</v>
      </c>
      <c r="MPW16">
        <v>0</v>
      </c>
      <c r="MPX16">
        <v>0</v>
      </c>
      <c r="MPY16">
        <v>0</v>
      </c>
      <c r="MPZ16">
        <v>0</v>
      </c>
      <c r="MQA16">
        <v>0</v>
      </c>
      <c r="MQB16">
        <v>0</v>
      </c>
      <c r="MQC16">
        <v>0</v>
      </c>
      <c r="MQD16">
        <v>0</v>
      </c>
      <c r="MQE16">
        <v>0</v>
      </c>
      <c r="MQF16">
        <v>0</v>
      </c>
      <c r="MQG16">
        <v>0</v>
      </c>
      <c r="MQH16">
        <v>0</v>
      </c>
      <c r="MQI16">
        <v>0</v>
      </c>
      <c r="MQJ16">
        <v>0</v>
      </c>
      <c r="MQK16">
        <v>0</v>
      </c>
      <c r="MQL16">
        <v>0</v>
      </c>
      <c r="MQM16">
        <v>0</v>
      </c>
      <c r="MQN16">
        <v>0</v>
      </c>
      <c r="MQO16">
        <v>0</v>
      </c>
      <c r="MQP16">
        <v>0</v>
      </c>
      <c r="MQQ16">
        <v>0</v>
      </c>
      <c r="MQR16">
        <v>0</v>
      </c>
      <c r="MQS16">
        <v>0</v>
      </c>
      <c r="MQT16">
        <v>0</v>
      </c>
      <c r="MQU16">
        <v>0</v>
      </c>
      <c r="MQV16">
        <v>0</v>
      </c>
      <c r="MQW16">
        <v>0</v>
      </c>
      <c r="MQX16">
        <v>0</v>
      </c>
      <c r="MQY16">
        <v>0</v>
      </c>
      <c r="MQZ16">
        <v>0</v>
      </c>
      <c r="MRA16">
        <v>0</v>
      </c>
      <c r="MRB16">
        <v>0</v>
      </c>
      <c r="MRC16">
        <v>0</v>
      </c>
      <c r="MRD16">
        <v>0</v>
      </c>
      <c r="MRE16">
        <v>0</v>
      </c>
      <c r="MRF16">
        <v>0</v>
      </c>
      <c r="MRG16">
        <v>0</v>
      </c>
      <c r="MRH16">
        <v>0</v>
      </c>
      <c r="MRI16">
        <v>0</v>
      </c>
      <c r="MRJ16">
        <v>0</v>
      </c>
      <c r="MRK16">
        <v>0</v>
      </c>
      <c r="MRL16">
        <v>0</v>
      </c>
      <c r="MRM16">
        <v>0</v>
      </c>
      <c r="MRN16">
        <v>0</v>
      </c>
      <c r="MRO16">
        <v>0</v>
      </c>
      <c r="MRP16">
        <v>0</v>
      </c>
      <c r="MRQ16">
        <v>0</v>
      </c>
      <c r="MRR16">
        <v>0</v>
      </c>
      <c r="MRS16">
        <v>0</v>
      </c>
      <c r="MRT16">
        <v>0</v>
      </c>
      <c r="MRU16">
        <v>0</v>
      </c>
      <c r="MRV16">
        <v>0</v>
      </c>
      <c r="MRW16">
        <v>0</v>
      </c>
      <c r="MRX16">
        <v>0</v>
      </c>
      <c r="MRY16">
        <v>0</v>
      </c>
      <c r="MRZ16">
        <v>0</v>
      </c>
      <c r="MSA16">
        <v>0</v>
      </c>
      <c r="MSB16">
        <v>0</v>
      </c>
      <c r="MSC16">
        <v>0</v>
      </c>
      <c r="MSD16">
        <v>0</v>
      </c>
      <c r="MSE16">
        <v>0</v>
      </c>
      <c r="MSF16">
        <v>0</v>
      </c>
      <c r="MSG16">
        <v>0</v>
      </c>
      <c r="MSH16">
        <v>0</v>
      </c>
      <c r="MSI16">
        <v>0</v>
      </c>
      <c r="MSJ16">
        <v>0</v>
      </c>
      <c r="MSK16">
        <v>0</v>
      </c>
      <c r="MSL16">
        <v>0</v>
      </c>
      <c r="MSM16">
        <v>0</v>
      </c>
      <c r="MSN16">
        <v>0</v>
      </c>
      <c r="MSO16">
        <v>0</v>
      </c>
      <c r="MSP16">
        <v>0</v>
      </c>
      <c r="MSQ16">
        <v>0</v>
      </c>
      <c r="MSR16">
        <v>0</v>
      </c>
      <c r="MSS16">
        <v>0</v>
      </c>
      <c r="MST16">
        <v>0</v>
      </c>
      <c r="MSU16">
        <v>0</v>
      </c>
      <c r="MSV16">
        <v>0</v>
      </c>
      <c r="MSW16">
        <v>0</v>
      </c>
      <c r="MSX16">
        <v>0</v>
      </c>
      <c r="MSY16">
        <v>0</v>
      </c>
      <c r="MSZ16">
        <v>0</v>
      </c>
      <c r="MTA16">
        <v>0</v>
      </c>
      <c r="MTB16">
        <v>0</v>
      </c>
      <c r="MTC16">
        <v>0</v>
      </c>
      <c r="MTD16">
        <v>0</v>
      </c>
      <c r="MTE16">
        <v>0</v>
      </c>
      <c r="MTF16">
        <v>0</v>
      </c>
      <c r="MTG16">
        <v>0</v>
      </c>
      <c r="MTH16">
        <v>0</v>
      </c>
      <c r="MTI16">
        <v>0</v>
      </c>
      <c r="MTJ16">
        <v>0</v>
      </c>
      <c r="MTK16">
        <v>0</v>
      </c>
      <c r="MTL16">
        <v>0</v>
      </c>
      <c r="MTM16">
        <v>0</v>
      </c>
      <c r="MTN16">
        <v>0</v>
      </c>
      <c r="MTO16">
        <v>0</v>
      </c>
      <c r="MTP16">
        <v>0</v>
      </c>
      <c r="MTQ16">
        <v>0</v>
      </c>
      <c r="MTR16">
        <v>0</v>
      </c>
      <c r="MTS16">
        <v>0</v>
      </c>
      <c r="MTT16">
        <v>0</v>
      </c>
      <c r="MTU16">
        <v>0</v>
      </c>
      <c r="MTV16">
        <v>0</v>
      </c>
      <c r="MTW16">
        <v>0</v>
      </c>
      <c r="MTX16">
        <v>0</v>
      </c>
      <c r="MTY16">
        <v>0</v>
      </c>
      <c r="MTZ16">
        <v>0</v>
      </c>
      <c r="MUA16">
        <v>0</v>
      </c>
      <c r="MUB16">
        <v>0</v>
      </c>
      <c r="MUC16">
        <v>0</v>
      </c>
      <c r="MUD16">
        <v>0</v>
      </c>
      <c r="MUE16">
        <v>0</v>
      </c>
      <c r="MUF16">
        <v>0</v>
      </c>
      <c r="MUG16">
        <v>0</v>
      </c>
      <c r="MUH16">
        <v>0</v>
      </c>
      <c r="MUI16">
        <v>0</v>
      </c>
      <c r="MUJ16">
        <v>0</v>
      </c>
      <c r="MUK16">
        <v>0</v>
      </c>
      <c r="MUL16">
        <v>0</v>
      </c>
      <c r="MUM16">
        <v>0</v>
      </c>
      <c r="MUN16">
        <v>0</v>
      </c>
      <c r="MUO16">
        <v>0</v>
      </c>
      <c r="MUP16">
        <v>0</v>
      </c>
      <c r="MUQ16">
        <v>0</v>
      </c>
      <c r="MUR16">
        <v>0</v>
      </c>
      <c r="MUS16">
        <v>0</v>
      </c>
      <c r="MUT16">
        <v>0</v>
      </c>
      <c r="MUU16">
        <v>0</v>
      </c>
      <c r="MUV16">
        <v>0</v>
      </c>
      <c r="MUW16">
        <v>0</v>
      </c>
      <c r="MUX16">
        <v>0</v>
      </c>
      <c r="MUY16">
        <v>0</v>
      </c>
      <c r="MUZ16">
        <v>0</v>
      </c>
      <c r="MVA16">
        <v>0</v>
      </c>
      <c r="MVB16">
        <v>0</v>
      </c>
      <c r="MVC16">
        <v>0</v>
      </c>
      <c r="MVD16">
        <v>0</v>
      </c>
      <c r="MVE16">
        <v>0</v>
      </c>
      <c r="MVF16">
        <v>0</v>
      </c>
      <c r="MVG16">
        <v>0</v>
      </c>
      <c r="MVH16">
        <v>0</v>
      </c>
      <c r="MVI16">
        <v>0</v>
      </c>
      <c r="MVJ16">
        <v>0</v>
      </c>
      <c r="MVK16">
        <v>0</v>
      </c>
      <c r="MVL16">
        <v>0</v>
      </c>
      <c r="MVM16">
        <v>0</v>
      </c>
      <c r="MVN16">
        <v>0</v>
      </c>
      <c r="MVO16">
        <v>0</v>
      </c>
      <c r="MVP16">
        <v>0</v>
      </c>
      <c r="MVQ16">
        <v>0</v>
      </c>
      <c r="MVR16">
        <v>0</v>
      </c>
      <c r="MVS16">
        <v>0</v>
      </c>
      <c r="MVT16">
        <v>0</v>
      </c>
      <c r="MVU16">
        <v>0</v>
      </c>
      <c r="MVV16">
        <v>0</v>
      </c>
      <c r="MVW16">
        <v>0</v>
      </c>
      <c r="MVX16">
        <v>0</v>
      </c>
      <c r="MVY16">
        <v>0</v>
      </c>
      <c r="MVZ16">
        <v>0</v>
      </c>
      <c r="MWA16">
        <v>0</v>
      </c>
      <c r="MWB16">
        <v>0</v>
      </c>
      <c r="MWC16">
        <v>0</v>
      </c>
      <c r="MWD16">
        <v>0</v>
      </c>
      <c r="MWE16">
        <v>0</v>
      </c>
      <c r="MWF16">
        <v>0</v>
      </c>
      <c r="MWG16">
        <v>0</v>
      </c>
      <c r="MWH16">
        <v>0</v>
      </c>
      <c r="MWI16">
        <v>0</v>
      </c>
      <c r="MWJ16">
        <v>0</v>
      </c>
      <c r="MWK16">
        <v>0</v>
      </c>
      <c r="MWL16">
        <v>0</v>
      </c>
      <c r="MWM16">
        <v>0</v>
      </c>
      <c r="MWN16">
        <v>0</v>
      </c>
      <c r="MWO16">
        <v>0</v>
      </c>
      <c r="MWP16">
        <v>0</v>
      </c>
      <c r="MWQ16">
        <v>0</v>
      </c>
      <c r="MWR16">
        <v>0</v>
      </c>
      <c r="MWS16">
        <v>0</v>
      </c>
      <c r="MWT16">
        <v>0</v>
      </c>
      <c r="MWU16">
        <v>0</v>
      </c>
      <c r="MWV16">
        <v>0</v>
      </c>
      <c r="MWW16">
        <v>0</v>
      </c>
      <c r="MWX16">
        <v>0</v>
      </c>
      <c r="MWY16">
        <v>0</v>
      </c>
      <c r="MWZ16">
        <v>0</v>
      </c>
      <c r="MXA16">
        <v>0</v>
      </c>
      <c r="MXB16">
        <v>0</v>
      </c>
      <c r="MXC16">
        <v>0</v>
      </c>
      <c r="MXD16">
        <v>0</v>
      </c>
      <c r="MXE16">
        <v>0</v>
      </c>
      <c r="MXF16">
        <v>0</v>
      </c>
      <c r="MXG16">
        <v>0</v>
      </c>
      <c r="MXH16">
        <v>0</v>
      </c>
      <c r="MXI16">
        <v>0</v>
      </c>
      <c r="MXJ16">
        <v>0</v>
      </c>
      <c r="MXK16">
        <v>0</v>
      </c>
      <c r="MXL16">
        <v>0</v>
      </c>
      <c r="MXM16">
        <v>0</v>
      </c>
      <c r="MXN16">
        <v>0</v>
      </c>
      <c r="MXO16">
        <v>0</v>
      </c>
      <c r="MXP16">
        <v>0</v>
      </c>
      <c r="MXQ16">
        <v>0</v>
      </c>
      <c r="MXR16">
        <v>0</v>
      </c>
      <c r="MXS16">
        <v>0</v>
      </c>
      <c r="MXT16">
        <v>0</v>
      </c>
      <c r="MXU16">
        <v>0</v>
      </c>
      <c r="MXV16">
        <v>0</v>
      </c>
      <c r="MXW16">
        <v>0</v>
      </c>
      <c r="MXX16">
        <v>0</v>
      </c>
      <c r="MXY16">
        <v>0</v>
      </c>
      <c r="MXZ16">
        <v>0</v>
      </c>
      <c r="MYA16">
        <v>0</v>
      </c>
      <c r="MYB16">
        <v>0</v>
      </c>
      <c r="MYC16">
        <v>0</v>
      </c>
      <c r="MYD16">
        <v>0</v>
      </c>
      <c r="MYE16">
        <v>0</v>
      </c>
      <c r="MYF16">
        <v>0</v>
      </c>
      <c r="MYG16">
        <v>0</v>
      </c>
      <c r="MYH16">
        <v>0</v>
      </c>
      <c r="MYI16">
        <v>0</v>
      </c>
      <c r="MYJ16">
        <v>0</v>
      </c>
      <c r="MYK16">
        <v>0</v>
      </c>
      <c r="MYL16">
        <v>0</v>
      </c>
      <c r="MYM16">
        <v>0</v>
      </c>
      <c r="MYN16">
        <v>0</v>
      </c>
      <c r="MYO16">
        <v>0</v>
      </c>
      <c r="MYP16">
        <v>0</v>
      </c>
      <c r="MYQ16">
        <v>0</v>
      </c>
      <c r="MYR16">
        <v>0</v>
      </c>
      <c r="MYS16">
        <v>0</v>
      </c>
      <c r="MYT16">
        <v>0</v>
      </c>
      <c r="MYU16">
        <v>0</v>
      </c>
      <c r="MYV16">
        <v>0</v>
      </c>
      <c r="MYW16">
        <v>0</v>
      </c>
      <c r="MYX16">
        <v>0</v>
      </c>
      <c r="MYY16">
        <v>0</v>
      </c>
      <c r="MYZ16">
        <v>0</v>
      </c>
      <c r="MZA16">
        <v>0</v>
      </c>
      <c r="MZB16">
        <v>0</v>
      </c>
      <c r="MZC16">
        <v>0</v>
      </c>
      <c r="MZD16">
        <v>0</v>
      </c>
      <c r="MZE16">
        <v>0</v>
      </c>
      <c r="MZF16">
        <v>0</v>
      </c>
      <c r="MZG16">
        <v>0</v>
      </c>
      <c r="MZH16">
        <v>0</v>
      </c>
      <c r="MZI16">
        <v>0</v>
      </c>
      <c r="MZJ16">
        <v>0</v>
      </c>
      <c r="MZK16">
        <v>0</v>
      </c>
      <c r="MZL16">
        <v>0</v>
      </c>
      <c r="MZM16">
        <v>0</v>
      </c>
      <c r="MZN16">
        <v>0</v>
      </c>
      <c r="MZO16">
        <v>0</v>
      </c>
      <c r="MZP16">
        <v>0</v>
      </c>
      <c r="MZQ16">
        <v>0</v>
      </c>
      <c r="MZR16">
        <v>0</v>
      </c>
      <c r="MZS16">
        <v>0</v>
      </c>
      <c r="MZT16">
        <v>0</v>
      </c>
      <c r="MZU16">
        <v>0</v>
      </c>
      <c r="MZV16">
        <v>0</v>
      </c>
      <c r="MZW16">
        <v>0</v>
      </c>
      <c r="MZX16">
        <v>0</v>
      </c>
      <c r="MZY16">
        <v>0</v>
      </c>
      <c r="MZZ16">
        <v>0</v>
      </c>
      <c r="NAA16">
        <v>0</v>
      </c>
      <c r="NAB16">
        <v>0</v>
      </c>
      <c r="NAC16">
        <v>0</v>
      </c>
      <c r="NAD16">
        <v>0</v>
      </c>
      <c r="NAE16">
        <v>0</v>
      </c>
      <c r="NAF16">
        <v>0</v>
      </c>
      <c r="NAG16">
        <v>0</v>
      </c>
      <c r="NAH16">
        <v>0</v>
      </c>
      <c r="NAI16">
        <v>0</v>
      </c>
      <c r="NAJ16">
        <v>0</v>
      </c>
      <c r="NAK16">
        <v>0</v>
      </c>
      <c r="NAL16">
        <v>0</v>
      </c>
      <c r="NAM16">
        <v>0</v>
      </c>
      <c r="NAN16">
        <v>0</v>
      </c>
      <c r="NAO16">
        <v>0</v>
      </c>
      <c r="NAP16">
        <v>0</v>
      </c>
      <c r="NAQ16">
        <v>0</v>
      </c>
      <c r="NAR16">
        <v>0</v>
      </c>
      <c r="NAS16">
        <v>0</v>
      </c>
      <c r="NAT16">
        <v>0</v>
      </c>
      <c r="NAU16">
        <v>0</v>
      </c>
      <c r="NAV16">
        <v>0</v>
      </c>
      <c r="NAW16">
        <v>0</v>
      </c>
      <c r="NAX16">
        <v>0</v>
      </c>
      <c r="NAY16">
        <v>0</v>
      </c>
      <c r="NAZ16">
        <v>0</v>
      </c>
      <c r="NBA16">
        <v>0</v>
      </c>
      <c r="NBB16">
        <v>0</v>
      </c>
      <c r="NBC16">
        <v>0</v>
      </c>
      <c r="NBD16">
        <v>0</v>
      </c>
      <c r="NBE16">
        <v>0</v>
      </c>
      <c r="NBF16">
        <v>0</v>
      </c>
      <c r="NBG16">
        <v>0</v>
      </c>
      <c r="NBH16">
        <v>0</v>
      </c>
      <c r="NBI16">
        <v>0</v>
      </c>
      <c r="NBJ16">
        <v>0</v>
      </c>
      <c r="NBK16">
        <v>0</v>
      </c>
      <c r="NBL16">
        <v>0</v>
      </c>
      <c r="NBM16">
        <v>0</v>
      </c>
      <c r="NBN16">
        <v>0</v>
      </c>
      <c r="NBO16">
        <v>0</v>
      </c>
      <c r="NBP16">
        <v>0</v>
      </c>
      <c r="NBQ16">
        <v>0</v>
      </c>
      <c r="NBR16">
        <v>0</v>
      </c>
      <c r="NBS16">
        <v>0</v>
      </c>
      <c r="NBT16">
        <v>0</v>
      </c>
      <c r="NBU16">
        <v>0</v>
      </c>
      <c r="NBV16">
        <v>0</v>
      </c>
      <c r="NBW16">
        <v>0</v>
      </c>
      <c r="NBX16">
        <v>0</v>
      </c>
      <c r="NBY16">
        <v>0</v>
      </c>
      <c r="NBZ16">
        <v>0</v>
      </c>
      <c r="NCA16">
        <v>0</v>
      </c>
      <c r="NCB16">
        <v>0</v>
      </c>
      <c r="NCC16">
        <v>0</v>
      </c>
      <c r="NCD16">
        <v>0</v>
      </c>
      <c r="NCE16">
        <v>0</v>
      </c>
      <c r="NCF16">
        <v>0</v>
      </c>
      <c r="NCG16">
        <v>0</v>
      </c>
      <c r="NCH16">
        <v>0</v>
      </c>
      <c r="NCI16">
        <v>0</v>
      </c>
      <c r="NCJ16">
        <v>0</v>
      </c>
      <c r="NCK16">
        <v>0</v>
      </c>
      <c r="NCL16">
        <v>0</v>
      </c>
      <c r="NCM16">
        <v>0</v>
      </c>
      <c r="NCN16">
        <v>0</v>
      </c>
      <c r="NCO16">
        <v>0</v>
      </c>
      <c r="NCP16">
        <v>0</v>
      </c>
      <c r="NCQ16">
        <v>0</v>
      </c>
      <c r="NCR16">
        <v>0</v>
      </c>
      <c r="NCS16">
        <v>0</v>
      </c>
      <c r="NCT16">
        <v>0</v>
      </c>
      <c r="NCU16">
        <v>0</v>
      </c>
      <c r="NCV16">
        <v>0</v>
      </c>
      <c r="NCW16">
        <v>0</v>
      </c>
      <c r="NCX16">
        <v>0</v>
      </c>
      <c r="NCY16">
        <v>0</v>
      </c>
      <c r="NCZ16">
        <v>0</v>
      </c>
      <c r="NDA16">
        <v>0</v>
      </c>
      <c r="NDB16">
        <v>0</v>
      </c>
      <c r="NDC16">
        <v>0</v>
      </c>
      <c r="NDD16">
        <v>0</v>
      </c>
      <c r="NDE16">
        <v>0</v>
      </c>
      <c r="NDF16">
        <v>0</v>
      </c>
      <c r="NDG16">
        <v>0</v>
      </c>
      <c r="NDH16">
        <v>0</v>
      </c>
      <c r="NDI16">
        <v>0</v>
      </c>
      <c r="NDJ16">
        <v>0</v>
      </c>
      <c r="NDK16">
        <v>0</v>
      </c>
      <c r="NDL16">
        <v>0</v>
      </c>
      <c r="NDM16">
        <v>0</v>
      </c>
      <c r="NDN16">
        <v>0</v>
      </c>
      <c r="NDO16">
        <v>0</v>
      </c>
      <c r="NDP16">
        <v>0</v>
      </c>
      <c r="NDQ16">
        <v>0</v>
      </c>
      <c r="NDR16">
        <v>0</v>
      </c>
      <c r="NDS16">
        <v>0</v>
      </c>
      <c r="NDT16">
        <v>0</v>
      </c>
      <c r="NDU16">
        <v>0</v>
      </c>
      <c r="NDV16">
        <v>0</v>
      </c>
      <c r="NDW16">
        <v>0</v>
      </c>
      <c r="NDX16">
        <v>0</v>
      </c>
      <c r="NDY16">
        <v>0</v>
      </c>
      <c r="NDZ16">
        <v>0</v>
      </c>
      <c r="NEA16">
        <v>0</v>
      </c>
      <c r="NEB16">
        <v>0</v>
      </c>
      <c r="NEC16">
        <v>0</v>
      </c>
      <c r="NED16">
        <v>0</v>
      </c>
      <c r="NEE16">
        <v>0</v>
      </c>
      <c r="NEF16">
        <v>0</v>
      </c>
      <c r="NEG16">
        <v>0</v>
      </c>
      <c r="NEH16">
        <v>0</v>
      </c>
      <c r="NEI16">
        <v>0</v>
      </c>
      <c r="NEJ16">
        <v>0</v>
      </c>
      <c r="NEK16">
        <v>0</v>
      </c>
      <c r="NEL16">
        <v>0</v>
      </c>
      <c r="NEM16">
        <v>0</v>
      </c>
      <c r="NEN16">
        <v>0</v>
      </c>
      <c r="NEO16">
        <v>0</v>
      </c>
      <c r="NEP16">
        <v>0</v>
      </c>
      <c r="NEQ16">
        <v>0</v>
      </c>
      <c r="NER16">
        <v>0</v>
      </c>
      <c r="NES16">
        <v>0</v>
      </c>
      <c r="NET16">
        <v>0</v>
      </c>
      <c r="NEU16">
        <v>0</v>
      </c>
      <c r="NEV16">
        <v>0</v>
      </c>
      <c r="NEW16">
        <v>0</v>
      </c>
      <c r="NEX16">
        <v>0</v>
      </c>
      <c r="NEY16">
        <v>0</v>
      </c>
      <c r="NEZ16">
        <v>0</v>
      </c>
      <c r="NFA16">
        <v>0</v>
      </c>
      <c r="NFB16">
        <v>0</v>
      </c>
      <c r="NFC16">
        <v>0</v>
      </c>
      <c r="NFD16">
        <v>0</v>
      </c>
      <c r="NFE16">
        <v>0</v>
      </c>
      <c r="NFF16">
        <v>0</v>
      </c>
      <c r="NFG16">
        <v>0</v>
      </c>
      <c r="NFH16">
        <v>0</v>
      </c>
      <c r="NFI16">
        <v>0</v>
      </c>
      <c r="NFJ16">
        <v>0</v>
      </c>
      <c r="NFK16">
        <v>0</v>
      </c>
      <c r="NFL16">
        <v>0</v>
      </c>
      <c r="NFM16">
        <v>0</v>
      </c>
      <c r="NFN16">
        <v>0</v>
      </c>
      <c r="NFO16">
        <v>0</v>
      </c>
      <c r="NFP16">
        <v>0</v>
      </c>
      <c r="NFQ16">
        <v>0</v>
      </c>
      <c r="NFR16">
        <v>0</v>
      </c>
      <c r="NFS16">
        <v>0</v>
      </c>
      <c r="NFT16">
        <v>0</v>
      </c>
      <c r="NFU16">
        <v>0</v>
      </c>
      <c r="NFV16">
        <v>0</v>
      </c>
      <c r="NFW16">
        <v>0</v>
      </c>
      <c r="NFX16">
        <v>0</v>
      </c>
      <c r="NFY16">
        <v>0</v>
      </c>
      <c r="NFZ16">
        <v>0</v>
      </c>
      <c r="NGA16">
        <v>0</v>
      </c>
      <c r="NGB16">
        <v>0</v>
      </c>
      <c r="NGC16">
        <v>0</v>
      </c>
      <c r="NGD16">
        <v>0</v>
      </c>
      <c r="NGE16">
        <v>0</v>
      </c>
      <c r="NGF16">
        <v>0</v>
      </c>
      <c r="NGG16">
        <v>0</v>
      </c>
      <c r="NGH16">
        <v>0</v>
      </c>
      <c r="NGI16">
        <v>0</v>
      </c>
      <c r="NGJ16">
        <v>0</v>
      </c>
      <c r="NGK16">
        <v>0</v>
      </c>
      <c r="NGL16">
        <v>0</v>
      </c>
      <c r="NGM16">
        <v>0</v>
      </c>
      <c r="NGN16">
        <v>0</v>
      </c>
      <c r="NGO16">
        <v>0</v>
      </c>
      <c r="NGP16">
        <v>0</v>
      </c>
      <c r="NGQ16">
        <v>0</v>
      </c>
      <c r="NGR16">
        <v>0</v>
      </c>
      <c r="NGS16">
        <v>0</v>
      </c>
      <c r="NGT16">
        <v>0</v>
      </c>
      <c r="NGU16">
        <v>0</v>
      </c>
      <c r="NGV16">
        <v>0</v>
      </c>
      <c r="NGW16">
        <v>0</v>
      </c>
      <c r="NGX16">
        <v>0</v>
      </c>
      <c r="NGY16">
        <v>0</v>
      </c>
      <c r="NGZ16">
        <v>0</v>
      </c>
      <c r="NHA16">
        <v>0</v>
      </c>
      <c r="NHB16">
        <v>0</v>
      </c>
      <c r="NHC16">
        <v>0</v>
      </c>
      <c r="NHD16">
        <v>0</v>
      </c>
      <c r="NHE16">
        <v>0</v>
      </c>
      <c r="NHF16">
        <v>0</v>
      </c>
      <c r="NHG16">
        <v>0</v>
      </c>
      <c r="NHH16">
        <v>0</v>
      </c>
      <c r="NHI16">
        <v>0</v>
      </c>
      <c r="NHJ16">
        <v>0</v>
      </c>
      <c r="NHK16">
        <v>0</v>
      </c>
      <c r="NHL16">
        <v>0</v>
      </c>
      <c r="NHM16">
        <v>0</v>
      </c>
      <c r="NHN16">
        <v>0</v>
      </c>
      <c r="NHO16">
        <v>0</v>
      </c>
      <c r="NHP16">
        <v>0</v>
      </c>
      <c r="NHQ16">
        <v>0</v>
      </c>
      <c r="NHR16">
        <v>0</v>
      </c>
      <c r="NHS16">
        <v>0</v>
      </c>
      <c r="NHT16">
        <v>0</v>
      </c>
      <c r="NHU16">
        <v>0</v>
      </c>
      <c r="NHV16">
        <v>0</v>
      </c>
      <c r="NHW16">
        <v>0</v>
      </c>
      <c r="NHX16">
        <v>0</v>
      </c>
      <c r="NHY16">
        <v>0</v>
      </c>
      <c r="NHZ16">
        <v>0</v>
      </c>
      <c r="NIA16">
        <v>0</v>
      </c>
      <c r="NIB16">
        <v>0</v>
      </c>
      <c r="NIC16">
        <v>0</v>
      </c>
      <c r="NID16">
        <v>0</v>
      </c>
      <c r="NIE16">
        <v>0</v>
      </c>
      <c r="NIF16">
        <v>0</v>
      </c>
      <c r="NIG16">
        <v>0</v>
      </c>
      <c r="NIH16">
        <v>0</v>
      </c>
      <c r="NII16">
        <v>0</v>
      </c>
      <c r="NIJ16">
        <v>0</v>
      </c>
      <c r="NIK16">
        <v>0</v>
      </c>
      <c r="NIL16">
        <v>0</v>
      </c>
      <c r="NIM16">
        <v>0</v>
      </c>
      <c r="NIN16">
        <v>0</v>
      </c>
      <c r="NIO16">
        <v>0</v>
      </c>
      <c r="NIP16">
        <v>0</v>
      </c>
      <c r="NIQ16">
        <v>0</v>
      </c>
      <c r="NIR16">
        <v>0</v>
      </c>
      <c r="NIS16">
        <v>0</v>
      </c>
      <c r="NIT16">
        <v>0</v>
      </c>
      <c r="NIU16">
        <v>0</v>
      </c>
      <c r="NIV16">
        <v>0</v>
      </c>
      <c r="NIW16">
        <v>0</v>
      </c>
      <c r="NIX16">
        <v>0</v>
      </c>
      <c r="NIY16">
        <v>0</v>
      </c>
      <c r="NIZ16">
        <v>0</v>
      </c>
      <c r="NJA16">
        <v>0</v>
      </c>
      <c r="NJB16">
        <v>0</v>
      </c>
      <c r="NJC16">
        <v>0</v>
      </c>
      <c r="NJD16">
        <v>0</v>
      </c>
      <c r="NJE16">
        <v>0</v>
      </c>
      <c r="NJF16">
        <v>0</v>
      </c>
      <c r="NJG16">
        <v>0</v>
      </c>
      <c r="NJH16">
        <v>0</v>
      </c>
      <c r="NJI16">
        <v>0</v>
      </c>
      <c r="NJJ16">
        <v>0</v>
      </c>
      <c r="NJK16">
        <v>0</v>
      </c>
      <c r="NJL16">
        <v>0</v>
      </c>
      <c r="NJM16">
        <v>0</v>
      </c>
      <c r="NJN16">
        <v>0</v>
      </c>
      <c r="NJO16">
        <v>0</v>
      </c>
      <c r="NJP16">
        <v>0</v>
      </c>
      <c r="NJQ16">
        <v>0</v>
      </c>
      <c r="NJR16">
        <v>0</v>
      </c>
      <c r="NJS16">
        <v>0</v>
      </c>
      <c r="NJT16">
        <v>0</v>
      </c>
      <c r="NJU16">
        <v>0</v>
      </c>
      <c r="NJV16">
        <v>0</v>
      </c>
      <c r="NJW16">
        <v>0</v>
      </c>
      <c r="NJX16">
        <v>0</v>
      </c>
      <c r="NJY16">
        <v>0</v>
      </c>
      <c r="NJZ16">
        <v>0</v>
      </c>
      <c r="NKA16">
        <v>0</v>
      </c>
      <c r="NKB16">
        <v>0</v>
      </c>
      <c r="NKC16">
        <v>0</v>
      </c>
      <c r="NKD16">
        <v>0</v>
      </c>
      <c r="NKE16">
        <v>0</v>
      </c>
      <c r="NKF16">
        <v>0</v>
      </c>
      <c r="NKG16">
        <v>0</v>
      </c>
      <c r="NKH16">
        <v>0</v>
      </c>
      <c r="NKI16">
        <v>0</v>
      </c>
      <c r="NKJ16">
        <v>0</v>
      </c>
      <c r="NKK16">
        <v>0</v>
      </c>
      <c r="NKL16">
        <v>0</v>
      </c>
      <c r="NKM16">
        <v>0</v>
      </c>
      <c r="NKN16">
        <v>0</v>
      </c>
      <c r="NKO16">
        <v>0</v>
      </c>
      <c r="NKP16">
        <v>0</v>
      </c>
      <c r="NKQ16">
        <v>0</v>
      </c>
      <c r="NKR16">
        <v>0</v>
      </c>
      <c r="NKS16">
        <v>0</v>
      </c>
      <c r="NKT16">
        <v>0</v>
      </c>
      <c r="NKU16">
        <v>0</v>
      </c>
      <c r="NKV16">
        <v>0</v>
      </c>
      <c r="NKW16">
        <v>0</v>
      </c>
      <c r="NKX16">
        <v>0</v>
      </c>
      <c r="NKY16">
        <v>0</v>
      </c>
      <c r="NKZ16">
        <v>0</v>
      </c>
      <c r="NLA16">
        <v>0</v>
      </c>
      <c r="NLB16">
        <v>0</v>
      </c>
      <c r="NLC16">
        <v>0</v>
      </c>
      <c r="NLD16">
        <v>0</v>
      </c>
      <c r="NLE16">
        <v>0</v>
      </c>
      <c r="NLF16">
        <v>0</v>
      </c>
      <c r="NLG16">
        <v>0</v>
      </c>
      <c r="NLH16">
        <v>0</v>
      </c>
      <c r="NLI16">
        <v>0</v>
      </c>
      <c r="NLJ16">
        <v>0</v>
      </c>
      <c r="NLK16">
        <v>0</v>
      </c>
      <c r="NLL16">
        <v>0</v>
      </c>
      <c r="NLM16">
        <v>0</v>
      </c>
      <c r="NLN16">
        <v>0</v>
      </c>
      <c r="NLO16">
        <v>0</v>
      </c>
      <c r="NLP16">
        <v>0</v>
      </c>
      <c r="NLQ16">
        <v>0</v>
      </c>
      <c r="NLR16">
        <v>0</v>
      </c>
      <c r="NLS16">
        <v>0</v>
      </c>
      <c r="NLT16">
        <v>0</v>
      </c>
      <c r="NLU16">
        <v>0</v>
      </c>
      <c r="NLV16">
        <v>0</v>
      </c>
      <c r="NLW16">
        <v>0</v>
      </c>
      <c r="NLX16">
        <v>0</v>
      </c>
      <c r="NLY16">
        <v>0</v>
      </c>
      <c r="NLZ16">
        <v>0</v>
      </c>
      <c r="NMA16">
        <v>0</v>
      </c>
      <c r="NMB16">
        <v>0</v>
      </c>
      <c r="NMC16">
        <v>0</v>
      </c>
      <c r="NMD16">
        <v>0</v>
      </c>
      <c r="NME16">
        <v>0</v>
      </c>
      <c r="NMF16">
        <v>0</v>
      </c>
      <c r="NMG16">
        <v>0</v>
      </c>
      <c r="NMH16">
        <v>0</v>
      </c>
      <c r="NMI16">
        <v>0</v>
      </c>
      <c r="NMJ16">
        <v>0</v>
      </c>
      <c r="NMK16">
        <v>0</v>
      </c>
      <c r="NML16">
        <v>0</v>
      </c>
      <c r="NMM16">
        <v>0</v>
      </c>
      <c r="NMN16">
        <v>0</v>
      </c>
      <c r="NMO16">
        <v>0</v>
      </c>
      <c r="NMP16">
        <v>0</v>
      </c>
      <c r="NMQ16">
        <v>0</v>
      </c>
      <c r="NMR16">
        <v>0</v>
      </c>
      <c r="NMS16">
        <v>0</v>
      </c>
      <c r="NMT16">
        <v>0</v>
      </c>
      <c r="NMU16">
        <v>0</v>
      </c>
      <c r="NMV16">
        <v>0</v>
      </c>
      <c r="NMW16">
        <v>0</v>
      </c>
      <c r="NMX16">
        <v>0</v>
      </c>
      <c r="NMY16">
        <v>0</v>
      </c>
      <c r="NMZ16">
        <v>0</v>
      </c>
      <c r="NNA16">
        <v>0</v>
      </c>
      <c r="NNB16">
        <v>0</v>
      </c>
      <c r="NNC16">
        <v>0</v>
      </c>
      <c r="NND16">
        <v>0</v>
      </c>
      <c r="NNE16">
        <v>0</v>
      </c>
      <c r="NNF16">
        <v>0</v>
      </c>
      <c r="NNG16">
        <v>0</v>
      </c>
      <c r="NNH16">
        <v>0</v>
      </c>
      <c r="NNI16">
        <v>0</v>
      </c>
      <c r="NNJ16">
        <v>0</v>
      </c>
      <c r="NNK16">
        <v>0</v>
      </c>
      <c r="NNL16">
        <v>0</v>
      </c>
      <c r="NNM16">
        <v>0</v>
      </c>
      <c r="NNN16">
        <v>0</v>
      </c>
      <c r="NNO16">
        <v>0</v>
      </c>
      <c r="NNP16">
        <v>0</v>
      </c>
      <c r="NNQ16">
        <v>0</v>
      </c>
      <c r="NNR16">
        <v>0</v>
      </c>
      <c r="NNS16">
        <v>0</v>
      </c>
      <c r="NNT16">
        <v>0</v>
      </c>
      <c r="NNU16">
        <v>0</v>
      </c>
      <c r="NNV16">
        <v>0</v>
      </c>
      <c r="NNW16">
        <v>0</v>
      </c>
      <c r="NNX16">
        <v>0</v>
      </c>
      <c r="NNY16">
        <v>0</v>
      </c>
      <c r="NNZ16">
        <v>0</v>
      </c>
      <c r="NOA16">
        <v>0</v>
      </c>
      <c r="NOB16">
        <v>0</v>
      </c>
      <c r="NOC16">
        <v>0</v>
      </c>
      <c r="NOD16">
        <v>0</v>
      </c>
      <c r="NOE16">
        <v>0</v>
      </c>
      <c r="NOF16">
        <v>0</v>
      </c>
      <c r="NOG16">
        <v>0</v>
      </c>
      <c r="NOH16">
        <v>0</v>
      </c>
      <c r="NOI16">
        <v>0</v>
      </c>
      <c r="NOJ16">
        <v>0</v>
      </c>
      <c r="NOK16">
        <v>0</v>
      </c>
      <c r="NOL16">
        <v>0</v>
      </c>
      <c r="NOM16">
        <v>0</v>
      </c>
      <c r="NON16">
        <v>0</v>
      </c>
      <c r="NOO16">
        <v>0</v>
      </c>
      <c r="NOP16">
        <v>0</v>
      </c>
      <c r="NOQ16">
        <v>0</v>
      </c>
      <c r="NOR16">
        <v>0</v>
      </c>
      <c r="NOS16">
        <v>0</v>
      </c>
      <c r="NOT16">
        <v>0</v>
      </c>
      <c r="NOU16">
        <v>0</v>
      </c>
      <c r="NOV16">
        <v>0</v>
      </c>
      <c r="NOW16">
        <v>0</v>
      </c>
      <c r="NOX16">
        <v>0</v>
      </c>
      <c r="NOY16">
        <v>0</v>
      </c>
      <c r="NOZ16">
        <v>0</v>
      </c>
      <c r="NPA16">
        <v>0</v>
      </c>
      <c r="NPB16">
        <v>0</v>
      </c>
      <c r="NPC16">
        <v>0</v>
      </c>
      <c r="NPD16">
        <v>0</v>
      </c>
      <c r="NPE16">
        <v>0</v>
      </c>
      <c r="NPF16">
        <v>0</v>
      </c>
      <c r="NPG16">
        <v>0</v>
      </c>
      <c r="NPH16">
        <v>0</v>
      </c>
      <c r="NPI16">
        <v>0</v>
      </c>
      <c r="NPJ16">
        <v>0</v>
      </c>
      <c r="NPK16">
        <v>0</v>
      </c>
      <c r="NPL16">
        <v>0</v>
      </c>
      <c r="NPM16">
        <v>0</v>
      </c>
      <c r="NPN16">
        <v>0</v>
      </c>
      <c r="NPO16">
        <v>0</v>
      </c>
      <c r="NPP16">
        <v>0</v>
      </c>
      <c r="NPQ16">
        <v>0</v>
      </c>
      <c r="NPR16">
        <v>0</v>
      </c>
      <c r="NPS16">
        <v>0</v>
      </c>
      <c r="NPT16">
        <v>0</v>
      </c>
      <c r="NPU16">
        <v>0</v>
      </c>
      <c r="NPV16">
        <v>0</v>
      </c>
      <c r="NPW16">
        <v>0</v>
      </c>
      <c r="NPX16">
        <v>0</v>
      </c>
      <c r="NPY16">
        <v>0</v>
      </c>
      <c r="NPZ16">
        <v>0</v>
      </c>
      <c r="NQA16">
        <v>0</v>
      </c>
      <c r="NQB16">
        <v>0</v>
      </c>
      <c r="NQC16">
        <v>0</v>
      </c>
      <c r="NQD16">
        <v>0</v>
      </c>
      <c r="NQE16">
        <v>0</v>
      </c>
      <c r="NQF16">
        <v>0</v>
      </c>
      <c r="NQG16">
        <v>0</v>
      </c>
      <c r="NQH16">
        <v>0</v>
      </c>
      <c r="NQI16">
        <v>0</v>
      </c>
      <c r="NQJ16">
        <v>0</v>
      </c>
      <c r="NQK16">
        <v>0</v>
      </c>
      <c r="NQL16">
        <v>0</v>
      </c>
      <c r="NQM16">
        <v>0</v>
      </c>
      <c r="NQN16">
        <v>0</v>
      </c>
      <c r="NQO16">
        <v>0</v>
      </c>
      <c r="NQP16">
        <v>0</v>
      </c>
      <c r="NQQ16">
        <v>0</v>
      </c>
      <c r="NQR16">
        <v>0</v>
      </c>
      <c r="NQS16">
        <v>0</v>
      </c>
      <c r="NQT16">
        <v>0</v>
      </c>
      <c r="NQU16">
        <v>0</v>
      </c>
      <c r="NQV16">
        <v>0</v>
      </c>
      <c r="NQW16">
        <v>0</v>
      </c>
      <c r="NQX16">
        <v>0</v>
      </c>
      <c r="NQY16">
        <v>0</v>
      </c>
      <c r="NQZ16">
        <v>0</v>
      </c>
      <c r="NRA16">
        <v>0</v>
      </c>
      <c r="NRB16">
        <v>0</v>
      </c>
      <c r="NRC16">
        <v>0</v>
      </c>
      <c r="NRD16">
        <v>0</v>
      </c>
      <c r="NRE16">
        <v>0</v>
      </c>
      <c r="NRF16">
        <v>0</v>
      </c>
      <c r="NRG16">
        <v>0</v>
      </c>
      <c r="NRH16">
        <v>0</v>
      </c>
      <c r="NRI16">
        <v>0</v>
      </c>
      <c r="NRJ16">
        <v>0</v>
      </c>
      <c r="NRK16">
        <v>0</v>
      </c>
      <c r="NRL16">
        <v>0</v>
      </c>
      <c r="NRM16">
        <v>0</v>
      </c>
      <c r="NRN16">
        <v>0</v>
      </c>
      <c r="NRO16">
        <v>0</v>
      </c>
      <c r="NRP16">
        <v>0</v>
      </c>
      <c r="NRQ16">
        <v>0</v>
      </c>
      <c r="NRR16">
        <v>0</v>
      </c>
      <c r="NRS16">
        <v>0</v>
      </c>
      <c r="NRT16">
        <v>0</v>
      </c>
      <c r="NRU16">
        <v>0</v>
      </c>
      <c r="NRV16">
        <v>0</v>
      </c>
      <c r="NRW16">
        <v>0</v>
      </c>
      <c r="NRX16">
        <v>0</v>
      </c>
      <c r="NRY16">
        <v>0</v>
      </c>
      <c r="NRZ16">
        <v>0</v>
      </c>
      <c r="NSA16">
        <v>0</v>
      </c>
      <c r="NSB16">
        <v>0</v>
      </c>
      <c r="NSC16">
        <v>0</v>
      </c>
      <c r="NSD16">
        <v>0</v>
      </c>
      <c r="NSE16">
        <v>0</v>
      </c>
      <c r="NSF16">
        <v>0</v>
      </c>
      <c r="NSG16">
        <v>0</v>
      </c>
      <c r="NSH16">
        <v>0</v>
      </c>
      <c r="NSI16">
        <v>0</v>
      </c>
      <c r="NSJ16">
        <v>0</v>
      </c>
      <c r="NSK16">
        <v>0</v>
      </c>
      <c r="NSL16">
        <v>0</v>
      </c>
      <c r="NSM16">
        <v>0</v>
      </c>
      <c r="NSN16">
        <v>0</v>
      </c>
      <c r="NSO16">
        <v>0</v>
      </c>
      <c r="NSP16">
        <v>0</v>
      </c>
      <c r="NSQ16">
        <v>0</v>
      </c>
      <c r="NSR16">
        <v>0</v>
      </c>
      <c r="NSS16">
        <v>0</v>
      </c>
      <c r="NST16">
        <v>0</v>
      </c>
      <c r="NSU16">
        <v>0</v>
      </c>
      <c r="NSV16">
        <v>0</v>
      </c>
      <c r="NSW16">
        <v>0</v>
      </c>
      <c r="NSX16">
        <v>0</v>
      </c>
      <c r="NSY16">
        <v>0</v>
      </c>
      <c r="NSZ16">
        <v>0</v>
      </c>
      <c r="NTA16">
        <v>0</v>
      </c>
      <c r="NTB16">
        <v>0</v>
      </c>
      <c r="NTC16">
        <v>0</v>
      </c>
      <c r="NTD16">
        <v>0</v>
      </c>
      <c r="NTE16">
        <v>0</v>
      </c>
      <c r="NTF16">
        <v>0</v>
      </c>
      <c r="NTG16">
        <v>0</v>
      </c>
      <c r="NTH16">
        <v>0</v>
      </c>
      <c r="NTI16">
        <v>0</v>
      </c>
      <c r="NTJ16">
        <v>0</v>
      </c>
      <c r="NTK16">
        <v>0</v>
      </c>
      <c r="NTL16">
        <v>0</v>
      </c>
      <c r="NTM16">
        <v>0</v>
      </c>
      <c r="NTN16">
        <v>0</v>
      </c>
      <c r="NTO16">
        <v>0</v>
      </c>
      <c r="NTP16">
        <v>0</v>
      </c>
      <c r="NTQ16">
        <v>0</v>
      </c>
      <c r="NTR16">
        <v>0</v>
      </c>
      <c r="NTS16">
        <v>0</v>
      </c>
      <c r="NTT16">
        <v>0</v>
      </c>
      <c r="NTU16">
        <v>0</v>
      </c>
      <c r="NTV16">
        <v>0</v>
      </c>
      <c r="NTW16">
        <v>0</v>
      </c>
      <c r="NTX16">
        <v>0</v>
      </c>
      <c r="NTY16">
        <v>0</v>
      </c>
      <c r="NTZ16">
        <v>0</v>
      </c>
      <c r="NUA16">
        <v>0</v>
      </c>
      <c r="NUB16">
        <v>0</v>
      </c>
      <c r="NUC16">
        <v>0</v>
      </c>
      <c r="NUD16">
        <v>0</v>
      </c>
      <c r="NUE16">
        <v>0</v>
      </c>
      <c r="NUF16">
        <v>0</v>
      </c>
      <c r="NUG16">
        <v>0</v>
      </c>
      <c r="NUH16">
        <v>0</v>
      </c>
      <c r="NUI16">
        <v>0</v>
      </c>
      <c r="NUJ16">
        <v>0</v>
      </c>
      <c r="NUK16">
        <v>0</v>
      </c>
      <c r="NUL16">
        <v>0</v>
      </c>
      <c r="NUM16">
        <v>0</v>
      </c>
      <c r="NUN16">
        <v>0</v>
      </c>
      <c r="NUO16">
        <v>0</v>
      </c>
      <c r="NUP16">
        <v>0</v>
      </c>
      <c r="NUQ16">
        <v>0</v>
      </c>
      <c r="NUR16">
        <v>0</v>
      </c>
      <c r="NUS16">
        <v>0</v>
      </c>
      <c r="NUT16">
        <v>0</v>
      </c>
      <c r="NUU16">
        <v>0</v>
      </c>
      <c r="NUV16">
        <v>0</v>
      </c>
      <c r="NUW16">
        <v>0</v>
      </c>
      <c r="NUX16">
        <v>0</v>
      </c>
      <c r="NUY16">
        <v>0</v>
      </c>
      <c r="NUZ16">
        <v>0</v>
      </c>
      <c r="NVA16">
        <v>0</v>
      </c>
      <c r="NVB16">
        <v>0</v>
      </c>
      <c r="NVC16">
        <v>0</v>
      </c>
      <c r="NVD16">
        <v>0</v>
      </c>
      <c r="NVE16">
        <v>0</v>
      </c>
      <c r="NVF16">
        <v>0</v>
      </c>
      <c r="NVG16">
        <v>0</v>
      </c>
      <c r="NVH16">
        <v>0</v>
      </c>
      <c r="NVI16">
        <v>0</v>
      </c>
      <c r="NVJ16">
        <v>0</v>
      </c>
      <c r="NVK16">
        <v>0</v>
      </c>
      <c r="NVL16">
        <v>0</v>
      </c>
      <c r="NVM16">
        <v>0</v>
      </c>
      <c r="NVN16">
        <v>0</v>
      </c>
      <c r="NVO16">
        <v>0</v>
      </c>
      <c r="NVP16">
        <v>0</v>
      </c>
      <c r="NVQ16">
        <v>0</v>
      </c>
      <c r="NVR16">
        <v>0</v>
      </c>
      <c r="NVS16">
        <v>0</v>
      </c>
      <c r="NVT16">
        <v>0</v>
      </c>
      <c r="NVU16">
        <v>0</v>
      </c>
      <c r="NVV16">
        <v>0</v>
      </c>
      <c r="NVW16">
        <v>0</v>
      </c>
      <c r="NVX16">
        <v>0</v>
      </c>
      <c r="NVY16">
        <v>0</v>
      </c>
      <c r="NVZ16">
        <v>0</v>
      </c>
      <c r="NWA16">
        <v>0</v>
      </c>
      <c r="NWB16">
        <v>0</v>
      </c>
      <c r="NWC16">
        <v>0</v>
      </c>
      <c r="NWD16">
        <v>0</v>
      </c>
      <c r="NWE16">
        <v>0</v>
      </c>
      <c r="NWF16">
        <v>0</v>
      </c>
      <c r="NWG16">
        <v>0</v>
      </c>
      <c r="NWH16">
        <v>0</v>
      </c>
      <c r="NWI16">
        <v>0</v>
      </c>
      <c r="NWJ16">
        <v>0</v>
      </c>
      <c r="NWK16">
        <v>0</v>
      </c>
      <c r="NWL16">
        <v>0</v>
      </c>
      <c r="NWM16">
        <v>0</v>
      </c>
      <c r="NWN16">
        <v>0</v>
      </c>
      <c r="NWO16">
        <v>0</v>
      </c>
      <c r="NWP16">
        <v>0</v>
      </c>
      <c r="NWQ16">
        <v>0</v>
      </c>
      <c r="NWR16">
        <v>0</v>
      </c>
      <c r="NWS16">
        <v>0</v>
      </c>
      <c r="NWT16">
        <v>0</v>
      </c>
      <c r="NWU16">
        <v>0</v>
      </c>
      <c r="NWV16">
        <v>0</v>
      </c>
      <c r="NWW16">
        <v>0</v>
      </c>
      <c r="NWX16">
        <v>0</v>
      </c>
      <c r="NWY16">
        <v>0</v>
      </c>
      <c r="NWZ16">
        <v>0</v>
      </c>
      <c r="NXA16">
        <v>0</v>
      </c>
      <c r="NXB16">
        <v>0</v>
      </c>
      <c r="NXC16">
        <v>0</v>
      </c>
      <c r="NXD16">
        <v>0</v>
      </c>
      <c r="NXE16">
        <v>0</v>
      </c>
      <c r="NXF16">
        <v>0</v>
      </c>
      <c r="NXG16">
        <v>0</v>
      </c>
      <c r="NXH16">
        <v>0</v>
      </c>
      <c r="NXI16">
        <v>0</v>
      </c>
      <c r="NXJ16">
        <v>0</v>
      </c>
      <c r="NXK16">
        <v>0</v>
      </c>
      <c r="NXL16">
        <v>0</v>
      </c>
      <c r="NXM16">
        <v>0</v>
      </c>
      <c r="NXN16">
        <v>0</v>
      </c>
      <c r="NXO16">
        <v>0</v>
      </c>
      <c r="NXP16">
        <v>0</v>
      </c>
      <c r="NXQ16">
        <v>0</v>
      </c>
      <c r="NXR16">
        <v>0</v>
      </c>
      <c r="NXS16">
        <v>0</v>
      </c>
      <c r="NXT16">
        <v>0</v>
      </c>
      <c r="NXU16">
        <v>0</v>
      </c>
      <c r="NXV16">
        <v>0</v>
      </c>
      <c r="NXW16">
        <v>0</v>
      </c>
      <c r="NXX16">
        <v>0</v>
      </c>
      <c r="NXY16">
        <v>0</v>
      </c>
      <c r="NXZ16">
        <v>0</v>
      </c>
      <c r="NYA16">
        <v>0</v>
      </c>
      <c r="NYB16">
        <v>0</v>
      </c>
      <c r="NYC16">
        <v>0</v>
      </c>
      <c r="NYD16">
        <v>0</v>
      </c>
      <c r="NYE16">
        <v>0</v>
      </c>
      <c r="NYF16">
        <v>0</v>
      </c>
      <c r="NYG16">
        <v>0</v>
      </c>
      <c r="NYH16">
        <v>0</v>
      </c>
      <c r="NYI16">
        <v>0</v>
      </c>
      <c r="NYJ16">
        <v>0</v>
      </c>
      <c r="NYK16">
        <v>0</v>
      </c>
      <c r="NYL16">
        <v>0</v>
      </c>
      <c r="NYM16">
        <v>0</v>
      </c>
      <c r="NYN16">
        <v>0</v>
      </c>
      <c r="NYO16">
        <v>0</v>
      </c>
      <c r="NYP16">
        <v>0</v>
      </c>
      <c r="NYQ16">
        <v>0</v>
      </c>
      <c r="NYR16">
        <v>0</v>
      </c>
      <c r="NYS16">
        <v>0</v>
      </c>
      <c r="NYT16">
        <v>0</v>
      </c>
      <c r="NYU16">
        <v>0</v>
      </c>
      <c r="NYV16">
        <v>0</v>
      </c>
      <c r="NYW16">
        <v>0</v>
      </c>
      <c r="NYX16">
        <v>0</v>
      </c>
      <c r="NYY16">
        <v>0</v>
      </c>
      <c r="NYZ16">
        <v>0</v>
      </c>
      <c r="NZA16">
        <v>0</v>
      </c>
      <c r="NZB16">
        <v>0</v>
      </c>
      <c r="NZC16">
        <v>0</v>
      </c>
      <c r="NZD16">
        <v>0</v>
      </c>
      <c r="NZE16">
        <v>0</v>
      </c>
      <c r="NZF16">
        <v>0</v>
      </c>
      <c r="NZG16">
        <v>0</v>
      </c>
      <c r="NZH16">
        <v>0</v>
      </c>
      <c r="NZI16">
        <v>0</v>
      </c>
      <c r="NZJ16">
        <v>0</v>
      </c>
      <c r="NZK16">
        <v>0</v>
      </c>
      <c r="NZL16">
        <v>0</v>
      </c>
      <c r="NZM16">
        <v>0</v>
      </c>
      <c r="NZN16">
        <v>0</v>
      </c>
      <c r="NZO16">
        <v>0</v>
      </c>
      <c r="NZP16">
        <v>0</v>
      </c>
      <c r="NZQ16">
        <v>0</v>
      </c>
      <c r="NZR16">
        <v>0</v>
      </c>
      <c r="NZS16">
        <v>0</v>
      </c>
      <c r="NZT16">
        <v>0</v>
      </c>
      <c r="NZU16">
        <v>0</v>
      </c>
      <c r="NZV16">
        <v>0</v>
      </c>
      <c r="NZW16">
        <v>0</v>
      </c>
      <c r="NZX16">
        <v>0</v>
      </c>
      <c r="NZY16">
        <v>0</v>
      </c>
      <c r="NZZ16">
        <v>0</v>
      </c>
      <c r="OAA16">
        <v>0</v>
      </c>
      <c r="OAB16">
        <v>0</v>
      </c>
      <c r="OAC16">
        <v>0</v>
      </c>
      <c r="OAD16">
        <v>0</v>
      </c>
      <c r="OAE16">
        <v>0</v>
      </c>
      <c r="OAF16">
        <v>0</v>
      </c>
      <c r="OAG16">
        <v>0</v>
      </c>
      <c r="OAH16">
        <v>0</v>
      </c>
      <c r="OAI16">
        <v>0</v>
      </c>
      <c r="OAJ16">
        <v>0</v>
      </c>
      <c r="OAK16">
        <v>0</v>
      </c>
      <c r="OAL16">
        <v>0</v>
      </c>
      <c r="OAM16">
        <v>0</v>
      </c>
      <c r="OAN16">
        <v>0</v>
      </c>
      <c r="OAO16">
        <v>0</v>
      </c>
      <c r="OAP16">
        <v>0</v>
      </c>
      <c r="OAQ16">
        <v>0</v>
      </c>
      <c r="OAR16">
        <v>0</v>
      </c>
      <c r="OAS16">
        <v>0</v>
      </c>
      <c r="OAT16">
        <v>0</v>
      </c>
      <c r="OAU16">
        <v>0</v>
      </c>
      <c r="OAV16">
        <v>0</v>
      </c>
      <c r="OAW16">
        <v>0</v>
      </c>
      <c r="OAX16">
        <v>0</v>
      </c>
      <c r="OAY16">
        <v>0</v>
      </c>
      <c r="OAZ16">
        <v>0</v>
      </c>
      <c r="OBA16">
        <v>0</v>
      </c>
      <c r="OBB16">
        <v>0</v>
      </c>
      <c r="OBC16">
        <v>0</v>
      </c>
      <c r="OBD16">
        <v>0</v>
      </c>
      <c r="OBE16">
        <v>0</v>
      </c>
      <c r="OBF16">
        <v>0</v>
      </c>
      <c r="OBG16">
        <v>0</v>
      </c>
      <c r="OBH16">
        <v>0</v>
      </c>
      <c r="OBI16">
        <v>0</v>
      </c>
      <c r="OBJ16">
        <v>0</v>
      </c>
      <c r="OBK16">
        <v>0</v>
      </c>
      <c r="OBL16">
        <v>0</v>
      </c>
      <c r="OBM16">
        <v>0</v>
      </c>
      <c r="OBN16">
        <v>0</v>
      </c>
      <c r="OBO16">
        <v>0</v>
      </c>
      <c r="OBP16">
        <v>0</v>
      </c>
      <c r="OBQ16">
        <v>0</v>
      </c>
      <c r="OBR16">
        <v>0</v>
      </c>
      <c r="OBS16">
        <v>0</v>
      </c>
      <c r="OBT16">
        <v>0</v>
      </c>
      <c r="OBU16">
        <v>0</v>
      </c>
      <c r="OBV16">
        <v>0</v>
      </c>
      <c r="OBW16">
        <v>0</v>
      </c>
      <c r="OBX16">
        <v>0</v>
      </c>
      <c r="OBY16">
        <v>0</v>
      </c>
      <c r="OBZ16">
        <v>0</v>
      </c>
      <c r="OCA16">
        <v>0</v>
      </c>
      <c r="OCB16">
        <v>0</v>
      </c>
      <c r="OCC16">
        <v>0</v>
      </c>
      <c r="OCD16">
        <v>0</v>
      </c>
      <c r="OCE16">
        <v>0</v>
      </c>
      <c r="OCF16">
        <v>0</v>
      </c>
      <c r="OCG16">
        <v>0</v>
      </c>
      <c r="OCH16">
        <v>0</v>
      </c>
      <c r="OCI16">
        <v>0</v>
      </c>
      <c r="OCJ16">
        <v>0</v>
      </c>
      <c r="OCK16">
        <v>0</v>
      </c>
      <c r="OCL16">
        <v>0</v>
      </c>
      <c r="OCM16">
        <v>0</v>
      </c>
      <c r="OCN16">
        <v>0</v>
      </c>
      <c r="OCO16">
        <v>0</v>
      </c>
      <c r="OCP16">
        <v>0</v>
      </c>
      <c r="OCQ16">
        <v>0</v>
      </c>
      <c r="OCR16">
        <v>0</v>
      </c>
      <c r="OCS16">
        <v>0</v>
      </c>
      <c r="OCT16">
        <v>0</v>
      </c>
      <c r="OCU16">
        <v>0</v>
      </c>
      <c r="OCV16">
        <v>0</v>
      </c>
      <c r="OCW16">
        <v>0</v>
      </c>
      <c r="OCX16">
        <v>0</v>
      </c>
      <c r="OCY16">
        <v>0</v>
      </c>
      <c r="OCZ16">
        <v>0</v>
      </c>
      <c r="ODA16">
        <v>0</v>
      </c>
      <c r="ODB16">
        <v>0</v>
      </c>
      <c r="ODC16">
        <v>0</v>
      </c>
      <c r="ODD16">
        <v>0</v>
      </c>
      <c r="ODE16">
        <v>0</v>
      </c>
      <c r="ODF16">
        <v>0</v>
      </c>
      <c r="ODG16">
        <v>0</v>
      </c>
      <c r="ODH16">
        <v>0</v>
      </c>
      <c r="ODI16">
        <v>0</v>
      </c>
      <c r="ODJ16">
        <v>0</v>
      </c>
      <c r="ODK16">
        <v>0</v>
      </c>
      <c r="ODL16">
        <v>0</v>
      </c>
      <c r="ODM16">
        <v>0</v>
      </c>
      <c r="ODN16">
        <v>0</v>
      </c>
      <c r="ODO16">
        <v>0</v>
      </c>
      <c r="ODP16">
        <v>0</v>
      </c>
      <c r="ODQ16">
        <v>0</v>
      </c>
      <c r="ODR16">
        <v>0</v>
      </c>
      <c r="ODS16">
        <v>0</v>
      </c>
      <c r="ODT16">
        <v>0</v>
      </c>
      <c r="ODU16">
        <v>0</v>
      </c>
      <c r="ODV16">
        <v>0</v>
      </c>
      <c r="ODW16">
        <v>0</v>
      </c>
      <c r="ODX16">
        <v>0</v>
      </c>
      <c r="ODY16">
        <v>0</v>
      </c>
      <c r="ODZ16">
        <v>0</v>
      </c>
      <c r="OEA16">
        <v>0</v>
      </c>
      <c r="OEB16">
        <v>0</v>
      </c>
      <c r="OEC16">
        <v>0</v>
      </c>
      <c r="OED16">
        <v>0</v>
      </c>
      <c r="OEE16">
        <v>0</v>
      </c>
      <c r="OEF16">
        <v>0</v>
      </c>
      <c r="OEG16">
        <v>0</v>
      </c>
      <c r="OEH16">
        <v>0</v>
      </c>
      <c r="OEI16">
        <v>0</v>
      </c>
      <c r="OEJ16">
        <v>0</v>
      </c>
      <c r="OEK16">
        <v>0</v>
      </c>
      <c r="OEL16">
        <v>0</v>
      </c>
      <c r="OEM16">
        <v>0</v>
      </c>
      <c r="OEN16">
        <v>0</v>
      </c>
      <c r="OEO16">
        <v>0</v>
      </c>
      <c r="OEP16">
        <v>0</v>
      </c>
      <c r="OEQ16">
        <v>0</v>
      </c>
      <c r="OER16">
        <v>0</v>
      </c>
      <c r="OES16">
        <v>0</v>
      </c>
      <c r="OET16">
        <v>0</v>
      </c>
      <c r="OEU16">
        <v>0</v>
      </c>
      <c r="OEV16">
        <v>0</v>
      </c>
      <c r="OEW16">
        <v>0</v>
      </c>
      <c r="OEX16">
        <v>0</v>
      </c>
      <c r="OEY16">
        <v>0</v>
      </c>
      <c r="OEZ16">
        <v>0</v>
      </c>
      <c r="OFA16">
        <v>0</v>
      </c>
      <c r="OFB16">
        <v>0</v>
      </c>
      <c r="OFC16">
        <v>0</v>
      </c>
      <c r="OFD16">
        <v>0</v>
      </c>
      <c r="OFE16">
        <v>0</v>
      </c>
      <c r="OFF16">
        <v>0</v>
      </c>
      <c r="OFG16">
        <v>0</v>
      </c>
      <c r="OFH16">
        <v>0</v>
      </c>
      <c r="OFI16">
        <v>0</v>
      </c>
      <c r="OFJ16">
        <v>0</v>
      </c>
      <c r="OFK16">
        <v>0</v>
      </c>
      <c r="OFL16">
        <v>0</v>
      </c>
      <c r="OFM16">
        <v>0</v>
      </c>
      <c r="OFN16">
        <v>0</v>
      </c>
      <c r="OFO16">
        <v>0</v>
      </c>
      <c r="OFP16">
        <v>0</v>
      </c>
      <c r="OFQ16">
        <v>0</v>
      </c>
      <c r="OFR16">
        <v>0</v>
      </c>
      <c r="OFS16">
        <v>0</v>
      </c>
      <c r="OFT16">
        <v>0</v>
      </c>
      <c r="OFU16">
        <v>0</v>
      </c>
      <c r="OFV16">
        <v>0</v>
      </c>
      <c r="OFW16">
        <v>0</v>
      </c>
      <c r="OFX16">
        <v>0</v>
      </c>
      <c r="OFY16">
        <v>0</v>
      </c>
      <c r="OFZ16">
        <v>0</v>
      </c>
      <c r="OGA16">
        <v>0</v>
      </c>
      <c r="OGB16">
        <v>0</v>
      </c>
      <c r="OGC16">
        <v>0</v>
      </c>
      <c r="OGD16">
        <v>0</v>
      </c>
      <c r="OGE16">
        <v>0</v>
      </c>
      <c r="OGF16">
        <v>0</v>
      </c>
      <c r="OGG16">
        <v>0</v>
      </c>
      <c r="OGH16">
        <v>0</v>
      </c>
      <c r="OGI16">
        <v>0</v>
      </c>
      <c r="OGJ16">
        <v>0</v>
      </c>
      <c r="OGK16">
        <v>0</v>
      </c>
      <c r="OGL16">
        <v>0</v>
      </c>
      <c r="OGM16">
        <v>0</v>
      </c>
      <c r="OGN16">
        <v>0</v>
      </c>
      <c r="OGO16">
        <v>0</v>
      </c>
      <c r="OGP16">
        <v>0</v>
      </c>
      <c r="OGQ16">
        <v>0</v>
      </c>
      <c r="OGR16">
        <v>0</v>
      </c>
      <c r="OGS16">
        <v>0</v>
      </c>
      <c r="OGT16">
        <v>0</v>
      </c>
      <c r="OGU16">
        <v>0</v>
      </c>
      <c r="OGV16">
        <v>0</v>
      </c>
      <c r="OGW16">
        <v>0</v>
      </c>
      <c r="OGX16">
        <v>0</v>
      </c>
      <c r="OGY16">
        <v>0</v>
      </c>
      <c r="OGZ16">
        <v>0</v>
      </c>
      <c r="OHA16">
        <v>0</v>
      </c>
      <c r="OHB16">
        <v>0</v>
      </c>
      <c r="OHC16">
        <v>0</v>
      </c>
      <c r="OHD16">
        <v>0</v>
      </c>
      <c r="OHE16">
        <v>0</v>
      </c>
      <c r="OHF16">
        <v>0</v>
      </c>
      <c r="OHG16">
        <v>0</v>
      </c>
      <c r="OHH16">
        <v>0</v>
      </c>
      <c r="OHI16">
        <v>0</v>
      </c>
      <c r="OHJ16">
        <v>0</v>
      </c>
      <c r="OHK16">
        <v>0</v>
      </c>
      <c r="OHL16">
        <v>0</v>
      </c>
      <c r="OHM16">
        <v>0</v>
      </c>
      <c r="OHN16">
        <v>0</v>
      </c>
      <c r="OHO16">
        <v>0</v>
      </c>
      <c r="OHP16">
        <v>0</v>
      </c>
      <c r="OHQ16">
        <v>0</v>
      </c>
      <c r="OHR16">
        <v>0</v>
      </c>
      <c r="OHS16">
        <v>0</v>
      </c>
      <c r="OHT16">
        <v>0</v>
      </c>
      <c r="OHU16">
        <v>0</v>
      </c>
      <c r="OHV16">
        <v>0</v>
      </c>
      <c r="OHW16">
        <v>0</v>
      </c>
      <c r="OHX16">
        <v>0</v>
      </c>
      <c r="OHY16">
        <v>0</v>
      </c>
      <c r="OHZ16">
        <v>0</v>
      </c>
      <c r="OIA16">
        <v>0</v>
      </c>
      <c r="OIB16">
        <v>0</v>
      </c>
      <c r="OIC16">
        <v>0</v>
      </c>
      <c r="OID16">
        <v>0</v>
      </c>
      <c r="OIE16">
        <v>0</v>
      </c>
      <c r="OIF16">
        <v>0</v>
      </c>
      <c r="OIG16">
        <v>0</v>
      </c>
      <c r="OIH16">
        <v>0</v>
      </c>
      <c r="OII16">
        <v>0</v>
      </c>
      <c r="OIJ16">
        <v>0</v>
      </c>
      <c r="OIK16">
        <v>0</v>
      </c>
      <c r="OIL16">
        <v>0</v>
      </c>
      <c r="OIM16">
        <v>0</v>
      </c>
      <c r="OIN16">
        <v>0</v>
      </c>
      <c r="OIO16">
        <v>0</v>
      </c>
      <c r="OIP16">
        <v>0</v>
      </c>
      <c r="OIQ16">
        <v>0</v>
      </c>
      <c r="OIR16">
        <v>0</v>
      </c>
      <c r="OIS16">
        <v>0</v>
      </c>
      <c r="OIT16">
        <v>0</v>
      </c>
      <c r="OIU16">
        <v>0</v>
      </c>
      <c r="OIV16">
        <v>0</v>
      </c>
      <c r="OIW16">
        <v>0</v>
      </c>
      <c r="OIX16">
        <v>0</v>
      </c>
      <c r="OIY16">
        <v>0</v>
      </c>
      <c r="OIZ16">
        <v>0</v>
      </c>
      <c r="OJA16">
        <v>0</v>
      </c>
      <c r="OJB16">
        <v>0</v>
      </c>
      <c r="OJC16">
        <v>0</v>
      </c>
      <c r="OJD16">
        <v>0</v>
      </c>
      <c r="OJE16">
        <v>0</v>
      </c>
      <c r="OJF16">
        <v>0</v>
      </c>
      <c r="OJG16">
        <v>0</v>
      </c>
      <c r="OJH16">
        <v>0</v>
      </c>
      <c r="OJI16">
        <v>0</v>
      </c>
      <c r="OJJ16">
        <v>0</v>
      </c>
      <c r="OJK16">
        <v>0</v>
      </c>
      <c r="OJL16">
        <v>0</v>
      </c>
      <c r="OJM16">
        <v>0</v>
      </c>
      <c r="OJN16">
        <v>0</v>
      </c>
      <c r="OJO16">
        <v>0</v>
      </c>
      <c r="OJP16">
        <v>0</v>
      </c>
      <c r="OJQ16">
        <v>0</v>
      </c>
      <c r="OJR16">
        <v>0</v>
      </c>
      <c r="OJS16">
        <v>0</v>
      </c>
      <c r="OJT16">
        <v>0</v>
      </c>
      <c r="OJU16">
        <v>0</v>
      </c>
      <c r="OJV16">
        <v>0</v>
      </c>
      <c r="OJW16">
        <v>0</v>
      </c>
      <c r="OJX16">
        <v>0</v>
      </c>
      <c r="OJY16">
        <v>0</v>
      </c>
      <c r="OJZ16">
        <v>0</v>
      </c>
      <c r="OKA16">
        <v>0</v>
      </c>
      <c r="OKB16">
        <v>0</v>
      </c>
      <c r="OKC16">
        <v>0</v>
      </c>
      <c r="OKD16">
        <v>0</v>
      </c>
      <c r="OKE16">
        <v>0</v>
      </c>
      <c r="OKF16">
        <v>0</v>
      </c>
      <c r="OKG16">
        <v>0</v>
      </c>
      <c r="OKH16">
        <v>0</v>
      </c>
      <c r="OKI16">
        <v>0</v>
      </c>
      <c r="OKJ16">
        <v>0</v>
      </c>
      <c r="OKK16">
        <v>0</v>
      </c>
      <c r="OKL16">
        <v>0</v>
      </c>
      <c r="OKM16">
        <v>0</v>
      </c>
      <c r="OKN16">
        <v>0</v>
      </c>
      <c r="OKO16">
        <v>0</v>
      </c>
      <c r="OKP16">
        <v>0</v>
      </c>
      <c r="OKQ16">
        <v>0</v>
      </c>
      <c r="OKR16">
        <v>0</v>
      </c>
      <c r="OKS16">
        <v>0</v>
      </c>
      <c r="OKT16">
        <v>0</v>
      </c>
      <c r="OKU16">
        <v>0</v>
      </c>
      <c r="OKV16">
        <v>0</v>
      </c>
      <c r="OKW16">
        <v>0</v>
      </c>
      <c r="OKX16">
        <v>0</v>
      </c>
      <c r="OKY16">
        <v>0</v>
      </c>
      <c r="OKZ16">
        <v>0</v>
      </c>
      <c r="OLA16">
        <v>0</v>
      </c>
      <c r="OLB16">
        <v>0</v>
      </c>
      <c r="OLC16">
        <v>0</v>
      </c>
      <c r="OLD16">
        <v>0</v>
      </c>
      <c r="OLE16">
        <v>0</v>
      </c>
      <c r="OLF16">
        <v>0</v>
      </c>
      <c r="OLG16">
        <v>0</v>
      </c>
      <c r="OLH16">
        <v>0</v>
      </c>
      <c r="OLI16">
        <v>0</v>
      </c>
      <c r="OLJ16">
        <v>0</v>
      </c>
      <c r="OLK16">
        <v>0</v>
      </c>
      <c r="OLL16">
        <v>0</v>
      </c>
      <c r="OLM16">
        <v>0</v>
      </c>
      <c r="OLN16">
        <v>0</v>
      </c>
      <c r="OLO16">
        <v>0</v>
      </c>
      <c r="OLP16">
        <v>0</v>
      </c>
      <c r="OLQ16">
        <v>0</v>
      </c>
      <c r="OLR16">
        <v>0</v>
      </c>
      <c r="OLS16">
        <v>0</v>
      </c>
      <c r="OLT16">
        <v>0</v>
      </c>
      <c r="OLU16">
        <v>0</v>
      </c>
      <c r="OLV16">
        <v>0</v>
      </c>
      <c r="OLW16">
        <v>0</v>
      </c>
      <c r="OLX16">
        <v>0</v>
      </c>
      <c r="OLY16">
        <v>0</v>
      </c>
      <c r="OLZ16">
        <v>0</v>
      </c>
      <c r="OMA16">
        <v>0</v>
      </c>
      <c r="OMB16">
        <v>0</v>
      </c>
      <c r="OMC16">
        <v>0</v>
      </c>
      <c r="OMD16">
        <v>0</v>
      </c>
      <c r="OME16">
        <v>0</v>
      </c>
      <c r="OMF16">
        <v>0</v>
      </c>
      <c r="OMG16">
        <v>0</v>
      </c>
      <c r="OMH16">
        <v>0</v>
      </c>
      <c r="OMI16">
        <v>0</v>
      </c>
      <c r="OMJ16">
        <v>0</v>
      </c>
      <c r="OMK16">
        <v>0</v>
      </c>
      <c r="OML16">
        <v>0</v>
      </c>
      <c r="OMM16">
        <v>0</v>
      </c>
      <c r="OMN16">
        <v>0</v>
      </c>
      <c r="OMO16">
        <v>0</v>
      </c>
      <c r="OMP16">
        <v>0</v>
      </c>
      <c r="OMQ16">
        <v>0</v>
      </c>
      <c r="OMR16">
        <v>0</v>
      </c>
      <c r="OMS16">
        <v>0</v>
      </c>
      <c r="OMT16">
        <v>0</v>
      </c>
      <c r="OMU16">
        <v>0</v>
      </c>
      <c r="OMV16">
        <v>0</v>
      </c>
      <c r="OMW16">
        <v>0</v>
      </c>
      <c r="OMX16">
        <v>0</v>
      </c>
      <c r="OMY16">
        <v>0</v>
      </c>
      <c r="OMZ16">
        <v>0</v>
      </c>
      <c r="ONA16">
        <v>0</v>
      </c>
      <c r="ONB16">
        <v>0</v>
      </c>
      <c r="ONC16">
        <v>0</v>
      </c>
      <c r="OND16">
        <v>0</v>
      </c>
      <c r="ONE16">
        <v>0</v>
      </c>
      <c r="ONF16">
        <v>0</v>
      </c>
      <c r="ONG16">
        <v>0</v>
      </c>
      <c r="ONH16">
        <v>0</v>
      </c>
      <c r="ONI16">
        <v>0</v>
      </c>
      <c r="ONJ16">
        <v>0</v>
      </c>
      <c r="ONK16">
        <v>0</v>
      </c>
      <c r="ONL16">
        <v>0</v>
      </c>
      <c r="ONM16">
        <v>0</v>
      </c>
      <c r="ONN16">
        <v>0</v>
      </c>
      <c r="ONO16">
        <v>0</v>
      </c>
      <c r="ONP16">
        <v>0</v>
      </c>
      <c r="ONQ16">
        <v>0</v>
      </c>
      <c r="ONR16">
        <v>0</v>
      </c>
      <c r="ONS16">
        <v>0</v>
      </c>
      <c r="ONT16">
        <v>0</v>
      </c>
      <c r="ONU16">
        <v>0</v>
      </c>
      <c r="ONV16">
        <v>0</v>
      </c>
      <c r="ONW16">
        <v>0</v>
      </c>
      <c r="ONX16">
        <v>0</v>
      </c>
      <c r="ONY16">
        <v>0</v>
      </c>
      <c r="ONZ16">
        <v>0</v>
      </c>
      <c r="OOA16">
        <v>0</v>
      </c>
      <c r="OOB16">
        <v>0</v>
      </c>
      <c r="OOC16">
        <v>0</v>
      </c>
      <c r="OOD16">
        <v>0</v>
      </c>
      <c r="OOE16">
        <v>0</v>
      </c>
      <c r="OOF16">
        <v>0</v>
      </c>
      <c r="OOG16">
        <v>0</v>
      </c>
      <c r="OOH16">
        <v>0</v>
      </c>
      <c r="OOI16">
        <v>0</v>
      </c>
      <c r="OOJ16">
        <v>0</v>
      </c>
      <c r="OOK16">
        <v>0</v>
      </c>
      <c r="OOL16">
        <v>0</v>
      </c>
      <c r="OOM16">
        <v>0</v>
      </c>
      <c r="OON16">
        <v>0</v>
      </c>
      <c r="OOO16">
        <v>0</v>
      </c>
      <c r="OOP16">
        <v>0</v>
      </c>
      <c r="OOQ16">
        <v>0</v>
      </c>
      <c r="OOR16">
        <v>0</v>
      </c>
      <c r="OOS16">
        <v>0</v>
      </c>
      <c r="OOT16">
        <v>0</v>
      </c>
      <c r="OOU16">
        <v>0</v>
      </c>
      <c r="OOV16">
        <v>0</v>
      </c>
      <c r="OOW16">
        <v>0</v>
      </c>
      <c r="OOX16">
        <v>0</v>
      </c>
      <c r="OOY16">
        <v>0</v>
      </c>
      <c r="OOZ16">
        <v>0</v>
      </c>
      <c r="OPA16">
        <v>0</v>
      </c>
      <c r="OPB16">
        <v>0</v>
      </c>
      <c r="OPC16">
        <v>0</v>
      </c>
      <c r="OPD16">
        <v>0</v>
      </c>
      <c r="OPE16">
        <v>0</v>
      </c>
      <c r="OPF16">
        <v>0</v>
      </c>
      <c r="OPG16">
        <v>0</v>
      </c>
      <c r="OPH16">
        <v>0</v>
      </c>
      <c r="OPI16">
        <v>0</v>
      </c>
      <c r="OPJ16">
        <v>0</v>
      </c>
      <c r="OPK16">
        <v>0</v>
      </c>
      <c r="OPL16">
        <v>0</v>
      </c>
      <c r="OPM16">
        <v>0</v>
      </c>
      <c r="OPN16">
        <v>0</v>
      </c>
      <c r="OPO16">
        <v>0</v>
      </c>
      <c r="OPP16">
        <v>0</v>
      </c>
      <c r="OPQ16">
        <v>0</v>
      </c>
      <c r="OPR16">
        <v>0</v>
      </c>
      <c r="OPS16">
        <v>0</v>
      </c>
      <c r="OPT16">
        <v>0</v>
      </c>
      <c r="OPU16">
        <v>0</v>
      </c>
      <c r="OPV16">
        <v>0</v>
      </c>
      <c r="OPW16">
        <v>0</v>
      </c>
      <c r="OPX16">
        <v>0</v>
      </c>
      <c r="OPY16">
        <v>0</v>
      </c>
      <c r="OPZ16">
        <v>0</v>
      </c>
      <c r="OQA16">
        <v>0</v>
      </c>
      <c r="OQB16">
        <v>0</v>
      </c>
      <c r="OQC16">
        <v>0</v>
      </c>
      <c r="OQD16">
        <v>0</v>
      </c>
      <c r="OQE16">
        <v>0</v>
      </c>
      <c r="OQF16">
        <v>0</v>
      </c>
      <c r="OQG16">
        <v>0</v>
      </c>
      <c r="OQH16">
        <v>0</v>
      </c>
      <c r="OQI16">
        <v>0</v>
      </c>
      <c r="OQJ16">
        <v>0</v>
      </c>
      <c r="OQK16">
        <v>0</v>
      </c>
      <c r="OQL16">
        <v>0</v>
      </c>
      <c r="OQM16">
        <v>0</v>
      </c>
      <c r="OQN16">
        <v>0</v>
      </c>
      <c r="OQO16">
        <v>0</v>
      </c>
      <c r="OQP16">
        <v>0</v>
      </c>
      <c r="OQQ16">
        <v>0</v>
      </c>
      <c r="OQR16">
        <v>0</v>
      </c>
      <c r="OQS16">
        <v>0</v>
      </c>
      <c r="OQT16">
        <v>0</v>
      </c>
      <c r="OQU16">
        <v>0</v>
      </c>
      <c r="OQV16">
        <v>0</v>
      </c>
      <c r="OQW16">
        <v>0</v>
      </c>
      <c r="OQX16">
        <v>0</v>
      </c>
      <c r="OQY16">
        <v>0</v>
      </c>
      <c r="OQZ16">
        <v>0</v>
      </c>
      <c r="ORA16">
        <v>0</v>
      </c>
      <c r="ORB16">
        <v>0</v>
      </c>
      <c r="ORC16">
        <v>0</v>
      </c>
      <c r="ORD16">
        <v>0</v>
      </c>
      <c r="ORE16">
        <v>0</v>
      </c>
      <c r="ORF16">
        <v>0</v>
      </c>
      <c r="ORG16">
        <v>0</v>
      </c>
      <c r="ORH16">
        <v>0</v>
      </c>
      <c r="ORI16">
        <v>0</v>
      </c>
      <c r="ORJ16">
        <v>0</v>
      </c>
      <c r="ORK16">
        <v>0</v>
      </c>
      <c r="ORL16">
        <v>0</v>
      </c>
      <c r="ORM16">
        <v>0</v>
      </c>
      <c r="ORN16">
        <v>0</v>
      </c>
      <c r="ORO16">
        <v>0</v>
      </c>
      <c r="ORP16">
        <v>0</v>
      </c>
      <c r="ORQ16">
        <v>0</v>
      </c>
      <c r="ORR16">
        <v>0</v>
      </c>
      <c r="ORS16">
        <v>0</v>
      </c>
      <c r="ORT16">
        <v>0</v>
      </c>
      <c r="ORU16">
        <v>0</v>
      </c>
      <c r="ORV16">
        <v>0</v>
      </c>
      <c r="ORW16">
        <v>0</v>
      </c>
      <c r="ORX16">
        <v>0</v>
      </c>
      <c r="ORY16">
        <v>0</v>
      </c>
      <c r="ORZ16">
        <v>0</v>
      </c>
      <c r="OSA16">
        <v>0</v>
      </c>
      <c r="OSB16">
        <v>0</v>
      </c>
      <c r="OSC16">
        <v>0</v>
      </c>
      <c r="OSD16">
        <v>0</v>
      </c>
      <c r="OSE16">
        <v>0</v>
      </c>
      <c r="OSF16">
        <v>0</v>
      </c>
      <c r="OSG16">
        <v>0</v>
      </c>
      <c r="OSH16">
        <v>0</v>
      </c>
      <c r="OSI16">
        <v>0</v>
      </c>
      <c r="OSJ16">
        <v>0</v>
      </c>
      <c r="OSK16">
        <v>0</v>
      </c>
      <c r="OSL16">
        <v>0</v>
      </c>
      <c r="OSM16">
        <v>0</v>
      </c>
      <c r="OSN16">
        <v>0</v>
      </c>
      <c r="OSO16">
        <v>0</v>
      </c>
      <c r="OSP16">
        <v>0</v>
      </c>
      <c r="OSQ16">
        <v>0</v>
      </c>
      <c r="OSR16">
        <v>0</v>
      </c>
      <c r="OSS16">
        <v>0</v>
      </c>
      <c r="OST16">
        <v>0</v>
      </c>
      <c r="OSU16">
        <v>0</v>
      </c>
      <c r="OSV16">
        <v>0</v>
      </c>
      <c r="OSW16">
        <v>0</v>
      </c>
      <c r="OSX16">
        <v>0</v>
      </c>
      <c r="OSY16">
        <v>0</v>
      </c>
      <c r="OSZ16">
        <v>0</v>
      </c>
      <c r="OTA16">
        <v>0</v>
      </c>
      <c r="OTB16">
        <v>0</v>
      </c>
      <c r="OTC16">
        <v>0</v>
      </c>
      <c r="OTD16">
        <v>0</v>
      </c>
      <c r="OTE16">
        <v>0</v>
      </c>
      <c r="OTF16">
        <v>0</v>
      </c>
      <c r="OTG16">
        <v>0</v>
      </c>
      <c r="OTH16">
        <v>0</v>
      </c>
      <c r="OTI16">
        <v>0</v>
      </c>
      <c r="OTJ16">
        <v>0</v>
      </c>
      <c r="OTK16">
        <v>0</v>
      </c>
      <c r="OTL16">
        <v>0</v>
      </c>
      <c r="OTM16">
        <v>0</v>
      </c>
      <c r="OTN16">
        <v>0</v>
      </c>
      <c r="OTO16">
        <v>0</v>
      </c>
      <c r="OTP16">
        <v>0</v>
      </c>
      <c r="OTQ16">
        <v>0</v>
      </c>
      <c r="OTR16">
        <v>0</v>
      </c>
      <c r="OTS16">
        <v>0</v>
      </c>
      <c r="OTT16">
        <v>0</v>
      </c>
      <c r="OTU16">
        <v>0</v>
      </c>
      <c r="OTV16">
        <v>0</v>
      </c>
      <c r="OTW16">
        <v>0</v>
      </c>
      <c r="OTX16">
        <v>0</v>
      </c>
      <c r="OTY16">
        <v>0</v>
      </c>
      <c r="OTZ16">
        <v>0</v>
      </c>
      <c r="OUA16">
        <v>0</v>
      </c>
      <c r="OUB16">
        <v>0</v>
      </c>
      <c r="OUC16">
        <v>0</v>
      </c>
      <c r="OUD16">
        <v>0</v>
      </c>
      <c r="OUE16">
        <v>0</v>
      </c>
      <c r="OUF16">
        <v>0</v>
      </c>
      <c r="OUG16">
        <v>0</v>
      </c>
      <c r="OUH16">
        <v>0</v>
      </c>
      <c r="OUI16">
        <v>0</v>
      </c>
      <c r="OUJ16">
        <v>0</v>
      </c>
      <c r="OUK16">
        <v>0</v>
      </c>
      <c r="OUL16">
        <v>0</v>
      </c>
      <c r="OUM16">
        <v>0</v>
      </c>
      <c r="OUN16">
        <v>0</v>
      </c>
      <c r="OUO16">
        <v>0</v>
      </c>
      <c r="OUP16">
        <v>0</v>
      </c>
      <c r="OUQ16">
        <v>0</v>
      </c>
      <c r="OUR16">
        <v>0</v>
      </c>
      <c r="OUS16">
        <v>0</v>
      </c>
      <c r="OUT16">
        <v>0</v>
      </c>
      <c r="OUU16">
        <v>0</v>
      </c>
      <c r="OUV16">
        <v>0</v>
      </c>
      <c r="OUW16">
        <v>0</v>
      </c>
      <c r="OUX16">
        <v>0</v>
      </c>
      <c r="OUY16">
        <v>0</v>
      </c>
      <c r="OUZ16">
        <v>0</v>
      </c>
      <c r="OVA16">
        <v>0</v>
      </c>
      <c r="OVB16">
        <v>0</v>
      </c>
      <c r="OVC16">
        <v>0</v>
      </c>
      <c r="OVD16">
        <v>0</v>
      </c>
      <c r="OVE16">
        <v>0</v>
      </c>
      <c r="OVF16">
        <v>0</v>
      </c>
      <c r="OVG16">
        <v>0</v>
      </c>
      <c r="OVH16">
        <v>0</v>
      </c>
      <c r="OVI16">
        <v>0</v>
      </c>
      <c r="OVJ16">
        <v>0</v>
      </c>
      <c r="OVK16">
        <v>0</v>
      </c>
      <c r="OVL16">
        <v>0</v>
      </c>
      <c r="OVM16">
        <v>0</v>
      </c>
      <c r="OVN16">
        <v>0</v>
      </c>
      <c r="OVO16">
        <v>0</v>
      </c>
      <c r="OVP16">
        <v>0</v>
      </c>
      <c r="OVQ16">
        <v>0</v>
      </c>
      <c r="OVR16">
        <v>0</v>
      </c>
      <c r="OVS16">
        <v>0</v>
      </c>
      <c r="OVT16">
        <v>0</v>
      </c>
      <c r="OVU16">
        <v>0</v>
      </c>
      <c r="OVV16">
        <v>0</v>
      </c>
      <c r="OVW16">
        <v>0</v>
      </c>
      <c r="OVX16">
        <v>0</v>
      </c>
      <c r="OVY16">
        <v>0</v>
      </c>
      <c r="OVZ16">
        <v>0</v>
      </c>
      <c r="OWA16">
        <v>0</v>
      </c>
      <c r="OWB16">
        <v>0</v>
      </c>
      <c r="OWC16">
        <v>0</v>
      </c>
      <c r="OWD16">
        <v>0</v>
      </c>
      <c r="OWE16">
        <v>0</v>
      </c>
      <c r="OWF16">
        <v>0</v>
      </c>
      <c r="OWG16">
        <v>0</v>
      </c>
      <c r="OWH16">
        <v>0</v>
      </c>
      <c r="OWI16">
        <v>0</v>
      </c>
      <c r="OWJ16">
        <v>0</v>
      </c>
      <c r="OWK16">
        <v>0</v>
      </c>
      <c r="OWL16">
        <v>0</v>
      </c>
      <c r="OWM16">
        <v>0</v>
      </c>
      <c r="OWN16">
        <v>0</v>
      </c>
      <c r="OWO16">
        <v>0</v>
      </c>
      <c r="OWP16">
        <v>0</v>
      </c>
      <c r="OWQ16">
        <v>0</v>
      </c>
      <c r="OWR16">
        <v>0</v>
      </c>
      <c r="OWS16">
        <v>0</v>
      </c>
      <c r="OWT16">
        <v>0</v>
      </c>
      <c r="OWU16">
        <v>0</v>
      </c>
      <c r="OWV16">
        <v>0</v>
      </c>
      <c r="OWW16">
        <v>0</v>
      </c>
      <c r="OWX16">
        <v>0</v>
      </c>
      <c r="OWY16">
        <v>0</v>
      </c>
      <c r="OWZ16">
        <v>0</v>
      </c>
      <c r="OXA16">
        <v>0</v>
      </c>
      <c r="OXB16">
        <v>0</v>
      </c>
      <c r="OXC16">
        <v>0</v>
      </c>
      <c r="OXD16">
        <v>0</v>
      </c>
      <c r="OXE16">
        <v>0</v>
      </c>
      <c r="OXF16">
        <v>0</v>
      </c>
      <c r="OXG16">
        <v>0</v>
      </c>
      <c r="OXH16">
        <v>0</v>
      </c>
      <c r="OXI16">
        <v>0</v>
      </c>
      <c r="OXJ16">
        <v>0</v>
      </c>
      <c r="OXK16">
        <v>0</v>
      </c>
      <c r="OXL16">
        <v>0</v>
      </c>
      <c r="OXM16">
        <v>0</v>
      </c>
      <c r="OXN16">
        <v>0</v>
      </c>
      <c r="OXO16">
        <v>0</v>
      </c>
      <c r="OXP16">
        <v>0</v>
      </c>
      <c r="OXQ16">
        <v>0</v>
      </c>
      <c r="OXR16">
        <v>0</v>
      </c>
      <c r="OXS16">
        <v>0</v>
      </c>
      <c r="OXT16">
        <v>0</v>
      </c>
      <c r="OXU16">
        <v>0</v>
      </c>
      <c r="OXV16">
        <v>0</v>
      </c>
      <c r="OXW16">
        <v>0</v>
      </c>
      <c r="OXX16">
        <v>0</v>
      </c>
      <c r="OXY16">
        <v>0</v>
      </c>
      <c r="OXZ16">
        <v>0</v>
      </c>
      <c r="OYA16">
        <v>0</v>
      </c>
      <c r="OYB16">
        <v>0</v>
      </c>
      <c r="OYC16">
        <v>0</v>
      </c>
      <c r="OYD16">
        <v>0</v>
      </c>
      <c r="OYE16">
        <v>0</v>
      </c>
      <c r="OYF16">
        <v>0</v>
      </c>
      <c r="OYG16">
        <v>0</v>
      </c>
      <c r="OYH16">
        <v>0</v>
      </c>
      <c r="OYI16">
        <v>0</v>
      </c>
      <c r="OYJ16">
        <v>0</v>
      </c>
      <c r="OYK16">
        <v>0</v>
      </c>
      <c r="OYL16">
        <v>0</v>
      </c>
      <c r="OYM16">
        <v>0</v>
      </c>
      <c r="OYN16">
        <v>0</v>
      </c>
      <c r="OYO16">
        <v>0</v>
      </c>
      <c r="OYP16">
        <v>0</v>
      </c>
      <c r="OYQ16">
        <v>0</v>
      </c>
      <c r="OYR16">
        <v>0</v>
      </c>
      <c r="OYS16">
        <v>0</v>
      </c>
      <c r="OYT16">
        <v>0</v>
      </c>
      <c r="OYU16">
        <v>0</v>
      </c>
      <c r="OYV16">
        <v>0</v>
      </c>
      <c r="OYW16">
        <v>0</v>
      </c>
      <c r="OYX16">
        <v>0</v>
      </c>
      <c r="OYY16">
        <v>0</v>
      </c>
      <c r="OYZ16">
        <v>0</v>
      </c>
      <c r="OZA16">
        <v>0</v>
      </c>
      <c r="OZB16">
        <v>0</v>
      </c>
      <c r="OZC16">
        <v>0</v>
      </c>
      <c r="OZD16">
        <v>0</v>
      </c>
      <c r="OZE16">
        <v>0</v>
      </c>
      <c r="OZF16">
        <v>0</v>
      </c>
      <c r="OZG16">
        <v>0</v>
      </c>
      <c r="OZH16">
        <v>0</v>
      </c>
      <c r="OZI16">
        <v>0</v>
      </c>
      <c r="OZJ16">
        <v>0</v>
      </c>
      <c r="OZK16">
        <v>0</v>
      </c>
      <c r="OZL16">
        <v>0</v>
      </c>
      <c r="OZM16">
        <v>0</v>
      </c>
      <c r="OZN16">
        <v>0</v>
      </c>
      <c r="OZO16">
        <v>0</v>
      </c>
      <c r="OZP16">
        <v>0</v>
      </c>
      <c r="OZQ16">
        <v>0</v>
      </c>
      <c r="OZR16">
        <v>0</v>
      </c>
      <c r="OZS16">
        <v>0</v>
      </c>
      <c r="OZT16">
        <v>0</v>
      </c>
      <c r="OZU16">
        <v>0</v>
      </c>
      <c r="OZV16">
        <v>0</v>
      </c>
      <c r="OZW16">
        <v>0</v>
      </c>
      <c r="OZX16">
        <v>0</v>
      </c>
      <c r="OZY16">
        <v>0</v>
      </c>
      <c r="OZZ16">
        <v>0</v>
      </c>
      <c r="PAA16">
        <v>0</v>
      </c>
      <c r="PAB16">
        <v>0</v>
      </c>
      <c r="PAC16">
        <v>0</v>
      </c>
      <c r="PAD16">
        <v>0</v>
      </c>
      <c r="PAE16">
        <v>0</v>
      </c>
      <c r="PAF16">
        <v>0</v>
      </c>
      <c r="PAG16">
        <v>0</v>
      </c>
      <c r="PAH16">
        <v>0</v>
      </c>
      <c r="PAI16">
        <v>0</v>
      </c>
      <c r="PAJ16">
        <v>0</v>
      </c>
      <c r="PAK16">
        <v>0</v>
      </c>
      <c r="PAL16">
        <v>0</v>
      </c>
      <c r="PAM16">
        <v>0</v>
      </c>
      <c r="PAN16">
        <v>0</v>
      </c>
      <c r="PAO16">
        <v>0</v>
      </c>
      <c r="PAP16">
        <v>0</v>
      </c>
      <c r="PAQ16">
        <v>0</v>
      </c>
      <c r="PAR16">
        <v>0</v>
      </c>
      <c r="PAS16">
        <v>0</v>
      </c>
      <c r="PAT16">
        <v>0</v>
      </c>
      <c r="PAU16">
        <v>0</v>
      </c>
      <c r="PAV16">
        <v>0</v>
      </c>
      <c r="PAW16">
        <v>0</v>
      </c>
      <c r="PAX16">
        <v>0</v>
      </c>
      <c r="PAY16">
        <v>0</v>
      </c>
      <c r="PAZ16">
        <v>0</v>
      </c>
      <c r="PBA16">
        <v>0</v>
      </c>
      <c r="PBB16">
        <v>0</v>
      </c>
      <c r="PBC16">
        <v>0</v>
      </c>
      <c r="PBD16">
        <v>0</v>
      </c>
      <c r="PBE16">
        <v>0</v>
      </c>
      <c r="PBF16">
        <v>0</v>
      </c>
      <c r="PBG16">
        <v>0</v>
      </c>
      <c r="PBH16">
        <v>0</v>
      </c>
      <c r="PBI16">
        <v>0</v>
      </c>
      <c r="PBJ16">
        <v>0</v>
      </c>
      <c r="PBK16">
        <v>0</v>
      </c>
      <c r="PBL16">
        <v>0</v>
      </c>
      <c r="PBM16">
        <v>0</v>
      </c>
      <c r="PBN16">
        <v>0</v>
      </c>
      <c r="PBO16">
        <v>0</v>
      </c>
      <c r="PBP16">
        <v>0</v>
      </c>
      <c r="PBQ16">
        <v>0</v>
      </c>
      <c r="PBR16">
        <v>0</v>
      </c>
      <c r="PBS16">
        <v>0</v>
      </c>
      <c r="PBT16">
        <v>0</v>
      </c>
      <c r="PBU16">
        <v>0</v>
      </c>
      <c r="PBV16">
        <v>0</v>
      </c>
      <c r="PBW16">
        <v>0</v>
      </c>
      <c r="PBX16">
        <v>0</v>
      </c>
      <c r="PBY16">
        <v>0</v>
      </c>
      <c r="PBZ16">
        <v>0</v>
      </c>
      <c r="PCA16">
        <v>0</v>
      </c>
      <c r="PCB16">
        <v>0</v>
      </c>
      <c r="PCC16">
        <v>0</v>
      </c>
      <c r="PCD16">
        <v>0</v>
      </c>
      <c r="PCE16">
        <v>0</v>
      </c>
      <c r="PCF16">
        <v>0</v>
      </c>
      <c r="PCG16">
        <v>0</v>
      </c>
      <c r="PCH16">
        <v>0</v>
      </c>
      <c r="PCI16">
        <v>0</v>
      </c>
      <c r="PCJ16">
        <v>0</v>
      </c>
      <c r="PCK16">
        <v>0</v>
      </c>
      <c r="PCL16">
        <v>0</v>
      </c>
      <c r="PCM16">
        <v>0</v>
      </c>
      <c r="PCN16">
        <v>0</v>
      </c>
      <c r="PCO16">
        <v>0</v>
      </c>
      <c r="PCP16">
        <v>0</v>
      </c>
      <c r="PCQ16">
        <v>0</v>
      </c>
      <c r="PCR16">
        <v>0</v>
      </c>
      <c r="PCS16">
        <v>0</v>
      </c>
      <c r="PCT16">
        <v>0</v>
      </c>
      <c r="PCU16">
        <v>0</v>
      </c>
      <c r="PCV16">
        <v>0</v>
      </c>
      <c r="PCW16">
        <v>0</v>
      </c>
      <c r="PCX16">
        <v>0</v>
      </c>
      <c r="PCY16">
        <v>0</v>
      </c>
      <c r="PCZ16">
        <v>0</v>
      </c>
      <c r="PDA16">
        <v>0</v>
      </c>
      <c r="PDB16">
        <v>0</v>
      </c>
      <c r="PDC16">
        <v>0</v>
      </c>
      <c r="PDD16">
        <v>0</v>
      </c>
      <c r="PDE16">
        <v>0</v>
      </c>
      <c r="PDF16">
        <v>0</v>
      </c>
      <c r="PDG16">
        <v>0</v>
      </c>
      <c r="PDH16">
        <v>0</v>
      </c>
      <c r="PDI16">
        <v>0</v>
      </c>
      <c r="PDJ16">
        <v>0</v>
      </c>
      <c r="PDK16">
        <v>0</v>
      </c>
      <c r="PDL16">
        <v>0</v>
      </c>
      <c r="PDM16">
        <v>0</v>
      </c>
      <c r="PDN16">
        <v>0</v>
      </c>
      <c r="PDO16">
        <v>0</v>
      </c>
      <c r="PDP16">
        <v>0</v>
      </c>
      <c r="PDQ16">
        <v>0</v>
      </c>
      <c r="PDR16">
        <v>0</v>
      </c>
      <c r="PDS16">
        <v>0</v>
      </c>
      <c r="PDT16">
        <v>0</v>
      </c>
      <c r="PDU16">
        <v>0</v>
      </c>
      <c r="PDV16">
        <v>0</v>
      </c>
      <c r="PDW16">
        <v>0</v>
      </c>
      <c r="PDX16">
        <v>0</v>
      </c>
      <c r="PDY16">
        <v>0</v>
      </c>
      <c r="PDZ16">
        <v>0</v>
      </c>
      <c r="PEA16">
        <v>0</v>
      </c>
      <c r="PEB16">
        <v>0</v>
      </c>
      <c r="PEC16">
        <v>0</v>
      </c>
      <c r="PED16">
        <v>0</v>
      </c>
      <c r="PEE16">
        <v>0</v>
      </c>
      <c r="PEF16">
        <v>0</v>
      </c>
      <c r="PEG16">
        <v>0</v>
      </c>
      <c r="PEH16">
        <v>0</v>
      </c>
      <c r="PEI16">
        <v>0</v>
      </c>
      <c r="PEJ16">
        <v>0</v>
      </c>
      <c r="PEK16">
        <v>0</v>
      </c>
      <c r="PEL16">
        <v>0</v>
      </c>
      <c r="PEM16">
        <v>0</v>
      </c>
      <c r="PEN16">
        <v>0</v>
      </c>
      <c r="PEO16">
        <v>0</v>
      </c>
      <c r="PEP16">
        <v>0</v>
      </c>
      <c r="PEQ16">
        <v>0</v>
      </c>
      <c r="PER16">
        <v>0</v>
      </c>
      <c r="PES16">
        <v>0</v>
      </c>
      <c r="PET16">
        <v>0</v>
      </c>
      <c r="PEU16">
        <v>0</v>
      </c>
      <c r="PEV16">
        <v>0</v>
      </c>
      <c r="PEW16">
        <v>0</v>
      </c>
      <c r="PEX16">
        <v>0</v>
      </c>
      <c r="PEY16">
        <v>0</v>
      </c>
      <c r="PEZ16">
        <v>0</v>
      </c>
      <c r="PFA16">
        <v>0</v>
      </c>
      <c r="PFB16">
        <v>0</v>
      </c>
      <c r="PFC16">
        <v>0</v>
      </c>
      <c r="PFD16">
        <v>0</v>
      </c>
      <c r="PFE16">
        <v>0</v>
      </c>
      <c r="PFF16">
        <v>0</v>
      </c>
      <c r="PFG16">
        <v>0</v>
      </c>
      <c r="PFH16">
        <v>0</v>
      </c>
      <c r="PFI16">
        <v>0</v>
      </c>
      <c r="PFJ16">
        <v>0</v>
      </c>
      <c r="PFK16">
        <v>0</v>
      </c>
      <c r="PFL16">
        <v>0</v>
      </c>
      <c r="PFM16">
        <v>0</v>
      </c>
      <c r="PFN16">
        <v>0</v>
      </c>
      <c r="PFO16">
        <v>0</v>
      </c>
      <c r="PFP16">
        <v>0</v>
      </c>
      <c r="PFQ16">
        <v>0</v>
      </c>
      <c r="PFR16">
        <v>0</v>
      </c>
      <c r="PFS16">
        <v>0</v>
      </c>
      <c r="PFT16">
        <v>0</v>
      </c>
      <c r="PFU16">
        <v>0</v>
      </c>
      <c r="PFV16">
        <v>0</v>
      </c>
      <c r="PFW16">
        <v>0</v>
      </c>
      <c r="PFX16">
        <v>0</v>
      </c>
      <c r="PFY16">
        <v>0</v>
      </c>
      <c r="PFZ16">
        <v>0</v>
      </c>
      <c r="PGA16">
        <v>0</v>
      </c>
      <c r="PGB16">
        <v>0</v>
      </c>
      <c r="PGC16">
        <v>0</v>
      </c>
      <c r="PGD16">
        <v>0</v>
      </c>
      <c r="PGE16">
        <v>0</v>
      </c>
      <c r="PGF16">
        <v>0</v>
      </c>
      <c r="PGG16">
        <v>0</v>
      </c>
      <c r="PGH16">
        <v>0</v>
      </c>
      <c r="PGI16">
        <v>0</v>
      </c>
      <c r="PGJ16">
        <v>0</v>
      </c>
      <c r="PGK16">
        <v>0</v>
      </c>
      <c r="PGL16">
        <v>0</v>
      </c>
      <c r="PGM16">
        <v>0</v>
      </c>
      <c r="PGN16">
        <v>0</v>
      </c>
      <c r="PGO16">
        <v>0</v>
      </c>
      <c r="PGP16">
        <v>0</v>
      </c>
      <c r="PGQ16">
        <v>0</v>
      </c>
      <c r="PGR16">
        <v>0</v>
      </c>
      <c r="PGS16">
        <v>0</v>
      </c>
      <c r="PGT16">
        <v>0</v>
      </c>
      <c r="PGU16">
        <v>0</v>
      </c>
      <c r="PGV16">
        <v>0</v>
      </c>
      <c r="PGW16">
        <v>0</v>
      </c>
      <c r="PGX16">
        <v>0</v>
      </c>
      <c r="PGY16">
        <v>0</v>
      </c>
      <c r="PGZ16">
        <v>0</v>
      </c>
      <c r="PHA16">
        <v>0</v>
      </c>
      <c r="PHB16">
        <v>0</v>
      </c>
      <c r="PHC16">
        <v>0</v>
      </c>
      <c r="PHD16">
        <v>0</v>
      </c>
      <c r="PHE16">
        <v>0</v>
      </c>
      <c r="PHF16">
        <v>0</v>
      </c>
      <c r="PHG16">
        <v>0</v>
      </c>
      <c r="PHH16">
        <v>0</v>
      </c>
      <c r="PHI16">
        <v>0</v>
      </c>
      <c r="PHJ16">
        <v>0</v>
      </c>
      <c r="PHK16">
        <v>0</v>
      </c>
      <c r="PHL16">
        <v>0</v>
      </c>
      <c r="PHM16">
        <v>0</v>
      </c>
      <c r="PHN16">
        <v>0</v>
      </c>
      <c r="PHO16">
        <v>0</v>
      </c>
      <c r="PHP16">
        <v>0</v>
      </c>
      <c r="PHQ16">
        <v>0</v>
      </c>
      <c r="PHR16">
        <v>0</v>
      </c>
      <c r="PHS16">
        <v>0</v>
      </c>
      <c r="PHT16">
        <v>0</v>
      </c>
      <c r="PHU16">
        <v>0</v>
      </c>
      <c r="PHV16">
        <v>0</v>
      </c>
      <c r="PHW16">
        <v>0</v>
      </c>
      <c r="PHX16">
        <v>0</v>
      </c>
      <c r="PHY16">
        <v>0</v>
      </c>
      <c r="PHZ16">
        <v>0</v>
      </c>
      <c r="PIA16">
        <v>0</v>
      </c>
      <c r="PIB16">
        <v>0</v>
      </c>
      <c r="PIC16">
        <v>0</v>
      </c>
      <c r="PID16">
        <v>0</v>
      </c>
      <c r="PIE16">
        <v>0</v>
      </c>
      <c r="PIF16">
        <v>0</v>
      </c>
      <c r="PIG16">
        <v>0</v>
      </c>
      <c r="PIH16">
        <v>0</v>
      </c>
      <c r="PII16">
        <v>0</v>
      </c>
      <c r="PIJ16">
        <v>0</v>
      </c>
      <c r="PIK16">
        <v>0</v>
      </c>
      <c r="PIL16">
        <v>0</v>
      </c>
      <c r="PIM16">
        <v>0</v>
      </c>
      <c r="PIN16">
        <v>0</v>
      </c>
      <c r="PIO16">
        <v>0</v>
      </c>
      <c r="PIP16">
        <v>0</v>
      </c>
      <c r="PIQ16">
        <v>0</v>
      </c>
      <c r="PIR16">
        <v>0</v>
      </c>
      <c r="PIS16">
        <v>0</v>
      </c>
      <c r="PIT16">
        <v>0</v>
      </c>
      <c r="PIU16">
        <v>0</v>
      </c>
      <c r="PIV16">
        <v>0</v>
      </c>
      <c r="PIW16">
        <v>0</v>
      </c>
      <c r="PIX16">
        <v>0</v>
      </c>
      <c r="PIY16">
        <v>0</v>
      </c>
      <c r="PIZ16">
        <v>0</v>
      </c>
      <c r="PJA16">
        <v>0</v>
      </c>
      <c r="PJB16">
        <v>0</v>
      </c>
      <c r="PJC16">
        <v>0</v>
      </c>
      <c r="PJD16">
        <v>0</v>
      </c>
      <c r="PJE16">
        <v>0</v>
      </c>
      <c r="PJF16">
        <v>0</v>
      </c>
      <c r="PJG16">
        <v>0</v>
      </c>
      <c r="PJH16">
        <v>0</v>
      </c>
      <c r="PJI16">
        <v>0</v>
      </c>
      <c r="PJJ16">
        <v>0</v>
      </c>
      <c r="PJK16">
        <v>0</v>
      </c>
      <c r="PJL16">
        <v>0</v>
      </c>
      <c r="PJM16">
        <v>0</v>
      </c>
      <c r="PJN16">
        <v>0</v>
      </c>
      <c r="PJO16">
        <v>0</v>
      </c>
      <c r="PJP16">
        <v>0</v>
      </c>
      <c r="PJQ16">
        <v>0</v>
      </c>
      <c r="PJR16">
        <v>0</v>
      </c>
      <c r="PJS16">
        <v>0</v>
      </c>
      <c r="PJT16">
        <v>0</v>
      </c>
      <c r="PJU16">
        <v>0</v>
      </c>
      <c r="PJV16">
        <v>0</v>
      </c>
      <c r="PJW16">
        <v>0</v>
      </c>
      <c r="PJX16">
        <v>0</v>
      </c>
      <c r="PJY16">
        <v>0</v>
      </c>
      <c r="PJZ16">
        <v>0</v>
      </c>
      <c r="PKA16">
        <v>0</v>
      </c>
      <c r="PKB16">
        <v>0</v>
      </c>
      <c r="PKC16">
        <v>0</v>
      </c>
      <c r="PKD16">
        <v>0</v>
      </c>
      <c r="PKE16">
        <v>0</v>
      </c>
      <c r="PKF16">
        <v>0</v>
      </c>
      <c r="PKG16">
        <v>0</v>
      </c>
      <c r="PKH16">
        <v>0</v>
      </c>
      <c r="PKI16">
        <v>0</v>
      </c>
      <c r="PKJ16">
        <v>0</v>
      </c>
      <c r="PKK16">
        <v>0</v>
      </c>
      <c r="PKL16">
        <v>0</v>
      </c>
      <c r="PKM16">
        <v>0</v>
      </c>
      <c r="PKN16">
        <v>0</v>
      </c>
      <c r="PKO16">
        <v>0</v>
      </c>
      <c r="PKP16">
        <v>0</v>
      </c>
      <c r="PKQ16">
        <v>0</v>
      </c>
      <c r="PKR16">
        <v>0</v>
      </c>
      <c r="PKS16">
        <v>0</v>
      </c>
      <c r="PKT16">
        <v>0</v>
      </c>
      <c r="PKU16">
        <v>0</v>
      </c>
      <c r="PKV16">
        <v>0</v>
      </c>
      <c r="PKW16">
        <v>0</v>
      </c>
      <c r="PKX16">
        <v>0</v>
      </c>
      <c r="PKY16">
        <v>0</v>
      </c>
      <c r="PKZ16">
        <v>0</v>
      </c>
      <c r="PLA16">
        <v>0</v>
      </c>
      <c r="PLB16">
        <v>0</v>
      </c>
      <c r="PLC16">
        <v>0</v>
      </c>
      <c r="PLD16">
        <v>0</v>
      </c>
      <c r="PLE16">
        <v>0</v>
      </c>
      <c r="PLF16">
        <v>0</v>
      </c>
      <c r="PLG16">
        <v>0</v>
      </c>
      <c r="PLH16">
        <v>0</v>
      </c>
      <c r="PLI16">
        <v>0</v>
      </c>
      <c r="PLJ16">
        <v>0</v>
      </c>
      <c r="PLK16">
        <v>0</v>
      </c>
      <c r="PLL16">
        <v>0</v>
      </c>
      <c r="PLM16">
        <v>0</v>
      </c>
      <c r="PLN16">
        <v>0</v>
      </c>
      <c r="PLO16">
        <v>0</v>
      </c>
      <c r="PLP16">
        <v>0</v>
      </c>
      <c r="PLQ16">
        <v>0</v>
      </c>
      <c r="PLR16">
        <v>0</v>
      </c>
      <c r="PLS16">
        <v>0</v>
      </c>
      <c r="PLT16">
        <v>0</v>
      </c>
      <c r="PLU16">
        <v>0</v>
      </c>
      <c r="PLV16">
        <v>0</v>
      </c>
      <c r="PLW16">
        <v>0</v>
      </c>
      <c r="PLX16">
        <v>0</v>
      </c>
      <c r="PLY16">
        <v>0</v>
      </c>
      <c r="PLZ16">
        <v>0</v>
      </c>
      <c r="PMA16">
        <v>0</v>
      </c>
      <c r="PMB16">
        <v>0</v>
      </c>
      <c r="PMC16">
        <v>0</v>
      </c>
      <c r="PMD16">
        <v>0</v>
      </c>
      <c r="PME16">
        <v>0</v>
      </c>
      <c r="PMF16">
        <v>0</v>
      </c>
      <c r="PMG16">
        <v>0</v>
      </c>
      <c r="PMH16">
        <v>0</v>
      </c>
      <c r="PMI16">
        <v>0</v>
      </c>
      <c r="PMJ16">
        <v>0</v>
      </c>
      <c r="PMK16">
        <v>0</v>
      </c>
      <c r="PML16">
        <v>0</v>
      </c>
      <c r="PMM16">
        <v>0</v>
      </c>
      <c r="PMN16">
        <v>0</v>
      </c>
      <c r="PMO16">
        <v>0</v>
      </c>
      <c r="PMP16">
        <v>0</v>
      </c>
      <c r="PMQ16">
        <v>0</v>
      </c>
      <c r="PMR16">
        <v>0</v>
      </c>
      <c r="PMS16">
        <v>0</v>
      </c>
      <c r="PMT16">
        <v>0</v>
      </c>
      <c r="PMU16">
        <v>0</v>
      </c>
      <c r="PMV16">
        <v>0</v>
      </c>
      <c r="PMW16">
        <v>0</v>
      </c>
      <c r="PMX16">
        <v>0</v>
      </c>
      <c r="PMY16">
        <v>0</v>
      </c>
      <c r="PMZ16">
        <v>0</v>
      </c>
      <c r="PNA16">
        <v>0</v>
      </c>
      <c r="PNB16">
        <v>0</v>
      </c>
      <c r="PNC16">
        <v>0</v>
      </c>
      <c r="PND16">
        <v>0</v>
      </c>
      <c r="PNE16">
        <v>0</v>
      </c>
      <c r="PNF16">
        <v>0</v>
      </c>
      <c r="PNG16">
        <v>0</v>
      </c>
      <c r="PNH16">
        <v>0</v>
      </c>
      <c r="PNI16">
        <v>0</v>
      </c>
      <c r="PNJ16">
        <v>0</v>
      </c>
      <c r="PNK16">
        <v>0</v>
      </c>
      <c r="PNL16">
        <v>0</v>
      </c>
      <c r="PNM16">
        <v>0</v>
      </c>
      <c r="PNN16">
        <v>0</v>
      </c>
      <c r="PNO16">
        <v>0</v>
      </c>
      <c r="PNP16">
        <v>0</v>
      </c>
      <c r="PNQ16">
        <v>0</v>
      </c>
      <c r="PNR16">
        <v>0</v>
      </c>
      <c r="PNS16">
        <v>0</v>
      </c>
      <c r="PNT16">
        <v>0</v>
      </c>
      <c r="PNU16">
        <v>0</v>
      </c>
      <c r="PNV16">
        <v>0</v>
      </c>
      <c r="PNW16">
        <v>0</v>
      </c>
      <c r="PNX16">
        <v>0</v>
      </c>
      <c r="PNY16">
        <v>0</v>
      </c>
      <c r="PNZ16">
        <v>0</v>
      </c>
      <c r="POA16">
        <v>0</v>
      </c>
      <c r="POB16">
        <v>0</v>
      </c>
      <c r="POC16">
        <v>0</v>
      </c>
      <c r="POD16">
        <v>0</v>
      </c>
      <c r="POE16">
        <v>0</v>
      </c>
      <c r="POF16">
        <v>0</v>
      </c>
      <c r="POG16">
        <v>0</v>
      </c>
      <c r="POH16">
        <v>0</v>
      </c>
      <c r="POI16">
        <v>0</v>
      </c>
      <c r="POJ16">
        <v>0</v>
      </c>
      <c r="POK16">
        <v>0</v>
      </c>
      <c r="POL16">
        <v>0</v>
      </c>
      <c r="POM16">
        <v>0</v>
      </c>
      <c r="PON16">
        <v>0</v>
      </c>
      <c r="POO16">
        <v>0</v>
      </c>
      <c r="POP16">
        <v>0</v>
      </c>
      <c r="POQ16">
        <v>0</v>
      </c>
      <c r="POR16">
        <v>0</v>
      </c>
      <c r="POS16">
        <v>0</v>
      </c>
      <c r="POT16">
        <v>0</v>
      </c>
      <c r="POU16">
        <v>0</v>
      </c>
      <c r="POV16">
        <v>0</v>
      </c>
      <c r="POW16">
        <v>0</v>
      </c>
      <c r="POX16">
        <v>0</v>
      </c>
      <c r="POY16">
        <v>0</v>
      </c>
      <c r="POZ16">
        <v>0</v>
      </c>
      <c r="PPA16">
        <v>0</v>
      </c>
      <c r="PPB16">
        <v>0</v>
      </c>
      <c r="PPC16">
        <v>0</v>
      </c>
      <c r="PPD16">
        <v>0</v>
      </c>
      <c r="PPE16">
        <v>0</v>
      </c>
      <c r="PPF16">
        <v>0</v>
      </c>
      <c r="PPG16">
        <v>0</v>
      </c>
      <c r="PPH16">
        <v>0</v>
      </c>
      <c r="PPI16">
        <v>0</v>
      </c>
      <c r="PPJ16">
        <v>0</v>
      </c>
      <c r="PPK16">
        <v>0</v>
      </c>
      <c r="PPL16">
        <v>0</v>
      </c>
      <c r="PPM16">
        <v>0</v>
      </c>
      <c r="PPN16">
        <v>0</v>
      </c>
      <c r="PPO16">
        <v>0</v>
      </c>
      <c r="PPP16">
        <v>0</v>
      </c>
      <c r="PPQ16">
        <v>0</v>
      </c>
      <c r="PPR16">
        <v>0</v>
      </c>
      <c r="PPS16">
        <v>0</v>
      </c>
      <c r="PPT16">
        <v>0</v>
      </c>
      <c r="PPU16">
        <v>0</v>
      </c>
      <c r="PPV16">
        <v>0</v>
      </c>
      <c r="PPW16">
        <v>0</v>
      </c>
      <c r="PPX16">
        <v>0</v>
      </c>
      <c r="PPY16">
        <v>0</v>
      </c>
      <c r="PPZ16">
        <v>0</v>
      </c>
      <c r="PQA16">
        <v>0</v>
      </c>
      <c r="PQB16">
        <v>0</v>
      </c>
      <c r="PQC16">
        <v>0</v>
      </c>
      <c r="PQD16">
        <v>0</v>
      </c>
      <c r="PQE16">
        <v>0</v>
      </c>
      <c r="PQF16">
        <v>0</v>
      </c>
      <c r="PQG16">
        <v>0</v>
      </c>
      <c r="PQH16">
        <v>0</v>
      </c>
      <c r="PQI16">
        <v>0</v>
      </c>
      <c r="PQJ16">
        <v>0</v>
      </c>
      <c r="PQK16">
        <v>0</v>
      </c>
      <c r="PQL16">
        <v>0</v>
      </c>
      <c r="PQM16">
        <v>0</v>
      </c>
      <c r="PQN16">
        <v>0</v>
      </c>
      <c r="PQO16">
        <v>0</v>
      </c>
      <c r="PQP16">
        <v>0</v>
      </c>
      <c r="PQQ16">
        <v>0</v>
      </c>
      <c r="PQR16">
        <v>0</v>
      </c>
      <c r="PQS16">
        <v>0</v>
      </c>
      <c r="PQT16">
        <v>0</v>
      </c>
      <c r="PQU16">
        <v>0</v>
      </c>
      <c r="PQV16">
        <v>0</v>
      </c>
      <c r="PQW16">
        <v>0</v>
      </c>
      <c r="PQX16">
        <v>0</v>
      </c>
      <c r="PQY16">
        <v>0</v>
      </c>
      <c r="PQZ16">
        <v>0</v>
      </c>
      <c r="PRA16">
        <v>0</v>
      </c>
      <c r="PRB16">
        <v>0</v>
      </c>
      <c r="PRC16">
        <v>0</v>
      </c>
      <c r="PRD16">
        <v>0</v>
      </c>
      <c r="PRE16">
        <v>0</v>
      </c>
      <c r="PRF16">
        <v>0</v>
      </c>
      <c r="PRG16">
        <v>0</v>
      </c>
      <c r="PRH16">
        <v>0</v>
      </c>
      <c r="PRI16">
        <v>0</v>
      </c>
      <c r="PRJ16">
        <v>0</v>
      </c>
      <c r="PRK16">
        <v>0</v>
      </c>
      <c r="PRL16">
        <v>0</v>
      </c>
      <c r="PRM16">
        <v>0</v>
      </c>
      <c r="PRN16">
        <v>0</v>
      </c>
      <c r="PRO16">
        <v>0</v>
      </c>
      <c r="PRP16">
        <v>0</v>
      </c>
      <c r="PRQ16">
        <v>0</v>
      </c>
      <c r="PRR16">
        <v>0</v>
      </c>
      <c r="PRS16">
        <v>0</v>
      </c>
      <c r="PRT16">
        <v>0</v>
      </c>
      <c r="PRU16">
        <v>0</v>
      </c>
      <c r="PRV16">
        <v>0</v>
      </c>
      <c r="PRW16">
        <v>0</v>
      </c>
      <c r="PRX16">
        <v>0</v>
      </c>
      <c r="PRY16">
        <v>0</v>
      </c>
      <c r="PRZ16">
        <v>0</v>
      </c>
      <c r="PSA16">
        <v>0</v>
      </c>
      <c r="PSB16">
        <v>0</v>
      </c>
      <c r="PSC16">
        <v>0</v>
      </c>
      <c r="PSD16">
        <v>0</v>
      </c>
      <c r="PSE16">
        <v>0</v>
      </c>
      <c r="PSF16">
        <v>0</v>
      </c>
      <c r="PSG16">
        <v>0</v>
      </c>
      <c r="PSH16">
        <v>0</v>
      </c>
      <c r="PSI16">
        <v>0</v>
      </c>
      <c r="PSJ16">
        <v>0</v>
      </c>
      <c r="PSK16">
        <v>0</v>
      </c>
      <c r="PSL16">
        <v>0</v>
      </c>
      <c r="PSM16">
        <v>0</v>
      </c>
      <c r="PSN16">
        <v>0</v>
      </c>
      <c r="PSO16">
        <v>0</v>
      </c>
      <c r="PSP16">
        <v>0</v>
      </c>
      <c r="PSQ16">
        <v>0</v>
      </c>
      <c r="PSR16">
        <v>0</v>
      </c>
      <c r="PSS16">
        <v>0</v>
      </c>
      <c r="PST16">
        <v>0</v>
      </c>
      <c r="PSU16">
        <v>0</v>
      </c>
      <c r="PSV16">
        <v>0</v>
      </c>
      <c r="PSW16">
        <v>0</v>
      </c>
      <c r="PSX16">
        <v>0</v>
      </c>
      <c r="PSY16">
        <v>0</v>
      </c>
      <c r="PSZ16">
        <v>0</v>
      </c>
      <c r="PTA16">
        <v>0</v>
      </c>
      <c r="PTB16">
        <v>0</v>
      </c>
      <c r="PTC16">
        <v>0</v>
      </c>
      <c r="PTD16">
        <v>0</v>
      </c>
      <c r="PTE16">
        <v>0</v>
      </c>
      <c r="PTF16">
        <v>0</v>
      </c>
      <c r="PTG16">
        <v>0</v>
      </c>
      <c r="PTH16">
        <v>0</v>
      </c>
      <c r="PTI16">
        <v>0</v>
      </c>
      <c r="PTJ16">
        <v>0</v>
      </c>
      <c r="PTK16">
        <v>0</v>
      </c>
      <c r="PTL16">
        <v>0</v>
      </c>
      <c r="PTM16">
        <v>0</v>
      </c>
      <c r="PTN16">
        <v>0</v>
      </c>
      <c r="PTO16">
        <v>0</v>
      </c>
      <c r="PTP16">
        <v>0</v>
      </c>
      <c r="PTQ16">
        <v>0</v>
      </c>
      <c r="PTR16">
        <v>0</v>
      </c>
      <c r="PTS16">
        <v>0</v>
      </c>
      <c r="PTT16">
        <v>0</v>
      </c>
      <c r="PTU16">
        <v>0</v>
      </c>
      <c r="PTV16">
        <v>0</v>
      </c>
      <c r="PTW16">
        <v>0</v>
      </c>
      <c r="PTX16">
        <v>0</v>
      </c>
      <c r="PTY16">
        <v>0</v>
      </c>
      <c r="PTZ16">
        <v>0</v>
      </c>
      <c r="PUA16">
        <v>0</v>
      </c>
      <c r="PUB16">
        <v>0</v>
      </c>
      <c r="PUC16">
        <v>0</v>
      </c>
      <c r="PUD16">
        <v>0</v>
      </c>
      <c r="PUE16">
        <v>0</v>
      </c>
      <c r="PUF16">
        <v>0</v>
      </c>
      <c r="PUG16">
        <v>0</v>
      </c>
      <c r="PUH16">
        <v>0</v>
      </c>
      <c r="PUI16">
        <v>0</v>
      </c>
      <c r="PUJ16">
        <v>0</v>
      </c>
      <c r="PUK16">
        <v>0</v>
      </c>
      <c r="PUL16">
        <v>0</v>
      </c>
      <c r="PUM16">
        <v>0</v>
      </c>
      <c r="PUN16">
        <v>0</v>
      </c>
      <c r="PUO16">
        <v>0</v>
      </c>
      <c r="PUP16">
        <v>0</v>
      </c>
      <c r="PUQ16">
        <v>0</v>
      </c>
      <c r="PUR16">
        <v>0</v>
      </c>
      <c r="PUS16">
        <v>0</v>
      </c>
      <c r="PUT16">
        <v>0</v>
      </c>
      <c r="PUU16">
        <v>0</v>
      </c>
      <c r="PUV16">
        <v>0</v>
      </c>
      <c r="PUW16">
        <v>0</v>
      </c>
      <c r="PUX16">
        <v>0</v>
      </c>
      <c r="PUY16">
        <v>0</v>
      </c>
      <c r="PUZ16">
        <v>0</v>
      </c>
      <c r="PVA16">
        <v>0</v>
      </c>
      <c r="PVB16">
        <v>0</v>
      </c>
      <c r="PVC16">
        <v>0</v>
      </c>
      <c r="PVD16">
        <v>0</v>
      </c>
      <c r="PVE16">
        <v>0</v>
      </c>
      <c r="PVF16">
        <v>0</v>
      </c>
      <c r="PVG16">
        <v>0</v>
      </c>
      <c r="PVH16">
        <v>0</v>
      </c>
      <c r="PVI16">
        <v>0</v>
      </c>
      <c r="PVJ16">
        <v>0</v>
      </c>
      <c r="PVK16">
        <v>0</v>
      </c>
      <c r="PVL16">
        <v>0</v>
      </c>
      <c r="PVM16">
        <v>0</v>
      </c>
      <c r="PVN16">
        <v>0</v>
      </c>
      <c r="PVO16">
        <v>0</v>
      </c>
      <c r="PVP16">
        <v>0</v>
      </c>
      <c r="PVQ16">
        <v>0</v>
      </c>
      <c r="PVR16">
        <v>0</v>
      </c>
      <c r="PVS16">
        <v>0</v>
      </c>
      <c r="PVT16">
        <v>0</v>
      </c>
      <c r="PVU16">
        <v>0</v>
      </c>
      <c r="PVV16">
        <v>0</v>
      </c>
      <c r="PVW16">
        <v>0</v>
      </c>
      <c r="PVX16">
        <v>0</v>
      </c>
      <c r="PVY16">
        <v>0</v>
      </c>
      <c r="PVZ16">
        <v>0</v>
      </c>
      <c r="PWA16">
        <v>0</v>
      </c>
      <c r="PWB16">
        <v>0</v>
      </c>
      <c r="PWC16">
        <v>0</v>
      </c>
      <c r="PWD16">
        <v>0</v>
      </c>
      <c r="PWE16">
        <v>0</v>
      </c>
      <c r="PWF16">
        <v>0</v>
      </c>
      <c r="PWG16">
        <v>0</v>
      </c>
      <c r="PWH16">
        <v>0</v>
      </c>
      <c r="PWI16">
        <v>0</v>
      </c>
      <c r="PWJ16">
        <v>0</v>
      </c>
      <c r="PWK16">
        <v>0</v>
      </c>
      <c r="PWL16">
        <v>0</v>
      </c>
      <c r="PWM16">
        <v>0</v>
      </c>
      <c r="PWN16">
        <v>0</v>
      </c>
      <c r="PWO16">
        <v>0</v>
      </c>
      <c r="PWP16">
        <v>0</v>
      </c>
      <c r="PWQ16">
        <v>0</v>
      </c>
      <c r="PWR16">
        <v>0</v>
      </c>
      <c r="PWS16">
        <v>0</v>
      </c>
      <c r="PWT16">
        <v>0</v>
      </c>
      <c r="PWU16">
        <v>0</v>
      </c>
      <c r="PWV16">
        <v>0</v>
      </c>
      <c r="PWW16">
        <v>0</v>
      </c>
      <c r="PWX16">
        <v>0</v>
      </c>
      <c r="PWY16">
        <v>0</v>
      </c>
      <c r="PWZ16">
        <v>0</v>
      </c>
      <c r="PXA16">
        <v>0</v>
      </c>
      <c r="PXB16">
        <v>0</v>
      </c>
      <c r="PXC16">
        <v>0</v>
      </c>
      <c r="PXD16">
        <v>0</v>
      </c>
      <c r="PXE16">
        <v>0</v>
      </c>
      <c r="PXF16">
        <v>0</v>
      </c>
      <c r="PXG16">
        <v>0</v>
      </c>
      <c r="PXH16">
        <v>0</v>
      </c>
      <c r="PXI16">
        <v>0</v>
      </c>
      <c r="PXJ16">
        <v>0</v>
      </c>
      <c r="PXK16">
        <v>0</v>
      </c>
      <c r="PXL16">
        <v>0</v>
      </c>
      <c r="PXM16">
        <v>0</v>
      </c>
      <c r="PXN16">
        <v>0</v>
      </c>
      <c r="PXO16">
        <v>0</v>
      </c>
      <c r="PXP16">
        <v>0</v>
      </c>
      <c r="PXQ16">
        <v>0</v>
      </c>
      <c r="PXR16">
        <v>0</v>
      </c>
      <c r="PXS16">
        <v>0</v>
      </c>
      <c r="PXT16">
        <v>0</v>
      </c>
      <c r="PXU16">
        <v>0</v>
      </c>
      <c r="PXV16">
        <v>0</v>
      </c>
      <c r="PXW16">
        <v>0</v>
      </c>
      <c r="PXX16">
        <v>0</v>
      </c>
      <c r="PXY16">
        <v>0</v>
      </c>
      <c r="PXZ16">
        <v>0</v>
      </c>
      <c r="PYA16">
        <v>0</v>
      </c>
      <c r="PYB16">
        <v>0</v>
      </c>
      <c r="PYC16">
        <v>0</v>
      </c>
      <c r="PYD16">
        <v>0</v>
      </c>
      <c r="PYE16">
        <v>0</v>
      </c>
      <c r="PYF16">
        <v>0</v>
      </c>
      <c r="PYG16">
        <v>0</v>
      </c>
      <c r="PYH16">
        <v>0</v>
      </c>
      <c r="PYI16">
        <v>0</v>
      </c>
      <c r="PYJ16">
        <v>0</v>
      </c>
      <c r="PYK16">
        <v>0</v>
      </c>
      <c r="PYL16">
        <v>0</v>
      </c>
      <c r="PYM16">
        <v>0</v>
      </c>
      <c r="PYN16">
        <v>0</v>
      </c>
      <c r="PYO16">
        <v>0</v>
      </c>
      <c r="PYP16">
        <v>0</v>
      </c>
      <c r="PYQ16">
        <v>0</v>
      </c>
      <c r="PYR16">
        <v>0</v>
      </c>
      <c r="PYS16">
        <v>0</v>
      </c>
      <c r="PYT16">
        <v>0</v>
      </c>
      <c r="PYU16">
        <v>0</v>
      </c>
      <c r="PYV16">
        <v>0</v>
      </c>
      <c r="PYW16">
        <v>0</v>
      </c>
      <c r="PYX16">
        <v>0</v>
      </c>
      <c r="PYY16">
        <v>0</v>
      </c>
      <c r="PYZ16">
        <v>0</v>
      </c>
      <c r="PZA16">
        <v>0</v>
      </c>
      <c r="PZB16">
        <v>0</v>
      </c>
      <c r="PZC16">
        <v>0</v>
      </c>
      <c r="PZD16">
        <v>0</v>
      </c>
      <c r="PZE16">
        <v>0</v>
      </c>
      <c r="PZF16">
        <v>0</v>
      </c>
      <c r="PZG16">
        <v>0</v>
      </c>
      <c r="PZH16">
        <v>0</v>
      </c>
      <c r="PZI16">
        <v>0</v>
      </c>
      <c r="PZJ16">
        <v>0</v>
      </c>
      <c r="PZK16">
        <v>0</v>
      </c>
      <c r="PZL16">
        <v>0</v>
      </c>
      <c r="PZM16">
        <v>0</v>
      </c>
      <c r="PZN16">
        <v>0</v>
      </c>
      <c r="PZO16">
        <v>0</v>
      </c>
      <c r="PZP16">
        <v>0</v>
      </c>
      <c r="PZQ16">
        <v>0</v>
      </c>
      <c r="PZR16">
        <v>0</v>
      </c>
      <c r="PZS16">
        <v>0</v>
      </c>
      <c r="PZT16">
        <v>0</v>
      </c>
      <c r="PZU16">
        <v>0</v>
      </c>
      <c r="PZV16">
        <v>0</v>
      </c>
      <c r="PZW16">
        <v>0</v>
      </c>
      <c r="PZX16">
        <v>0</v>
      </c>
      <c r="PZY16">
        <v>0</v>
      </c>
      <c r="PZZ16">
        <v>0</v>
      </c>
      <c r="QAA16">
        <v>0</v>
      </c>
      <c r="QAB16">
        <v>0</v>
      </c>
      <c r="QAC16">
        <v>0</v>
      </c>
      <c r="QAD16">
        <v>0</v>
      </c>
      <c r="QAE16">
        <v>0</v>
      </c>
      <c r="QAF16">
        <v>0</v>
      </c>
      <c r="QAG16">
        <v>0</v>
      </c>
      <c r="QAH16">
        <v>0</v>
      </c>
      <c r="QAI16">
        <v>0</v>
      </c>
      <c r="QAJ16">
        <v>0</v>
      </c>
      <c r="QAK16">
        <v>0</v>
      </c>
      <c r="QAL16">
        <v>0</v>
      </c>
      <c r="QAM16">
        <v>0</v>
      </c>
      <c r="QAN16">
        <v>0</v>
      </c>
      <c r="QAO16">
        <v>0</v>
      </c>
      <c r="QAP16">
        <v>0</v>
      </c>
      <c r="QAQ16">
        <v>0</v>
      </c>
      <c r="QAR16">
        <v>0</v>
      </c>
      <c r="QAS16">
        <v>0</v>
      </c>
      <c r="QAT16">
        <v>0</v>
      </c>
      <c r="QAU16">
        <v>0</v>
      </c>
      <c r="QAV16">
        <v>0</v>
      </c>
      <c r="QAW16">
        <v>0</v>
      </c>
      <c r="QAX16">
        <v>0</v>
      </c>
      <c r="QAY16">
        <v>0</v>
      </c>
      <c r="QAZ16">
        <v>0</v>
      </c>
      <c r="QBA16">
        <v>0</v>
      </c>
      <c r="QBB16">
        <v>0</v>
      </c>
      <c r="QBC16">
        <v>0</v>
      </c>
      <c r="QBD16">
        <v>0</v>
      </c>
      <c r="QBE16">
        <v>0</v>
      </c>
      <c r="QBF16">
        <v>0</v>
      </c>
      <c r="QBG16">
        <v>0</v>
      </c>
      <c r="QBH16">
        <v>0</v>
      </c>
      <c r="QBI16">
        <v>0</v>
      </c>
      <c r="QBJ16">
        <v>0</v>
      </c>
      <c r="QBK16">
        <v>0</v>
      </c>
      <c r="QBL16">
        <v>0</v>
      </c>
      <c r="QBM16">
        <v>0</v>
      </c>
      <c r="QBN16">
        <v>0</v>
      </c>
      <c r="QBO16">
        <v>0</v>
      </c>
      <c r="QBP16">
        <v>0</v>
      </c>
      <c r="QBQ16">
        <v>0</v>
      </c>
      <c r="QBR16">
        <v>0</v>
      </c>
      <c r="QBS16">
        <v>0</v>
      </c>
      <c r="QBT16">
        <v>0</v>
      </c>
      <c r="QBU16">
        <v>0</v>
      </c>
      <c r="QBV16">
        <v>0</v>
      </c>
      <c r="QBW16">
        <v>0</v>
      </c>
      <c r="QBX16">
        <v>0</v>
      </c>
      <c r="QBY16">
        <v>0</v>
      </c>
      <c r="QBZ16">
        <v>0</v>
      </c>
      <c r="QCA16">
        <v>0</v>
      </c>
      <c r="QCB16">
        <v>0</v>
      </c>
      <c r="QCC16">
        <v>0</v>
      </c>
      <c r="QCD16">
        <v>0</v>
      </c>
      <c r="QCE16">
        <v>0</v>
      </c>
      <c r="QCF16">
        <v>0</v>
      </c>
      <c r="QCG16">
        <v>0</v>
      </c>
      <c r="QCH16">
        <v>0</v>
      </c>
      <c r="QCI16">
        <v>0</v>
      </c>
      <c r="QCJ16">
        <v>0</v>
      </c>
      <c r="QCK16">
        <v>0</v>
      </c>
      <c r="QCL16">
        <v>0</v>
      </c>
      <c r="QCM16">
        <v>0</v>
      </c>
      <c r="QCN16">
        <v>0</v>
      </c>
      <c r="QCO16">
        <v>0</v>
      </c>
      <c r="QCP16">
        <v>0</v>
      </c>
      <c r="QCQ16">
        <v>0</v>
      </c>
      <c r="QCR16">
        <v>0</v>
      </c>
      <c r="QCS16">
        <v>0</v>
      </c>
      <c r="QCT16">
        <v>0</v>
      </c>
      <c r="QCU16">
        <v>0</v>
      </c>
      <c r="QCV16">
        <v>0</v>
      </c>
      <c r="QCW16">
        <v>0</v>
      </c>
      <c r="QCX16">
        <v>0</v>
      </c>
      <c r="QCY16">
        <v>0</v>
      </c>
      <c r="QCZ16">
        <v>0</v>
      </c>
      <c r="QDA16">
        <v>0</v>
      </c>
      <c r="QDB16">
        <v>0</v>
      </c>
      <c r="QDC16">
        <v>0</v>
      </c>
      <c r="QDD16">
        <v>0</v>
      </c>
      <c r="QDE16">
        <v>0</v>
      </c>
      <c r="QDF16">
        <v>0</v>
      </c>
      <c r="QDG16">
        <v>0</v>
      </c>
      <c r="QDH16">
        <v>0</v>
      </c>
      <c r="QDI16">
        <v>0</v>
      </c>
      <c r="QDJ16">
        <v>0</v>
      </c>
      <c r="QDK16">
        <v>0</v>
      </c>
      <c r="QDL16">
        <v>0</v>
      </c>
      <c r="QDM16">
        <v>0</v>
      </c>
      <c r="QDN16">
        <v>0</v>
      </c>
      <c r="QDO16">
        <v>0</v>
      </c>
      <c r="QDP16">
        <v>0</v>
      </c>
      <c r="QDQ16">
        <v>0</v>
      </c>
      <c r="QDR16">
        <v>0</v>
      </c>
      <c r="QDS16">
        <v>0</v>
      </c>
      <c r="QDT16">
        <v>0</v>
      </c>
      <c r="QDU16">
        <v>0</v>
      </c>
      <c r="QDV16">
        <v>0</v>
      </c>
      <c r="QDW16">
        <v>0</v>
      </c>
      <c r="QDX16">
        <v>0</v>
      </c>
      <c r="QDY16">
        <v>0</v>
      </c>
      <c r="QDZ16">
        <v>0</v>
      </c>
      <c r="QEA16">
        <v>0</v>
      </c>
      <c r="QEB16">
        <v>0</v>
      </c>
      <c r="QEC16">
        <v>0</v>
      </c>
      <c r="QED16">
        <v>0</v>
      </c>
      <c r="QEE16">
        <v>0</v>
      </c>
      <c r="QEF16">
        <v>0</v>
      </c>
      <c r="QEG16">
        <v>0</v>
      </c>
      <c r="QEH16">
        <v>0</v>
      </c>
      <c r="QEI16">
        <v>0</v>
      </c>
      <c r="QEJ16">
        <v>0</v>
      </c>
      <c r="QEK16">
        <v>0</v>
      </c>
      <c r="QEL16">
        <v>0</v>
      </c>
      <c r="QEM16">
        <v>0</v>
      </c>
      <c r="QEN16">
        <v>0</v>
      </c>
      <c r="QEO16">
        <v>0</v>
      </c>
      <c r="QEP16">
        <v>0</v>
      </c>
      <c r="QEQ16">
        <v>0</v>
      </c>
      <c r="QER16">
        <v>0</v>
      </c>
      <c r="QES16">
        <v>0</v>
      </c>
      <c r="QET16">
        <v>0</v>
      </c>
      <c r="QEU16">
        <v>0</v>
      </c>
      <c r="QEV16">
        <v>0</v>
      </c>
      <c r="QEW16">
        <v>0</v>
      </c>
      <c r="QEX16">
        <v>0</v>
      </c>
      <c r="QEY16">
        <v>0</v>
      </c>
      <c r="QEZ16">
        <v>0</v>
      </c>
      <c r="QFA16">
        <v>0</v>
      </c>
      <c r="QFB16">
        <v>0</v>
      </c>
      <c r="QFC16">
        <v>0</v>
      </c>
      <c r="QFD16">
        <v>0</v>
      </c>
      <c r="QFE16">
        <v>0</v>
      </c>
      <c r="QFF16">
        <v>0</v>
      </c>
      <c r="QFG16">
        <v>0</v>
      </c>
      <c r="QFH16">
        <v>0</v>
      </c>
      <c r="QFI16">
        <v>0</v>
      </c>
      <c r="QFJ16">
        <v>0</v>
      </c>
      <c r="QFK16">
        <v>0</v>
      </c>
      <c r="QFL16">
        <v>0</v>
      </c>
      <c r="QFM16">
        <v>0</v>
      </c>
      <c r="QFN16">
        <v>0</v>
      </c>
      <c r="QFO16">
        <v>0</v>
      </c>
      <c r="QFP16">
        <v>0</v>
      </c>
      <c r="QFQ16">
        <v>0</v>
      </c>
      <c r="QFR16">
        <v>0</v>
      </c>
      <c r="QFS16">
        <v>0</v>
      </c>
      <c r="QFT16">
        <v>0</v>
      </c>
      <c r="QFU16">
        <v>0</v>
      </c>
      <c r="QFV16">
        <v>0</v>
      </c>
      <c r="QFW16">
        <v>0</v>
      </c>
      <c r="QFX16">
        <v>0</v>
      </c>
      <c r="QFY16">
        <v>0</v>
      </c>
      <c r="QFZ16">
        <v>0</v>
      </c>
      <c r="QGA16">
        <v>0</v>
      </c>
      <c r="QGB16">
        <v>0</v>
      </c>
      <c r="QGC16">
        <v>0</v>
      </c>
      <c r="QGD16">
        <v>0</v>
      </c>
      <c r="QGE16">
        <v>0</v>
      </c>
      <c r="QGF16">
        <v>0</v>
      </c>
      <c r="QGG16">
        <v>0</v>
      </c>
      <c r="QGH16">
        <v>0</v>
      </c>
      <c r="QGI16">
        <v>0</v>
      </c>
      <c r="QGJ16">
        <v>0</v>
      </c>
      <c r="QGK16">
        <v>0</v>
      </c>
      <c r="QGL16">
        <v>0</v>
      </c>
      <c r="QGM16">
        <v>0</v>
      </c>
      <c r="QGN16">
        <v>0</v>
      </c>
      <c r="QGO16">
        <v>0</v>
      </c>
      <c r="QGP16">
        <v>0</v>
      </c>
      <c r="QGQ16">
        <v>0</v>
      </c>
      <c r="QGR16">
        <v>0</v>
      </c>
      <c r="QGS16">
        <v>0</v>
      </c>
      <c r="QGT16">
        <v>0</v>
      </c>
      <c r="QGU16">
        <v>0</v>
      </c>
      <c r="QGV16">
        <v>0</v>
      </c>
      <c r="QGW16">
        <v>0</v>
      </c>
      <c r="QGX16">
        <v>0</v>
      </c>
      <c r="QGY16">
        <v>0</v>
      </c>
      <c r="QGZ16">
        <v>0</v>
      </c>
      <c r="QHA16">
        <v>0</v>
      </c>
      <c r="QHB16">
        <v>0</v>
      </c>
      <c r="QHC16">
        <v>0</v>
      </c>
      <c r="QHD16">
        <v>0</v>
      </c>
      <c r="QHE16">
        <v>0</v>
      </c>
      <c r="QHF16">
        <v>0</v>
      </c>
      <c r="QHG16">
        <v>0</v>
      </c>
      <c r="QHH16">
        <v>0</v>
      </c>
      <c r="QHI16">
        <v>0</v>
      </c>
      <c r="QHJ16">
        <v>0</v>
      </c>
      <c r="QHK16">
        <v>0</v>
      </c>
      <c r="QHL16">
        <v>0</v>
      </c>
      <c r="QHM16">
        <v>0</v>
      </c>
      <c r="QHN16">
        <v>0</v>
      </c>
      <c r="QHO16">
        <v>0</v>
      </c>
      <c r="QHP16">
        <v>0</v>
      </c>
      <c r="QHQ16">
        <v>0</v>
      </c>
      <c r="QHR16">
        <v>0</v>
      </c>
      <c r="QHS16">
        <v>0</v>
      </c>
      <c r="QHT16">
        <v>0</v>
      </c>
      <c r="QHU16">
        <v>0</v>
      </c>
      <c r="QHV16">
        <v>0</v>
      </c>
      <c r="QHW16">
        <v>0</v>
      </c>
      <c r="QHX16">
        <v>0</v>
      </c>
      <c r="QHY16">
        <v>0</v>
      </c>
      <c r="QHZ16">
        <v>0</v>
      </c>
      <c r="QIA16">
        <v>0</v>
      </c>
      <c r="QIB16">
        <v>0</v>
      </c>
      <c r="QIC16">
        <v>0</v>
      </c>
      <c r="QID16">
        <v>0</v>
      </c>
      <c r="QIE16">
        <v>0</v>
      </c>
      <c r="QIF16">
        <v>0</v>
      </c>
      <c r="QIG16">
        <v>0</v>
      </c>
      <c r="QIH16">
        <v>0</v>
      </c>
      <c r="QII16">
        <v>0</v>
      </c>
      <c r="QIJ16">
        <v>0</v>
      </c>
      <c r="QIK16">
        <v>0</v>
      </c>
      <c r="QIL16">
        <v>0</v>
      </c>
      <c r="QIM16">
        <v>0</v>
      </c>
      <c r="QIN16">
        <v>0</v>
      </c>
      <c r="QIO16">
        <v>0</v>
      </c>
      <c r="QIP16">
        <v>0</v>
      </c>
      <c r="QIQ16">
        <v>0</v>
      </c>
      <c r="QIR16">
        <v>0</v>
      </c>
      <c r="QIS16">
        <v>0</v>
      </c>
      <c r="QIT16">
        <v>0</v>
      </c>
      <c r="QIU16">
        <v>0</v>
      </c>
      <c r="QIV16">
        <v>0</v>
      </c>
      <c r="QIW16">
        <v>0</v>
      </c>
      <c r="QIX16">
        <v>0</v>
      </c>
      <c r="QIY16">
        <v>0</v>
      </c>
      <c r="QIZ16">
        <v>0</v>
      </c>
      <c r="QJA16">
        <v>0</v>
      </c>
      <c r="QJB16">
        <v>0</v>
      </c>
      <c r="QJC16">
        <v>0</v>
      </c>
      <c r="QJD16">
        <v>0</v>
      </c>
      <c r="QJE16">
        <v>0</v>
      </c>
      <c r="QJF16">
        <v>0</v>
      </c>
      <c r="QJG16">
        <v>0</v>
      </c>
      <c r="QJH16">
        <v>0</v>
      </c>
      <c r="QJI16">
        <v>0</v>
      </c>
      <c r="QJJ16">
        <v>0</v>
      </c>
      <c r="QJK16">
        <v>0</v>
      </c>
      <c r="QJL16">
        <v>0</v>
      </c>
      <c r="QJM16">
        <v>0</v>
      </c>
      <c r="QJN16">
        <v>0</v>
      </c>
      <c r="QJO16">
        <v>0</v>
      </c>
      <c r="QJP16">
        <v>0</v>
      </c>
      <c r="QJQ16">
        <v>0</v>
      </c>
      <c r="QJR16">
        <v>0</v>
      </c>
      <c r="QJS16">
        <v>0</v>
      </c>
      <c r="QJT16">
        <v>0</v>
      </c>
      <c r="QJU16">
        <v>0</v>
      </c>
      <c r="QJV16">
        <v>0</v>
      </c>
      <c r="QJW16">
        <v>0</v>
      </c>
      <c r="QJX16">
        <v>0</v>
      </c>
      <c r="QJY16">
        <v>0</v>
      </c>
      <c r="QJZ16">
        <v>0</v>
      </c>
      <c r="QKA16">
        <v>0</v>
      </c>
      <c r="QKB16">
        <v>0</v>
      </c>
      <c r="QKC16">
        <v>0</v>
      </c>
      <c r="QKD16">
        <v>0</v>
      </c>
      <c r="QKE16">
        <v>0</v>
      </c>
      <c r="QKF16">
        <v>0</v>
      </c>
      <c r="QKG16">
        <v>0</v>
      </c>
      <c r="QKH16">
        <v>0</v>
      </c>
      <c r="QKI16">
        <v>0</v>
      </c>
      <c r="QKJ16">
        <v>0</v>
      </c>
      <c r="QKK16">
        <v>0</v>
      </c>
      <c r="QKL16">
        <v>0</v>
      </c>
      <c r="QKM16">
        <v>0</v>
      </c>
      <c r="QKN16">
        <v>0</v>
      </c>
      <c r="QKO16">
        <v>0</v>
      </c>
      <c r="QKP16">
        <v>0</v>
      </c>
      <c r="QKQ16">
        <v>0</v>
      </c>
      <c r="QKR16">
        <v>0</v>
      </c>
      <c r="QKS16">
        <v>0</v>
      </c>
      <c r="QKT16">
        <v>0</v>
      </c>
      <c r="QKU16">
        <v>0</v>
      </c>
      <c r="QKV16">
        <v>0</v>
      </c>
      <c r="QKW16">
        <v>0</v>
      </c>
      <c r="QKX16">
        <v>0</v>
      </c>
      <c r="QKY16">
        <v>0</v>
      </c>
      <c r="QKZ16">
        <v>0</v>
      </c>
      <c r="QLA16">
        <v>0</v>
      </c>
      <c r="QLB16">
        <v>0</v>
      </c>
      <c r="QLC16">
        <v>0</v>
      </c>
      <c r="QLD16">
        <v>0</v>
      </c>
      <c r="QLE16">
        <v>0</v>
      </c>
      <c r="QLF16">
        <v>0</v>
      </c>
      <c r="QLG16">
        <v>0</v>
      </c>
      <c r="QLH16">
        <v>0</v>
      </c>
      <c r="QLI16">
        <v>0</v>
      </c>
      <c r="QLJ16">
        <v>0</v>
      </c>
      <c r="QLK16">
        <v>0</v>
      </c>
      <c r="QLL16">
        <v>0</v>
      </c>
      <c r="QLM16">
        <v>0</v>
      </c>
      <c r="QLN16">
        <v>0</v>
      </c>
      <c r="QLO16">
        <v>0</v>
      </c>
      <c r="QLP16">
        <v>0</v>
      </c>
      <c r="QLQ16">
        <v>0</v>
      </c>
      <c r="QLR16">
        <v>0</v>
      </c>
      <c r="QLS16">
        <v>0</v>
      </c>
      <c r="QLT16">
        <v>0</v>
      </c>
      <c r="QLU16">
        <v>0</v>
      </c>
      <c r="QLV16">
        <v>0</v>
      </c>
      <c r="QLW16">
        <v>0</v>
      </c>
      <c r="QLX16">
        <v>0</v>
      </c>
      <c r="QLY16">
        <v>0</v>
      </c>
      <c r="QLZ16">
        <v>0</v>
      </c>
      <c r="QMA16">
        <v>0</v>
      </c>
      <c r="QMB16">
        <v>0</v>
      </c>
      <c r="QMC16">
        <v>0</v>
      </c>
      <c r="QMD16">
        <v>0</v>
      </c>
      <c r="QME16">
        <v>0</v>
      </c>
      <c r="QMF16">
        <v>0</v>
      </c>
      <c r="QMG16">
        <v>0</v>
      </c>
      <c r="QMH16">
        <v>0</v>
      </c>
      <c r="QMI16">
        <v>0</v>
      </c>
      <c r="QMJ16">
        <v>0</v>
      </c>
      <c r="QMK16">
        <v>0</v>
      </c>
      <c r="QML16">
        <v>0</v>
      </c>
      <c r="QMM16">
        <v>0</v>
      </c>
      <c r="QMN16">
        <v>0</v>
      </c>
      <c r="QMO16">
        <v>0</v>
      </c>
      <c r="QMP16">
        <v>0</v>
      </c>
      <c r="QMQ16">
        <v>0</v>
      </c>
      <c r="QMR16">
        <v>0</v>
      </c>
      <c r="QMS16">
        <v>0</v>
      </c>
      <c r="QMT16">
        <v>0</v>
      </c>
      <c r="QMU16">
        <v>0</v>
      </c>
      <c r="QMV16">
        <v>0</v>
      </c>
      <c r="QMW16">
        <v>0</v>
      </c>
      <c r="QMX16">
        <v>0</v>
      </c>
      <c r="QMY16">
        <v>0</v>
      </c>
      <c r="QMZ16">
        <v>0</v>
      </c>
      <c r="QNA16">
        <v>0</v>
      </c>
      <c r="QNB16">
        <v>0</v>
      </c>
      <c r="QNC16">
        <v>0</v>
      </c>
      <c r="QND16">
        <v>0</v>
      </c>
      <c r="QNE16">
        <v>0</v>
      </c>
      <c r="QNF16">
        <v>0</v>
      </c>
      <c r="QNG16">
        <v>0</v>
      </c>
      <c r="QNH16">
        <v>0</v>
      </c>
      <c r="QNI16">
        <v>0</v>
      </c>
      <c r="QNJ16">
        <v>0</v>
      </c>
      <c r="QNK16">
        <v>0</v>
      </c>
      <c r="QNL16">
        <v>0</v>
      </c>
      <c r="QNM16">
        <v>0</v>
      </c>
      <c r="QNN16">
        <v>0</v>
      </c>
      <c r="QNO16">
        <v>0</v>
      </c>
      <c r="QNP16">
        <v>0</v>
      </c>
      <c r="QNQ16">
        <v>0</v>
      </c>
      <c r="QNR16">
        <v>0</v>
      </c>
      <c r="QNS16">
        <v>0</v>
      </c>
      <c r="QNT16">
        <v>0</v>
      </c>
      <c r="QNU16">
        <v>0</v>
      </c>
      <c r="QNV16">
        <v>0</v>
      </c>
      <c r="QNW16">
        <v>0</v>
      </c>
      <c r="QNX16">
        <v>0</v>
      </c>
      <c r="QNY16">
        <v>0</v>
      </c>
      <c r="QNZ16">
        <v>0</v>
      </c>
      <c r="QOA16">
        <v>0</v>
      </c>
      <c r="QOB16">
        <v>0</v>
      </c>
      <c r="QOC16">
        <v>0</v>
      </c>
      <c r="QOD16">
        <v>0</v>
      </c>
      <c r="QOE16">
        <v>0</v>
      </c>
      <c r="QOF16">
        <v>0</v>
      </c>
      <c r="QOG16">
        <v>0</v>
      </c>
      <c r="QOH16">
        <v>0</v>
      </c>
      <c r="QOI16">
        <v>0</v>
      </c>
      <c r="QOJ16">
        <v>0</v>
      </c>
      <c r="QOK16">
        <v>0</v>
      </c>
      <c r="QOL16">
        <v>0</v>
      </c>
      <c r="QOM16">
        <v>0</v>
      </c>
      <c r="QON16">
        <v>0</v>
      </c>
      <c r="QOO16">
        <v>0</v>
      </c>
      <c r="QOP16">
        <v>0</v>
      </c>
      <c r="QOQ16">
        <v>0</v>
      </c>
      <c r="QOR16">
        <v>0</v>
      </c>
      <c r="QOS16">
        <v>0</v>
      </c>
      <c r="QOT16">
        <v>0</v>
      </c>
      <c r="QOU16">
        <v>0</v>
      </c>
      <c r="QOV16">
        <v>0</v>
      </c>
      <c r="QOW16">
        <v>0</v>
      </c>
      <c r="QOX16">
        <v>0</v>
      </c>
      <c r="QOY16">
        <v>0</v>
      </c>
      <c r="QOZ16">
        <v>0</v>
      </c>
      <c r="QPA16">
        <v>0</v>
      </c>
      <c r="QPB16">
        <v>0</v>
      </c>
      <c r="QPC16">
        <v>0</v>
      </c>
      <c r="QPD16">
        <v>0</v>
      </c>
      <c r="QPE16">
        <v>0</v>
      </c>
      <c r="QPF16">
        <v>0</v>
      </c>
      <c r="QPG16">
        <v>0</v>
      </c>
      <c r="QPH16">
        <v>0</v>
      </c>
      <c r="QPI16">
        <v>0</v>
      </c>
      <c r="QPJ16">
        <v>0</v>
      </c>
      <c r="QPK16">
        <v>0</v>
      </c>
      <c r="QPL16">
        <v>0</v>
      </c>
      <c r="QPM16">
        <v>0</v>
      </c>
      <c r="QPN16">
        <v>0</v>
      </c>
      <c r="QPO16">
        <v>0</v>
      </c>
      <c r="QPP16">
        <v>0</v>
      </c>
      <c r="QPQ16">
        <v>0</v>
      </c>
      <c r="QPR16">
        <v>0</v>
      </c>
      <c r="QPS16">
        <v>0</v>
      </c>
      <c r="QPT16">
        <v>0</v>
      </c>
      <c r="QPU16">
        <v>0</v>
      </c>
      <c r="QPV16">
        <v>0</v>
      </c>
      <c r="QPW16">
        <v>0</v>
      </c>
      <c r="QPX16">
        <v>0</v>
      </c>
      <c r="QPY16">
        <v>0</v>
      </c>
      <c r="QPZ16">
        <v>0</v>
      </c>
      <c r="QQA16">
        <v>0</v>
      </c>
      <c r="QQB16">
        <v>0</v>
      </c>
      <c r="QQC16">
        <v>0</v>
      </c>
      <c r="QQD16">
        <v>0</v>
      </c>
      <c r="QQE16">
        <v>0</v>
      </c>
      <c r="QQF16">
        <v>0</v>
      </c>
      <c r="QQG16">
        <v>0</v>
      </c>
      <c r="QQH16">
        <v>0</v>
      </c>
      <c r="QQI16">
        <v>0</v>
      </c>
      <c r="QQJ16">
        <v>0</v>
      </c>
      <c r="QQK16">
        <v>0</v>
      </c>
      <c r="QQL16">
        <v>0</v>
      </c>
      <c r="QQM16">
        <v>0</v>
      </c>
      <c r="QQN16">
        <v>0</v>
      </c>
      <c r="QQO16">
        <v>0</v>
      </c>
      <c r="QQP16">
        <v>0</v>
      </c>
      <c r="QQQ16">
        <v>0</v>
      </c>
      <c r="QQR16">
        <v>0</v>
      </c>
      <c r="QQS16">
        <v>0</v>
      </c>
      <c r="QQT16">
        <v>0</v>
      </c>
      <c r="QQU16">
        <v>0</v>
      </c>
      <c r="QQV16">
        <v>0</v>
      </c>
      <c r="QQW16">
        <v>0</v>
      </c>
      <c r="QQX16">
        <v>0</v>
      </c>
      <c r="QQY16">
        <v>0</v>
      </c>
      <c r="QQZ16">
        <v>0</v>
      </c>
      <c r="QRA16">
        <v>0</v>
      </c>
      <c r="QRB16">
        <v>0</v>
      </c>
      <c r="QRC16">
        <v>0</v>
      </c>
      <c r="QRD16">
        <v>0</v>
      </c>
      <c r="QRE16">
        <v>0</v>
      </c>
      <c r="QRF16">
        <v>0</v>
      </c>
      <c r="QRG16">
        <v>0</v>
      </c>
      <c r="QRH16">
        <v>0</v>
      </c>
      <c r="QRI16">
        <v>0</v>
      </c>
      <c r="QRJ16">
        <v>0</v>
      </c>
      <c r="QRK16">
        <v>0</v>
      </c>
      <c r="QRL16">
        <v>0</v>
      </c>
      <c r="QRM16">
        <v>0</v>
      </c>
      <c r="QRN16">
        <v>0</v>
      </c>
      <c r="QRO16">
        <v>0</v>
      </c>
      <c r="QRP16">
        <v>0</v>
      </c>
      <c r="QRQ16">
        <v>0</v>
      </c>
      <c r="QRR16">
        <v>0</v>
      </c>
      <c r="QRS16">
        <v>0</v>
      </c>
      <c r="QRT16">
        <v>0</v>
      </c>
      <c r="QRU16">
        <v>0</v>
      </c>
      <c r="QRV16">
        <v>0</v>
      </c>
      <c r="QRW16">
        <v>0</v>
      </c>
      <c r="QRX16">
        <v>0</v>
      </c>
      <c r="QRY16">
        <v>0</v>
      </c>
      <c r="QRZ16">
        <v>0</v>
      </c>
      <c r="QSA16">
        <v>0</v>
      </c>
      <c r="QSB16">
        <v>0</v>
      </c>
      <c r="QSC16">
        <v>0</v>
      </c>
      <c r="QSD16">
        <v>0</v>
      </c>
      <c r="QSE16">
        <v>0</v>
      </c>
      <c r="QSF16">
        <v>0</v>
      </c>
      <c r="QSG16">
        <v>0</v>
      </c>
      <c r="QSH16">
        <v>0</v>
      </c>
      <c r="QSI16">
        <v>0</v>
      </c>
      <c r="QSJ16">
        <v>0</v>
      </c>
      <c r="QSK16">
        <v>0</v>
      </c>
      <c r="QSL16">
        <v>0</v>
      </c>
      <c r="QSM16">
        <v>0</v>
      </c>
      <c r="QSN16">
        <v>0</v>
      </c>
      <c r="QSO16">
        <v>0</v>
      </c>
      <c r="QSP16">
        <v>0</v>
      </c>
      <c r="QSQ16">
        <v>0</v>
      </c>
      <c r="QSR16">
        <v>0</v>
      </c>
      <c r="QSS16">
        <v>0</v>
      </c>
      <c r="QST16">
        <v>0</v>
      </c>
      <c r="QSU16">
        <v>0</v>
      </c>
      <c r="QSV16">
        <v>0</v>
      </c>
      <c r="QSW16">
        <v>0</v>
      </c>
      <c r="QSX16">
        <v>0</v>
      </c>
      <c r="QSY16">
        <v>0</v>
      </c>
      <c r="QSZ16">
        <v>0</v>
      </c>
      <c r="QTA16">
        <v>0</v>
      </c>
      <c r="QTB16">
        <v>0</v>
      </c>
      <c r="QTC16">
        <v>0</v>
      </c>
      <c r="QTD16">
        <v>0</v>
      </c>
      <c r="QTE16">
        <v>0</v>
      </c>
      <c r="QTF16">
        <v>0</v>
      </c>
      <c r="QTG16">
        <v>0</v>
      </c>
      <c r="QTH16">
        <v>0</v>
      </c>
      <c r="QTI16">
        <v>0</v>
      </c>
      <c r="QTJ16">
        <v>0</v>
      </c>
      <c r="QTK16">
        <v>0</v>
      </c>
      <c r="QTL16">
        <v>0</v>
      </c>
      <c r="QTM16">
        <v>0</v>
      </c>
      <c r="QTN16">
        <v>0</v>
      </c>
      <c r="QTO16">
        <v>0</v>
      </c>
      <c r="QTP16">
        <v>0</v>
      </c>
      <c r="QTQ16">
        <v>0</v>
      </c>
      <c r="QTR16">
        <v>0</v>
      </c>
      <c r="QTS16">
        <v>0</v>
      </c>
      <c r="QTT16">
        <v>0</v>
      </c>
      <c r="QTU16">
        <v>0</v>
      </c>
      <c r="QTV16">
        <v>0</v>
      </c>
      <c r="QTW16">
        <v>0</v>
      </c>
      <c r="QTX16">
        <v>0</v>
      </c>
      <c r="QTY16">
        <v>0</v>
      </c>
      <c r="QTZ16">
        <v>0</v>
      </c>
      <c r="QUA16">
        <v>0</v>
      </c>
      <c r="QUB16">
        <v>0</v>
      </c>
      <c r="QUC16">
        <v>0</v>
      </c>
      <c r="QUD16">
        <v>0</v>
      </c>
      <c r="QUE16">
        <v>0</v>
      </c>
      <c r="QUF16">
        <v>0</v>
      </c>
      <c r="QUG16">
        <v>0</v>
      </c>
      <c r="QUH16">
        <v>0</v>
      </c>
      <c r="QUI16">
        <v>0</v>
      </c>
      <c r="QUJ16">
        <v>0</v>
      </c>
      <c r="QUK16">
        <v>0</v>
      </c>
      <c r="QUL16">
        <v>0</v>
      </c>
      <c r="QUM16">
        <v>0</v>
      </c>
      <c r="QUN16">
        <v>0</v>
      </c>
      <c r="QUO16">
        <v>0</v>
      </c>
      <c r="QUP16">
        <v>0</v>
      </c>
      <c r="QUQ16">
        <v>0</v>
      </c>
      <c r="QUR16">
        <v>0</v>
      </c>
      <c r="QUS16">
        <v>0</v>
      </c>
      <c r="QUT16">
        <v>0</v>
      </c>
      <c r="QUU16">
        <v>0</v>
      </c>
      <c r="QUV16">
        <v>0</v>
      </c>
      <c r="QUW16">
        <v>0</v>
      </c>
      <c r="QUX16">
        <v>0</v>
      </c>
      <c r="QUY16">
        <v>0</v>
      </c>
      <c r="QUZ16">
        <v>0</v>
      </c>
      <c r="QVA16">
        <v>0</v>
      </c>
      <c r="QVB16">
        <v>0</v>
      </c>
      <c r="QVC16">
        <v>0</v>
      </c>
      <c r="QVD16">
        <v>0</v>
      </c>
      <c r="QVE16">
        <v>0</v>
      </c>
      <c r="QVF16">
        <v>0</v>
      </c>
      <c r="QVG16">
        <v>0</v>
      </c>
      <c r="QVH16">
        <v>0</v>
      </c>
      <c r="QVI16">
        <v>0</v>
      </c>
      <c r="QVJ16">
        <v>0</v>
      </c>
      <c r="QVK16">
        <v>0</v>
      </c>
      <c r="QVL16">
        <v>0</v>
      </c>
      <c r="QVM16">
        <v>0</v>
      </c>
      <c r="QVN16">
        <v>0</v>
      </c>
      <c r="QVO16">
        <v>0</v>
      </c>
      <c r="QVP16">
        <v>0</v>
      </c>
      <c r="QVQ16">
        <v>0</v>
      </c>
      <c r="QVR16">
        <v>0</v>
      </c>
      <c r="QVS16">
        <v>0</v>
      </c>
      <c r="QVT16">
        <v>0</v>
      </c>
      <c r="QVU16">
        <v>0</v>
      </c>
      <c r="QVV16">
        <v>0</v>
      </c>
      <c r="QVW16">
        <v>0</v>
      </c>
      <c r="QVX16">
        <v>0</v>
      </c>
      <c r="QVY16">
        <v>0</v>
      </c>
      <c r="QVZ16">
        <v>0</v>
      </c>
      <c r="QWA16">
        <v>0</v>
      </c>
      <c r="QWB16">
        <v>0</v>
      </c>
      <c r="QWC16">
        <v>0</v>
      </c>
      <c r="QWD16">
        <v>0</v>
      </c>
      <c r="QWE16">
        <v>0</v>
      </c>
      <c r="QWF16">
        <v>0</v>
      </c>
      <c r="QWG16">
        <v>0</v>
      </c>
      <c r="QWH16">
        <v>0</v>
      </c>
      <c r="QWI16">
        <v>0</v>
      </c>
      <c r="QWJ16">
        <v>0</v>
      </c>
      <c r="QWK16">
        <v>0</v>
      </c>
      <c r="QWL16">
        <v>0</v>
      </c>
      <c r="QWM16">
        <v>0</v>
      </c>
      <c r="QWN16">
        <v>0</v>
      </c>
      <c r="QWO16">
        <v>0</v>
      </c>
      <c r="QWP16">
        <v>0</v>
      </c>
      <c r="QWQ16">
        <v>0</v>
      </c>
      <c r="QWR16">
        <v>0</v>
      </c>
      <c r="QWS16">
        <v>0</v>
      </c>
      <c r="QWT16">
        <v>0</v>
      </c>
      <c r="QWU16">
        <v>0</v>
      </c>
      <c r="QWV16">
        <v>0</v>
      </c>
      <c r="QWW16">
        <v>0</v>
      </c>
      <c r="QWX16">
        <v>0</v>
      </c>
      <c r="QWY16">
        <v>0</v>
      </c>
      <c r="QWZ16">
        <v>0</v>
      </c>
      <c r="QXA16">
        <v>0</v>
      </c>
      <c r="QXB16">
        <v>0</v>
      </c>
      <c r="QXC16">
        <v>0</v>
      </c>
      <c r="QXD16">
        <v>0</v>
      </c>
      <c r="QXE16">
        <v>0</v>
      </c>
      <c r="QXF16">
        <v>0</v>
      </c>
      <c r="QXG16">
        <v>0</v>
      </c>
      <c r="QXH16">
        <v>0</v>
      </c>
      <c r="QXI16">
        <v>0</v>
      </c>
      <c r="QXJ16">
        <v>0</v>
      </c>
      <c r="QXK16">
        <v>0</v>
      </c>
      <c r="QXL16">
        <v>0</v>
      </c>
      <c r="QXM16">
        <v>0</v>
      </c>
      <c r="QXN16">
        <v>0</v>
      </c>
      <c r="QXO16">
        <v>0</v>
      </c>
      <c r="QXP16">
        <v>0</v>
      </c>
      <c r="QXQ16">
        <v>0</v>
      </c>
      <c r="QXR16">
        <v>0</v>
      </c>
      <c r="QXS16">
        <v>0</v>
      </c>
      <c r="QXT16">
        <v>0</v>
      </c>
      <c r="QXU16">
        <v>0</v>
      </c>
      <c r="QXV16">
        <v>0</v>
      </c>
      <c r="QXW16">
        <v>0</v>
      </c>
      <c r="QXX16">
        <v>0</v>
      </c>
      <c r="QXY16">
        <v>0</v>
      </c>
      <c r="QXZ16">
        <v>0</v>
      </c>
      <c r="QYA16">
        <v>0</v>
      </c>
      <c r="QYB16">
        <v>0</v>
      </c>
      <c r="QYC16">
        <v>0</v>
      </c>
      <c r="QYD16">
        <v>0</v>
      </c>
      <c r="QYE16">
        <v>0</v>
      </c>
      <c r="QYF16">
        <v>0</v>
      </c>
      <c r="QYG16">
        <v>0</v>
      </c>
      <c r="QYH16">
        <v>0</v>
      </c>
      <c r="QYI16">
        <v>0</v>
      </c>
      <c r="QYJ16">
        <v>0</v>
      </c>
      <c r="QYK16">
        <v>0</v>
      </c>
      <c r="QYL16">
        <v>0</v>
      </c>
      <c r="QYM16">
        <v>0</v>
      </c>
      <c r="QYN16">
        <v>0</v>
      </c>
      <c r="QYO16">
        <v>0</v>
      </c>
      <c r="QYP16">
        <v>0</v>
      </c>
      <c r="QYQ16">
        <v>0</v>
      </c>
      <c r="QYR16">
        <v>0</v>
      </c>
      <c r="QYS16">
        <v>0</v>
      </c>
      <c r="QYT16">
        <v>0</v>
      </c>
      <c r="QYU16">
        <v>0</v>
      </c>
      <c r="QYV16">
        <v>0</v>
      </c>
      <c r="QYW16">
        <v>0</v>
      </c>
      <c r="QYX16">
        <v>0</v>
      </c>
      <c r="QYY16">
        <v>0</v>
      </c>
      <c r="QYZ16">
        <v>0</v>
      </c>
      <c r="QZA16">
        <v>0</v>
      </c>
      <c r="QZB16">
        <v>0</v>
      </c>
      <c r="QZC16">
        <v>0</v>
      </c>
      <c r="QZD16">
        <v>0</v>
      </c>
      <c r="QZE16">
        <v>0</v>
      </c>
      <c r="QZF16">
        <v>0</v>
      </c>
      <c r="QZG16">
        <v>0</v>
      </c>
      <c r="QZH16">
        <v>0</v>
      </c>
      <c r="QZI16">
        <v>0</v>
      </c>
      <c r="QZJ16">
        <v>0</v>
      </c>
      <c r="QZK16">
        <v>0</v>
      </c>
      <c r="QZL16">
        <v>0</v>
      </c>
      <c r="QZM16">
        <v>0</v>
      </c>
      <c r="QZN16">
        <v>0</v>
      </c>
      <c r="QZO16">
        <v>0</v>
      </c>
      <c r="QZP16">
        <v>0</v>
      </c>
      <c r="QZQ16">
        <v>0</v>
      </c>
      <c r="QZR16">
        <v>0</v>
      </c>
      <c r="QZS16">
        <v>0</v>
      </c>
      <c r="QZT16">
        <v>0</v>
      </c>
      <c r="QZU16">
        <v>0</v>
      </c>
      <c r="QZV16">
        <v>0</v>
      </c>
      <c r="QZW16">
        <v>0</v>
      </c>
      <c r="QZX16">
        <v>0</v>
      </c>
      <c r="QZY16">
        <v>0</v>
      </c>
      <c r="QZZ16">
        <v>0</v>
      </c>
      <c r="RAA16">
        <v>0</v>
      </c>
      <c r="RAB16">
        <v>0</v>
      </c>
      <c r="RAC16">
        <v>0</v>
      </c>
      <c r="RAD16">
        <v>0</v>
      </c>
      <c r="RAE16">
        <v>0</v>
      </c>
      <c r="RAF16">
        <v>0</v>
      </c>
      <c r="RAG16">
        <v>0</v>
      </c>
      <c r="RAH16">
        <v>0</v>
      </c>
      <c r="RAI16">
        <v>0</v>
      </c>
      <c r="RAJ16">
        <v>0</v>
      </c>
      <c r="RAK16">
        <v>0</v>
      </c>
      <c r="RAL16">
        <v>0</v>
      </c>
      <c r="RAM16">
        <v>0</v>
      </c>
      <c r="RAN16">
        <v>0</v>
      </c>
      <c r="RAO16">
        <v>0</v>
      </c>
      <c r="RAP16">
        <v>0</v>
      </c>
      <c r="RAQ16">
        <v>0</v>
      </c>
      <c r="RAR16">
        <v>0</v>
      </c>
      <c r="RAS16">
        <v>0</v>
      </c>
      <c r="RAT16">
        <v>0</v>
      </c>
      <c r="RAU16">
        <v>0</v>
      </c>
      <c r="RAV16">
        <v>0</v>
      </c>
      <c r="RAW16">
        <v>0</v>
      </c>
      <c r="RAX16">
        <v>0</v>
      </c>
      <c r="RAY16">
        <v>0</v>
      </c>
      <c r="RAZ16">
        <v>0</v>
      </c>
      <c r="RBA16">
        <v>0</v>
      </c>
      <c r="RBB16">
        <v>0</v>
      </c>
      <c r="RBC16">
        <v>0</v>
      </c>
      <c r="RBD16">
        <v>0</v>
      </c>
      <c r="RBE16">
        <v>0</v>
      </c>
      <c r="RBF16">
        <v>0</v>
      </c>
      <c r="RBG16">
        <v>0</v>
      </c>
      <c r="RBH16">
        <v>0</v>
      </c>
      <c r="RBI16">
        <v>0</v>
      </c>
      <c r="RBJ16">
        <v>0</v>
      </c>
      <c r="RBK16">
        <v>0</v>
      </c>
      <c r="RBL16">
        <v>0</v>
      </c>
      <c r="RBM16">
        <v>0</v>
      </c>
      <c r="RBN16">
        <v>0</v>
      </c>
      <c r="RBO16">
        <v>0</v>
      </c>
      <c r="RBP16">
        <v>0</v>
      </c>
      <c r="RBQ16">
        <v>0</v>
      </c>
      <c r="RBR16">
        <v>0</v>
      </c>
      <c r="RBS16">
        <v>0</v>
      </c>
      <c r="RBT16">
        <v>0</v>
      </c>
      <c r="RBU16">
        <v>0</v>
      </c>
      <c r="RBV16">
        <v>0</v>
      </c>
      <c r="RBW16">
        <v>0</v>
      </c>
      <c r="RBX16">
        <v>0</v>
      </c>
      <c r="RBY16">
        <v>0</v>
      </c>
      <c r="RBZ16">
        <v>0</v>
      </c>
      <c r="RCA16">
        <v>0</v>
      </c>
      <c r="RCB16">
        <v>0</v>
      </c>
      <c r="RCC16">
        <v>0</v>
      </c>
      <c r="RCD16">
        <v>0</v>
      </c>
      <c r="RCE16">
        <v>0</v>
      </c>
      <c r="RCF16">
        <v>0</v>
      </c>
      <c r="RCG16">
        <v>0</v>
      </c>
      <c r="RCH16">
        <v>0</v>
      </c>
      <c r="RCI16">
        <v>0</v>
      </c>
      <c r="RCJ16">
        <v>0</v>
      </c>
      <c r="RCK16">
        <v>0</v>
      </c>
      <c r="RCL16">
        <v>0</v>
      </c>
      <c r="RCM16">
        <v>0</v>
      </c>
      <c r="RCN16">
        <v>0</v>
      </c>
      <c r="RCO16">
        <v>0</v>
      </c>
      <c r="RCP16">
        <v>0</v>
      </c>
      <c r="RCQ16">
        <v>0</v>
      </c>
      <c r="RCR16">
        <v>0</v>
      </c>
      <c r="RCS16">
        <v>0</v>
      </c>
      <c r="RCT16">
        <v>0</v>
      </c>
      <c r="RCU16">
        <v>0</v>
      </c>
      <c r="RCV16">
        <v>0</v>
      </c>
      <c r="RCW16">
        <v>0</v>
      </c>
      <c r="RCX16">
        <v>0</v>
      </c>
      <c r="RCY16">
        <v>0</v>
      </c>
      <c r="RCZ16">
        <v>0</v>
      </c>
      <c r="RDA16">
        <v>0</v>
      </c>
      <c r="RDB16">
        <v>0</v>
      </c>
      <c r="RDC16">
        <v>0</v>
      </c>
      <c r="RDD16">
        <v>0</v>
      </c>
      <c r="RDE16">
        <v>0</v>
      </c>
      <c r="RDF16">
        <v>0</v>
      </c>
      <c r="RDG16">
        <v>0</v>
      </c>
      <c r="RDH16">
        <v>0</v>
      </c>
      <c r="RDI16">
        <v>0</v>
      </c>
      <c r="RDJ16">
        <v>0</v>
      </c>
      <c r="RDK16">
        <v>0</v>
      </c>
      <c r="RDL16">
        <v>0</v>
      </c>
      <c r="RDM16">
        <v>0</v>
      </c>
      <c r="RDN16">
        <v>0</v>
      </c>
      <c r="RDO16">
        <v>0</v>
      </c>
      <c r="RDP16">
        <v>0</v>
      </c>
      <c r="RDQ16">
        <v>0</v>
      </c>
      <c r="RDR16">
        <v>0</v>
      </c>
      <c r="RDS16">
        <v>0</v>
      </c>
      <c r="RDT16">
        <v>0</v>
      </c>
      <c r="RDU16">
        <v>0</v>
      </c>
      <c r="RDV16">
        <v>0</v>
      </c>
      <c r="RDW16">
        <v>0</v>
      </c>
      <c r="RDX16">
        <v>0</v>
      </c>
      <c r="RDY16">
        <v>0</v>
      </c>
      <c r="RDZ16">
        <v>0</v>
      </c>
      <c r="REA16">
        <v>0</v>
      </c>
      <c r="REB16">
        <v>0</v>
      </c>
      <c r="REC16">
        <v>0</v>
      </c>
      <c r="RED16">
        <v>0</v>
      </c>
      <c r="REE16">
        <v>0</v>
      </c>
      <c r="REF16">
        <v>0</v>
      </c>
      <c r="REG16">
        <v>0</v>
      </c>
      <c r="REH16">
        <v>0</v>
      </c>
      <c r="REI16">
        <v>0</v>
      </c>
      <c r="REJ16">
        <v>0</v>
      </c>
      <c r="REK16">
        <v>0</v>
      </c>
      <c r="REL16">
        <v>0</v>
      </c>
      <c r="REM16">
        <v>0</v>
      </c>
      <c r="REN16">
        <v>0</v>
      </c>
      <c r="REO16">
        <v>0</v>
      </c>
      <c r="REP16">
        <v>0</v>
      </c>
      <c r="REQ16">
        <v>0</v>
      </c>
      <c r="RER16">
        <v>0</v>
      </c>
      <c r="RES16">
        <v>0</v>
      </c>
      <c r="RET16">
        <v>0</v>
      </c>
      <c r="REU16">
        <v>0</v>
      </c>
      <c r="REV16">
        <v>0</v>
      </c>
      <c r="REW16">
        <v>0</v>
      </c>
      <c r="REX16">
        <v>0</v>
      </c>
      <c r="REY16">
        <v>0</v>
      </c>
      <c r="REZ16">
        <v>0</v>
      </c>
      <c r="RFA16">
        <v>0</v>
      </c>
      <c r="RFB16">
        <v>0</v>
      </c>
      <c r="RFC16">
        <v>0</v>
      </c>
      <c r="RFD16">
        <v>0</v>
      </c>
      <c r="RFE16">
        <v>0</v>
      </c>
      <c r="RFF16">
        <v>0</v>
      </c>
      <c r="RFG16">
        <v>0</v>
      </c>
      <c r="RFH16">
        <v>0</v>
      </c>
      <c r="RFI16">
        <v>0</v>
      </c>
      <c r="RFJ16">
        <v>0</v>
      </c>
      <c r="RFK16">
        <v>0</v>
      </c>
      <c r="RFL16">
        <v>0</v>
      </c>
      <c r="RFM16">
        <v>0</v>
      </c>
      <c r="RFN16">
        <v>0</v>
      </c>
      <c r="RFO16">
        <v>0</v>
      </c>
      <c r="RFP16">
        <v>0</v>
      </c>
      <c r="RFQ16">
        <v>0</v>
      </c>
      <c r="RFR16">
        <v>0</v>
      </c>
      <c r="RFS16">
        <v>0</v>
      </c>
      <c r="RFT16">
        <v>0</v>
      </c>
      <c r="RFU16">
        <v>0</v>
      </c>
      <c r="RFV16">
        <v>0</v>
      </c>
      <c r="RFW16">
        <v>0</v>
      </c>
      <c r="RFX16">
        <v>0</v>
      </c>
      <c r="RFY16">
        <v>0</v>
      </c>
      <c r="RFZ16">
        <v>0</v>
      </c>
      <c r="RGA16">
        <v>0</v>
      </c>
      <c r="RGB16">
        <v>0</v>
      </c>
      <c r="RGC16">
        <v>0</v>
      </c>
      <c r="RGD16">
        <v>0</v>
      </c>
      <c r="RGE16">
        <v>0</v>
      </c>
      <c r="RGF16">
        <v>0</v>
      </c>
      <c r="RGG16">
        <v>0</v>
      </c>
      <c r="RGH16">
        <v>0</v>
      </c>
      <c r="RGI16">
        <v>0</v>
      </c>
      <c r="RGJ16">
        <v>0</v>
      </c>
      <c r="RGK16">
        <v>0</v>
      </c>
      <c r="RGL16">
        <v>0</v>
      </c>
      <c r="RGM16">
        <v>0</v>
      </c>
      <c r="RGN16">
        <v>0</v>
      </c>
      <c r="RGO16">
        <v>0</v>
      </c>
      <c r="RGP16">
        <v>0</v>
      </c>
      <c r="RGQ16">
        <v>0</v>
      </c>
      <c r="RGR16">
        <v>0</v>
      </c>
      <c r="RGS16">
        <v>0</v>
      </c>
      <c r="RGT16">
        <v>0</v>
      </c>
      <c r="RGU16">
        <v>0</v>
      </c>
      <c r="RGV16">
        <v>0</v>
      </c>
      <c r="RGW16">
        <v>0</v>
      </c>
      <c r="RGX16">
        <v>0</v>
      </c>
      <c r="RGY16">
        <v>0</v>
      </c>
      <c r="RGZ16">
        <v>0</v>
      </c>
      <c r="RHA16">
        <v>0</v>
      </c>
      <c r="RHB16">
        <v>0</v>
      </c>
      <c r="RHC16">
        <v>0</v>
      </c>
      <c r="RHD16">
        <v>0</v>
      </c>
      <c r="RHE16">
        <v>0</v>
      </c>
      <c r="RHF16">
        <v>0</v>
      </c>
      <c r="RHG16">
        <v>0</v>
      </c>
      <c r="RHH16">
        <v>0</v>
      </c>
      <c r="RHI16">
        <v>0</v>
      </c>
      <c r="RHJ16">
        <v>0</v>
      </c>
      <c r="RHK16">
        <v>0</v>
      </c>
      <c r="RHL16">
        <v>0</v>
      </c>
      <c r="RHM16">
        <v>0</v>
      </c>
      <c r="RHN16">
        <v>0</v>
      </c>
      <c r="RHO16">
        <v>0</v>
      </c>
      <c r="RHP16">
        <v>0</v>
      </c>
      <c r="RHQ16">
        <v>0</v>
      </c>
      <c r="RHR16">
        <v>0</v>
      </c>
      <c r="RHS16">
        <v>0</v>
      </c>
      <c r="RHT16">
        <v>0</v>
      </c>
      <c r="RHU16">
        <v>0</v>
      </c>
      <c r="RHV16">
        <v>0</v>
      </c>
      <c r="RHW16">
        <v>0</v>
      </c>
      <c r="RHX16">
        <v>0</v>
      </c>
      <c r="RHY16">
        <v>0</v>
      </c>
      <c r="RHZ16">
        <v>0</v>
      </c>
      <c r="RIA16">
        <v>0</v>
      </c>
      <c r="RIB16">
        <v>0</v>
      </c>
      <c r="RIC16">
        <v>0</v>
      </c>
      <c r="RID16">
        <v>0</v>
      </c>
      <c r="RIE16">
        <v>0</v>
      </c>
      <c r="RIF16">
        <v>0</v>
      </c>
      <c r="RIG16">
        <v>0</v>
      </c>
      <c r="RIH16">
        <v>0</v>
      </c>
      <c r="RII16">
        <v>0</v>
      </c>
      <c r="RIJ16">
        <v>0</v>
      </c>
      <c r="RIK16">
        <v>0</v>
      </c>
      <c r="RIL16">
        <v>0</v>
      </c>
      <c r="RIM16">
        <v>0</v>
      </c>
      <c r="RIN16">
        <v>0</v>
      </c>
      <c r="RIO16">
        <v>0</v>
      </c>
      <c r="RIP16">
        <v>0</v>
      </c>
      <c r="RIQ16">
        <v>0</v>
      </c>
      <c r="RIR16">
        <v>0</v>
      </c>
      <c r="RIS16">
        <v>0</v>
      </c>
      <c r="RIT16">
        <v>0</v>
      </c>
      <c r="RIU16">
        <v>0</v>
      </c>
      <c r="RIV16">
        <v>0</v>
      </c>
      <c r="RIW16">
        <v>0</v>
      </c>
      <c r="RIX16">
        <v>0</v>
      </c>
      <c r="RIY16">
        <v>0</v>
      </c>
      <c r="RIZ16">
        <v>0</v>
      </c>
      <c r="RJA16">
        <v>0</v>
      </c>
      <c r="RJB16">
        <v>0</v>
      </c>
      <c r="RJC16">
        <v>0</v>
      </c>
      <c r="RJD16">
        <v>0</v>
      </c>
      <c r="RJE16">
        <v>0</v>
      </c>
      <c r="RJF16">
        <v>0</v>
      </c>
      <c r="RJG16">
        <v>0</v>
      </c>
      <c r="RJH16">
        <v>0</v>
      </c>
      <c r="RJI16">
        <v>0</v>
      </c>
      <c r="RJJ16">
        <v>0</v>
      </c>
      <c r="RJK16">
        <v>0</v>
      </c>
      <c r="RJL16">
        <v>0</v>
      </c>
      <c r="RJM16">
        <v>0</v>
      </c>
      <c r="RJN16">
        <v>0</v>
      </c>
      <c r="RJO16">
        <v>0</v>
      </c>
      <c r="RJP16">
        <v>0</v>
      </c>
      <c r="RJQ16">
        <v>0</v>
      </c>
      <c r="RJR16">
        <v>0</v>
      </c>
      <c r="RJS16">
        <v>0</v>
      </c>
      <c r="RJT16">
        <v>0</v>
      </c>
      <c r="RJU16">
        <v>0</v>
      </c>
      <c r="RJV16">
        <v>0</v>
      </c>
      <c r="RJW16">
        <v>0</v>
      </c>
      <c r="RJX16">
        <v>0</v>
      </c>
      <c r="RJY16">
        <v>0</v>
      </c>
      <c r="RJZ16">
        <v>0</v>
      </c>
      <c r="RKA16">
        <v>0</v>
      </c>
      <c r="RKB16">
        <v>0</v>
      </c>
      <c r="RKC16">
        <v>0</v>
      </c>
      <c r="RKD16">
        <v>0</v>
      </c>
      <c r="RKE16">
        <v>0</v>
      </c>
      <c r="RKF16">
        <v>0</v>
      </c>
      <c r="RKG16">
        <v>0</v>
      </c>
      <c r="RKH16">
        <v>0</v>
      </c>
      <c r="RKI16">
        <v>0</v>
      </c>
      <c r="RKJ16">
        <v>0</v>
      </c>
      <c r="RKK16">
        <v>0</v>
      </c>
      <c r="RKL16">
        <v>0</v>
      </c>
      <c r="RKM16">
        <v>0</v>
      </c>
      <c r="RKN16">
        <v>0</v>
      </c>
      <c r="RKO16">
        <v>0</v>
      </c>
      <c r="RKP16">
        <v>0</v>
      </c>
      <c r="RKQ16">
        <v>0</v>
      </c>
      <c r="RKR16">
        <v>0</v>
      </c>
      <c r="RKS16">
        <v>0</v>
      </c>
      <c r="RKT16">
        <v>0</v>
      </c>
      <c r="RKU16">
        <v>0</v>
      </c>
      <c r="RKV16">
        <v>0</v>
      </c>
      <c r="RKW16">
        <v>0</v>
      </c>
      <c r="RKX16">
        <v>0</v>
      </c>
      <c r="RKY16">
        <v>0</v>
      </c>
      <c r="RKZ16">
        <v>0</v>
      </c>
      <c r="RLA16">
        <v>0</v>
      </c>
      <c r="RLB16">
        <v>0</v>
      </c>
      <c r="RLC16">
        <v>0</v>
      </c>
      <c r="RLD16">
        <v>0</v>
      </c>
      <c r="RLE16">
        <v>0</v>
      </c>
      <c r="RLF16">
        <v>0</v>
      </c>
      <c r="RLG16">
        <v>0</v>
      </c>
      <c r="RLH16">
        <v>0</v>
      </c>
      <c r="RLI16">
        <v>0</v>
      </c>
      <c r="RLJ16">
        <v>0</v>
      </c>
      <c r="RLK16">
        <v>0</v>
      </c>
      <c r="RLL16">
        <v>0</v>
      </c>
      <c r="RLM16">
        <v>0</v>
      </c>
      <c r="RLN16">
        <v>0</v>
      </c>
      <c r="RLO16">
        <v>0</v>
      </c>
      <c r="RLP16">
        <v>0</v>
      </c>
      <c r="RLQ16">
        <v>0</v>
      </c>
      <c r="RLR16">
        <v>0</v>
      </c>
      <c r="RLS16">
        <v>0</v>
      </c>
      <c r="RLT16">
        <v>0</v>
      </c>
      <c r="RLU16">
        <v>0</v>
      </c>
      <c r="RLV16">
        <v>0</v>
      </c>
      <c r="RLW16">
        <v>0</v>
      </c>
      <c r="RLX16">
        <v>0</v>
      </c>
      <c r="RLY16">
        <v>0</v>
      </c>
      <c r="RLZ16">
        <v>0</v>
      </c>
      <c r="RMA16">
        <v>0</v>
      </c>
      <c r="RMB16">
        <v>0</v>
      </c>
      <c r="RMC16">
        <v>0</v>
      </c>
      <c r="RMD16">
        <v>0</v>
      </c>
      <c r="RME16">
        <v>0</v>
      </c>
      <c r="RMF16">
        <v>0</v>
      </c>
      <c r="RMG16">
        <v>0</v>
      </c>
      <c r="RMH16">
        <v>0</v>
      </c>
      <c r="RMI16">
        <v>0</v>
      </c>
      <c r="RMJ16">
        <v>0</v>
      </c>
      <c r="RMK16">
        <v>0</v>
      </c>
      <c r="RML16">
        <v>0</v>
      </c>
      <c r="RMM16">
        <v>0</v>
      </c>
      <c r="RMN16">
        <v>0</v>
      </c>
      <c r="RMO16">
        <v>0</v>
      </c>
      <c r="RMP16">
        <v>0</v>
      </c>
      <c r="RMQ16">
        <v>0</v>
      </c>
      <c r="RMR16">
        <v>0</v>
      </c>
      <c r="RMS16">
        <v>0</v>
      </c>
      <c r="RMT16">
        <v>0</v>
      </c>
      <c r="RMU16">
        <v>0</v>
      </c>
      <c r="RMV16">
        <v>0</v>
      </c>
      <c r="RMW16">
        <v>0</v>
      </c>
      <c r="RMX16">
        <v>0</v>
      </c>
      <c r="RMY16">
        <v>0</v>
      </c>
      <c r="RMZ16">
        <v>0</v>
      </c>
      <c r="RNA16">
        <v>0</v>
      </c>
      <c r="RNB16">
        <v>0</v>
      </c>
      <c r="RNC16">
        <v>0</v>
      </c>
      <c r="RND16">
        <v>0</v>
      </c>
      <c r="RNE16">
        <v>0</v>
      </c>
      <c r="RNF16">
        <v>0</v>
      </c>
      <c r="RNG16">
        <v>0</v>
      </c>
      <c r="RNH16">
        <v>0</v>
      </c>
      <c r="RNI16">
        <v>0</v>
      </c>
      <c r="RNJ16">
        <v>0</v>
      </c>
      <c r="RNK16">
        <v>0</v>
      </c>
      <c r="RNL16">
        <v>0</v>
      </c>
      <c r="RNM16">
        <v>0</v>
      </c>
      <c r="RNN16">
        <v>0</v>
      </c>
      <c r="RNO16">
        <v>0</v>
      </c>
      <c r="RNP16">
        <v>0</v>
      </c>
      <c r="RNQ16">
        <v>0</v>
      </c>
      <c r="RNR16">
        <v>0</v>
      </c>
      <c r="RNS16">
        <v>0</v>
      </c>
      <c r="RNT16">
        <v>0</v>
      </c>
      <c r="RNU16">
        <v>0</v>
      </c>
      <c r="RNV16">
        <v>0</v>
      </c>
      <c r="RNW16">
        <v>0</v>
      </c>
      <c r="RNX16">
        <v>0</v>
      </c>
      <c r="RNY16">
        <v>0</v>
      </c>
      <c r="RNZ16">
        <v>0</v>
      </c>
      <c r="ROA16">
        <v>0</v>
      </c>
      <c r="ROB16">
        <v>0</v>
      </c>
      <c r="ROC16">
        <v>0</v>
      </c>
      <c r="ROD16">
        <v>0</v>
      </c>
      <c r="ROE16">
        <v>0</v>
      </c>
      <c r="ROF16">
        <v>0</v>
      </c>
      <c r="ROG16">
        <v>0</v>
      </c>
      <c r="ROH16">
        <v>0</v>
      </c>
      <c r="ROI16">
        <v>0</v>
      </c>
      <c r="ROJ16">
        <v>0</v>
      </c>
      <c r="ROK16">
        <v>0</v>
      </c>
      <c r="ROL16">
        <v>0</v>
      </c>
      <c r="ROM16">
        <v>0</v>
      </c>
      <c r="RON16">
        <v>0</v>
      </c>
      <c r="ROO16">
        <v>0</v>
      </c>
      <c r="ROP16">
        <v>0</v>
      </c>
      <c r="ROQ16">
        <v>0</v>
      </c>
      <c r="ROR16">
        <v>0</v>
      </c>
      <c r="ROS16">
        <v>0</v>
      </c>
      <c r="ROT16">
        <v>0</v>
      </c>
      <c r="ROU16">
        <v>0</v>
      </c>
      <c r="ROV16">
        <v>0</v>
      </c>
      <c r="ROW16">
        <v>0</v>
      </c>
      <c r="ROX16">
        <v>0</v>
      </c>
      <c r="ROY16">
        <v>0</v>
      </c>
      <c r="ROZ16">
        <v>0</v>
      </c>
      <c r="RPA16">
        <v>0</v>
      </c>
      <c r="RPB16">
        <v>0</v>
      </c>
      <c r="RPC16">
        <v>0</v>
      </c>
      <c r="RPD16">
        <v>0</v>
      </c>
      <c r="RPE16">
        <v>0</v>
      </c>
      <c r="RPF16">
        <v>0</v>
      </c>
      <c r="RPG16">
        <v>0</v>
      </c>
      <c r="RPH16">
        <v>0</v>
      </c>
      <c r="RPI16">
        <v>0</v>
      </c>
      <c r="RPJ16">
        <v>0</v>
      </c>
      <c r="RPK16">
        <v>0</v>
      </c>
      <c r="RPL16">
        <v>0</v>
      </c>
      <c r="RPM16">
        <v>0</v>
      </c>
      <c r="RPN16">
        <v>0</v>
      </c>
      <c r="RPO16">
        <v>0</v>
      </c>
      <c r="RPP16">
        <v>0</v>
      </c>
      <c r="RPQ16">
        <v>0</v>
      </c>
      <c r="RPR16">
        <v>0</v>
      </c>
      <c r="RPS16">
        <v>0</v>
      </c>
      <c r="RPT16">
        <v>0</v>
      </c>
      <c r="RPU16">
        <v>0</v>
      </c>
      <c r="RPV16">
        <v>0</v>
      </c>
      <c r="RPW16">
        <v>0</v>
      </c>
      <c r="RPX16">
        <v>0</v>
      </c>
      <c r="RPY16">
        <v>0</v>
      </c>
      <c r="RPZ16">
        <v>0</v>
      </c>
      <c r="RQA16">
        <v>0</v>
      </c>
      <c r="RQB16">
        <v>0</v>
      </c>
      <c r="RQC16">
        <v>0</v>
      </c>
      <c r="RQD16">
        <v>0</v>
      </c>
      <c r="RQE16">
        <v>0</v>
      </c>
      <c r="RQF16">
        <v>0</v>
      </c>
      <c r="RQG16">
        <v>0</v>
      </c>
      <c r="RQH16">
        <v>0</v>
      </c>
      <c r="RQI16">
        <v>0</v>
      </c>
      <c r="RQJ16">
        <v>0</v>
      </c>
      <c r="RQK16">
        <v>0</v>
      </c>
      <c r="RQL16">
        <v>0</v>
      </c>
      <c r="RQM16">
        <v>0</v>
      </c>
      <c r="RQN16">
        <v>0</v>
      </c>
      <c r="RQO16">
        <v>0</v>
      </c>
      <c r="RQP16">
        <v>0</v>
      </c>
      <c r="RQQ16">
        <v>0</v>
      </c>
      <c r="RQR16">
        <v>0</v>
      </c>
      <c r="RQS16">
        <v>0</v>
      </c>
      <c r="RQT16">
        <v>0</v>
      </c>
      <c r="RQU16">
        <v>0</v>
      </c>
      <c r="RQV16">
        <v>0</v>
      </c>
      <c r="RQW16">
        <v>0</v>
      </c>
      <c r="RQX16">
        <v>0</v>
      </c>
      <c r="RQY16">
        <v>0</v>
      </c>
      <c r="RQZ16">
        <v>0</v>
      </c>
      <c r="RRA16">
        <v>0</v>
      </c>
      <c r="RRB16">
        <v>0</v>
      </c>
      <c r="RRC16">
        <v>0</v>
      </c>
      <c r="RRD16">
        <v>0</v>
      </c>
      <c r="RRE16">
        <v>0</v>
      </c>
      <c r="RRF16">
        <v>0</v>
      </c>
      <c r="RRG16">
        <v>0</v>
      </c>
      <c r="RRH16">
        <v>0</v>
      </c>
      <c r="RRI16">
        <v>0</v>
      </c>
      <c r="RRJ16">
        <v>0</v>
      </c>
      <c r="RRK16">
        <v>0</v>
      </c>
      <c r="RRL16">
        <v>0</v>
      </c>
      <c r="RRM16">
        <v>0</v>
      </c>
      <c r="RRN16">
        <v>0</v>
      </c>
      <c r="RRO16">
        <v>0</v>
      </c>
      <c r="RRP16">
        <v>0</v>
      </c>
      <c r="RRQ16">
        <v>0</v>
      </c>
      <c r="RRR16">
        <v>0</v>
      </c>
      <c r="RRS16">
        <v>0</v>
      </c>
      <c r="RRT16">
        <v>0</v>
      </c>
      <c r="RRU16">
        <v>0</v>
      </c>
      <c r="RRV16">
        <v>0</v>
      </c>
      <c r="RRW16">
        <v>0</v>
      </c>
      <c r="RRX16">
        <v>0</v>
      </c>
      <c r="RRY16">
        <v>0</v>
      </c>
      <c r="RRZ16">
        <v>0</v>
      </c>
      <c r="RSA16">
        <v>0</v>
      </c>
      <c r="RSB16">
        <v>0</v>
      </c>
      <c r="RSC16">
        <v>0</v>
      </c>
      <c r="RSD16">
        <v>0</v>
      </c>
      <c r="RSE16">
        <v>0</v>
      </c>
      <c r="RSF16">
        <v>0</v>
      </c>
      <c r="RSG16">
        <v>0</v>
      </c>
      <c r="RSH16">
        <v>0</v>
      </c>
      <c r="RSI16">
        <v>0</v>
      </c>
      <c r="RSJ16">
        <v>0</v>
      </c>
      <c r="RSK16">
        <v>0</v>
      </c>
      <c r="RSL16">
        <v>0</v>
      </c>
      <c r="RSM16">
        <v>0</v>
      </c>
      <c r="RSN16">
        <v>0</v>
      </c>
      <c r="RSO16">
        <v>0</v>
      </c>
      <c r="RSP16">
        <v>0</v>
      </c>
      <c r="RSQ16">
        <v>0</v>
      </c>
      <c r="RSR16">
        <v>0</v>
      </c>
      <c r="RSS16">
        <v>0</v>
      </c>
      <c r="RST16">
        <v>0</v>
      </c>
      <c r="RSU16">
        <v>0</v>
      </c>
      <c r="RSV16">
        <v>0</v>
      </c>
      <c r="RSW16">
        <v>0</v>
      </c>
      <c r="RSX16">
        <v>0</v>
      </c>
      <c r="RSY16">
        <v>0</v>
      </c>
      <c r="RSZ16">
        <v>0</v>
      </c>
      <c r="RTA16">
        <v>0</v>
      </c>
      <c r="RTB16">
        <v>0</v>
      </c>
      <c r="RTC16">
        <v>0</v>
      </c>
      <c r="RTD16">
        <v>0</v>
      </c>
      <c r="RTE16">
        <v>0</v>
      </c>
      <c r="RTF16">
        <v>0</v>
      </c>
      <c r="RTG16">
        <v>0</v>
      </c>
      <c r="RTH16">
        <v>0</v>
      </c>
      <c r="RTI16">
        <v>0</v>
      </c>
      <c r="RTJ16">
        <v>0</v>
      </c>
      <c r="RTK16">
        <v>0</v>
      </c>
      <c r="RTL16">
        <v>0</v>
      </c>
      <c r="RTM16">
        <v>0</v>
      </c>
      <c r="RTN16">
        <v>0</v>
      </c>
      <c r="RTO16">
        <v>0</v>
      </c>
      <c r="RTP16">
        <v>0</v>
      </c>
      <c r="RTQ16">
        <v>0</v>
      </c>
      <c r="RTR16">
        <v>0</v>
      </c>
      <c r="RTS16">
        <v>0</v>
      </c>
      <c r="RTT16">
        <v>0</v>
      </c>
      <c r="RTU16">
        <v>0</v>
      </c>
      <c r="RTV16">
        <v>0</v>
      </c>
      <c r="RTW16">
        <v>0</v>
      </c>
      <c r="RTX16">
        <v>0</v>
      </c>
      <c r="RTY16">
        <v>0</v>
      </c>
      <c r="RTZ16">
        <v>0</v>
      </c>
      <c r="RUA16">
        <v>0</v>
      </c>
      <c r="RUB16">
        <v>0</v>
      </c>
      <c r="RUC16">
        <v>0</v>
      </c>
      <c r="RUD16">
        <v>0</v>
      </c>
      <c r="RUE16">
        <v>0</v>
      </c>
      <c r="RUF16">
        <v>0</v>
      </c>
      <c r="RUG16">
        <v>0</v>
      </c>
      <c r="RUH16">
        <v>0</v>
      </c>
      <c r="RUI16">
        <v>0</v>
      </c>
      <c r="RUJ16">
        <v>0</v>
      </c>
      <c r="RUK16">
        <v>0</v>
      </c>
      <c r="RUL16">
        <v>0</v>
      </c>
      <c r="RUM16">
        <v>0</v>
      </c>
      <c r="RUN16">
        <v>0</v>
      </c>
      <c r="RUO16">
        <v>0</v>
      </c>
      <c r="RUP16">
        <v>0</v>
      </c>
      <c r="RUQ16">
        <v>0</v>
      </c>
      <c r="RUR16">
        <v>0</v>
      </c>
      <c r="RUS16">
        <v>0</v>
      </c>
      <c r="RUT16">
        <v>0</v>
      </c>
      <c r="RUU16">
        <v>0</v>
      </c>
      <c r="RUV16">
        <v>0</v>
      </c>
      <c r="RUW16">
        <v>0</v>
      </c>
      <c r="RUX16">
        <v>0</v>
      </c>
      <c r="RUY16">
        <v>0</v>
      </c>
      <c r="RUZ16">
        <v>0</v>
      </c>
      <c r="RVA16">
        <v>0</v>
      </c>
      <c r="RVB16">
        <v>0</v>
      </c>
      <c r="RVC16">
        <v>0</v>
      </c>
      <c r="RVD16">
        <v>0</v>
      </c>
      <c r="RVE16">
        <v>0</v>
      </c>
      <c r="RVF16">
        <v>0</v>
      </c>
      <c r="RVG16">
        <v>0</v>
      </c>
      <c r="RVH16">
        <v>0</v>
      </c>
      <c r="RVI16">
        <v>0</v>
      </c>
      <c r="RVJ16">
        <v>0</v>
      </c>
      <c r="RVK16">
        <v>0</v>
      </c>
      <c r="RVL16">
        <v>0</v>
      </c>
      <c r="RVM16">
        <v>0</v>
      </c>
      <c r="RVN16">
        <v>0</v>
      </c>
      <c r="RVO16">
        <v>0</v>
      </c>
      <c r="RVP16">
        <v>0</v>
      </c>
      <c r="RVQ16">
        <v>0</v>
      </c>
      <c r="RVR16">
        <v>0</v>
      </c>
      <c r="RVS16">
        <v>0</v>
      </c>
      <c r="RVT16">
        <v>0</v>
      </c>
      <c r="RVU16">
        <v>0</v>
      </c>
      <c r="RVV16">
        <v>0</v>
      </c>
      <c r="RVW16">
        <v>0</v>
      </c>
      <c r="RVX16">
        <v>0</v>
      </c>
      <c r="RVY16">
        <v>0</v>
      </c>
      <c r="RVZ16">
        <v>0</v>
      </c>
      <c r="RWA16">
        <v>0</v>
      </c>
      <c r="RWB16">
        <v>0</v>
      </c>
      <c r="RWC16">
        <v>0</v>
      </c>
      <c r="RWD16">
        <v>0</v>
      </c>
      <c r="RWE16">
        <v>0</v>
      </c>
      <c r="RWF16">
        <v>0</v>
      </c>
      <c r="RWG16">
        <v>0</v>
      </c>
      <c r="RWH16">
        <v>0</v>
      </c>
      <c r="RWI16">
        <v>0</v>
      </c>
      <c r="RWJ16">
        <v>0</v>
      </c>
      <c r="RWK16">
        <v>0</v>
      </c>
      <c r="RWL16">
        <v>0</v>
      </c>
      <c r="RWM16">
        <v>0</v>
      </c>
      <c r="RWN16">
        <v>0</v>
      </c>
      <c r="RWO16">
        <v>0</v>
      </c>
      <c r="RWP16">
        <v>0</v>
      </c>
      <c r="RWQ16">
        <v>0</v>
      </c>
      <c r="RWR16">
        <v>0</v>
      </c>
      <c r="RWS16">
        <v>0</v>
      </c>
      <c r="RWT16">
        <v>0</v>
      </c>
      <c r="RWU16">
        <v>0</v>
      </c>
      <c r="RWV16">
        <v>0</v>
      </c>
      <c r="RWW16">
        <v>0</v>
      </c>
      <c r="RWX16">
        <v>0</v>
      </c>
      <c r="RWY16">
        <v>0</v>
      </c>
      <c r="RWZ16">
        <v>0</v>
      </c>
      <c r="RXA16">
        <v>0</v>
      </c>
      <c r="RXB16">
        <v>0</v>
      </c>
      <c r="RXC16">
        <v>0</v>
      </c>
      <c r="RXD16">
        <v>0</v>
      </c>
      <c r="RXE16">
        <v>0</v>
      </c>
      <c r="RXF16">
        <v>0</v>
      </c>
      <c r="RXG16">
        <v>0</v>
      </c>
      <c r="RXH16">
        <v>0</v>
      </c>
      <c r="RXI16">
        <v>0</v>
      </c>
      <c r="RXJ16">
        <v>0</v>
      </c>
      <c r="RXK16">
        <v>0</v>
      </c>
      <c r="RXL16">
        <v>0</v>
      </c>
      <c r="RXM16">
        <v>0</v>
      </c>
      <c r="RXN16">
        <v>0</v>
      </c>
      <c r="RXO16">
        <v>0</v>
      </c>
      <c r="RXP16">
        <v>0</v>
      </c>
      <c r="RXQ16">
        <v>0</v>
      </c>
      <c r="RXR16">
        <v>0</v>
      </c>
      <c r="RXS16">
        <v>0</v>
      </c>
      <c r="RXT16">
        <v>0</v>
      </c>
      <c r="RXU16">
        <v>0</v>
      </c>
      <c r="RXV16">
        <v>0</v>
      </c>
      <c r="RXW16">
        <v>0</v>
      </c>
      <c r="RXX16">
        <v>0</v>
      </c>
      <c r="RXY16">
        <v>0</v>
      </c>
      <c r="RXZ16">
        <v>0</v>
      </c>
      <c r="RYA16">
        <v>0</v>
      </c>
      <c r="RYB16">
        <v>0</v>
      </c>
      <c r="RYC16">
        <v>0</v>
      </c>
      <c r="RYD16">
        <v>0</v>
      </c>
      <c r="RYE16">
        <v>0</v>
      </c>
      <c r="RYF16">
        <v>0</v>
      </c>
      <c r="RYG16">
        <v>0</v>
      </c>
      <c r="RYH16">
        <v>0</v>
      </c>
      <c r="RYI16">
        <v>0</v>
      </c>
      <c r="RYJ16">
        <v>0</v>
      </c>
      <c r="RYK16">
        <v>0</v>
      </c>
      <c r="RYL16">
        <v>0</v>
      </c>
      <c r="RYM16">
        <v>0</v>
      </c>
      <c r="RYN16">
        <v>0</v>
      </c>
      <c r="RYO16">
        <v>0</v>
      </c>
      <c r="RYP16">
        <v>0</v>
      </c>
      <c r="RYQ16">
        <v>0</v>
      </c>
      <c r="RYR16">
        <v>0</v>
      </c>
      <c r="RYS16">
        <v>0</v>
      </c>
      <c r="RYT16">
        <v>0</v>
      </c>
      <c r="RYU16">
        <v>0</v>
      </c>
      <c r="RYV16">
        <v>0</v>
      </c>
      <c r="RYW16">
        <v>0</v>
      </c>
      <c r="RYX16">
        <v>0</v>
      </c>
      <c r="RYY16">
        <v>0</v>
      </c>
      <c r="RYZ16">
        <v>0</v>
      </c>
      <c r="RZA16">
        <v>0</v>
      </c>
      <c r="RZB16">
        <v>0</v>
      </c>
      <c r="RZC16">
        <v>0</v>
      </c>
      <c r="RZD16">
        <v>0</v>
      </c>
      <c r="RZE16">
        <v>0</v>
      </c>
      <c r="RZF16">
        <v>0</v>
      </c>
      <c r="RZG16">
        <v>0</v>
      </c>
      <c r="RZH16">
        <v>0</v>
      </c>
      <c r="RZI16">
        <v>0</v>
      </c>
      <c r="RZJ16">
        <v>0</v>
      </c>
      <c r="RZK16">
        <v>0</v>
      </c>
      <c r="RZL16">
        <v>0</v>
      </c>
      <c r="RZM16">
        <v>0</v>
      </c>
      <c r="RZN16">
        <v>0</v>
      </c>
      <c r="RZO16">
        <v>0</v>
      </c>
      <c r="RZP16">
        <v>0</v>
      </c>
      <c r="RZQ16">
        <v>0</v>
      </c>
      <c r="RZR16">
        <v>0</v>
      </c>
      <c r="RZS16">
        <v>0</v>
      </c>
      <c r="RZT16">
        <v>0</v>
      </c>
      <c r="RZU16">
        <v>0</v>
      </c>
      <c r="RZV16">
        <v>0</v>
      </c>
      <c r="RZW16">
        <v>0</v>
      </c>
      <c r="RZX16">
        <v>0</v>
      </c>
      <c r="RZY16">
        <v>0</v>
      </c>
      <c r="RZZ16">
        <v>0</v>
      </c>
      <c r="SAA16">
        <v>0</v>
      </c>
      <c r="SAB16">
        <v>0</v>
      </c>
      <c r="SAC16">
        <v>0</v>
      </c>
      <c r="SAD16">
        <v>0</v>
      </c>
      <c r="SAE16">
        <v>0</v>
      </c>
      <c r="SAF16">
        <v>0</v>
      </c>
      <c r="SAG16">
        <v>0</v>
      </c>
      <c r="SAH16">
        <v>0</v>
      </c>
      <c r="SAI16">
        <v>0</v>
      </c>
      <c r="SAJ16">
        <v>0</v>
      </c>
      <c r="SAK16">
        <v>0</v>
      </c>
      <c r="SAL16">
        <v>0</v>
      </c>
      <c r="SAM16">
        <v>0</v>
      </c>
      <c r="SAN16">
        <v>0</v>
      </c>
      <c r="SAO16">
        <v>0</v>
      </c>
      <c r="SAP16">
        <v>0</v>
      </c>
      <c r="SAQ16">
        <v>0</v>
      </c>
      <c r="SAR16">
        <v>0</v>
      </c>
      <c r="SAS16">
        <v>0</v>
      </c>
      <c r="SAT16">
        <v>0</v>
      </c>
      <c r="SAU16">
        <v>0</v>
      </c>
      <c r="SAV16">
        <v>0</v>
      </c>
      <c r="SAW16">
        <v>0</v>
      </c>
      <c r="SAX16">
        <v>0</v>
      </c>
      <c r="SAY16">
        <v>0</v>
      </c>
      <c r="SAZ16">
        <v>0</v>
      </c>
      <c r="SBA16">
        <v>0</v>
      </c>
      <c r="SBB16">
        <v>0</v>
      </c>
      <c r="SBC16">
        <v>0</v>
      </c>
      <c r="SBD16">
        <v>0</v>
      </c>
      <c r="SBE16">
        <v>0</v>
      </c>
      <c r="SBF16">
        <v>0</v>
      </c>
      <c r="SBG16">
        <v>0</v>
      </c>
      <c r="SBH16">
        <v>0</v>
      </c>
      <c r="SBI16">
        <v>0</v>
      </c>
      <c r="SBJ16">
        <v>0</v>
      </c>
      <c r="SBK16">
        <v>0</v>
      </c>
      <c r="SBL16">
        <v>0</v>
      </c>
      <c r="SBM16">
        <v>0</v>
      </c>
      <c r="SBN16">
        <v>0</v>
      </c>
      <c r="SBO16">
        <v>0</v>
      </c>
      <c r="SBP16">
        <v>0</v>
      </c>
      <c r="SBQ16">
        <v>0</v>
      </c>
      <c r="SBR16">
        <v>0</v>
      </c>
      <c r="SBS16">
        <v>0</v>
      </c>
      <c r="SBT16">
        <v>0</v>
      </c>
      <c r="SBU16">
        <v>0</v>
      </c>
      <c r="SBV16">
        <v>0</v>
      </c>
      <c r="SBW16">
        <v>0</v>
      </c>
      <c r="SBX16">
        <v>0</v>
      </c>
      <c r="SBY16">
        <v>0</v>
      </c>
      <c r="SBZ16">
        <v>0</v>
      </c>
      <c r="SCA16">
        <v>0</v>
      </c>
      <c r="SCB16">
        <v>0</v>
      </c>
      <c r="SCC16">
        <v>0</v>
      </c>
      <c r="SCD16">
        <v>0</v>
      </c>
      <c r="SCE16">
        <v>0</v>
      </c>
      <c r="SCF16">
        <v>0</v>
      </c>
      <c r="SCG16">
        <v>0</v>
      </c>
      <c r="SCH16">
        <v>0</v>
      </c>
      <c r="SCI16">
        <v>0</v>
      </c>
      <c r="SCJ16">
        <v>0</v>
      </c>
      <c r="SCK16">
        <v>0</v>
      </c>
      <c r="SCL16">
        <v>0</v>
      </c>
      <c r="SCM16">
        <v>0</v>
      </c>
      <c r="SCN16">
        <v>0</v>
      </c>
      <c r="SCO16">
        <v>0</v>
      </c>
      <c r="SCP16">
        <v>0</v>
      </c>
      <c r="SCQ16">
        <v>0</v>
      </c>
      <c r="SCR16">
        <v>0</v>
      </c>
      <c r="SCS16">
        <v>0</v>
      </c>
      <c r="SCT16">
        <v>0</v>
      </c>
      <c r="SCU16">
        <v>0</v>
      </c>
      <c r="SCV16">
        <v>0</v>
      </c>
      <c r="SCW16">
        <v>0</v>
      </c>
      <c r="SCX16">
        <v>0</v>
      </c>
      <c r="SCY16">
        <v>0</v>
      </c>
      <c r="SCZ16">
        <v>0</v>
      </c>
      <c r="SDA16">
        <v>0</v>
      </c>
      <c r="SDB16">
        <v>0</v>
      </c>
      <c r="SDC16">
        <v>0</v>
      </c>
      <c r="SDD16">
        <v>0</v>
      </c>
      <c r="SDE16">
        <v>0</v>
      </c>
      <c r="SDF16">
        <v>0</v>
      </c>
      <c r="SDG16">
        <v>0</v>
      </c>
      <c r="SDH16">
        <v>0</v>
      </c>
      <c r="SDI16">
        <v>0</v>
      </c>
      <c r="SDJ16">
        <v>0</v>
      </c>
      <c r="SDK16">
        <v>0</v>
      </c>
      <c r="SDL16">
        <v>0</v>
      </c>
      <c r="SDM16">
        <v>0</v>
      </c>
      <c r="SDN16">
        <v>0</v>
      </c>
      <c r="SDO16">
        <v>0</v>
      </c>
      <c r="SDP16">
        <v>0</v>
      </c>
      <c r="SDQ16">
        <v>0</v>
      </c>
      <c r="SDR16">
        <v>0</v>
      </c>
      <c r="SDS16">
        <v>0</v>
      </c>
      <c r="SDT16">
        <v>0</v>
      </c>
      <c r="SDU16">
        <v>0</v>
      </c>
      <c r="SDV16">
        <v>0</v>
      </c>
      <c r="SDW16">
        <v>0</v>
      </c>
      <c r="SDX16">
        <v>0</v>
      </c>
      <c r="SDY16">
        <v>0</v>
      </c>
      <c r="SDZ16">
        <v>0</v>
      </c>
      <c r="SEA16">
        <v>0</v>
      </c>
      <c r="SEB16">
        <v>0</v>
      </c>
      <c r="SEC16">
        <v>0</v>
      </c>
      <c r="SED16">
        <v>0</v>
      </c>
      <c r="SEE16">
        <v>0</v>
      </c>
      <c r="SEF16">
        <v>0</v>
      </c>
      <c r="SEG16">
        <v>0</v>
      </c>
      <c r="SEH16">
        <v>0</v>
      </c>
      <c r="SEI16">
        <v>0</v>
      </c>
      <c r="SEJ16">
        <v>0</v>
      </c>
      <c r="SEK16">
        <v>0</v>
      </c>
      <c r="SEL16">
        <v>0</v>
      </c>
      <c r="SEM16">
        <v>0</v>
      </c>
      <c r="SEN16">
        <v>0</v>
      </c>
      <c r="SEO16">
        <v>0</v>
      </c>
      <c r="SEP16">
        <v>0</v>
      </c>
      <c r="SEQ16">
        <v>0</v>
      </c>
      <c r="SER16">
        <v>0</v>
      </c>
      <c r="SES16">
        <v>0</v>
      </c>
      <c r="SET16">
        <v>0</v>
      </c>
      <c r="SEU16">
        <v>0</v>
      </c>
      <c r="SEV16">
        <v>0</v>
      </c>
      <c r="SEW16">
        <v>0</v>
      </c>
      <c r="SEX16">
        <v>0</v>
      </c>
      <c r="SEY16">
        <v>0</v>
      </c>
      <c r="SEZ16">
        <v>0</v>
      </c>
      <c r="SFA16">
        <v>0</v>
      </c>
      <c r="SFB16">
        <v>0</v>
      </c>
      <c r="SFC16">
        <v>0</v>
      </c>
      <c r="SFD16">
        <v>0</v>
      </c>
      <c r="SFE16">
        <v>0</v>
      </c>
      <c r="SFF16">
        <v>0</v>
      </c>
      <c r="SFG16">
        <v>0</v>
      </c>
      <c r="SFH16">
        <v>0</v>
      </c>
      <c r="SFI16">
        <v>0</v>
      </c>
      <c r="SFJ16">
        <v>0</v>
      </c>
      <c r="SFK16">
        <v>0</v>
      </c>
      <c r="SFL16">
        <v>0</v>
      </c>
      <c r="SFM16">
        <v>0</v>
      </c>
      <c r="SFN16">
        <v>0</v>
      </c>
      <c r="SFO16">
        <v>0</v>
      </c>
      <c r="SFP16">
        <v>0</v>
      </c>
      <c r="SFQ16">
        <v>0</v>
      </c>
      <c r="SFR16">
        <v>0</v>
      </c>
      <c r="SFS16">
        <v>0</v>
      </c>
      <c r="SFT16">
        <v>0</v>
      </c>
      <c r="SFU16">
        <v>0</v>
      </c>
      <c r="SFV16">
        <v>0</v>
      </c>
      <c r="SFW16">
        <v>0</v>
      </c>
      <c r="SFX16">
        <v>0</v>
      </c>
      <c r="SFY16">
        <v>0</v>
      </c>
      <c r="SFZ16">
        <v>0</v>
      </c>
      <c r="SGA16">
        <v>0</v>
      </c>
      <c r="SGB16">
        <v>0</v>
      </c>
      <c r="SGC16">
        <v>0</v>
      </c>
      <c r="SGD16">
        <v>0</v>
      </c>
      <c r="SGE16">
        <v>0</v>
      </c>
      <c r="SGF16">
        <v>0</v>
      </c>
      <c r="SGG16">
        <v>0</v>
      </c>
      <c r="SGH16">
        <v>0</v>
      </c>
      <c r="SGI16">
        <v>0</v>
      </c>
      <c r="SGJ16">
        <v>0</v>
      </c>
      <c r="SGK16">
        <v>0</v>
      </c>
      <c r="SGL16">
        <v>0</v>
      </c>
      <c r="SGM16">
        <v>0</v>
      </c>
      <c r="SGN16">
        <v>0</v>
      </c>
      <c r="SGO16">
        <v>0</v>
      </c>
      <c r="SGP16">
        <v>0</v>
      </c>
      <c r="SGQ16">
        <v>0</v>
      </c>
      <c r="SGR16">
        <v>0</v>
      </c>
      <c r="SGS16">
        <v>0</v>
      </c>
      <c r="SGT16">
        <v>0</v>
      </c>
      <c r="SGU16">
        <v>0</v>
      </c>
      <c r="SGV16">
        <v>0</v>
      </c>
      <c r="SGW16">
        <v>0</v>
      </c>
      <c r="SGX16">
        <v>0</v>
      </c>
      <c r="SGY16">
        <v>0</v>
      </c>
      <c r="SGZ16">
        <v>0</v>
      </c>
      <c r="SHA16">
        <v>0</v>
      </c>
      <c r="SHB16">
        <v>0</v>
      </c>
      <c r="SHC16">
        <v>0</v>
      </c>
      <c r="SHD16">
        <v>0</v>
      </c>
      <c r="SHE16">
        <v>0</v>
      </c>
      <c r="SHF16">
        <v>0</v>
      </c>
      <c r="SHG16">
        <v>0</v>
      </c>
      <c r="SHH16">
        <v>0</v>
      </c>
      <c r="SHI16">
        <v>0</v>
      </c>
      <c r="SHJ16">
        <v>0</v>
      </c>
      <c r="SHK16">
        <v>0</v>
      </c>
      <c r="SHL16">
        <v>0</v>
      </c>
      <c r="SHM16">
        <v>0</v>
      </c>
      <c r="SHN16">
        <v>0</v>
      </c>
      <c r="SHO16">
        <v>0</v>
      </c>
      <c r="SHP16">
        <v>0</v>
      </c>
      <c r="SHQ16">
        <v>0</v>
      </c>
      <c r="SHR16">
        <v>0</v>
      </c>
      <c r="SHS16">
        <v>0</v>
      </c>
      <c r="SHT16">
        <v>0</v>
      </c>
      <c r="SHU16">
        <v>0</v>
      </c>
      <c r="SHV16">
        <v>0</v>
      </c>
      <c r="SHW16">
        <v>0</v>
      </c>
      <c r="SHX16">
        <v>0</v>
      </c>
      <c r="SHY16">
        <v>0</v>
      </c>
      <c r="SHZ16">
        <v>0</v>
      </c>
      <c r="SIA16">
        <v>0</v>
      </c>
      <c r="SIB16">
        <v>0</v>
      </c>
      <c r="SIC16">
        <v>0</v>
      </c>
      <c r="SID16">
        <v>0</v>
      </c>
      <c r="SIE16">
        <v>0</v>
      </c>
      <c r="SIF16">
        <v>0</v>
      </c>
      <c r="SIG16">
        <v>0</v>
      </c>
      <c r="SIH16">
        <v>0</v>
      </c>
      <c r="SII16">
        <v>0</v>
      </c>
      <c r="SIJ16">
        <v>0</v>
      </c>
      <c r="SIK16">
        <v>0</v>
      </c>
      <c r="SIL16">
        <v>0</v>
      </c>
      <c r="SIM16">
        <v>0</v>
      </c>
      <c r="SIN16">
        <v>0</v>
      </c>
      <c r="SIO16">
        <v>0</v>
      </c>
      <c r="SIP16">
        <v>0</v>
      </c>
      <c r="SIQ16">
        <v>0</v>
      </c>
      <c r="SIR16">
        <v>0</v>
      </c>
      <c r="SIS16">
        <v>0</v>
      </c>
      <c r="SIT16">
        <v>0</v>
      </c>
      <c r="SIU16">
        <v>0</v>
      </c>
      <c r="SIV16">
        <v>0</v>
      </c>
      <c r="SIW16">
        <v>0</v>
      </c>
      <c r="SIX16">
        <v>0</v>
      </c>
      <c r="SIY16">
        <v>0</v>
      </c>
      <c r="SIZ16">
        <v>0</v>
      </c>
      <c r="SJA16">
        <v>0</v>
      </c>
      <c r="SJB16">
        <v>0</v>
      </c>
      <c r="SJC16">
        <v>0</v>
      </c>
      <c r="SJD16">
        <v>0</v>
      </c>
      <c r="SJE16">
        <v>0</v>
      </c>
      <c r="SJF16">
        <v>0</v>
      </c>
      <c r="SJG16">
        <v>0</v>
      </c>
      <c r="SJH16">
        <v>0</v>
      </c>
      <c r="SJI16">
        <v>0</v>
      </c>
      <c r="SJJ16">
        <v>0</v>
      </c>
      <c r="SJK16">
        <v>0</v>
      </c>
      <c r="SJL16">
        <v>0</v>
      </c>
      <c r="SJM16">
        <v>0</v>
      </c>
      <c r="SJN16">
        <v>0</v>
      </c>
      <c r="SJO16">
        <v>0</v>
      </c>
      <c r="SJP16">
        <v>0</v>
      </c>
      <c r="SJQ16">
        <v>0</v>
      </c>
      <c r="SJR16">
        <v>0</v>
      </c>
      <c r="SJS16">
        <v>0</v>
      </c>
      <c r="SJT16">
        <v>0</v>
      </c>
      <c r="SJU16">
        <v>0</v>
      </c>
      <c r="SJV16">
        <v>0</v>
      </c>
      <c r="SJW16">
        <v>0</v>
      </c>
      <c r="SJX16">
        <v>0</v>
      </c>
      <c r="SJY16">
        <v>0</v>
      </c>
      <c r="SJZ16">
        <v>0</v>
      </c>
      <c r="SKA16">
        <v>0</v>
      </c>
      <c r="SKB16">
        <v>0</v>
      </c>
      <c r="SKC16">
        <v>0</v>
      </c>
      <c r="SKD16">
        <v>0</v>
      </c>
      <c r="SKE16">
        <v>0</v>
      </c>
      <c r="SKF16">
        <v>0</v>
      </c>
      <c r="SKG16">
        <v>0</v>
      </c>
      <c r="SKH16">
        <v>0</v>
      </c>
      <c r="SKI16">
        <v>0</v>
      </c>
      <c r="SKJ16">
        <v>0</v>
      </c>
      <c r="SKK16">
        <v>0</v>
      </c>
      <c r="SKL16">
        <v>0</v>
      </c>
      <c r="SKM16">
        <v>0</v>
      </c>
      <c r="SKN16">
        <v>0</v>
      </c>
      <c r="SKO16">
        <v>0</v>
      </c>
      <c r="SKP16">
        <v>0</v>
      </c>
      <c r="SKQ16">
        <v>0</v>
      </c>
      <c r="SKR16">
        <v>0</v>
      </c>
      <c r="SKS16">
        <v>0</v>
      </c>
      <c r="SKT16">
        <v>0</v>
      </c>
      <c r="SKU16">
        <v>0</v>
      </c>
      <c r="SKV16">
        <v>0</v>
      </c>
      <c r="SKW16">
        <v>0</v>
      </c>
      <c r="SKX16">
        <v>0</v>
      </c>
      <c r="SKY16">
        <v>0</v>
      </c>
      <c r="SKZ16">
        <v>0</v>
      </c>
      <c r="SLA16">
        <v>0</v>
      </c>
      <c r="SLB16">
        <v>0</v>
      </c>
      <c r="SLC16">
        <v>0</v>
      </c>
      <c r="SLD16">
        <v>0</v>
      </c>
      <c r="SLE16">
        <v>0</v>
      </c>
      <c r="SLF16">
        <v>0</v>
      </c>
      <c r="SLG16">
        <v>0</v>
      </c>
      <c r="SLH16">
        <v>0</v>
      </c>
      <c r="SLI16">
        <v>0</v>
      </c>
      <c r="SLJ16">
        <v>0</v>
      </c>
      <c r="SLK16">
        <v>0</v>
      </c>
      <c r="SLL16">
        <v>0</v>
      </c>
      <c r="SLM16">
        <v>0</v>
      </c>
      <c r="SLN16">
        <v>0</v>
      </c>
      <c r="SLO16">
        <v>0</v>
      </c>
      <c r="SLP16">
        <v>0</v>
      </c>
      <c r="SLQ16">
        <v>0</v>
      </c>
      <c r="SLR16">
        <v>0</v>
      </c>
      <c r="SLS16">
        <v>0</v>
      </c>
      <c r="SLT16">
        <v>0</v>
      </c>
      <c r="SLU16">
        <v>0</v>
      </c>
      <c r="SLV16">
        <v>0</v>
      </c>
      <c r="SLW16">
        <v>0</v>
      </c>
      <c r="SLX16">
        <v>0</v>
      </c>
      <c r="SLY16">
        <v>0</v>
      </c>
      <c r="SLZ16">
        <v>0</v>
      </c>
      <c r="SMA16">
        <v>0</v>
      </c>
      <c r="SMB16">
        <v>0</v>
      </c>
      <c r="SMC16">
        <v>0</v>
      </c>
      <c r="SMD16">
        <v>0</v>
      </c>
      <c r="SME16">
        <v>0</v>
      </c>
      <c r="SMF16">
        <v>0</v>
      </c>
      <c r="SMG16">
        <v>0</v>
      </c>
      <c r="SMH16">
        <v>0</v>
      </c>
      <c r="SMI16">
        <v>0</v>
      </c>
      <c r="SMJ16">
        <v>0</v>
      </c>
      <c r="SMK16">
        <v>0</v>
      </c>
      <c r="SML16">
        <v>0</v>
      </c>
      <c r="SMM16">
        <v>0</v>
      </c>
      <c r="SMN16">
        <v>0</v>
      </c>
      <c r="SMO16">
        <v>0</v>
      </c>
      <c r="SMP16">
        <v>0</v>
      </c>
      <c r="SMQ16">
        <v>0</v>
      </c>
      <c r="SMR16">
        <v>0</v>
      </c>
      <c r="SMS16">
        <v>0</v>
      </c>
      <c r="SMT16">
        <v>0</v>
      </c>
      <c r="SMU16">
        <v>0</v>
      </c>
      <c r="SMV16">
        <v>0</v>
      </c>
      <c r="SMW16">
        <v>0</v>
      </c>
      <c r="SMX16">
        <v>0</v>
      </c>
      <c r="SMY16">
        <v>0</v>
      </c>
      <c r="SMZ16">
        <v>0</v>
      </c>
      <c r="SNA16">
        <v>0</v>
      </c>
      <c r="SNB16">
        <v>0</v>
      </c>
      <c r="SNC16">
        <v>0</v>
      </c>
      <c r="SND16">
        <v>0</v>
      </c>
      <c r="SNE16">
        <v>0</v>
      </c>
      <c r="SNF16">
        <v>0</v>
      </c>
      <c r="SNG16">
        <v>0</v>
      </c>
      <c r="SNH16">
        <v>0</v>
      </c>
      <c r="SNI16">
        <v>0</v>
      </c>
      <c r="SNJ16">
        <v>0</v>
      </c>
      <c r="SNK16">
        <v>0</v>
      </c>
      <c r="SNL16">
        <v>0</v>
      </c>
      <c r="SNM16">
        <v>0</v>
      </c>
      <c r="SNN16">
        <v>0</v>
      </c>
      <c r="SNO16">
        <v>0</v>
      </c>
      <c r="SNP16">
        <v>0</v>
      </c>
      <c r="SNQ16">
        <v>0</v>
      </c>
      <c r="SNR16">
        <v>0</v>
      </c>
      <c r="SNS16">
        <v>0</v>
      </c>
      <c r="SNT16">
        <v>0</v>
      </c>
      <c r="SNU16">
        <v>0</v>
      </c>
      <c r="SNV16">
        <v>0</v>
      </c>
      <c r="SNW16">
        <v>0</v>
      </c>
      <c r="SNX16">
        <v>0</v>
      </c>
      <c r="SNY16">
        <v>0</v>
      </c>
      <c r="SNZ16">
        <v>0</v>
      </c>
      <c r="SOA16">
        <v>0</v>
      </c>
      <c r="SOB16">
        <v>0</v>
      </c>
      <c r="SOC16">
        <v>0</v>
      </c>
      <c r="SOD16">
        <v>0</v>
      </c>
      <c r="SOE16">
        <v>0</v>
      </c>
      <c r="SOF16">
        <v>0</v>
      </c>
      <c r="SOG16">
        <v>0</v>
      </c>
      <c r="SOH16">
        <v>0</v>
      </c>
      <c r="SOI16">
        <v>0</v>
      </c>
      <c r="SOJ16">
        <v>0</v>
      </c>
      <c r="SOK16">
        <v>0</v>
      </c>
      <c r="SOL16">
        <v>0</v>
      </c>
      <c r="SOM16">
        <v>0</v>
      </c>
      <c r="SON16">
        <v>0</v>
      </c>
      <c r="SOO16">
        <v>0</v>
      </c>
      <c r="SOP16">
        <v>0</v>
      </c>
      <c r="SOQ16">
        <v>0</v>
      </c>
      <c r="SOR16">
        <v>0</v>
      </c>
      <c r="SOS16">
        <v>0</v>
      </c>
      <c r="SOT16">
        <v>0</v>
      </c>
      <c r="SOU16">
        <v>0</v>
      </c>
      <c r="SOV16">
        <v>0</v>
      </c>
      <c r="SOW16">
        <v>0</v>
      </c>
      <c r="SOX16">
        <v>0</v>
      </c>
      <c r="SOY16">
        <v>0</v>
      </c>
      <c r="SOZ16">
        <v>0</v>
      </c>
      <c r="SPA16">
        <v>0</v>
      </c>
      <c r="SPB16">
        <v>0</v>
      </c>
      <c r="SPC16">
        <v>0</v>
      </c>
      <c r="SPD16">
        <v>0</v>
      </c>
      <c r="SPE16">
        <v>0</v>
      </c>
      <c r="SPF16">
        <v>0</v>
      </c>
      <c r="SPG16">
        <v>0</v>
      </c>
      <c r="SPH16">
        <v>0</v>
      </c>
      <c r="SPI16">
        <v>0</v>
      </c>
      <c r="SPJ16">
        <v>0</v>
      </c>
      <c r="SPK16">
        <v>0</v>
      </c>
      <c r="SPL16">
        <v>0</v>
      </c>
      <c r="SPM16">
        <v>0</v>
      </c>
      <c r="SPN16">
        <v>0</v>
      </c>
      <c r="SPO16">
        <v>0</v>
      </c>
      <c r="SPP16">
        <v>0</v>
      </c>
      <c r="SPQ16">
        <v>0</v>
      </c>
      <c r="SPR16">
        <v>0</v>
      </c>
      <c r="SPS16">
        <v>0</v>
      </c>
      <c r="SPT16">
        <v>0</v>
      </c>
      <c r="SPU16">
        <v>0</v>
      </c>
      <c r="SPV16">
        <v>0</v>
      </c>
      <c r="SPW16">
        <v>0</v>
      </c>
      <c r="SPX16">
        <v>0</v>
      </c>
      <c r="SPY16">
        <v>0</v>
      </c>
      <c r="SPZ16">
        <v>0</v>
      </c>
      <c r="SQA16">
        <v>0</v>
      </c>
      <c r="SQB16">
        <v>0</v>
      </c>
      <c r="SQC16">
        <v>0</v>
      </c>
      <c r="SQD16">
        <v>0</v>
      </c>
      <c r="SQE16">
        <v>0</v>
      </c>
      <c r="SQF16">
        <v>0</v>
      </c>
      <c r="SQG16">
        <v>0</v>
      </c>
      <c r="SQH16">
        <v>0</v>
      </c>
      <c r="SQI16">
        <v>0</v>
      </c>
      <c r="SQJ16">
        <v>0</v>
      </c>
      <c r="SQK16">
        <v>0</v>
      </c>
      <c r="SQL16">
        <v>0</v>
      </c>
      <c r="SQM16">
        <v>0</v>
      </c>
      <c r="SQN16">
        <v>0</v>
      </c>
      <c r="SQO16">
        <v>0</v>
      </c>
      <c r="SQP16">
        <v>0</v>
      </c>
      <c r="SQQ16">
        <v>0</v>
      </c>
      <c r="SQR16">
        <v>0</v>
      </c>
      <c r="SQS16">
        <v>0</v>
      </c>
      <c r="SQT16">
        <v>0</v>
      </c>
      <c r="SQU16">
        <v>0</v>
      </c>
      <c r="SQV16">
        <v>0</v>
      </c>
      <c r="SQW16">
        <v>0</v>
      </c>
      <c r="SQX16">
        <v>0</v>
      </c>
      <c r="SQY16">
        <v>0</v>
      </c>
      <c r="SQZ16">
        <v>0</v>
      </c>
      <c r="SRA16">
        <v>0</v>
      </c>
      <c r="SRB16">
        <v>0</v>
      </c>
      <c r="SRC16">
        <v>0</v>
      </c>
      <c r="SRD16">
        <v>0</v>
      </c>
      <c r="SRE16">
        <v>0</v>
      </c>
      <c r="SRF16">
        <v>0</v>
      </c>
      <c r="SRG16">
        <v>0</v>
      </c>
      <c r="SRH16">
        <v>0</v>
      </c>
      <c r="SRI16">
        <v>0</v>
      </c>
      <c r="SRJ16">
        <v>0</v>
      </c>
      <c r="SRK16">
        <v>0</v>
      </c>
      <c r="SRL16">
        <v>0</v>
      </c>
      <c r="SRM16">
        <v>0</v>
      </c>
      <c r="SRN16">
        <v>0</v>
      </c>
      <c r="SRO16">
        <v>0</v>
      </c>
      <c r="SRP16">
        <v>0</v>
      </c>
      <c r="SRQ16">
        <v>0</v>
      </c>
      <c r="SRR16">
        <v>0</v>
      </c>
      <c r="SRS16">
        <v>0</v>
      </c>
      <c r="SRT16">
        <v>0</v>
      </c>
      <c r="SRU16">
        <v>0</v>
      </c>
      <c r="SRV16">
        <v>0</v>
      </c>
      <c r="SRW16">
        <v>0</v>
      </c>
      <c r="SRX16">
        <v>0</v>
      </c>
      <c r="SRY16">
        <v>0</v>
      </c>
      <c r="SRZ16">
        <v>0</v>
      </c>
      <c r="SSA16">
        <v>0</v>
      </c>
      <c r="SSB16">
        <v>0</v>
      </c>
      <c r="SSC16">
        <v>0</v>
      </c>
      <c r="SSD16">
        <v>0</v>
      </c>
      <c r="SSE16">
        <v>0</v>
      </c>
      <c r="SSF16">
        <v>0</v>
      </c>
      <c r="SSG16">
        <v>0</v>
      </c>
      <c r="SSH16">
        <v>0</v>
      </c>
      <c r="SSI16">
        <v>0</v>
      </c>
      <c r="SSJ16">
        <v>0</v>
      </c>
      <c r="SSK16">
        <v>0</v>
      </c>
      <c r="SSL16">
        <v>0</v>
      </c>
      <c r="SSM16">
        <v>0</v>
      </c>
      <c r="SSN16">
        <v>0</v>
      </c>
      <c r="SSO16">
        <v>0</v>
      </c>
      <c r="SSP16">
        <v>0</v>
      </c>
      <c r="SSQ16">
        <v>0</v>
      </c>
      <c r="SSR16">
        <v>0</v>
      </c>
      <c r="SSS16">
        <v>0</v>
      </c>
      <c r="SST16">
        <v>0</v>
      </c>
      <c r="SSU16">
        <v>0</v>
      </c>
      <c r="SSV16">
        <v>0</v>
      </c>
      <c r="SSW16">
        <v>0</v>
      </c>
      <c r="SSX16">
        <v>0</v>
      </c>
      <c r="SSY16">
        <v>0</v>
      </c>
      <c r="SSZ16">
        <v>0</v>
      </c>
      <c r="STA16">
        <v>0</v>
      </c>
      <c r="STB16">
        <v>0</v>
      </c>
      <c r="STC16">
        <v>0</v>
      </c>
      <c r="STD16">
        <v>0</v>
      </c>
      <c r="STE16">
        <v>0</v>
      </c>
      <c r="STF16">
        <v>0</v>
      </c>
      <c r="STG16">
        <v>0</v>
      </c>
      <c r="STH16">
        <v>0</v>
      </c>
      <c r="STI16">
        <v>0</v>
      </c>
      <c r="STJ16">
        <v>0</v>
      </c>
      <c r="STK16">
        <v>0</v>
      </c>
      <c r="STL16">
        <v>0</v>
      </c>
      <c r="STM16">
        <v>0</v>
      </c>
      <c r="STN16">
        <v>0</v>
      </c>
      <c r="STO16">
        <v>0</v>
      </c>
      <c r="STP16">
        <v>0</v>
      </c>
      <c r="STQ16">
        <v>0</v>
      </c>
      <c r="STR16">
        <v>0</v>
      </c>
      <c r="STS16">
        <v>0</v>
      </c>
      <c r="STT16">
        <v>0</v>
      </c>
      <c r="STU16">
        <v>0</v>
      </c>
      <c r="STV16">
        <v>0</v>
      </c>
      <c r="STW16">
        <v>0</v>
      </c>
      <c r="STX16">
        <v>0</v>
      </c>
      <c r="STY16">
        <v>0</v>
      </c>
      <c r="STZ16">
        <v>0</v>
      </c>
      <c r="SUA16">
        <v>0</v>
      </c>
      <c r="SUB16">
        <v>0</v>
      </c>
      <c r="SUC16">
        <v>0</v>
      </c>
      <c r="SUD16">
        <v>0</v>
      </c>
      <c r="SUE16">
        <v>0</v>
      </c>
      <c r="SUF16">
        <v>0</v>
      </c>
      <c r="SUG16">
        <v>0</v>
      </c>
      <c r="SUH16">
        <v>0</v>
      </c>
      <c r="SUI16">
        <v>0</v>
      </c>
      <c r="SUJ16">
        <v>0</v>
      </c>
      <c r="SUK16">
        <v>0</v>
      </c>
      <c r="SUL16">
        <v>0</v>
      </c>
      <c r="SUM16">
        <v>0</v>
      </c>
      <c r="SUN16">
        <v>0</v>
      </c>
      <c r="SUO16">
        <v>0</v>
      </c>
      <c r="SUP16">
        <v>0</v>
      </c>
      <c r="SUQ16">
        <v>0</v>
      </c>
      <c r="SUR16">
        <v>0</v>
      </c>
      <c r="SUS16">
        <v>0</v>
      </c>
      <c r="SUT16">
        <v>0</v>
      </c>
      <c r="SUU16">
        <v>0</v>
      </c>
      <c r="SUV16">
        <v>0</v>
      </c>
      <c r="SUW16">
        <v>0</v>
      </c>
      <c r="SUX16">
        <v>0</v>
      </c>
      <c r="SUY16">
        <v>0</v>
      </c>
      <c r="SUZ16">
        <v>0</v>
      </c>
      <c r="SVA16">
        <v>0</v>
      </c>
      <c r="SVB16">
        <v>0</v>
      </c>
      <c r="SVC16">
        <v>0</v>
      </c>
      <c r="SVD16">
        <v>0</v>
      </c>
      <c r="SVE16">
        <v>0</v>
      </c>
      <c r="SVF16">
        <v>0</v>
      </c>
      <c r="SVG16">
        <v>0</v>
      </c>
      <c r="SVH16">
        <v>0</v>
      </c>
      <c r="SVI16">
        <v>0</v>
      </c>
      <c r="SVJ16">
        <v>0</v>
      </c>
      <c r="SVK16">
        <v>0</v>
      </c>
      <c r="SVL16">
        <v>0</v>
      </c>
      <c r="SVM16">
        <v>0</v>
      </c>
      <c r="SVN16">
        <v>0</v>
      </c>
      <c r="SVO16">
        <v>0</v>
      </c>
      <c r="SVP16">
        <v>0</v>
      </c>
      <c r="SVQ16">
        <v>0</v>
      </c>
      <c r="SVR16">
        <v>0</v>
      </c>
      <c r="SVS16">
        <v>0</v>
      </c>
      <c r="SVT16">
        <v>0</v>
      </c>
      <c r="SVU16">
        <v>0</v>
      </c>
      <c r="SVV16">
        <v>0</v>
      </c>
      <c r="SVW16">
        <v>0</v>
      </c>
      <c r="SVX16">
        <v>0</v>
      </c>
      <c r="SVY16">
        <v>0</v>
      </c>
      <c r="SVZ16">
        <v>0</v>
      </c>
      <c r="SWA16">
        <v>0</v>
      </c>
      <c r="SWB16">
        <v>0</v>
      </c>
      <c r="SWC16">
        <v>0</v>
      </c>
      <c r="SWD16">
        <v>0</v>
      </c>
      <c r="SWE16">
        <v>0</v>
      </c>
      <c r="SWF16">
        <v>0</v>
      </c>
      <c r="SWG16">
        <v>0</v>
      </c>
      <c r="SWH16">
        <v>0</v>
      </c>
      <c r="SWI16">
        <v>0</v>
      </c>
      <c r="SWJ16">
        <v>0</v>
      </c>
      <c r="SWK16">
        <v>0</v>
      </c>
      <c r="SWL16">
        <v>0</v>
      </c>
      <c r="SWM16">
        <v>0</v>
      </c>
      <c r="SWN16">
        <v>0</v>
      </c>
      <c r="SWO16">
        <v>0</v>
      </c>
      <c r="SWP16">
        <v>0</v>
      </c>
      <c r="SWQ16">
        <v>0</v>
      </c>
      <c r="SWR16">
        <v>0</v>
      </c>
      <c r="SWS16">
        <v>0</v>
      </c>
      <c r="SWT16">
        <v>0</v>
      </c>
      <c r="SWU16">
        <v>0</v>
      </c>
      <c r="SWV16">
        <v>0</v>
      </c>
      <c r="SWW16">
        <v>0</v>
      </c>
      <c r="SWX16">
        <v>0</v>
      </c>
      <c r="SWY16">
        <v>0</v>
      </c>
      <c r="SWZ16">
        <v>0</v>
      </c>
      <c r="SXA16">
        <v>0</v>
      </c>
      <c r="SXB16">
        <v>0</v>
      </c>
      <c r="SXC16">
        <v>0</v>
      </c>
      <c r="SXD16">
        <v>0</v>
      </c>
      <c r="SXE16">
        <v>0</v>
      </c>
      <c r="SXF16">
        <v>0</v>
      </c>
      <c r="SXG16">
        <v>0</v>
      </c>
      <c r="SXH16">
        <v>0</v>
      </c>
      <c r="SXI16">
        <v>0</v>
      </c>
      <c r="SXJ16">
        <v>0</v>
      </c>
      <c r="SXK16">
        <v>0</v>
      </c>
      <c r="SXL16">
        <v>0</v>
      </c>
      <c r="SXM16">
        <v>0</v>
      </c>
      <c r="SXN16">
        <v>0</v>
      </c>
      <c r="SXO16">
        <v>0</v>
      </c>
      <c r="SXP16">
        <v>0</v>
      </c>
      <c r="SXQ16">
        <v>0</v>
      </c>
      <c r="SXR16">
        <v>0</v>
      </c>
      <c r="SXS16">
        <v>0</v>
      </c>
      <c r="SXT16">
        <v>0</v>
      </c>
      <c r="SXU16">
        <v>0</v>
      </c>
      <c r="SXV16">
        <v>0</v>
      </c>
      <c r="SXW16">
        <v>0</v>
      </c>
      <c r="SXX16">
        <v>0</v>
      </c>
      <c r="SXY16">
        <v>0</v>
      </c>
      <c r="SXZ16">
        <v>0</v>
      </c>
      <c r="SYA16">
        <v>0</v>
      </c>
      <c r="SYB16">
        <v>0</v>
      </c>
      <c r="SYC16">
        <v>0</v>
      </c>
      <c r="SYD16">
        <v>0</v>
      </c>
      <c r="SYE16">
        <v>0</v>
      </c>
      <c r="SYF16">
        <v>0</v>
      </c>
      <c r="SYG16">
        <v>0</v>
      </c>
      <c r="SYH16">
        <v>0</v>
      </c>
      <c r="SYI16">
        <v>0</v>
      </c>
      <c r="SYJ16">
        <v>0</v>
      </c>
      <c r="SYK16">
        <v>0</v>
      </c>
      <c r="SYL16">
        <v>0</v>
      </c>
      <c r="SYM16">
        <v>0</v>
      </c>
      <c r="SYN16">
        <v>0</v>
      </c>
      <c r="SYO16">
        <v>0</v>
      </c>
      <c r="SYP16">
        <v>0</v>
      </c>
      <c r="SYQ16">
        <v>0</v>
      </c>
      <c r="SYR16">
        <v>0</v>
      </c>
      <c r="SYS16">
        <v>0</v>
      </c>
      <c r="SYT16">
        <v>0</v>
      </c>
      <c r="SYU16">
        <v>0</v>
      </c>
      <c r="SYV16">
        <v>0</v>
      </c>
      <c r="SYW16">
        <v>0</v>
      </c>
      <c r="SYX16">
        <v>0</v>
      </c>
      <c r="SYY16">
        <v>0</v>
      </c>
      <c r="SYZ16">
        <v>0</v>
      </c>
      <c r="SZA16">
        <v>0</v>
      </c>
      <c r="SZB16">
        <v>0</v>
      </c>
      <c r="SZC16">
        <v>0</v>
      </c>
      <c r="SZD16">
        <v>0</v>
      </c>
      <c r="SZE16">
        <v>0</v>
      </c>
      <c r="SZF16">
        <v>0</v>
      </c>
      <c r="SZG16">
        <v>0</v>
      </c>
      <c r="SZH16">
        <v>0</v>
      </c>
      <c r="SZI16">
        <v>0</v>
      </c>
      <c r="SZJ16">
        <v>0</v>
      </c>
      <c r="SZK16">
        <v>0</v>
      </c>
      <c r="SZL16">
        <v>0</v>
      </c>
      <c r="SZM16">
        <v>0</v>
      </c>
      <c r="SZN16">
        <v>0</v>
      </c>
      <c r="SZO16">
        <v>0</v>
      </c>
      <c r="SZP16">
        <v>0</v>
      </c>
      <c r="SZQ16">
        <v>0</v>
      </c>
      <c r="SZR16">
        <v>0</v>
      </c>
      <c r="SZS16">
        <v>0</v>
      </c>
      <c r="SZT16">
        <v>0</v>
      </c>
      <c r="SZU16">
        <v>0</v>
      </c>
      <c r="SZV16">
        <v>0</v>
      </c>
      <c r="SZW16">
        <v>0</v>
      </c>
      <c r="SZX16">
        <v>0</v>
      </c>
      <c r="SZY16">
        <v>0</v>
      </c>
      <c r="SZZ16">
        <v>0</v>
      </c>
      <c r="TAA16">
        <v>0</v>
      </c>
      <c r="TAB16">
        <v>0</v>
      </c>
      <c r="TAC16">
        <v>0</v>
      </c>
      <c r="TAD16">
        <v>0</v>
      </c>
      <c r="TAE16">
        <v>0</v>
      </c>
      <c r="TAF16">
        <v>0</v>
      </c>
      <c r="TAG16">
        <v>0</v>
      </c>
      <c r="TAH16">
        <v>0</v>
      </c>
      <c r="TAI16">
        <v>0</v>
      </c>
      <c r="TAJ16">
        <v>0</v>
      </c>
      <c r="TAK16">
        <v>0</v>
      </c>
      <c r="TAL16">
        <v>0</v>
      </c>
      <c r="TAM16">
        <v>0</v>
      </c>
      <c r="TAN16">
        <v>0</v>
      </c>
      <c r="TAO16">
        <v>0</v>
      </c>
      <c r="TAP16">
        <v>0</v>
      </c>
      <c r="TAQ16">
        <v>0</v>
      </c>
      <c r="TAR16">
        <v>0</v>
      </c>
      <c r="TAS16">
        <v>0</v>
      </c>
      <c r="TAT16">
        <v>0</v>
      </c>
      <c r="TAU16">
        <v>0</v>
      </c>
      <c r="TAV16">
        <v>0</v>
      </c>
      <c r="TAW16">
        <v>0</v>
      </c>
      <c r="TAX16">
        <v>0</v>
      </c>
      <c r="TAY16">
        <v>0</v>
      </c>
      <c r="TAZ16">
        <v>0</v>
      </c>
      <c r="TBA16">
        <v>0</v>
      </c>
      <c r="TBB16">
        <v>0</v>
      </c>
      <c r="TBC16">
        <v>0</v>
      </c>
      <c r="TBD16">
        <v>0</v>
      </c>
      <c r="TBE16">
        <v>0</v>
      </c>
      <c r="TBF16">
        <v>0</v>
      </c>
      <c r="TBG16">
        <v>0</v>
      </c>
      <c r="TBH16">
        <v>0</v>
      </c>
      <c r="TBI16">
        <v>0</v>
      </c>
      <c r="TBJ16">
        <v>0</v>
      </c>
      <c r="TBK16">
        <v>0</v>
      </c>
      <c r="TBL16">
        <v>0</v>
      </c>
      <c r="TBM16">
        <v>0</v>
      </c>
      <c r="TBN16">
        <v>0</v>
      </c>
      <c r="TBO16">
        <v>0</v>
      </c>
      <c r="TBP16">
        <v>0</v>
      </c>
      <c r="TBQ16">
        <v>0</v>
      </c>
      <c r="TBR16">
        <v>0</v>
      </c>
      <c r="TBS16">
        <v>0</v>
      </c>
      <c r="TBT16">
        <v>0</v>
      </c>
      <c r="TBU16">
        <v>0</v>
      </c>
      <c r="TBV16">
        <v>0</v>
      </c>
      <c r="TBW16">
        <v>0</v>
      </c>
      <c r="TBX16">
        <v>0</v>
      </c>
      <c r="TBY16">
        <v>0</v>
      </c>
      <c r="TBZ16">
        <v>0</v>
      </c>
      <c r="TCA16">
        <v>0</v>
      </c>
      <c r="TCB16">
        <v>0</v>
      </c>
      <c r="TCC16">
        <v>0</v>
      </c>
      <c r="TCD16">
        <v>0</v>
      </c>
      <c r="TCE16">
        <v>0</v>
      </c>
      <c r="TCF16">
        <v>0</v>
      </c>
      <c r="TCG16">
        <v>0</v>
      </c>
      <c r="TCH16">
        <v>0</v>
      </c>
      <c r="TCI16">
        <v>0</v>
      </c>
      <c r="TCJ16">
        <v>0</v>
      </c>
      <c r="TCK16">
        <v>0</v>
      </c>
      <c r="TCL16">
        <v>0</v>
      </c>
      <c r="TCM16">
        <v>0</v>
      </c>
      <c r="TCN16">
        <v>0</v>
      </c>
      <c r="TCO16">
        <v>0</v>
      </c>
      <c r="TCP16">
        <v>0</v>
      </c>
      <c r="TCQ16">
        <v>0</v>
      </c>
      <c r="TCR16">
        <v>0</v>
      </c>
      <c r="TCS16">
        <v>0</v>
      </c>
      <c r="TCT16">
        <v>0</v>
      </c>
      <c r="TCU16">
        <v>0</v>
      </c>
      <c r="TCV16">
        <v>0</v>
      </c>
      <c r="TCW16">
        <v>0</v>
      </c>
      <c r="TCX16">
        <v>0</v>
      </c>
      <c r="TCY16">
        <v>0</v>
      </c>
      <c r="TCZ16">
        <v>0</v>
      </c>
      <c r="TDA16">
        <v>0</v>
      </c>
      <c r="TDB16">
        <v>0</v>
      </c>
      <c r="TDC16">
        <v>0</v>
      </c>
      <c r="TDD16">
        <v>0</v>
      </c>
      <c r="TDE16">
        <v>0</v>
      </c>
      <c r="TDF16">
        <v>0</v>
      </c>
      <c r="TDG16">
        <v>0</v>
      </c>
      <c r="TDH16">
        <v>0</v>
      </c>
      <c r="TDI16">
        <v>0</v>
      </c>
      <c r="TDJ16">
        <v>0</v>
      </c>
      <c r="TDK16">
        <v>0</v>
      </c>
      <c r="TDL16">
        <v>0</v>
      </c>
      <c r="TDM16">
        <v>0</v>
      </c>
      <c r="TDN16">
        <v>0</v>
      </c>
      <c r="TDO16">
        <v>0</v>
      </c>
      <c r="TDP16">
        <v>0</v>
      </c>
      <c r="TDQ16">
        <v>0</v>
      </c>
      <c r="TDR16">
        <v>0</v>
      </c>
      <c r="TDS16">
        <v>0</v>
      </c>
      <c r="TDT16">
        <v>0</v>
      </c>
      <c r="TDU16">
        <v>0</v>
      </c>
      <c r="TDV16">
        <v>0</v>
      </c>
      <c r="TDW16">
        <v>0</v>
      </c>
      <c r="TDX16">
        <v>0</v>
      </c>
      <c r="TDY16">
        <v>0</v>
      </c>
      <c r="TDZ16">
        <v>0</v>
      </c>
      <c r="TEA16">
        <v>0</v>
      </c>
      <c r="TEB16">
        <v>0</v>
      </c>
      <c r="TEC16">
        <v>0</v>
      </c>
      <c r="TED16">
        <v>0</v>
      </c>
      <c r="TEE16">
        <v>0</v>
      </c>
      <c r="TEF16">
        <v>0</v>
      </c>
      <c r="TEG16">
        <v>0</v>
      </c>
      <c r="TEH16">
        <v>0</v>
      </c>
      <c r="TEI16">
        <v>0</v>
      </c>
      <c r="TEJ16">
        <v>0</v>
      </c>
      <c r="TEK16">
        <v>0</v>
      </c>
      <c r="TEL16">
        <v>0</v>
      </c>
      <c r="TEM16">
        <v>0</v>
      </c>
      <c r="TEN16">
        <v>0</v>
      </c>
      <c r="TEO16">
        <v>0</v>
      </c>
      <c r="TEP16">
        <v>0</v>
      </c>
      <c r="TEQ16">
        <v>0</v>
      </c>
      <c r="TER16">
        <v>0</v>
      </c>
      <c r="TES16">
        <v>0</v>
      </c>
      <c r="TET16">
        <v>0</v>
      </c>
      <c r="TEU16">
        <v>0</v>
      </c>
      <c r="TEV16">
        <v>0</v>
      </c>
      <c r="TEW16">
        <v>0</v>
      </c>
      <c r="TEX16">
        <v>0</v>
      </c>
      <c r="TEY16">
        <v>0</v>
      </c>
      <c r="TEZ16">
        <v>0</v>
      </c>
      <c r="TFA16">
        <v>0</v>
      </c>
      <c r="TFB16">
        <v>0</v>
      </c>
      <c r="TFC16">
        <v>0</v>
      </c>
      <c r="TFD16">
        <v>0</v>
      </c>
      <c r="TFE16">
        <v>0</v>
      </c>
      <c r="TFF16">
        <v>0</v>
      </c>
      <c r="TFG16">
        <v>0</v>
      </c>
      <c r="TFH16">
        <v>0</v>
      </c>
      <c r="TFI16">
        <v>0</v>
      </c>
      <c r="TFJ16">
        <v>0</v>
      </c>
      <c r="TFK16">
        <v>0</v>
      </c>
      <c r="TFL16">
        <v>0</v>
      </c>
      <c r="TFM16">
        <v>0</v>
      </c>
      <c r="TFN16">
        <v>0</v>
      </c>
      <c r="TFO16">
        <v>0</v>
      </c>
      <c r="TFP16">
        <v>0</v>
      </c>
      <c r="TFQ16">
        <v>0</v>
      </c>
      <c r="TFR16">
        <v>0</v>
      </c>
      <c r="TFS16">
        <v>0</v>
      </c>
      <c r="TFT16">
        <v>0</v>
      </c>
      <c r="TFU16">
        <v>0</v>
      </c>
      <c r="TFV16">
        <v>0</v>
      </c>
      <c r="TFW16">
        <v>0</v>
      </c>
      <c r="TFX16">
        <v>0</v>
      </c>
      <c r="TFY16">
        <v>0</v>
      </c>
      <c r="TFZ16">
        <v>0</v>
      </c>
      <c r="TGA16">
        <v>0</v>
      </c>
      <c r="TGB16">
        <v>0</v>
      </c>
      <c r="TGC16">
        <v>0</v>
      </c>
      <c r="TGD16">
        <v>0</v>
      </c>
      <c r="TGE16">
        <v>0</v>
      </c>
      <c r="TGF16">
        <v>0</v>
      </c>
      <c r="TGG16">
        <v>0</v>
      </c>
      <c r="TGH16">
        <v>0</v>
      </c>
      <c r="TGI16">
        <v>0</v>
      </c>
      <c r="TGJ16">
        <v>0</v>
      </c>
      <c r="TGK16">
        <v>0</v>
      </c>
      <c r="TGL16">
        <v>0</v>
      </c>
      <c r="TGM16">
        <v>0</v>
      </c>
      <c r="TGN16">
        <v>0</v>
      </c>
      <c r="TGO16">
        <v>0</v>
      </c>
      <c r="TGP16">
        <v>0</v>
      </c>
      <c r="TGQ16">
        <v>0</v>
      </c>
      <c r="TGR16">
        <v>0</v>
      </c>
      <c r="TGS16">
        <v>0</v>
      </c>
      <c r="TGT16">
        <v>0</v>
      </c>
      <c r="TGU16">
        <v>0</v>
      </c>
      <c r="TGV16">
        <v>0</v>
      </c>
      <c r="TGW16">
        <v>0</v>
      </c>
      <c r="TGX16">
        <v>0</v>
      </c>
      <c r="TGY16">
        <v>0</v>
      </c>
      <c r="TGZ16">
        <v>0</v>
      </c>
      <c r="THA16">
        <v>0</v>
      </c>
      <c r="THB16">
        <v>0</v>
      </c>
      <c r="THC16">
        <v>0</v>
      </c>
      <c r="THD16">
        <v>0</v>
      </c>
      <c r="THE16">
        <v>0</v>
      </c>
      <c r="THF16">
        <v>0</v>
      </c>
      <c r="THG16">
        <v>0</v>
      </c>
      <c r="THH16">
        <v>0</v>
      </c>
      <c r="THI16">
        <v>0</v>
      </c>
      <c r="THJ16">
        <v>0</v>
      </c>
      <c r="THK16">
        <v>0</v>
      </c>
      <c r="THL16">
        <v>0</v>
      </c>
      <c r="THM16">
        <v>0</v>
      </c>
      <c r="THN16">
        <v>0</v>
      </c>
      <c r="THO16">
        <v>0</v>
      </c>
      <c r="THP16">
        <v>0</v>
      </c>
      <c r="THQ16">
        <v>0</v>
      </c>
      <c r="THR16">
        <v>0</v>
      </c>
      <c r="THS16">
        <v>0</v>
      </c>
      <c r="THT16">
        <v>0</v>
      </c>
      <c r="THU16">
        <v>0</v>
      </c>
      <c r="THV16">
        <v>0</v>
      </c>
      <c r="THW16">
        <v>0</v>
      </c>
      <c r="THX16">
        <v>0</v>
      </c>
      <c r="THY16">
        <v>0</v>
      </c>
      <c r="THZ16">
        <v>0</v>
      </c>
      <c r="TIA16">
        <v>0</v>
      </c>
      <c r="TIB16">
        <v>0</v>
      </c>
      <c r="TIC16">
        <v>0</v>
      </c>
      <c r="TID16">
        <v>0</v>
      </c>
      <c r="TIE16">
        <v>0</v>
      </c>
      <c r="TIF16">
        <v>0</v>
      </c>
      <c r="TIG16">
        <v>0</v>
      </c>
      <c r="TIH16">
        <v>0</v>
      </c>
      <c r="TII16">
        <v>0</v>
      </c>
      <c r="TIJ16">
        <v>0</v>
      </c>
      <c r="TIK16">
        <v>0</v>
      </c>
      <c r="TIL16">
        <v>0</v>
      </c>
      <c r="TIM16">
        <v>0</v>
      </c>
      <c r="TIN16">
        <v>0</v>
      </c>
      <c r="TIO16">
        <v>0</v>
      </c>
      <c r="TIP16">
        <v>0</v>
      </c>
      <c r="TIQ16">
        <v>0</v>
      </c>
      <c r="TIR16">
        <v>0</v>
      </c>
      <c r="TIS16">
        <v>0</v>
      </c>
      <c r="TIT16">
        <v>0</v>
      </c>
      <c r="TIU16">
        <v>0</v>
      </c>
      <c r="TIV16">
        <v>0</v>
      </c>
      <c r="TIW16">
        <v>0</v>
      </c>
      <c r="TIX16">
        <v>0</v>
      </c>
      <c r="TIY16">
        <v>0</v>
      </c>
      <c r="TIZ16">
        <v>0</v>
      </c>
      <c r="TJA16">
        <v>0</v>
      </c>
      <c r="TJB16">
        <v>0</v>
      </c>
      <c r="TJC16">
        <v>0</v>
      </c>
      <c r="TJD16">
        <v>0</v>
      </c>
      <c r="TJE16">
        <v>0</v>
      </c>
      <c r="TJF16">
        <v>0</v>
      </c>
      <c r="TJG16">
        <v>0</v>
      </c>
      <c r="TJH16">
        <v>0</v>
      </c>
      <c r="TJI16">
        <v>0</v>
      </c>
      <c r="TJJ16">
        <v>0</v>
      </c>
      <c r="TJK16">
        <v>0</v>
      </c>
      <c r="TJL16">
        <v>0</v>
      </c>
      <c r="TJM16">
        <v>0</v>
      </c>
      <c r="TJN16">
        <v>0</v>
      </c>
      <c r="TJO16">
        <v>0</v>
      </c>
      <c r="TJP16">
        <v>0</v>
      </c>
      <c r="TJQ16">
        <v>0</v>
      </c>
      <c r="TJR16">
        <v>0</v>
      </c>
      <c r="TJS16">
        <v>0</v>
      </c>
      <c r="TJT16">
        <v>0</v>
      </c>
      <c r="TJU16">
        <v>0</v>
      </c>
      <c r="TJV16">
        <v>0</v>
      </c>
      <c r="TJW16">
        <v>0</v>
      </c>
      <c r="TJX16">
        <v>0</v>
      </c>
      <c r="TJY16">
        <v>0</v>
      </c>
      <c r="TJZ16">
        <v>0</v>
      </c>
      <c r="TKA16">
        <v>0</v>
      </c>
      <c r="TKB16">
        <v>0</v>
      </c>
      <c r="TKC16">
        <v>0</v>
      </c>
      <c r="TKD16">
        <v>0</v>
      </c>
      <c r="TKE16">
        <v>0</v>
      </c>
      <c r="TKF16">
        <v>0</v>
      </c>
      <c r="TKG16">
        <v>0</v>
      </c>
      <c r="TKH16">
        <v>0</v>
      </c>
      <c r="TKI16">
        <v>0</v>
      </c>
      <c r="TKJ16">
        <v>0</v>
      </c>
      <c r="TKK16">
        <v>0</v>
      </c>
      <c r="TKL16">
        <v>0</v>
      </c>
      <c r="TKM16">
        <v>0</v>
      </c>
      <c r="TKN16">
        <v>0</v>
      </c>
      <c r="TKO16">
        <v>0</v>
      </c>
      <c r="TKP16">
        <v>0</v>
      </c>
      <c r="TKQ16">
        <v>0</v>
      </c>
      <c r="TKR16">
        <v>0</v>
      </c>
      <c r="TKS16">
        <v>0</v>
      </c>
      <c r="TKT16">
        <v>0</v>
      </c>
      <c r="TKU16">
        <v>0</v>
      </c>
      <c r="TKV16">
        <v>0</v>
      </c>
      <c r="TKW16">
        <v>0</v>
      </c>
      <c r="TKX16">
        <v>0</v>
      </c>
      <c r="TKY16">
        <v>0</v>
      </c>
      <c r="TKZ16">
        <v>0</v>
      </c>
      <c r="TLA16">
        <v>0</v>
      </c>
      <c r="TLB16">
        <v>0</v>
      </c>
      <c r="TLC16">
        <v>0</v>
      </c>
      <c r="TLD16">
        <v>0</v>
      </c>
      <c r="TLE16">
        <v>0</v>
      </c>
      <c r="TLF16">
        <v>0</v>
      </c>
      <c r="TLG16">
        <v>0</v>
      </c>
      <c r="TLH16">
        <v>0</v>
      </c>
      <c r="TLI16">
        <v>0</v>
      </c>
      <c r="TLJ16">
        <v>0</v>
      </c>
      <c r="TLK16">
        <v>0</v>
      </c>
      <c r="TLL16">
        <v>0</v>
      </c>
      <c r="TLM16">
        <v>0</v>
      </c>
      <c r="TLN16">
        <v>0</v>
      </c>
      <c r="TLO16">
        <v>0</v>
      </c>
      <c r="TLP16">
        <v>0</v>
      </c>
      <c r="TLQ16">
        <v>0</v>
      </c>
      <c r="TLR16">
        <v>0</v>
      </c>
      <c r="TLS16">
        <v>0</v>
      </c>
      <c r="TLT16">
        <v>0</v>
      </c>
      <c r="TLU16">
        <v>0</v>
      </c>
      <c r="TLV16">
        <v>0</v>
      </c>
      <c r="TLW16">
        <v>0</v>
      </c>
      <c r="TLX16">
        <v>0</v>
      </c>
      <c r="TLY16">
        <v>0</v>
      </c>
      <c r="TLZ16">
        <v>0</v>
      </c>
      <c r="TMA16">
        <v>0</v>
      </c>
      <c r="TMB16">
        <v>0</v>
      </c>
      <c r="TMC16">
        <v>0</v>
      </c>
      <c r="TMD16">
        <v>0</v>
      </c>
      <c r="TME16">
        <v>0</v>
      </c>
      <c r="TMF16">
        <v>0</v>
      </c>
      <c r="TMG16">
        <v>0</v>
      </c>
      <c r="TMH16">
        <v>0</v>
      </c>
      <c r="TMI16">
        <v>0</v>
      </c>
      <c r="TMJ16">
        <v>0</v>
      </c>
      <c r="TMK16">
        <v>0</v>
      </c>
      <c r="TML16">
        <v>0</v>
      </c>
      <c r="TMM16">
        <v>0</v>
      </c>
      <c r="TMN16">
        <v>0</v>
      </c>
      <c r="TMO16">
        <v>0</v>
      </c>
      <c r="TMP16">
        <v>0</v>
      </c>
      <c r="TMQ16">
        <v>0</v>
      </c>
      <c r="TMR16">
        <v>0</v>
      </c>
      <c r="TMS16">
        <v>0</v>
      </c>
      <c r="TMT16">
        <v>0</v>
      </c>
      <c r="TMU16">
        <v>0</v>
      </c>
      <c r="TMV16">
        <v>0</v>
      </c>
      <c r="TMW16">
        <v>0</v>
      </c>
      <c r="TMX16">
        <v>0</v>
      </c>
      <c r="TMY16">
        <v>0</v>
      </c>
      <c r="TMZ16">
        <v>0</v>
      </c>
      <c r="TNA16">
        <v>0</v>
      </c>
      <c r="TNB16">
        <v>0</v>
      </c>
      <c r="TNC16">
        <v>0</v>
      </c>
      <c r="TND16">
        <v>0</v>
      </c>
      <c r="TNE16">
        <v>0</v>
      </c>
      <c r="TNF16">
        <v>0</v>
      </c>
      <c r="TNG16">
        <v>0</v>
      </c>
      <c r="TNH16">
        <v>0</v>
      </c>
      <c r="TNI16">
        <v>0</v>
      </c>
      <c r="TNJ16">
        <v>0</v>
      </c>
      <c r="TNK16">
        <v>0</v>
      </c>
      <c r="TNL16">
        <v>0</v>
      </c>
      <c r="TNM16">
        <v>0</v>
      </c>
      <c r="TNN16">
        <v>0</v>
      </c>
      <c r="TNO16">
        <v>0</v>
      </c>
      <c r="TNP16">
        <v>0</v>
      </c>
      <c r="TNQ16">
        <v>0</v>
      </c>
      <c r="TNR16">
        <v>0</v>
      </c>
      <c r="TNS16">
        <v>0</v>
      </c>
      <c r="TNT16">
        <v>0</v>
      </c>
      <c r="TNU16">
        <v>0</v>
      </c>
      <c r="TNV16">
        <v>0</v>
      </c>
      <c r="TNW16">
        <v>0</v>
      </c>
      <c r="TNX16">
        <v>0</v>
      </c>
      <c r="TNY16">
        <v>0</v>
      </c>
      <c r="TNZ16">
        <v>0</v>
      </c>
      <c r="TOA16">
        <v>0</v>
      </c>
      <c r="TOB16">
        <v>0</v>
      </c>
      <c r="TOC16">
        <v>0</v>
      </c>
      <c r="TOD16">
        <v>0</v>
      </c>
      <c r="TOE16">
        <v>0</v>
      </c>
      <c r="TOF16">
        <v>0</v>
      </c>
      <c r="TOG16">
        <v>0</v>
      </c>
      <c r="TOH16">
        <v>0</v>
      </c>
      <c r="TOI16">
        <v>0</v>
      </c>
      <c r="TOJ16">
        <v>0</v>
      </c>
      <c r="TOK16">
        <v>0</v>
      </c>
      <c r="TOL16">
        <v>0</v>
      </c>
      <c r="TOM16">
        <v>0</v>
      </c>
      <c r="TON16">
        <v>0</v>
      </c>
      <c r="TOO16">
        <v>0</v>
      </c>
      <c r="TOP16">
        <v>0</v>
      </c>
      <c r="TOQ16">
        <v>0</v>
      </c>
      <c r="TOR16">
        <v>0</v>
      </c>
      <c r="TOS16">
        <v>0</v>
      </c>
      <c r="TOT16">
        <v>0</v>
      </c>
      <c r="TOU16">
        <v>0</v>
      </c>
      <c r="TOV16">
        <v>0</v>
      </c>
      <c r="TOW16">
        <v>0</v>
      </c>
      <c r="TOX16">
        <v>0</v>
      </c>
      <c r="TOY16">
        <v>0</v>
      </c>
      <c r="TOZ16">
        <v>0</v>
      </c>
      <c r="TPA16">
        <v>0</v>
      </c>
      <c r="TPB16">
        <v>0</v>
      </c>
      <c r="TPC16">
        <v>0</v>
      </c>
      <c r="TPD16">
        <v>0</v>
      </c>
      <c r="TPE16">
        <v>0</v>
      </c>
      <c r="TPF16">
        <v>0</v>
      </c>
      <c r="TPG16">
        <v>0</v>
      </c>
      <c r="TPH16">
        <v>0</v>
      </c>
      <c r="TPI16">
        <v>0</v>
      </c>
      <c r="TPJ16">
        <v>0</v>
      </c>
      <c r="TPK16">
        <v>0</v>
      </c>
      <c r="TPL16">
        <v>0</v>
      </c>
      <c r="TPM16">
        <v>0</v>
      </c>
      <c r="TPN16">
        <v>0</v>
      </c>
      <c r="TPO16">
        <v>0</v>
      </c>
      <c r="TPP16">
        <v>0</v>
      </c>
      <c r="TPQ16">
        <v>0</v>
      </c>
      <c r="TPR16">
        <v>0</v>
      </c>
      <c r="TPS16">
        <v>0</v>
      </c>
      <c r="TPT16">
        <v>0</v>
      </c>
      <c r="TPU16">
        <v>0</v>
      </c>
      <c r="TPV16">
        <v>0</v>
      </c>
      <c r="TPW16">
        <v>0</v>
      </c>
      <c r="TPX16">
        <v>0</v>
      </c>
      <c r="TPY16">
        <v>0</v>
      </c>
      <c r="TPZ16">
        <v>0</v>
      </c>
      <c r="TQA16">
        <v>0</v>
      </c>
      <c r="TQB16">
        <v>0</v>
      </c>
      <c r="TQC16">
        <v>0</v>
      </c>
      <c r="TQD16">
        <v>0</v>
      </c>
      <c r="TQE16">
        <v>0</v>
      </c>
      <c r="TQF16">
        <v>0</v>
      </c>
      <c r="TQG16">
        <v>0</v>
      </c>
      <c r="TQH16">
        <v>0</v>
      </c>
      <c r="TQI16">
        <v>0</v>
      </c>
      <c r="TQJ16">
        <v>0</v>
      </c>
      <c r="TQK16">
        <v>0</v>
      </c>
      <c r="TQL16">
        <v>0</v>
      </c>
      <c r="TQM16">
        <v>0</v>
      </c>
      <c r="TQN16">
        <v>0</v>
      </c>
      <c r="TQO16">
        <v>0</v>
      </c>
      <c r="TQP16">
        <v>0</v>
      </c>
      <c r="TQQ16">
        <v>0</v>
      </c>
      <c r="TQR16">
        <v>0</v>
      </c>
      <c r="TQS16">
        <v>0</v>
      </c>
      <c r="TQT16">
        <v>0</v>
      </c>
      <c r="TQU16">
        <v>0</v>
      </c>
      <c r="TQV16">
        <v>0</v>
      </c>
      <c r="TQW16">
        <v>0</v>
      </c>
      <c r="TQX16">
        <v>0</v>
      </c>
      <c r="TQY16">
        <v>0</v>
      </c>
      <c r="TQZ16">
        <v>0</v>
      </c>
      <c r="TRA16">
        <v>0</v>
      </c>
      <c r="TRB16">
        <v>0</v>
      </c>
      <c r="TRC16">
        <v>0</v>
      </c>
      <c r="TRD16">
        <v>0</v>
      </c>
      <c r="TRE16">
        <v>0</v>
      </c>
      <c r="TRF16">
        <v>0</v>
      </c>
      <c r="TRG16">
        <v>0</v>
      </c>
      <c r="TRH16">
        <v>0</v>
      </c>
      <c r="TRI16">
        <v>0</v>
      </c>
      <c r="TRJ16">
        <v>0</v>
      </c>
      <c r="TRK16">
        <v>0</v>
      </c>
      <c r="TRL16">
        <v>0</v>
      </c>
      <c r="TRM16">
        <v>0</v>
      </c>
      <c r="TRN16">
        <v>0</v>
      </c>
      <c r="TRO16">
        <v>0</v>
      </c>
      <c r="TRP16">
        <v>0</v>
      </c>
      <c r="TRQ16">
        <v>0</v>
      </c>
      <c r="TRR16">
        <v>0</v>
      </c>
      <c r="TRS16">
        <v>0</v>
      </c>
      <c r="TRT16">
        <v>0</v>
      </c>
      <c r="TRU16">
        <v>0</v>
      </c>
      <c r="TRV16">
        <v>0</v>
      </c>
      <c r="TRW16">
        <v>0</v>
      </c>
      <c r="TRX16">
        <v>0</v>
      </c>
      <c r="TRY16">
        <v>0</v>
      </c>
      <c r="TRZ16">
        <v>0</v>
      </c>
      <c r="TSA16">
        <v>0</v>
      </c>
      <c r="TSB16">
        <v>0</v>
      </c>
      <c r="TSC16">
        <v>0</v>
      </c>
      <c r="TSD16">
        <v>0</v>
      </c>
      <c r="TSE16">
        <v>0</v>
      </c>
      <c r="TSF16">
        <v>0</v>
      </c>
      <c r="TSG16">
        <v>0</v>
      </c>
      <c r="TSH16">
        <v>0</v>
      </c>
      <c r="TSI16">
        <v>0</v>
      </c>
      <c r="TSJ16">
        <v>0</v>
      </c>
      <c r="TSK16">
        <v>0</v>
      </c>
      <c r="TSL16">
        <v>0</v>
      </c>
      <c r="TSM16">
        <v>0</v>
      </c>
      <c r="TSN16">
        <v>0</v>
      </c>
      <c r="TSO16">
        <v>0</v>
      </c>
      <c r="TSP16">
        <v>0</v>
      </c>
      <c r="TSQ16">
        <v>0</v>
      </c>
      <c r="TSR16">
        <v>0</v>
      </c>
      <c r="TSS16">
        <v>0</v>
      </c>
      <c r="TST16">
        <v>0</v>
      </c>
      <c r="TSU16">
        <v>0</v>
      </c>
      <c r="TSV16">
        <v>0</v>
      </c>
      <c r="TSW16">
        <v>0</v>
      </c>
      <c r="TSX16">
        <v>0</v>
      </c>
      <c r="TSY16">
        <v>0</v>
      </c>
      <c r="TSZ16">
        <v>0</v>
      </c>
      <c r="TTA16">
        <v>0</v>
      </c>
      <c r="TTB16">
        <v>0</v>
      </c>
      <c r="TTC16">
        <v>0</v>
      </c>
      <c r="TTD16">
        <v>0</v>
      </c>
      <c r="TTE16">
        <v>0</v>
      </c>
      <c r="TTF16">
        <v>0</v>
      </c>
      <c r="TTG16">
        <v>0</v>
      </c>
      <c r="TTH16">
        <v>0</v>
      </c>
      <c r="TTI16">
        <v>0</v>
      </c>
      <c r="TTJ16">
        <v>0</v>
      </c>
      <c r="TTK16">
        <v>0</v>
      </c>
      <c r="TTL16">
        <v>0</v>
      </c>
      <c r="TTM16">
        <v>0</v>
      </c>
      <c r="TTN16">
        <v>0</v>
      </c>
      <c r="TTO16">
        <v>0</v>
      </c>
      <c r="TTP16">
        <v>0</v>
      </c>
      <c r="TTQ16">
        <v>0</v>
      </c>
      <c r="TTR16">
        <v>0</v>
      </c>
      <c r="TTS16">
        <v>0</v>
      </c>
      <c r="TTT16">
        <v>0</v>
      </c>
      <c r="TTU16">
        <v>0</v>
      </c>
      <c r="TTV16">
        <v>0</v>
      </c>
      <c r="TTW16">
        <v>0</v>
      </c>
      <c r="TTX16">
        <v>0</v>
      </c>
      <c r="TTY16">
        <v>0</v>
      </c>
      <c r="TTZ16">
        <v>0</v>
      </c>
      <c r="TUA16">
        <v>0</v>
      </c>
      <c r="TUB16">
        <v>0</v>
      </c>
      <c r="TUC16">
        <v>0</v>
      </c>
      <c r="TUD16">
        <v>0</v>
      </c>
      <c r="TUE16">
        <v>0</v>
      </c>
      <c r="TUF16">
        <v>0</v>
      </c>
      <c r="TUG16">
        <v>0</v>
      </c>
      <c r="TUH16">
        <v>0</v>
      </c>
      <c r="TUI16">
        <v>0</v>
      </c>
      <c r="TUJ16">
        <v>0</v>
      </c>
      <c r="TUK16">
        <v>0</v>
      </c>
      <c r="TUL16">
        <v>0</v>
      </c>
      <c r="TUM16">
        <v>0</v>
      </c>
      <c r="TUN16">
        <v>0</v>
      </c>
      <c r="TUO16">
        <v>0</v>
      </c>
      <c r="TUP16">
        <v>0</v>
      </c>
      <c r="TUQ16">
        <v>0</v>
      </c>
      <c r="TUR16">
        <v>0</v>
      </c>
      <c r="TUS16">
        <v>0</v>
      </c>
      <c r="TUT16">
        <v>0</v>
      </c>
      <c r="TUU16">
        <v>0</v>
      </c>
      <c r="TUV16">
        <v>0</v>
      </c>
      <c r="TUW16">
        <v>0</v>
      </c>
      <c r="TUX16">
        <v>0</v>
      </c>
      <c r="TUY16">
        <v>0</v>
      </c>
      <c r="TUZ16">
        <v>0</v>
      </c>
      <c r="TVA16">
        <v>0</v>
      </c>
      <c r="TVB16">
        <v>0</v>
      </c>
      <c r="TVC16">
        <v>0</v>
      </c>
      <c r="TVD16">
        <v>0</v>
      </c>
      <c r="TVE16">
        <v>0</v>
      </c>
      <c r="TVF16">
        <v>0</v>
      </c>
      <c r="TVG16">
        <v>0</v>
      </c>
      <c r="TVH16">
        <v>0</v>
      </c>
      <c r="TVI16">
        <v>0</v>
      </c>
      <c r="TVJ16">
        <v>0</v>
      </c>
      <c r="TVK16">
        <v>0</v>
      </c>
      <c r="TVL16">
        <v>0</v>
      </c>
      <c r="TVM16">
        <v>0</v>
      </c>
      <c r="TVN16">
        <v>0</v>
      </c>
      <c r="TVO16">
        <v>0</v>
      </c>
      <c r="TVP16">
        <v>0</v>
      </c>
      <c r="TVQ16">
        <v>0</v>
      </c>
      <c r="TVR16">
        <v>0</v>
      </c>
      <c r="TVS16">
        <v>0</v>
      </c>
      <c r="TVT16">
        <v>0</v>
      </c>
      <c r="TVU16">
        <v>0</v>
      </c>
      <c r="TVV16">
        <v>0</v>
      </c>
      <c r="TVW16">
        <v>0</v>
      </c>
      <c r="TVX16">
        <v>0</v>
      </c>
      <c r="TVY16">
        <v>0</v>
      </c>
      <c r="TVZ16">
        <v>0</v>
      </c>
      <c r="TWA16">
        <v>0</v>
      </c>
      <c r="TWB16">
        <v>0</v>
      </c>
      <c r="TWC16">
        <v>0</v>
      </c>
      <c r="TWD16">
        <v>0</v>
      </c>
      <c r="TWE16">
        <v>0</v>
      </c>
      <c r="TWF16">
        <v>0</v>
      </c>
      <c r="TWG16">
        <v>0</v>
      </c>
      <c r="TWH16">
        <v>0</v>
      </c>
      <c r="TWI16">
        <v>0</v>
      </c>
      <c r="TWJ16">
        <v>0</v>
      </c>
      <c r="TWK16">
        <v>0</v>
      </c>
      <c r="TWL16">
        <v>0</v>
      </c>
      <c r="TWM16">
        <v>0</v>
      </c>
      <c r="TWN16">
        <v>0</v>
      </c>
      <c r="TWO16">
        <v>0</v>
      </c>
      <c r="TWP16">
        <v>0</v>
      </c>
      <c r="TWQ16">
        <v>0</v>
      </c>
      <c r="TWR16">
        <v>0</v>
      </c>
      <c r="TWS16">
        <v>0</v>
      </c>
      <c r="TWT16">
        <v>0</v>
      </c>
      <c r="TWU16">
        <v>0</v>
      </c>
      <c r="TWV16">
        <v>0</v>
      </c>
      <c r="TWW16">
        <v>0</v>
      </c>
      <c r="TWX16">
        <v>0</v>
      </c>
      <c r="TWY16">
        <v>0</v>
      </c>
      <c r="TWZ16">
        <v>0</v>
      </c>
      <c r="TXA16">
        <v>0</v>
      </c>
      <c r="TXB16">
        <v>0</v>
      </c>
      <c r="TXC16">
        <v>0</v>
      </c>
      <c r="TXD16">
        <v>0</v>
      </c>
      <c r="TXE16">
        <v>0</v>
      </c>
      <c r="TXF16">
        <v>0</v>
      </c>
      <c r="TXG16">
        <v>0</v>
      </c>
      <c r="TXH16">
        <v>0</v>
      </c>
      <c r="TXI16">
        <v>0</v>
      </c>
      <c r="TXJ16">
        <v>0</v>
      </c>
      <c r="TXK16">
        <v>0</v>
      </c>
      <c r="TXL16">
        <v>0</v>
      </c>
      <c r="TXM16">
        <v>0</v>
      </c>
      <c r="TXN16">
        <v>0</v>
      </c>
      <c r="TXO16">
        <v>0</v>
      </c>
      <c r="TXP16">
        <v>0</v>
      </c>
      <c r="TXQ16">
        <v>0</v>
      </c>
      <c r="TXR16">
        <v>0</v>
      </c>
      <c r="TXS16">
        <v>0</v>
      </c>
      <c r="TXT16">
        <v>0</v>
      </c>
      <c r="TXU16">
        <v>0</v>
      </c>
      <c r="TXV16">
        <v>0</v>
      </c>
      <c r="TXW16">
        <v>0</v>
      </c>
      <c r="TXX16">
        <v>0</v>
      </c>
      <c r="TXY16">
        <v>0</v>
      </c>
      <c r="TXZ16">
        <v>0</v>
      </c>
      <c r="TYA16">
        <v>0</v>
      </c>
      <c r="TYB16">
        <v>0</v>
      </c>
      <c r="TYC16">
        <v>0</v>
      </c>
      <c r="TYD16">
        <v>0</v>
      </c>
      <c r="TYE16">
        <v>0</v>
      </c>
      <c r="TYF16">
        <v>0</v>
      </c>
      <c r="TYG16">
        <v>0</v>
      </c>
      <c r="TYH16">
        <v>0</v>
      </c>
      <c r="TYI16">
        <v>0</v>
      </c>
      <c r="TYJ16">
        <v>0</v>
      </c>
      <c r="TYK16">
        <v>0</v>
      </c>
      <c r="TYL16">
        <v>0</v>
      </c>
      <c r="TYM16">
        <v>0</v>
      </c>
      <c r="TYN16">
        <v>0</v>
      </c>
      <c r="TYO16">
        <v>0</v>
      </c>
      <c r="TYP16">
        <v>0</v>
      </c>
      <c r="TYQ16">
        <v>0</v>
      </c>
      <c r="TYR16">
        <v>0</v>
      </c>
      <c r="TYS16">
        <v>0</v>
      </c>
      <c r="TYT16">
        <v>0</v>
      </c>
      <c r="TYU16">
        <v>0</v>
      </c>
      <c r="TYV16">
        <v>0</v>
      </c>
      <c r="TYW16">
        <v>0</v>
      </c>
      <c r="TYX16">
        <v>0</v>
      </c>
      <c r="TYY16">
        <v>0</v>
      </c>
      <c r="TYZ16">
        <v>0</v>
      </c>
      <c r="TZA16">
        <v>0</v>
      </c>
      <c r="TZB16">
        <v>0</v>
      </c>
      <c r="TZC16">
        <v>0</v>
      </c>
      <c r="TZD16">
        <v>0</v>
      </c>
      <c r="TZE16">
        <v>0</v>
      </c>
      <c r="TZF16">
        <v>0</v>
      </c>
      <c r="TZG16">
        <v>0</v>
      </c>
      <c r="TZH16">
        <v>0</v>
      </c>
      <c r="TZI16">
        <v>0</v>
      </c>
      <c r="TZJ16">
        <v>0</v>
      </c>
      <c r="TZK16">
        <v>0</v>
      </c>
      <c r="TZL16">
        <v>0</v>
      </c>
      <c r="TZM16">
        <v>0</v>
      </c>
      <c r="TZN16">
        <v>0</v>
      </c>
      <c r="TZO16">
        <v>0</v>
      </c>
      <c r="TZP16">
        <v>0</v>
      </c>
      <c r="TZQ16">
        <v>0</v>
      </c>
      <c r="TZR16">
        <v>0</v>
      </c>
      <c r="TZS16">
        <v>0</v>
      </c>
      <c r="TZT16">
        <v>0</v>
      </c>
      <c r="TZU16">
        <v>0</v>
      </c>
      <c r="TZV16">
        <v>0</v>
      </c>
      <c r="TZW16">
        <v>0</v>
      </c>
      <c r="TZX16">
        <v>0</v>
      </c>
      <c r="TZY16">
        <v>0</v>
      </c>
      <c r="TZZ16">
        <v>0</v>
      </c>
      <c r="UAA16">
        <v>0</v>
      </c>
      <c r="UAB16">
        <v>0</v>
      </c>
      <c r="UAC16">
        <v>0</v>
      </c>
      <c r="UAD16">
        <v>0</v>
      </c>
      <c r="UAE16">
        <v>0</v>
      </c>
      <c r="UAF16">
        <v>0</v>
      </c>
      <c r="UAG16">
        <v>0</v>
      </c>
      <c r="UAH16">
        <v>0</v>
      </c>
      <c r="UAI16">
        <v>0</v>
      </c>
      <c r="UAJ16">
        <v>0</v>
      </c>
      <c r="UAK16">
        <v>0</v>
      </c>
      <c r="UAL16">
        <v>0</v>
      </c>
      <c r="UAM16">
        <v>0</v>
      </c>
      <c r="UAN16">
        <v>0</v>
      </c>
      <c r="UAO16">
        <v>0</v>
      </c>
      <c r="UAP16">
        <v>0</v>
      </c>
      <c r="UAQ16">
        <v>0</v>
      </c>
      <c r="UAR16">
        <v>0</v>
      </c>
      <c r="UAS16">
        <v>0</v>
      </c>
      <c r="UAT16">
        <v>0</v>
      </c>
      <c r="UAU16">
        <v>0</v>
      </c>
      <c r="UAV16">
        <v>0</v>
      </c>
      <c r="UAW16">
        <v>0</v>
      </c>
      <c r="UAX16">
        <v>0</v>
      </c>
      <c r="UAY16">
        <v>0</v>
      </c>
      <c r="UAZ16">
        <v>0</v>
      </c>
      <c r="UBA16">
        <v>0</v>
      </c>
      <c r="UBB16">
        <v>0</v>
      </c>
      <c r="UBC16">
        <v>0</v>
      </c>
      <c r="UBD16">
        <v>0</v>
      </c>
      <c r="UBE16">
        <v>0</v>
      </c>
      <c r="UBF16">
        <v>0</v>
      </c>
      <c r="UBG16">
        <v>0</v>
      </c>
      <c r="UBH16">
        <v>0</v>
      </c>
      <c r="UBI16">
        <v>0</v>
      </c>
      <c r="UBJ16">
        <v>0</v>
      </c>
      <c r="UBK16">
        <v>0</v>
      </c>
      <c r="UBL16">
        <v>0</v>
      </c>
      <c r="UBM16">
        <v>0</v>
      </c>
      <c r="UBN16">
        <v>0</v>
      </c>
      <c r="UBO16">
        <v>0</v>
      </c>
      <c r="UBP16">
        <v>0</v>
      </c>
      <c r="UBQ16">
        <v>0</v>
      </c>
      <c r="UBR16">
        <v>0</v>
      </c>
      <c r="UBS16">
        <v>0</v>
      </c>
      <c r="UBT16">
        <v>0</v>
      </c>
      <c r="UBU16">
        <v>0</v>
      </c>
      <c r="UBV16">
        <v>0</v>
      </c>
      <c r="UBW16">
        <v>0</v>
      </c>
      <c r="UBX16">
        <v>0</v>
      </c>
      <c r="UBY16">
        <v>0</v>
      </c>
      <c r="UBZ16">
        <v>0</v>
      </c>
      <c r="UCA16">
        <v>0</v>
      </c>
      <c r="UCB16">
        <v>0</v>
      </c>
      <c r="UCC16">
        <v>0</v>
      </c>
      <c r="UCD16">
        <v>0</v>
      </c>
      <c r="UCE16">
        <v>0</v>
      </c>
      <c r="UCF16">
        <v>0</v>
      </c>
      <c r="UCG16">
        <v>0</v>
      </c>
      <c r="UCH16">
        <v>0</v>
      </c>
      <c r="UCI16">
        <v>0</v>
      </c>
      <c r="UCJ16">
        <v>0</v>
      </c>
      <c r="UCK16">
        <v>0</v>
      </c>
      <c r="UCL16">
        <v>0</v>
      </c>
      <c r="UCM16">
        <v>0</v>
      </c>
      <c r="UCN16">
        <v>0</v>
      </c>
      <c r="UCO16">
        <v>0</v>
      </c>
      <c r="UCP16">
        <v>0</v>
      </c>
      <c r="UCQ16">
        <v>0</v>
      </c>
      <c r="UCR16">
        <v>0</v>
      </c>
      <c r="UCS16">
        <v>0</v>
      </c>
      <c r="UCT16">
        <v>0</v>
      </c>
      <c r="UCU16">
        <v>0</v>
      </c>
      <c r="UCV16">
        <v>0</v>
      </c>
      <c r="UCW16">
        <v>0</v>
      </c>
      <c r="UCX16">
        <v>0</v>
      </c>
      <c r="UCY16">
        <v>0</v>
      </c>
      <c r="UCZ16">
        <v>0</v>
      </c>
      <c r="UDA16">
        <v>0</v>
      </c>
      <c r="UDB16">
        <v>0</v>
      </c>
      <c r="UDC16">
        <v>0</v>
      </c>
      <c r="UDD16">
        <v>0</v>
      </c>
      <c r="UDE16">
        <v>0</v>
      </c>
      <c r="UDF16">
        <v>0</v>
      </c>
      <c r="UDG16">
        <v>0</v>
      </c>
      <c r="UDH16">
        <v>0</v>
      </c>
      <c r="UDI16">
        <v>0</v>
      </c>
      <c r="UDJ16">
        <v>0</v>
      </c>
      <c r="UDK16">
        <v>0</v>
      </c>
      <c r="UDL16">
        <v>0</v>
      </c>
      <c r="UDM16">
        <v>0</v>
      </c>
      <c r="UDN16">
        <v>0</v>
      </c>
      <c r="UDO16">
        <v>0</v>
      </c>
      <c r="UDP16">
        <v>0</v>
      </c>
      <c r="UDQ16">
        <v>0</v>
      </c>
      <c r="UDR16">
        <v>0</v>
      </c>
      <c r="UDS16">
        <v>0</v>
      </c>
      <c r="UDT16">
        <v>0</v>
      </c>
      <c r="UDU16">
        <v>0</v>
      </c>
      <c r="UDV16">
        <v>0</v>
      </c>
      <c r="UDW16">
        <v>0</v>
      </c>
      <c r="UDX16">
        <v>0</v>
      </c>
      <c r="UDY16">
        <v>0</v>
      </c>
      <c r="UDZ16">
        <v>0</v>
      </c>
      <c r="UEA16">
        <v>0</v>
      </c>
      <c r="UEB16">
        <v>0</v>
      </c>
      <c r="UEC16">
        <v>0</v>
      </c>
      <c r="UED16">
        <v>0</v>
      </c>
      <c r="UEE16">
        <v>0</v>
      </c>
      <c r="UEF16">
        <v>0</v>
      </c>
      <c r="UEG16">
        <v>0</v>
      </c>
      <c r="UEH16">
        <v>0</v>
      </c>
      <c r="UEI16">
        <v>0</v>
      </c>
      <c r="UEJ16">
        <v>0</v>
      </c>
      <c r="UEK16">
        <v>0</v>
      </c>
      <c r="UEL16">
        <v>0</v>
      </c>
      <c r="UEM16">
        <v>0</v>
      </c>
      <c r="UEN16">
        <v>0</v>
      </c>
      <c r="UEO16">
        <v>0</v>
      </c>
      <c r="UEP16">
        <v>0</v>
      </c>
      <c r="UEQ16">
        <v>0</v>
      </c>
      <c r="UER16">
        <v>0</v>
      </c>
      <c r="UES16">
        <v>0</v>
      </c>
      <c r="UET16">
        <v>0</v>
      </c>
      <c r="UEU16">
        <v>0</v>
      </c>
      <c r="UEV16">
        <v>0</v>
      </c>
      <c r="UEW16">
        <v>0</v>
      </c>
      <c r="UEX16">
        <v>0</v>
      </c>
      <c r="UEY16">
        <v>0</v>
      </c>
      <c r="UEZ16">
        <v>0</v>
      </c>
      <c r="UFA16">
        <v>0</v>
      </c>
      <c r="UFB16">
        <v>0</v>
      </c>
      <c r="UFC16">
        <v>0</v>
      </c>
      <c r="UFD16">
        <v>0</v>
      </c>
      <c r="UFE16">
        <v>0</v>
      </c>
      <c r="UFF16">
        <v>0</v>
      </c>
      <c r="UFG16">
        <v>0</v>
      </c>
      <c r="UFH16">
        <v>0</v>
      </c>
      <c r="UFI16">
        <v>0</v>
      </c>
      <c r="UFJ16">
        <v>0</v>
      </c>
      <c r="UFK16">
        <v>0</v>
      </c>
      <c r="UFL16">
        <v>0</v>
      </c>
      <c r="UFM16">
        <v>0</v>
      </c>
      <c r="UFN16">
        <v>0</v>
      </c>
      <c r="UFO16">
        <v>0</v>
      </c>
      <c r="UFP16">
        <v>0</v>
      </c>
      <c r="UFQ16">
        <v>0</v>
      </c>
      <c r="UFR16">
        <v>0</v>
      </c>
      <c r="UFS16">
        <v>0</v>
      </c>
      <c r="UFT16">
        <v>0</v>
      </c>
      <c r="UFU16">
        <v>0</v>
      </c>
      <c r="UFV16">
        <v>0</v>
      </c>
      <c r="UFW16">
        <v>0</v>
      </c>
      <c r="UFX16">
        <v>0</v>
      </c>
      <c r="UFY16">
        <v>0</v>
      </c>
      <c r="UFZ16">
        <v>0</v>
      </c>
      <c r="UGA16">
        <v>0</v>
      </c>
      <c r="UGB16">
        <v>0</v>
      </c>
      <c r="UGC16">
        <v>0</v>
      </c>
      <c r="UGD16">
        <v>0</v>
      </c>
      <c r="UGE16">
        <v>0</v>
      </c>
      <c r="UGF16">
        <v>0</v>
      </c>
      <c r="UGG16">
        <v>0</v>
      </c>
      <c r="UGH16">
        <v>0</v>
      </c>
      <c r="UGI16">
        <v>0</v>
      </c>
      <c r="UGJ16">
        <v>0</v>
      </c>
      <c r="UGK16">
        <v>0</v>
      </c>
      <c r="UGL16">
        <v>0</v>
      </c>
      <c r="UGM16">
        <v>0</v>
      </c>
      <c r="UGN16">
        <v>0</v>
      </c>
      <c r="UGO16">
        <v>0</v>
      </c>
      <c r="UGP16">
        <v>0</v>
      </c>
      <c r="UGQ16">
        <v>0</v>
      </c>
      <c r="UGR16">
        <v>0</v>
      </c>
      <c r="UGS16">
        <v>0</v>
      </c>
      <c r="UGT16">
        <v>0</v>
      </c>
      <c r="UGU16">
        <v>0</v>
      </c>
      <c r="UGV16">
        <v>0</v>
      </c>
      <c r="UGW16">
        <v>0</v>
      </c>
      <c r="UGX16">
        <v>0</v>
      </c>
      <c r="UGY16">
        <v>0</v>
      </c>
      <c r="UGZ16">
        <v>0</v>
      </c>
      <c r="UHA16">
        <v>0</v>
      </c>
      <c r="UHB16">
        <v>0</v>
      </c>
      <c r="UHC16">
        <v>0</v>
      </c>
      <c r="UHD16">
        <v>0</v>
      </c>
      <c r="UHE16">
        <v>0</v>
      </c>
      <c r="UHF16">
        <v>0</v>
      </c>
      <c r="UHG16">
        <v>0</v>
      </c>
      <c r="UHH16">
        <v>0</v>
      </c>
      <c r="UHI16">
        <v>0</v>
      </c>
      <c r="UHJ16">
        <v>0</v>
      </c>
      <c r="UHK16">
        <v>0</v>
      </c>
      <c r="UHL16">
        <v>0</v>
      </c>
      <c r="UHM16">
        <v>0</v>
      </c>
      <c r="UHN16">
        <v>0</v>
      </c>
      <c r="UHO16">
        <v>0</v>
      </c>
      <c r="UHP16">
        <v>0</v>
      </c>
      <c r="UHQ16">
        <v>0</v>
      </c>
      <c r="UHR16">
        <v>0</v>
      </c>
      <c r="UHS16">
        <v>0</v>
      </c>
      <c r="UHT16">
        <v>0</v>
      </c>
      <c r="UHU16">
        <v>0</v>
      </c>
      <c r="UHV16">
        <v>0</v>
      </c>
      <c r="UHW16">
        <v>0</v>
      </c>
      <c r="UHX16">
        <v>0</v>
      </c>
      <c r="UHY16">
        <v>0</v>
      </c>
      <c r="UHZ16">
        <v>0</v>
      </c>
      <c r="UIA16">
        <v>0</v>
      </c>
      <c r="UIB16">
        <v>0</v>
      </c>
      <c r="UIC16">
        <v>0</v>
      </c>
      <c r="UID16">
        <v>0</v>
      </c>
      <c r="UIE16">
        <v>0</v>
      </c>
      <c r="UIF16">
        <v>0</v>
      </c>
      <c r="UIG16">
        <v>0</v>
      </c>
      <c r="UIH16">
        <v>0</v>
      </c>
      <c r="UII16">
        <v>0</v>
      </c>
      <c r="UIJ16">
        <v>0</v>
      </c>
      <c r="UIK16">
        <v>0</v>
      </c>
      <c r="UIL16">
        <v>0</v>
      </c>
      <c r="UIM16">
        <v>0</v>
      </c>
      <c r="UIN16">
        <v>0</v>
      </c>
      <c r="UIO16">
        <v>0</v>
      </c>
      <c r="UIP16">
        <v>0</v>
      </c>
      <c r="UIQ16">
        <v>0</v>
      </c>
      <c r="UIR16">
        <v>0</v>
      </c>
      <c r="UIS16">
        <v>0</v>
      </c>
      <c r="UIT16">
        <v>0</v>
      </c>
      <c r="UIU16">
        <v>0</v>
      </c>
      <c r="UIV16">
        <v>0</v>
      </c>
      <c r="UIW16">
        <v>0</v>
      </c>
      <c r="UIX16">
        <v>0</v>
      </c>
      <c r="UIY16">
        <v>0</v>
      </c>
      <c r="UIZ16">
        <v>0</v>
      </c>
      <c r="UJA16">
        <v>0</v>
      </c>
      <c r="UJB16">
        <v>0</v>
      </c>
      <c r="UJC16">
        <v>0</v>
      </c>
      <c r="UJD16">
        <v>0</v>
      </c>
      <c r="UJE16">
        <v>0</v>
      </c>
      <c r="UJF16">
        <v>0</v>
      </c>
      <c r="UJG16">
        <v>0</v>
      </c>
      <c r="UJH16">
        <v>0</v>
      </c>
      <c r="UJI16">
        <v>0</v>
      </c>
      <c r="UJJ16">
        <v>0</v>
      </c>
      <c r="UJK16">
        <v>0</v>
      </c>
      <c r="UJL16">
        <v>0</v>
      </c>
      <c r="UJM16">
        <v>0</v>
      </c>
      <c r="UJN16">
        <v>0</v>
      </c>
      <c r="UJO16">
        <v>0</v>
      </c>
      <c r="UJP16">
        <v>0</v>
      </c>
      <c r="UJQ16">
        <v>0</v>
      </c>
      <c r="UJR16">
        <v>0</v>
      </c>
      <c r="UJS16">
        <v>0</v>
      </c>
      <c r="UJT16">
        <v>0</v>
      </c>
      <c r="UJU16">
        <v>0</v>
      </c>
      <c r="UJV16">
        <v>0</v>
      </c>
      <c r="UJW16">
        <v>0</v>
      </c>
      <c r="UJX16">
        <v>0</v>
      </c>
      <c r="UJY16">
        <v>0</v>
      </c>
      <c r="UJZ16">
        <v>0</v>
      </c>
      <c r="UKA16">
        <v>0</v>
      </c>
      <c r="UKB16">
        <v>0</v>
      </c>
      <c r="UKC16">
        <v>0</v>
      </c>
      <c r="UKD16">
        <v>0</v>
      </c>
      <c r="UKE16">
        <v>0</v>
      </c>
      <c r="UKF16">
        <v>0</v>
      </c>
      <c r="UKG16">
        <v>0</v>
      </c>
      <c r="UKH16">
        <v>0</v>
      </c>
      <c r="UKI16">
        <v>0</v>
      </c>
      <c r="UKJ16">
        <v>0</v>
      </c>
      <c r="UKK16">
        <v>0</v>
      </c>
      <c r="UKL16">
        <v>0</v>
      </c>
      <c r="UKM16">
        <v>0</v>
      </c>
      <c r="UKN16">
        <v>0</v>
      </c>
      <c r="UKO16">
        <v>0</v>
      </c>
      <c r="UKP16">
        <v>0</v>
      </c>
      <c r="UKQ16">
        <v>0</v>
      </c>
      <c r="UKR16">
        <v>0</v>
      </c>
      <c r="UKS16">
        <v>0</v>
      </c>
      <c r="UKT16">
        <v>0</v>
      </c>
      <c r="UKU16">
        <v>0</v>
      </c>
      <c r="UKV16">
        <v>0</v>
      </c>
      <c r="UKW16">
        <v>0</v>
      </c>
      <c r="UKX16">
        <v>0</v>
      </c>
      <c r="UKY16">
        <v>0</v>
      </c>
      <c r="UKZ16">
        <v>0</v>
      </c>
      <c r="ULA16">
        <v>0</v>
      </c>
      <c r="ULB16">
        <v>0</v>
      </c>
      <c r="ULC16">
        <v>0</v>
      </c>
      <c r="ULD16">
        <v>0</v>
      </c>
      <c r="ULE16">
        <v>0</v>
      </c>
      <c r="ULF16">
        <v>0</v>
      </c>
      <c r="ULG16">
        <v>0</v>
      </c>
      <c r="ULH16">
        <v>0</v>
      </c>
      <c r="ULI16">
        <v>0</v>
      </c>
      <c r="ULJ16">
        <v>0</v>
      </c>
      <c r="ULK16">
        <v>0</v>
      </c>
      <c r="ULL16">
        <v>0</v>
      </c>
      <c r="ULM16">
        <v>0</v>
      </c>
      <c r="ULN16">
        <v>0</v>
      </c>
      <c r="ULO16">
        <v>0</v>
      </c>
      <c r="ULP16">
        <v>0</v>
      </c>
      <c r="ULQ16">
        <v>0</v>
      </c>
      <c r="ULR16">
        <v>0</v>
      </c>
      <c r="ULS16">
        <v>0</v>
      </c>
      <c r="ULT16">
        <v>0</v>
      </c>
      <c r="ULU16">
        <v>0</v>
      </c>
      <c r="ULV16">
        <v>0</v>
      </c>
      <c r="ULW16">
        <v>0</v>
      </c>
      <c r="ULX16">
        <v>0</v>
      </c>
      <c r="ULY16">
        <v>0</v>
      </c>
      <c r="ULZ16">
        <v>0</v>
      </c>
      <c r="UMA16">
        <v>0</v>
      </c>
      <c r="UMB16">
        <v>0</v>
      </c>
      <c r="UMC16">
        <v>0</v>
      </c>
      <c r="UMD16">
        <v>0</v>
      </c>
      <c r="UME16">
        <v>0</v>
      </c>
      <c r="UMF16">
        <v>0</v>
      </c>
      <c r="UMG16">
        <v>0</v>
      </c>
      <c r="UMH16">
        <v>0</v>
      </c>
      <c r="UMI16">
        <v>0</v>
      </c>
      <c r="UMJ16">
        <v>0</v>
      </c>
      <c r="UMK16">
        <v>0</v>
      </c>
      <c r="UML16">
        <v>0</v>
      </c>
      <c r="UMM16">
        <v>0</v>
      </c>
      <c r="UMN16">
        <v>0</v>
      </c>
      <c r="UMO16">
        <v>0</v>
      </c>
      <c r="UMP16">
        <v>0</v>
      </c>
      <c r="UMQ16">
        <v>0</v>
      </c>
      <c r="UMR16">
        <v>0</v>
      </c>
      <c r="UMS16">
        <v>0</v>
      </c>
      <c r="UMT16">
        <v>0</v>
      </c>
      <c r="UMU16">
        <v>0</v>
      </c>
      <c r="UMV16">
        <v>0</v>
      </c>
      <c r="UMW16">
        <v>0</v>
      </c>
      <c r="UMX16">
        <v>0</v>
      </c>
      <c r="UMY16">
        <v>0</v>
      </c>
      <c r="UMZ16">
        <v>0</v>
      </c>
      <c r="UNA16">
        <v>0</v>
      </c>
      <c r="UNB16">
        <v>0</v>
      </c>
      <c r="UNC16">
        <v>0</v>
      </c>
      <c r="UND16">
        <v>0</v>
      </c>
      <c r="UNE16">
        <v>0</v>
      </c>
      <c r="UNF16">
        <v>0</v>
      </c>
      <c r="UNG16">
        <v>0</v>
      </c>
      <c r="UNH16">
        <v>0</v>
      </c>
      <c r="UNI16">
        <v>0</v>
      </c>
      <c r="UNJ16">
        <v>0</v>
      </c>
      <c r="UNK16">
        <v>0</v>
      </c>
      <c r="UNL16">
        <v>0</v>
      </c>
      <c r="UNM16">
        <v>0</v>
      </c>
      <c r="UNN16">
        <v>0</v>
      </c>
      <c r="UNO16">
        <v>0</v>
      </c>
      <c r="UNP16">
        <v>0</v>
      </c>
      <c r="UNQ16">
        <v>0</v>
      </c>
      <c r="UNR16">
        <v>0</v>
      </c>
      <c r="UNS16">
        <v>0</v>
      </c>
      <c r="UNT16">
        <v>0</v>
      </c>
      <c r="UNU16">
        <v>0</v>
      </c>
      <c r="UNV16">
        <v>0</v>
      </c>
      <c r="UNW16">
        <v>0</v>
      </c>
      <c r="UNX16">
        <v>0</v>
      </c>
      <c r="UNY16">
        <v>0</v>
      </c>
      <c r="UNZ16">
        <v>0</v>
      </c>
      <c r="UOA16">
        <v>0</v>
      </c>
      <c r="UOB16">
        <v>0</v>
      </c>
      <c r="UOC16">
        <v>0</v>
      </c>
      <c r="UOD16">
        <v>0</v>
      </c>
      <c r="UOE16">
        <v>0</v>
      </c>
      <c r="UOF16">
        <v>0</v>
      </c>
      <c r="UOG16">
        <v>0</v>
      </c>
      <c r="UOH16">
        <v>0</v>
      </c>
      <c r="UOI16">
        <v>0</v>
      </c>
      <c r="UOJ16">
        <v>0</v>
      </c>
      <c r="UOK16">
        <v>0</v>
      </c>
      <c r="UOL16">
        <v>0</v>
      </c>
      <c r="UOM16">
        <v>0</v>
      </c>
      <c r="UON16">
        <v>0</v>
      </c>
      <c r="UOO16">
        <v>0</v>
      </c>
      <c r="UOP16">
        <v>0</v>
      </c>
      <c r="UOQ16">
        <v>0</v>
      </c>
      <c r="UOR16">
        <v>0</v>
      </c>
      <c r="UOS16">
        <v>0</v>
      </c>
      <c r="UOT16">
        <v>0</v>
      </c>
      <c r="UOU16">
        <v>0</v>
      </c>
      <c r="UOV16">
        <v>0</v>
      </c>
      <c r="UOW16">
        <v>0</v>
      </c>
      <c r="UOX16">
        <v>0</v>
      </c>
      <c r="UOY16">
        <v>0</v>
      </c>
      <c r="UOZ16">
        <v>0</v>
      </c>
      <c r="UPA16">
        <v>0</v>
      </c>
      <c r="UPB16">
        <v>0</v>
      </c>
      <c r="UPC16">
        <v>0</v>
      </c>
      <c r="UPD16">
        <v>0</v>
      </c>
      <c r="UPE16">
        <v>0</v>
      </c>
      <c r="UPF16">
        <v>0</v>
      </c>
      <c r="UPG16">
        <v>0</v>
      </c>
      <c r="UPH16">
        <v>0</v>
      </c>
      <c r="UPI16">
        <v>0</v>
      </c>
      <c r="UPJ16">
        <v>0</v>
      </c>
      <c r="UPK16">
        <v>0</v>
      </c>
      <c r="UPL16">
        <v>0</v>
      </c>
      <c r="UPM16">
        <v>0</v>
      </c>
      <c r="UPN16">
        <v>0</v>
      </c>
      <c r="UPO16">
        <v>0</v>
      </c>
      <c r="UPP16">
        <v>0</v>
      </c>
      <c r="UPQ16">
        <v>0</v>
      </c>
      <c r="UPR16">
        <v>0</v>
      </c>
      <c r="UPS16">
        <v>0</v>
      </c>
      <c r="UPT16">
        <v>0</v>
      </c>
      <c r="UPU16">
        <v>0</v>
      </c>
      <c r="UPV16">
        <v>0</v>
      </c>
      <c r="UPW16">
        <v>0</v>
      </c>
      <c r="UPX16">
        <v>0</v>
      </c>
      <c r="UPY16">
        <v>0</v>
      </c>
      <c r="UPZ16">
        <v>0</v>
      </c>
      <c r="UQA16">
        <v>0</v>
      </c>
      <c r="UQB16">
        <v>0</v>
      </c>
      <c r="UQC16">
        <v>0</v>
      </c>
      <c r="UQD16">
        <v>0</v>
      </c>
      <c r="UQE16">
        <v>0</v>
      </c>
      <c r="UQF16">
        <v>0</v>
      </c>
      <c r="UQG16">
        <v>0</v>
      </c>
      <c r="UQH16">
        <v>0</v>
      </c>
      <c r="UQI16">
        <v>0</v>
      </c>
      <c r="UQJ16">
        <v>0</v>
      </c>
      <c r="UQK16">
        <v>0</v>
      </c>
      <c r="UQL16">
        <v>0</v>
      </c>
      <c r="UQM16">
        <v>0</v>
      </c>
      <c r="UQN16">
        <v>0</v>
      </c>
      <c r="UQO16">
        <v>0</v>
      </c>
      <c r="UQP16">
        <v>0</v>
      </c>
      <c r="UQQ16">
        <v>0</v>
      </c>
      <c r="UQR16">
        <v>0</v>
      </c>
      <c r="UQS16">
        <v>0</v>
      </c>
      <c r="UQT16">
        <v>0</v>
      </c>
      <c r="UQU16">
        <v>0</v>
      </c>
      <c r="UQV16">
        <v>0</v>
      </c>
      <c r="UQW16">
        <v>0</v>
      </c>
      <c r="UQX16">
        <v>0</v>
      </c>
      <c r="UQY16">
        <v>0</v>
      </c>
      <c r="UQZ16">
        <v>0</v>
      </c>
      <c r="URA16">
        <v>0</v>
      </c>
      <c r="URB16">
        <v>0</v>
      </c>
      <c r="URC16">
        <v>0</v>
      </c>
      <c r="URD16">
        <v>0</v>
      </c>
      <c r="URE16">
        <v>0</v>
      </c>
      <c r="URF16">
        <v>0</v>
      </c>
      <c r="URG16">
        <v>0</v>
      </c>
      <c r="URH16">
        <v>0</v>
      </c>
      <c r="URI16">
        <v>0</v>
      </c>
      <c r="URJ16">
        <v>0</v>
      </c>
      <c r="URK16">
        <v>0</v>
      </c>
      <c r="URL16">
        <v>0</v>
      </c>
      <c r="URM16">
        <v>0</v>
      </c>
      <c r="URN16">
        <v>0</v>
      </c>
      <c r="URO16">
        <v>0</v>
      </c>
      <c r="URP16">
        <v>0</v>
      </c>
      <c r="URQ16">
        <v>0</v>
      </c>
      <c r="URR16">
        <v>0</v>
      </c>
      <c r="URS16">
        <v>0</v>
      </c>
      <c r="URT16">
        <v>0</v>
      </c>
      <c r="URU16">
        <v>0</v>
      </c>
      <c r="URV16">
        <v>0</v>
      </c>
      <c r="URW16">
        <v>0</v>
      </c>
      <c r="URX16">
        <v>0</v>
      </c>
      <c r="URY16">
        <v>0</v>
      </c>
      <c r="URZ16">
        <v>0</v>
      </c>
      <c r="USA16">
        <v>0</v>
      </c>
      <c r="USB16">
        <v>0</v>
      </c>
      <c r="USC16">
        <v>0</v>
      </c>
      <c r="USD16">
        <v>0</v>
      </c>
      <c r="USE16">
        <v>0</v>
      </c>
      <c r="USF16">
        <v>0</v>
      </c>
      <c r="USG16">
        <v>0</v>
      </c>
      <c r="USH16">
        <v>0</v>
      </c>
      <c r="USI16">
        <v>0</v>
      </c>
      <c r="USJ16">
        <v>0</v>
      </c>
      <c r="USK16">
        <v>0</v>
      </c>
      <c r="USL16">
        <v>0</v>
      </c>
      <c r="USM16">
        <v>0</v>
      </c>
      <c r="USN16">
        <v>0</v>
      </c>
      <c r="USO16">
        <v>0</v>
      </c>
      <c r="USP16">
        <v>0</v>
      </c>
      <c r="USQ16">
        <v>0</v>
      </c>
      <c r="USR16">
        <v>0</v>
      </c>
      <c r="USS16">
        <v>0</v>
      </c>
      <c r="UST16">
        <v>0</v>
      </c>
      <c r="USU16">
        <v>0</v>
      </c>
      <c r="USV16">
        <v>0</v>
      </c>
      <c r="USW16">
        <v>0</v>
      </c>
      <c r="USX16">
        <v>0</v>
      </c>
      <c r="USY16">
        <v>0</v>
      </c>
      <c r="USZ16">
        <v>0</v>
      </c>
      <c r="UTA16">
        <v>0</v>
      </c>
      <c r="UTB16">
        <v>0</v>
      </c>
      <c r="UTC16">
        <v>0</v>
      </c>
      <c r="UTD16">
        <v>0</v>
      </c>
      <c r="UTE16">
        <v>0</v>
      </c>
      <c r="UTF16">
        <v>0</v>
      </c>
      <c r="UTG16">
        <v>0</v>
      </c>
      <c r="UTH16">
        <v>0</v>
      </c>
      <c r="UTI16">
        <v>0</v>
      </c>
      <c r="UTJ16">
        <v>0</v>
      </c>
      <c r="UTK16">
        <v>0</v>
      </c>
      <c r="UTL16">
        <v>0</v>
      </c>
      <c r="UTM16">
        <v>0</v>
      </c>
      <c r="UTN16">
        <v>0</v>
      </c>
      <c r="UTO16">
        <v>0</v>
      </c>
      <c r="UTP16">
        <v>0</v>
      </c>
      <c r="UTQ16">
        <v>0</v>
      </c>
      <c r="UTR16">
        <v>0</v>
      </c>
      <c r="UTS16">
        <v>0</v>
      </c>
      <c r="UTT16">
        <v>0</v>
      </c>
      <c r="UTU16">
        <v>0</v>
      </c>
      <c r="UTV16">
        <v>0</v>
      </c>
      <c r="UTW16">
        <v>0</v>
      </c>
      <c r="UTX16">
        <v>0</v>
      </c>
      <c r="UTY16">
        <v>0</v>
      </c>
      <c r="UTZ16">
        <v>0</v>
      </c>
      <c r="UUA16">
        <v>0</v>
      </c>
      <c r="UUB16">
        <v>0</v>
      </c>
      <c r="UUC16">
        <v>0</v>
      </c>
      <c r="UUD16">
        <v>0</v>
      </c>
      <c r="UUE16">
        <v>0</v>
      </c>
      <c r="UUF16">
        <v>0</v>
      </c>
      <c r="UUG16">
        <v>0</v>
      </c>
      <c r="UUH16">
        <v>0</v>
      </c>
      <c r="UUI16">
        <v>0</v>
      </c>
      <c r="UUJ16">
        <v>0</v>
      </c>
      <c r="UUK16">
        <v>0</v>
      </c>
      <c r="UUL16">
        <v>0</v>
      </c>
      <c r="UUM16">
        <v>0</v>
      </c>
      <c r="UUN16">
        <v>0</v>
      </c>
      <c r="UUO16">
        <v>0</v>
      </c>
      <c r="UUP16">
        <v>0</v>
      </c>
      <c r="UUQ16">
        <v>0</v>
      </c>
      <c r="UUR16">
        <v>0</v>
      </c>
      <c r="UUS16">
        <v>0</v>
      </c>
      <c r="UUT16">
        <v>0</v>
      </c>
      <c r="UUU16">
        <v>0</v>
      </c>
      <c r="UUV16">
        <v>0</v>
      </c>
      <c r="UUW16">
        <v>0</v>
      </c>
      <c r="UUX16">
        <v>0</v>
      </c>
      <c r="UUY16">
        <v>0</v>
      </c>
      <c r="UUZ16">
        <v>0</v>
      </c>
      <c r="UVA16">
        <v>0</v>
      </c>
      <c r="UVB16">
        <v>0</v>
      </c>
      <c r="UVC16">
        <v>0</v>
      </c>
      <c r="UVD16">
        <v>0</v>
      </c>
      <c r="UVE16">
        <v>0</v>
      </c>
      <c r="UVF16">
        <v>0</v>
      </c>
      <c r="UVG16">
        <v>0</v>
      </c>
      <c r="UVH16">
        <v>0</v>
      </c>
      <c r="UVI16">
        <v>0</v>
      </c>
      <c r="UVJ16">
        <v>0</v>
      </c>
      <c r="UVK16">
        <v>0</v>
      </c>
      <c r="UVL16">
        <v>0</v>
      </c>
      <c r="UVM16">
        <v>0</v>
      </c>
      <c r="UVN16">
        <v>0</v>
      </c>
      <c r="UVO16">
        <v>0</v>
      </c>
      <c r="UVP16">
        <v>0</v>
      </c>
      <c r="UVQ16">
        <v>0</v>
      </c>
      <c r="UVR16">
        <v>0</v>
      </c>
      <c r="UVS16">
        <v>0</v>
      </c>
      <c r="UVT16">
        <v>0</v>
      </c>
      <c r="UVU16">
        <v>0</v>
      </c>
      <c r="UVV16">
        <v>0</v>
      </c>
      <c r="UVW16">
        <v>0</v>
      </c>
      <c r="UVX16">
        <v>0</v>
      </c>
      <c r="UVY16">
        <v>0</v>
      </c>
      <c r="UVZ16">
        <v>0</v>
      </c>
      <c r="UWA16">
        <v>0</v>
      </c>
      <c r="UWB16">
        <v>0</v>
      </c>
      <c r="UWC16">
        <v>0</v>
      </c>
      <c r="UWD16">
        <v>0</v>
      </c>
      <c r="UWE16">
        <v>0</v>
      </c>
      <c r="UWF16">
        <v>0</v>
      </c>
      <c r="UWG16">
        <v>0</v>
      </c>
      <c r="UWH16">
        <v>0</v>
      </c>
      <c r="UWI16">
        <v>0</v>
      </c>
      <c r="UWJ16">
        <v>0</v>
      </c>
      <c r="UWK16">
        <v>0</v>
      </c>
      <c r="UWL16">
        <v>0</v>
      </c>
      <c r="UWM16">
        <v>0</v>
      </c>
      <c r="UWN16">
        <v>0</v>
      </c>
      <c r="UWO16">
        <v>0</v>
      </c>
      <c r="UWP16">
        <v>0</v>
      </c>
      <c r="UWQ16">
        <v>0</v>
      </c>
      <c r="UWR16">
        <v>0</v>
      </c>
      <c r="UWS16">
        <v>0</v>
      </c>
      <c r="UWT16">
        <v>0</v>
      </c>
      <c r="UWU16">
        <v>0</v>
      </c>
      <c r="UWV16">
        <v>0</v>
      </c>
      <c r="UWW16">
        <v>0</v>
      </c>
      <c r="UWX16">
        <v>0</v>
      </c>
      <c r="UWY16">
        <v>0</v>
      </c>
      <c r="UWZ16">
        <v>0</v>
      </c>
      <c r="UXA16">
        <v>0</v>
      </c>
      <c r="UXB16">
        <v>0</v>
      </c>
      <c r="UXC16">
        <v>0</v>
      </c>
      <c r="UXD16">
        <v>0</v>
      </c>
      <c r="UXE16">
        <v>0</v>
      </c>
      <c r="UXF16">
        <v>0</v>
      </c>
      <c r="UXG16">
        <v>0</v>
      </c>
      <c r="UXH16">
        <v>0</v>
      </c>
      <c r="UXI16">
        <v>0</v>
      </c>
      <c r="UXJ16">
        <v>0</v>
      </c>
      <c r="UXK16">
        <v>0</v>
      </c>
      <c r="UXL16">
        <v>0</v>
      </c>
      <c r="UXM16">
        <v>0</v>
      </c>
      <c r="UXN16">
        <v>0</v>
      </c>
      <c r="UXO16">
        <v>0</v>
      </c>
      <c r="UXP16">
        <v>0</v>
      </c>
      <c r="UXQ16">
        <v>0</v>
      </c>
      <c r="UXR16">
        <v>0</v>
      </c>
      <c r="UXS16">
        <v>0</v>
      </c>
      <c r="UXT16">
        <v>0</v>
      </c>
      <c r="UXU16">
        <v>0</v>
      </c>
      <c r="UXV16">
        <v>0</v>
      </c>
      <c r="UXW16">
        <v>0</v>
      </c>
      <c r="UXX16">
        <v>0</v>
      </c>
      <c r="UXY16">
        <v>0</v>
      </c>
      <c r="UXZ16">
        <v>0</v>
      </c>
      <c r="UYA16">
        <v>0</v>
      </c>
      <c r="UYB16">
        <v>0</v>
      </c>
      <c r="UYC16">
        <v>0</v>
      </c>
      <c r="UYD16">
        <v>0</v>
      </c>
      <c r="UYE16">
        <v>0</v>
      </c>
      <c r="UYF16">
        <v>0</v>
      </c>
      <c r="UYG16">
        <v>0</v>
      </c>
      <c r="UYH16">
        <v>0</v>
      </c>
      <c r="UYI16">
        <v>0</v>
      </c>
      <c r="UYJ16">
        <v>0</v>
      </c>
      <c r="UYK16">
        <v>0</v>
      </c>
      <c r="UYL16">
        <v>0</v>
      </c>
      <c r="UYM16">
        <v>0</v>
      </c>
      <c r="UYN16">
        <v>0</v>
      </c>
      <c r="UYO16">
        <v>0</v>
      </c>
      <c r="UYP16">
        <v>0</v>
      </c>
      <c r="UYQ16">
        <v>0</v>
      </c>
      <c r="UYR16">
        <v>0</v>
      </c>
      <c r="UYS16">
        <v>0</v>
      </c>
      <c r="UYT16">
        <v>0</v>
      </c>
      <c r="UYU16">
        <v>0</v>
      </c>
      <c r="UYV16">
        <v>0</v>
      </c>
      <c r="UYW16">
        <v>0</v>
      </c>
      <c r="UYX16">
        <v>0</v>
      </c>
      <c r="UYY16">
        <v>0</v>
      </c>
      <c r="UYZ16">
        <v>0</v>
      </c>
      <c r="UZA16">
        <v>0</v>
      </c>
      <c r="UZB16">
        <v>0</v>
      </c>
      <c r="UZC16">
        <v>0</v>
      </c>
      <c r="UZD16">
        <v>0</v>
      </c>
      <c r="UZE16">
        <v>0</v>
      </c>
      <c r="UZF16">
        <v>0</v>
      </c>
      <c r="UZG16">
        <v>0</v>
      </c>
      <c r="UZH16">
        <v>0</v>
      </c>
      <c r="UZI16">
        <v>0</v>
      </c>
      <c r="UZJ16">
        <v>0</v>
      </c>
      <c r="UZK16">
        <v>0</v>
      </c>
      <c r="UZL16">
        <v>0</v>
      </c>
      <c r="UZM16">
        <v>0</v>
      </c>
      <c r="UZN16">
        <v>0</v>
      </c>
      <c r="UZO16">
        <v>0</v>
      </c>
      <c r="UZP16">
        <v>0</v>
      </c>
      <c r="UZQ16">
        <v>0</v>
      </c>
      <c r="UZR16">
        <v>0</v>
      </c>
      <c r="UZS16">
        <v>0</v>
      </c>
      <c r="UZT16">
        <v>0</v>
      </c>
      <c r="UZU16">
        <v>0</v>
      </c>
      <c r="UZV16">
        <v>0</v>
      </c>
      <c r="UZW16">
        <v>0</v>
      </c>
      <c r="UZX16">
        <v>0</v>
      </c>
      <c r="UZY16">
        <v>0</v>
      </c>
      <c r="UZZ16">
        <v>0</v>
      </c>
      <c r="VAA16">
        <v>0</v>
      </c>
      <c r="VAB16">
        <v>0</v>
      </c>
      <c r="VAC16">
        <v>0</v>
      </c>
      <c r="VAD16">
        <v>0</v>
      </c>
      <c r="VAE16">
        <v>0</v>
      </c>
      <c r="VAF16">
        <v>0</v>
      </c>
      <c r="VAG16">
        <v>0</v>
      </c>
      <c r="VAH16">
        <v>0</v>
      </c>
      <c r="VAI16">
        <v>0</v>
      </c>
      <c r="VAJ16">
        <v>0</v>
      </c>
      <c r="VAK16">
        <v>0</v>
      </c>
      <c r="VAL16">
        <v>0</v>
      </c>
      <c r="VAM16">
        <v>0</v>
      </c>
      <c r="VAN16">
        <v>0</v>
      </c>
      <c r="VAO16">
        <v>0</v>
      </c>
      <c r="VAP16">
        <v>0</v>
      </c>
      <c r="VAQ16">
        <v>0</v>
      </c>
      <c r="VAR16">
        <v>0</v>
      </c>
      <c r="VAS16">
        <v>0</v>
      </c>
      <c r="VAT16">
        <v>0</v>
      </c>
      <c r="VAU16">
        <v>0</v>
      </c>
      <c r="VAV16">
        <v>0</v>
      </c>
      <c r="VAW16">
        <v>0</v>
      </c>
      <c r="VAX16">
        <v>0</v>
      </c>
      <c r="VAY16">
        <v>0</v>
      </c>
      <c r="VAZ16">
        <v>0</v>
      </c>
      <c r="VBA16">
        <v>0</v>
      </c>
      <c r="VBB16">
        <v>0</v>
      </c>
      <c r="VBC16">
        <v>0</v>
      </c>
      <c r="VBD16">
        <v>0</v>
      </c>
      <c r="VBE16">
        <v>0</v>
      </c>
      <c r="VBF16">
        <v>0</v>
      </c>
      <c r="VBG16">
        <v>0</v>
      </c>
      <c r="VBH16">
        <v>0</v>
      </c>
      <c r="VBI16">
        <v>0</v>
      </c>
      <c r="VBJ16">
        <v>0</v>
      </c>
      <c r="VBK16">
        <v>0</v>
      </c>
      <c r="VBL16">
        <v>0</v>
      </c>
      <c r="VBM16">
        <v>0</v>
      </c>
      <c r="VBN16">
        <v>0</v>
      </c>
      <c r="VBO16">
        <v>0</v>
      </c>
      <c r="VBP16">
        <v>0</v>
      </c>
      <c r="VBQ16">
        <v>0</v>
      </c>
      <c r="VBR16">
        <v>0</v>
      </c>
      <c r="VBS16">
        <v>0</v>
      </c>
      <c r="VBT16">
        <v>0</v>
      </c>
      <c r="VBU16">
        <v>0</v>
      </c>
      <c r="VBV16">
        <v>0</v>
      </c>
      <c r="VBW16">
        <v>0</v>
      </c>
      <c r="VBX16">
        <v>0</v>
      </c>
      <c r="VBY16">
        <v>0</v>
      </c>
      <c r="VBZ16">
        <v>0</v>
      </c>
      <c r="VCA16">
        <v>0</v>
      </c>
      <c r="VCB16">
        <v>0</v>
      </c>
      <c r="VCC16">
        <v>0</v>
      </c>
      <c r="VCD16">
        <v>0</v>
      </c>
      <c r="VCE16">
        <v>0</v>
      </c>
      <c r="VCF16">
        <v>0</v>
      </c>
      <c r="VCG16">
        <v>0</v>
      </c>
      <c r="VCH16">
        <v>0</v>
      </c>
      <c r="VCI16">
        <v>0</v>
      </c>
      <c r="VCJ16">
        <v>0</v>
      </c>
      <c r="VCK16">
        <v>0</v>
      </c>
      <c r="VCL16">
        <v>0</v>
      </c>
      <c r="VCM16">
        <v>0</v>
      </c>
      <c r="VCN16">
        <v>0</v>
      </c>
      <c r="VCO16">
        <v>0</v>
      </c>
      <c r="VCP16">
        <v>0</v>
      </c>
      <c r="VCQ16">
        <v>0</v>
      </c>
      <c r="VCR16">
        <v>0</v>
      </c>
      <c r="VCS16">
        <v>0</v>
      </c>
      <c r="VCT16">
        <v>0</v>
      </c>
      <c r="VCU16">
        <v>0</v>
      </c>
      <c r="VCV16">
        <v>0</v>
      </c>
      <c r="VCW16">
        <v>0</v>
      </c>
      <c r="VCX16">
        <v>0</v>
      </c>
      <c r="VCY16">
        <v>0</v>
      </c>
      <c r="VCZ16">
        <v>0</v>
      </c>
      <c r="VDA16">
        <v>0</v>
      </c>
      <c r="VDB16">
        <v>0</v>
      </c>
      <c r="VDC16">
        <v>0</v>
      </c>
      <c r="VDD16">
        <v>0</v>
      </c>
      <c r="VDE16">
        <v>0</v>
      </c>
      <c r="VDF16">
        <v>0</v>
      </c>
      <c r="VDG16">
        <v>0</v>
      </c>
      <c r="VDH16">
        <v>0</v>
      </c>
      <c r="VDI16">
        <v>0</v>
      </c>
      <c r="VDJ16">
        <v>0</v>
      </c>
      <c r="VDK16">
        <v>0</v>
      </c>
      <c r="VDL16">
        <v>0</v>
      </c>
      <c r="VDM16">
        <v>0</v>
      </c>
      <c r="VDN16">
        <v>0</v>
      </c>
      <c r="VDO16">
        <v>0</v>
      </c>
      <c r="VDP16">
        <v>0</v>
      </c>
      <c r="VDQ16">
        <v>0</v>
      </c>
      <c r="VDR16">
        <v>0</v>
      </c>
      <c r="VDS16">
        <v>0</v>
      </c>
      <c r="VDT16">
        <v>0</v>
      </c>
      <c r="VDU16">
        <v>0</v>
      </c>
      <c r="VDV16">
        <v>0</v>
      </c>
      <c r="VDW16">
        <v>0</v>
      </c>
      <c r="VDX16">
        <v>0</v>
      </c>
      <c r="VDY16">
        <v>0</v>
      </c>
      <c r="VDZ16">
        <v>0</v>
      </c>
      <c r="VEA16">
        <v>0</v>
      </c>
      <c r="VEB16">
        <v>0</v>
      </c>
      <c r="VEC16">
        <v>0</v>
      </c>
      <c r="VED16">
        <v>0</v>
      </c>
      <c r="VEE16">
        <v>0</v>
      </c>
      <c r="VEF16">
        <v>0</v>
      </c>
      <c r="VEG16">
        <v>0</v>
      </c>
      <c r="VEH16">
        <v>0</v>
      </c>
      <c r="VEI16">
        <v>0</v>
      </c>
      <c r="VEJ16">
        <v>0</v>
      </c>
      <c r="VEK16">
        <v>0</v>
      </c>
      <c r="VEL16">
        <v>0</v>
      </c>
      <c r="VEM16">
        <v>0</v>
      </c>
      <c r="VEN16">
        <v>0</v>
      </c>
      <c r="VEO16">
        <v>0</v>
      </c>
      <c r="VEP16">
        <v>0</v>
      </c>
      <c r="VEQ16">
        <v>0</v>
      </c>
      <c r="VER16">
        <v>0</v>
      </c>
      <c r="VES16">
        <v>0</v>
      </c>
      <c r="VET16">
        <v>0</v>
      </c>
      <c r="VEU16">
        <v>0</v>
      </c>
      <c r="VEV16">
        <v>0</v>
      </c>
      <c r="VEW16">
        <v>0</v>
      </c>
      <c r="VEX16">
        <v>0</v>
      </c>
      <c r="VEY16">
        <v>0</v>
      </c>
      <c r="VEZ16">
        <v>0</v>
      </c>
      <c r="VFA16">
        <v>0</v>
      </c>
      <c r="VFB16">
        <v>0</v>
      </c>
      <c r="VFC16">
        <v>0</v>
      </c>
      <c r="VFD16">
        <v>0</v>
      </c>
      <c r="VFE16">
        <v>0</v>
      </c>
      <c r="VFF16">
        <v>0</v>
      </c>
      <c r="VFG16">
        <v>0</v>
      </c>
      <c r="VFH16">
        <v>0</v>
      </c>
      <c r="VFI16">
        <v>0</v>
      </c>
      <c r="VFJ16">
        <v>0</v>
      </c>
      <c r="VFK16">
        <v>0</v>
      </c>
      <c r="VFL16">
        <v>0</v>
      </c>
      <c r="VFM16">
        <v>0</v>
      </c>
      <c r="VFN16">
        <v>0</v>
      </c>
      <c r="VFO16">
        <v>0</v>
      </c>
      <c r="VFP16">
        <v>0</v>
      </c>
      <c r="VFQ16">
        <v>0</v>
      </c>
      <c r="VFR16">
        <v>0</v>
      </c>
      <c r="VFS16">
        <v>0</v>
      </c>
      <c r="VFT16">
        <v>0</v>
      </c>
      <c r="VFU16">
        <v>0</v>
      </c>
      <c r="VFV16">
        <v>0</v>
      </c>
      <c r="VFW16">
        <v>0</v>
      </c>
      <c r="VFX16">
        <v>0</v>
      </c>
      <c r="VFY16">
        <v>0</v>
      </c>
      <c r="VFZ16">
        <v>0</v>
      </c>
      <c r="VGA16">
        <v>0</v>
      </c>
      <c r="VGB16">
        <v>0</v>
      </c>
      <c r="VGC16">
        <v>0</v>
      </c>
      <c r="VGD16">
        <v>0</v>
      </c>
      <c r="VGE16">
        <v>0</v>
      </c>
      <c r="VGF16">
        <v>0</v>
      </c>
      <c r="VGG16">
        <v>0</v>
      </c>
      <c r="VGH16">
        <v>0</v>
      </c>
      <c r="VGI16">
        <v>0</v>
      </c>
      <c r="VGJ16">
        <v>0</v>
      </c>
      <c r="VGK16">
        <v>0</v>
      </c>
      <c r="VGL16">
        <v>0</v>
      </c>
      <c r="VGM16">
        <v>0</v>
      </c>
      <c r="VGN16">
        <v>0</v>
      </c>
      <c r="VGO16">
        <v>0</v>
      </c>
      <c r="VGP16">
        <v>0</v>
      </c>
      <c r="VGQ16">
        <v>0</v>
      </c>
      <c r="VGR16">
        <v>0</v>
      </c>
      <c r="VGS16">
        <v>0</v>
      </c>
      <c r="VGT16">
        <v>0</v>
      </c>
      <c r="VGU16">
        <v>0</v>
      </c>
      <c r="VGV16">
        <v>0</v>
      </c>
      <c r="VGW16">
        <v>0</v>
      </c>
      <c r="VGX16">
        <v>0</v>
      </c>
      <c r="VGY16">
        <v>0</v>
      </c>
      <c r="VGZ16">
        <v>0</v>
      </c>
      <c r="VHA16">
        <v>0</v>
      </c>
      <c r="VHB16">
        <v>0</v>
      </c>
      <c r="VHC16">
        <v>0</v>
      </c>
      <c r="VHD16">
        <v>0</v>
      </c>
      <c r="VHE16">
        <v>0</v>
      </c>
      <c r="VHF16">
        <v>0</v>
      </c>
      <c r="VHG16">
        <v>0</v>
      </c>
      <c r="VHH16">
        <v>0</v>
      </c>
      <c r="VHI16">
        <v>0</v>
      </c>
      <c r="VHJ16">
        <v>0</v>
      </c>
      <c r="VHK16">
        <v>0</v>
      </c>
      <c r="VHL16">
        <v>0</v>
      </c>
      <c r="VHM16">
        <v>0</v>
      </c>
      <c r="VHN16">
        <v>0</v>
      </c>
      <c r="VHO16">
        <v>0</v>
      </c>
      <c r="VHP16">
        <v>0</v>
      </c>
      <c r="VHQ16">
        <v>0</v>
      </c>
      <c r="VHR16">
        <v>0</v>
      </c>
      <c r="VHS16">
        <v>0</v>
      </c>
      <c r="VHT16">
        <v>0</v>
      </c>
      <c r="VHU16">
        <v>0</v>
      </c>
      <c r="VHV16">
        <v>0</v>
      </c>
      <c r="VHW16">
        <v>0</v>
      </c>
      <c r="VHX16">
        <v>0</v>
      </c>
      <c r="VHY16">
        <v>0</v>
      </c>
      <c r="VHZ16">
        <v>0</v>
      </c>
      <c r="VIA16">
        <v>0</v>
      </c>
      <c r="VIB16">
        <v>0</v>
      </c>
      <c r="VIC16">
        <v>0</v>
      </c>
      <c r="VID16">
        <v>0</v>
      </c>
      <c r="VIE16">
        <v>0</v>
      </c>
      <c r="VIF16">
        <v>0</v>
      </c>
      <c r="VIG16">
        <v>0</v>
      </c>
      <c r="VIH16">
        <v>0</v>
      </c>
      <c r="VII16">
        <v>0</v>
      </c>
      <c r="VIJ16">
        <v>0</v>
      </c>
      <c r="VIK16">
        <v>0</v>
      </c>
      <c r="VIL16">
        <v>0</v>
      </c>
      <c r="VIM16">
        <v>0</v>
      </c>
      <c r="VIN16">
        <v>0</v>
      </c>
      <c r="VIO16">
        <v>0</v>
      </c>
      <c r="VIP16">
        <v>0</v>
      </c>
      <c r="VIQ16">
        <v>0</v>
      </c>
      <c r="VIR16">
        <v>0</v>
      </c>
      <c r="VIS16">
        <v>0</v>
      </c>
      <c r="VIT16">
        <v>0</v>
      </c>
      <c r="VIU16">
        <v>0</v>
      </c>
      <c r="VIV16">
        <v>0</v>
      </c>
      <c r="VIW16">
        <v>0</v>
      </c>
      <c r="VIX16">
        <v>0</v>
      </c>
      <c r="VIY16">
        <v>0</v>
      </c>
      <c r="VIZ16">
        <v>0</v>
      </c>
      <c r="VJA16">
        <v>0</v>
      </c>
      <c r="VJB16">
        <v>0</v>
      </c>
      <c r="VJC16">
        <v>0</v>
      </c>
      <c r="VJD16">
        <v>0</v>
      </c>
      <c r="VJE16">
        <v>0</v>
      </c>
      <c r="VJF16">
        <v>0</v>
      </c>
      <c r="VJG16">
        <v>0</v>
      </c>
      <c r="VJH16">
        <v>0</v>
      </c>
      <c r="VJI16">
        <v>0</v>
      </c>
      <c r="VJJ16">
        <v>0</v>
      </c>
      <c r="VJK16">
        <v>0</v>
      </c>
      <c r="VJL16">
        <v>0</v>
      </c>
      <c r="VJM16">
        <v>0</v>
      </c>
      <c r="VJN16">
        <v>0</v>
      </c>
      <c r="VJO16">
        <v>0</v>
      </c>
      <c r="VJP16">
        <v>0</v>
      </c>
      <c r="VJQ16">
        <v>0</v>
      </c>
      <c r="VJR16">
        <v>0</v>
      </c>
      <c r="VJS16">
        <v>0</v>
      </c>
      <c r="VJT16">
        <v>0</v>
      </c>
      <c r="VJU16">
        <v>0</v>
      </c>
      <c r="VJV16">
        <v>0</v>
      </c>
      <c r="VJW16">
        <v>0</v>
      </c>
      <c r="VJX16">
        <v>0</v>
      </c>
      <c r="VJY16">
        <v>0</v>
      </c>
      <c r="VJZ16">
        <v>0</v>
      </c>
      <c r="VKA16">
        <v>0</v>
      </c>
      <c r="VKB16">
        <v>0</v>
      </c>
      <c r="VKC16">
        <v>0</v>
      </c>
      <c r="VKD16">
        <v>0</v>
      </c>
      <c r="VKE16">
        <v>0</v>
      </c>
      <c r="VKF16">
        <v>0</v>
      </c>
      <c r="VKG16">
        <v>0</v>
      </c>
      <c r="VKH16">
        <v>0</v>
      </c>
      <c r="VKI16">
        <v>0</v>
      </c>
      <c r="VKJ16">
        <v>0</v>
      </c>
      <c r="VKK16">
        <v>0</v>
      </c>
      <c r="VKL16">
        <v>0</v>
      </c>
      <c r="VKM16">
        <v>0</v>
      </c>
      <c r="VKN16">
        <v>0</v>
      </c>
      <c r="VKO16">
        <v>0</v>
      </c>
      <c r="VKP16">
        <v>0</v>
      </c>
      <c r="VKQ16">
        <v>0</v>
      </c>
      <c r="VKR16">
        <v>0</v>
      </c>
      <c r="VKS16">
        <v>0</v>
      </c>
      <c r="VKT16">
        <v>0</v>
      </c>
      <c r="VKU16">
        <v>0</v>
      </c>
      <c r="VKV16">
        <v>0</v>
      </c>
      <c r="VKW16">
        <v>0</v>
      </c>
      <c r="VKX16">
        <v>0</v>
      </c>
      <c r="VKY16">
        <v>0</v>
      </c>
      <c r="VKZ16">
        <v>0</v>
      </c>
      <c r="VLA16">
        <v>0</v>
      </c>
      <c r="VLB16">
        <v>0</v>
      </c>
      <c r="VLC16">
        <v>0</v>
      </c>
      <c r="VLD16">
        <v>0</v>
      </c>
      <c r="VLE16">
        <v>0</v>
      </c>
      <c r="VLF16">
        <v>0</v>
      </c>
      <c r="VLG16">
        <v>0</v>
      </c>
      <c r="VLH16">
        <v>0</v>
      </c>
      <c r="VLI16">
        <v>0</v>
      </c>
      <c r="VLJ16">
        <v>0</v>
      </c>
      <c r="VLK16">
        <v>0</v>
      </c>
      <c r="VLL16">
        <v>0</v>
      </c>
      <c r="VLM16">
        <v>0</v>
      </c>
      <c r="VLN16">
        <v>0</v>
      </c>
      <c r="VLO16">
        <v>0</v>
      </c>
      <c r="VLP16">
        <v>0</v>
      </c>
      <c r="VLQ16">
        <v>0</v>
      </c>
      <c r="VLR16">
        <v>0</v>
      </c>
      <c r="VLS16">
        <v>0</v>
      </c>
      <c r="VLT16">
        <v>0</v>
      </c>
      <c r="VLU16">
        <v>0</v>
      </c>
      <c r="VLV16">
        <v>0</v>
      </c>
      <c r="VLW16">
        <v>0</v>
      </c>
      <c r="VLX16">
        <v>0</v>
      </c>
      <c r="VLY16">
        <v>0</v>
      </c>
      <c r="VLZ16">
        <v>0</v>
      </c>
      <c r="VMA16">
        <v>0</v>
      </c>
      <c r="VMB16">
        <v>0</v>
      </c>
      <c r="VMC16">
        <v>0</v>
      </c>
      <c r="VMD16">
        <v>0</v>
      </c>
      <c r="VME16">
        <v>0</v>
      </c>
      <c r="VMF16">
        <v>0</v>
      </c>
      <c r="VMG16">
        <v>0</v>
      </c>
      <c r="VMH16">
        <v>0</v>
      </c>
      <c r="VMI16">
        <v>0</v>
      </c>
      <c r="VMJ16">
        <v>0</v>
      </c>
      <c r="VMK16">
        <v>0</v>
      </c>
      <c r="VML16">
        <v>0</v>
      </c>
      <c r="VMM16">
        <v>0</v>
      </c>
      <c r="VMN16">
        <v>0</v>
      </c>
      <c r="VMO16">
        <v>0</v>
      </c>
      <c r="VMP16">
        <v>0</v>
      </c>
      <c r="VMQ16">
        <v>0</v>
      </c>
      <c r="VMR16">
        <v>0</v>
      </c>
      <c r="VMS16">
        <v>0</v>
      </c>
      <c r="VMT16">
        <v>0</v>
      </c>
      <c r="VMU16">
        <v>0</v>
      </c>
      <c r="VMV16">
        <v>0</v>
      </c>
      <c r="VMW16">
        <v>0</v>
      </c>
      <c r="VMX16">
        <v>0</v>
      </c>
      <c r="VMY16">
        <v>0</v>
      </c>
      <c r="VMZ16">
        <v>0</v>
      </c>
      <c r="VNA16">
        <v>0</v>
      </c>
      <c r="VNB16">
        <v>0</v>
      </c>
      <c r="VNC16">
        <v>0</v>
      </c>
      <c r="VND16">
        <v>0</v>
      </c>
      <c r="VNE16">
        <v>0</v>
      </c>
      <c r="VNF16">
        <v>0</v>
      </c>
      <c r="VNG16">
        <v>0</v>
      </c>
      <c r="VNH16">
        <v>0</v>
      </c>
      <c r="VNI16">
        <v>0</v>
      </c>
      <c r="VNJ16">
        <v>0</v>
      </c>
      <c r="VNK16">
        <v>0</v>
      </c>
      <c r="VNL16">
        <v>0</v>
      </c>
      <c r="VNM16">
        <v>0</v>
      </c>
      <c r="VNN16">
        <v>0</v>
      </c>
      <c r="VNO16">
        <v>0</v>
      </c>
      <c r="VNP16">
        <v>0</v>
      </c>
      <c r="VNQ16">
        <v>0</v>
      </c>
      <c r="VNR16">
        <v>0</v>
      </c>
      <c r="VNS16">
        <v>0</v>
      </c>
      <c r="VNT16">
        <v>0</v>
      </c>
      <c r="VNU16">
        <v>0</v>
      </c>
      <c r="VNV16">
        <v>0</v>
      </c>
      <c r="VNW16">
        <v>0</v>
      </c>
      <c r="VNX16">
        <v>0</v>
      </c>
      <c r="VNY16">
        <v>0</v>
      </c>
      <c r="VNZ16">
        <v>0</v>
      </c>
      <c r="VOA16">
        <v>0</v>
      </c>
      <c r="VOB16">
        <v>0</v>
      </c>
      <c r="VOC16">
        <v>0</v>
      </c>
      <c r="VOD16">
        <v>0</v>
      </c>
      <c r="VOE16">
        <v>0</v>
      </c>
      <c r="VOF16">
        <v>0</v>
      </c>
      <c r="VOG16">
        <v>0</v>
      </c>
      <c r="VOH16">
        <v>0</v>
      </c>
      <c r="VOI16">
        <v>0</v>
      </c>
      <c r="VOJ16">
        <v>0</v>
      </c>
      <c r="VOK16">
        <v>0</v>
      </c>
      <c r="VOL16">
        <v>0</v>
      </c>
      <c r="VOM16">
        <v>0</v>
      </c>
      <c r="VON16">
        <v>0</v>
      </c>
      <c r="VOO16">
        <v>0</v>
      </c>
      <c r="VOP16">
        <v>0</v>
      </c>
      <c r="VOQ16">
        <v>0</v>
      </c>
      <c r="VOR16">
        <v>0</v>
      </c>
      <c r="VOS16">
        <v>0</v>
      </c>
      <c r="VOT16">
        <v>0</v>
      </c>
      <c r="VOU16">
        <v>0</v>
      </c>
      <c r="VOV16">
        <v>0</v>
      </c>
      <c r="VOW16">
        <v>0</v>
      </c>
      <c r="VOX16">
        <v>0</v>
      </c>
      <c r="VOY16">
        <v>0</v>
      </c>
      <c r="VOZ16">
        <v>0</v>
      </c>
      <c r="VPA16">
        <v>0</v>
      </c>
      <c r="VPB16">
        <v>0</v>
      </c>
      <c r="VPC16">
        <v>0</v>
      </c>
      <c r="VPD16">
        <v>0</v>
      </c>
      <c r="VPE16">
        <v>0</v>
      </c>
      <c r="VPF16">
        <v>0</v>
      </c>
      <c r="VPG16">
        <v>0</v>
      </c>
      <c r="VPH16">
        <v>0</v>
      </c>
      <c r="VPI16">
        <v>0</v>
      </c>
      <c r="VPJ16">
        <v>0</v>
      </c>
      <c r="VPK16">
        <v>0</v>
      </c>
      <c r="VPL16">
        <v>0</v>
      </c>
      <c r="VPM16">
        <v>0</v>
      </c>
      <c r="VPN16">
        <v>0</v>
      </c>
      <c r="VPO16">
        <v>0</v>
      </c>
      <c r="VPP16">
        <v>0</v>
      </c>
      <c r="VPQ16">
        <v>0</v>
      </c>
      <c r="VPR16">
        <v>0</v>
      </c>
      <c r="VPS16">
        <v>0</v>
      </c>
      <c r="VPT16">
        <v>0</v>
      </c>
      <c r="VPU16">
        <v>0</v>
      </c>
      <c r="VPV16">
        <v>0</v>
      </c>
      <c r="VPW16">
        <v>0</v>
      </c>
      <c r="VPX16">
        <v>0</v>
      </c>
      <c r="VPY16">
        <v>0</v>
      </c>
      <c r="VPZ16">
        <v>0</v>
      </c>
      <c r="VQA16">
        <v>0</v>
      </c>
      <c r="VQB16">
        <v>0</v>
      </c>
      <c r="VQC16">
        <v>0</v>
      </c>
      <c r="VQD16">
        <v>0</v>
      </c>
      <c r="VQE16">
        <v>0</v>
      </c>
      <c r="VQF16">
        <v>0</v>
      </c>
      <c r="VQG16">
        <v>0</v>
      </c>
      <c r="VQH16">
        <v>0</v>
      </c>
      <c r="VQI16">
        <v>0</v>
      </c>
      <c r="VQJ16">
        <v>0</v>
      </c>
      <c r="VQK16">
        <v>0</v>
      </c>
      <c r="VQL16">
        <v>0</v>
      </c>
      <c r="VQM16">
        <v>0</v>
      </c>
      <c r="VQN16">
        <v>0</v>
      </c>
      <c r="VQO16">
        <v>0</v>
      </c>
      <c r="VQP16">
        <v>0</v>
      </c>
      <c r="VQQ16">
        <v>0</v>
      </c>
      <c r="VQR16">
        <v>0</v>
      </c>
      <c r="VQS16">
        <v>0</v>
      </c>
      <c r="VQT16">
        <v>0</v>
      </c>
      <c r="VQU16">
        <v>0</v>
      </c>
      <c r="VQV16">
        <v>0</v>
      </c>
      <c r="VQW16">
        <v>0</v>
      </c>
      <c r="VQX16">
        <v>0</v>
      </c>
      <c r="VQY16">
        <v>0</v>
      </c>
      <c r="VQZ16">
        <v>0</v>
      </c>
      <c r="VRA16">
        <v>0</v>
      </c>
      <c r="VRB16">
        <v>0</v>
      </c>
      <c r="VRC16">
        <v>0</v>
      </c>
      <c r="VRD16">
        <v>0</v>
      </c>
      <c r="VRE16">
        <v>0</v>
      </c>
      <c r="VRF16">
        <v>0</v>
      </c>
      <c r="VRG16">
        <v>0</v>
      </c>
      <c r="VRH16">
        <v>0</v>
      </c>
      <c r="VRI16">
        <v>0</v>
      </c>
      <c r="VRJ16">
        <v>0</v>
      </c>
      <c r="VRK16">
        <v>0</v>
      </c>
      <c r="VRL16">
        <v>0</v>
      </c>
      <c r="VRM16">
        <v>0</v>
      </c>
      <c r="VRN16">
        <v>0</v>
      </c>
      <c r="VRO16">
        <v>0</v>
      </c>
      <c r="VRP16">
        <v>0</v>
      </c>
      <c r="VRQ16">
        <v>0</v>
      </c>
      <c r="VRR16">
        <v>0</v>
      </c>
      <c r="VRS16">
        <v>0</v>
      </c>
      <c r="VRT16">
        <v>0</v>
      </c>
      <c r="VRU16">
        <v>0</v>
      </c>
      <c r="VRV16">
        <v>0</v>
      </c>
      <c r="VRW16">
        <v>0</v>
      </c>
      <c r="VRX16">
        <v>0</v>
      </c>
      <c r="VRY16">
        <v>0</v>
      </c>
      <c r="VRZ16">
        <v>0</v>
      </c>
      <c r="VSA16">
        <v>0</v>
      </c>
      <c r="VSB16">
        <v>0</v>
      </c>
      <c r="VSC16">
        <v>0</v>
      </c>
      <c r="VSD16">
        <v>0</v>
      </c>
      <c r="VSE16">
        <v>0</v>
      </c>
      <c r="VSF16">
        <v>0</v>
      </c>
      <c r="VSG16">
        <v>0</v>
      </c>
      <c r="VSH16">
        <v>0</v>
      </c>
      <c r="VSI16">
        <v>0</v>
      </c>
      <c r="VSJ16">
        <v>0</v>
      </c>
      <c r="VSK16">
        <v>0</v>
      </c>
      <c r="VSL16">
        <v>0</v>
      </c>
      <c r="VSM16">
        <v>0</v>
      </c>
      <c r="VSN16">
        <v>0</v>
      </c>
      <c r="VSO16">
        <v>0</v>
      </c>
      <c r="VSP16">
        <v>0</v>
      </c>
      <c r="VSQ16">
        <v>0</v>
      </c>
      <c r="VSR16">
        <v>0</v>
      </c>
      <c r="VSS16">
        <v>0</v>
      </c>
      <c r="VST16">
        <v>0</v>
      </c>
      <c r="VSU16">
        <v>0</v>
      </c>
      <c r="VSV16">
        <v>0</v>
      </c>
      <c r="VSW16">
        <v>0</v>
      </c>
      <c r="VSX16">
        <v>0</v>
      </c>
      <c r="VSY16">
        <v>0</v>
      </c>
      <c r="VSZ16">
        <v>0</v>
      </c>
      <c r="VTA16">
        <v>0</v>
      </c>
      <c r="VTB16">
        <v>0</v>
      </c>
      <c r="VTC16">
        <v>0</v>
      </c>
      <c r="VTD16">
        <v>0</v>
      </c>
      <c r="VTE16">
        <v>0</v>
      </c>
      <c r="VTF16">
        <v>0</v>
      </c>
      <c r="VTG16">
        <v>0</v>
      </c>
      <c r="VTH16">
        <v>0</v>
      </c>
      <c r="VTI16">
        <v>0</v>
      </c>
      <c r="VTJ16">
        <v>0</v>
      </c>
      <c r="VTK16">
        <v>0</v>
      </c>
      <c r="VTL16">
        <v>0</v>
      </c>
      <c r="VTM16">
        <v>0</v>
      </c>
      <c r="VTN16">
        <v>0</v>
      </c>
      <c r="VTO16">
        <v>0</v>
      </c>
      <c r="VTP16">
        <v>0</v>
      </c>
      <c r="VTQ16">
        <v>0</v>
      </c>
      <c r="VTR16">
        <v>0</v>
      </c>
      <c r="VTS16">
        <v>0</v>
      </c>
      <c r="VTT16">
        <v>0</v>
      </c>
      <c r="VTU16">
        <v>0</v>
      </c>
      <c r="VTV16">
        <v>0</v>
      </c>
      <c r="VTW16">
        <v>0</v>
      </c>
      <c r="VTX16">
        <v>0</v>
      </c>
      <c r="VTY16">
        <v>0</v>
      </c>
      <c r="VTZ16">
        <v>0</v>
      </c>
      <c r="VUA16">
        <v>0</v>
      </c>
      <c r="VUB16">
        <v>0</v>
      </c>
      <c r="VUC16">
        <v>0</v>
      </c>
      <c r="VUD16">
        <v>0</v>
      </c>
      <c r="VUE16">
        <v>0</v>
      </c>
      <c r="VUF16">
        <v>0</v>
      </c>
      <c r="VUG16">
        <v>0</v>
      </c>
      <c r="VUH16">
        <v>0</v>
      </c>
      <c r="VUI16">
        <v>0</v>
      </c>
      <c r="VUJ16">
        <v>0</v>
      </c>
      <c r="VUK16">
        <v>0</v>
      </c>
      <c r="VUL16">
        <v>0</v>
      </c>
      <c r="VUM16">
        <v>0</v>
      </c>
      <c r="VUN16">
        <v>0</v>
      </c>
      <c r="VUO16">
        <v>0</v>
      </c>
      <c r="VUP16">
        <v>0</v>
      </c>
      <c r="VUQ16">
        <v>0</v>
      </c>
      <c r="VUR16">
        <v>0</v>
      </c>
      <c r="VUS16">
        <v>0</v>
      </c>
      <c r="VUT16">
        <v>0</v>
      </c>
      <c r="VUU16">
        <v>0</v>
      </c>
      <c r="VUV16">
        <v>0</v>
      </c>
      <c r="VUW16">
        <v>0</v>
      </c>
      <c r="VUX16">
        <v>0</v>
      </c>
      <c r="VUY16">
        <v>0</v>
      </c>
      <c r="VUZ16">
        <v>0</v>
      </c>
      <c r="VVA16">
        <v>0</v>
      </c>
      <c r="VVB16">
        <v>0</v>
      </c>
      <c r="VVC16">
        <v>0</v>
      </c>
      <c r="VVD16">
        <v>0</v>
      </c>
      <c r="VVE16">
        <v>0</v>
      </c>
      <c r="VVF16">
        <v>0</v>
      </c>
      <c r="VVG16">
        <v>0</v>
      </c>
      <c r="VVH16">
        <v>0</v>
      </c>
      <c r="VVI16">
        <v>0</v>
      </c>
      <c r="VVJ16">
        <v>0</v>
      </c>
      <c r="VVK16">
        <v>0</v>
      </c>
      <c r="VVL16">
        <v>0</v>
      </c>
      <c r="VVM16">
        <v>0</v>
      </c>
      <c r="VVN16">
        <v>0</v>
      </c>
      <c r="VVO16">
        <v>0</v>
      </c>
      <c r="VVP16">
        <v>0</v>
      </c>
      <c r="VVQ16">
        <v>0</v>
      </c>
      <c r="VVR16">
        <v>0</v>
      </c>
      <c r="VVS16">
        <v>0</v>
      </c>
      <c r="VVT16">
        <v>0</v>
      </c>
      <c r="VVU16">
        <v>0</v>
      </c>
      <c r="VVV16">
        <v>0</v>
      </c>
      <c r="VVW16">
        <v>0</v>
      </c>
      <c r="VVX16">
        <v>0</v>
      </c>
      <c r="VVY16">
        <v>0</v>
      </c>
      <c r="VVZ16">
        <v>0</v>
      </c>
      <c r="VWA16">
        <v>0</v>
      </c>
      <c r="VWB16">
        <v>0</v>
      </c>
      <c r="VWC16">
        <v>0</v>
      </c>
      <c r="VWD16">
        <v>0</v>
      </c>
      <c r="VWE16">
        <v>0</v>
      </c>
      <c r="VWF16">
        <v>0</v>
      </c>
      <c r="VWG16">
        <v>0</v>
      </c>
      <c r="VWH16">
        <v>0</v>
      </c>
      <c r="VWI16">
        <v>0</v>
      </c>
      <c r="VWJ16">
        <v>0</v>
      </c>
      <c r="VWK16">
        <v>0</v>
      </c>
      <c r="VWL16">
        <v>0</v>
      </c>
      <c r="VWM16">
        <v>0</v>
      </c>
      <c r="VWN16">
        <v>0</v>
      </c>
      <c r="VWO16">
        <v>0</v>
      </c>
      <c r="VWP16">
        <v>0</v>
      </c>
      <c r="VWQ16">
        <v>0</v>
      </c>
      <c r="VWR16">
        <v>0</v>
      </c>
      <c r="VWS16">
        <v>0</v>
      </c>
      <c r="VWT16">
        <v>0</v>
      </c>
      <c r="VWU16">
        <v>0</v>
      </c>
      <c r="VWV16">
        <v>0</v>
      </c>
      <c r="VWW16">
        <v>0</v>
      </c>
      <c r="VWX16">
        <v>0</v>
      </c>
      <c r="VWY16">
        <v>0</v>
      </c>
      <c r="VWZ16">
        <v>0</v>
      </c>
      <c r="VXA16">
        <v>0</v>
      </c>
      <c r="VXB16">
        <v>0</v>
      </c>
      <c r="VXC16">
        <v>0</v>
      </c>
      <c r="VXD16">
        <v>0</v>
      </c>
      <c r="VXE16">
        <v>0</v>
      </c>
      <c r="VXF16">
        <v>0</v>
      </c>
      <c r="VXG16">
        <v>0</v>
      </c>
      <c r="VXH16">
        <v>0</v>
      </c>
      <c r="VXI16">
        <v>0</v>
      </c>
      <c r="VXJ16">
        <v>0</v>
      </c>
      <c r="VXK16">
        <v>0</v>
      </c>
      <c r="VXL16">
        <v>0</v>
      </c>
      <c r="VXM16">
        <v>0</v>
      </c>
      <c r="VXN16">
        <v>0</v>
      </c>
      <c r="VXO16">
        <v>0</v>
      </c>
      <c r="VXP16">
        <v>0</v>
      </c>
      <c r="VXQ16">
        <v>0</v>
      </c>
      <c r="VXR16">
        <v>0</v>
      </c>
      <c r="VXS16">
        <v>0</v>
      </c>
      <c r="VXT16">
        <v>0</v>
      </c>
      <c r="VXU16">
        <v>0</v>
      </c>
      <c r="VXV16">
        <v>0</v>
      </c>
      <c r="VXW16">
        <v>0</v>
      </c>
      <c r="VXX16">
        <v>0</v>
      </c>
      <c r="VXY16">
        <v>0</v>
      </c>
      <c r="VXZ16">
        <v>0</v>
      </c>
      <c r="VYA16">
        <v>0</v>
      </c>
      <c r="VYB16">
        <v>0</v>
      </c>
      <c r="VYC16">
        <v>0</v>
      </c>
      <c r="VYD16">
        <v>0</v>
      </c>
      <c r="VYE16">
        <v>0</v>
      </c>
      <c r="VYF16">
        <v>0</v>
      </c>
      <c r="VYG16">
        <v>0</v>
      </c>
      <c r="VYH16">
        <v>0</v>
      </c>
      <c r="VYI16">
        <v>0</v>
      </c>
      <c r="VYJ16">
        <v>0</v>
      </c>
      <c r="VYK16">
        <v>0</v>
      </c>
      <c r="VYL16">
        <v>0</v>
      </c>
      <c r="VYM16">
        <v>0</v>
      </c>
      <c r="VYN16">
        <v>0</v>
      </c>
      <c r="VYO16">
        <v>0</v>
      </c>
      <c r="VYP16">
        <v>0</v>
      </c>
      <c r="VYQ16">
        <v>0</v>
      </c>
      <c r="VYR16">
        <v>0</v>
      </c>
      <c r="VYS16">
        <v>0</v>
      </c>
      <c r="VYT16">
        <v>0</v>
      </c>
      <c r="VYU16">
        <v>0</v>
      </c>
      <c r="VYV16">
        <v>0</v>
      </c>
      <c r="VYW16">
        <v>0</v>
      </c>
      <c r="VYX16">
        <v>0</v>
      </c>
      <c r="VYY16">
        <v>0</v>
      </c>
      <c r="VYZ16">
        <v>0</v>
      </c>
      <c r="VZA16">
        <v>0</v>
      </c>
      <c r="VZB16">
        <v>0</v>
      </c>
      <c r="VZC16">
        <v>0</v>
      </c>
      <c r="VZD16">
        <v>0</v>
      </c>
      <c r="VZE16">
        <v>0</v>
      </c>
      <c r="VZF16">
        <v>0</v>
      </c>
      <c r="VZG16">
        <v>0</v>
      </c>
      <c r="VZH16">
        <v>0</v>
      </c>
      <c r="VZI16">
        <v>0</v>
      </c>
      <c r="VZJ16">
        <v>0</v>
      </c>
      <c r="VZK16">
        <v>0</v>
      </c>
      <c r="VZL16">
        <v>0</v>
      </c>
      <c r="VZM16">
        <v>0</v>
      </c>
      <c r="VZN16">
        <v>0</v>
      </c>
      <c r="VZO16">
        <v>0</v>
      </c>
      <c r="VZP16">
        <v>0</v>
      </c>
      <c r="VZQ16">
        <v>0</v>
      </c>
      <c r="VZR16">
        <v>0</v>
      </c>
      <c r="VZS16">
        <v>0</v>
      </c>
      <c r="VZT16">
        <v>0</v>
      </c>
      <c r="VZU16">
        <v>0</v>
      </c>
      <c r="VZV16">
        <v>0</v>
      </c>
      <c r="VZW16">
        <v>0</v>
      </c>
      <c r="VZX16">
        <v>0</v>
      </c>
      <c r="VZY16">
        <v>0</v>
      </c>
      <c r="VZZ16">
        <v>0</v>
      </c>
      <c r="WAA16">
        <v>0</v>
      </c>
      <c r="WAB16">
        <v>0</v>
      </c>
      <c r="WAC16">
        <v>0</v>
      </c>
      <c r="WAD16">
        <v>0</v>
      </c>
      <c r="WAE16">
        <v>0</v>
      </c>
      <c r="WAF16">
        <v>0</v>
      </c>
      <c r="WAG16">
        <v>0</v>
      </c>
      <c r="WAH16">
        <v>0</v>
      </c>
      <c r="WAI16">
        <v>0</v>
      </c>
      <c r="WAJ16">
        <v>0</v>
      </c>
      <c r="WAK16">
        <v>0</v>
      </c>
      <c r="WAL16">
        <v>0</v>
      </c>
      <c r="WAM16">
        <v>0</v>
      </c>
      <c r="WAN16">
        <v>0</v>
      </c>
      <c r="WAO16">
        <v>0</v>
      </c>
      <c r="WAP16">
        <v>0</v>
      </c>
      <c r="WAQ16">
        <v>0</v>
      </c>
      <c r="WAR16">
        <v>0</v>
      </c>
      <c r="WAS16">
        <v>0</v>
      </c>
      <c r="WAT16">
        <v>0</v>
      </c>
      <c r="WAU16">
        <v>0</v>
      </c>
      <c r="WAV16">
        <v>0</v>
      </c>
      <c r="WAW16">
        <v>0</v>
      </c>
      <c r="WAX16">
        <v>0</v>
      </c>
      <c r="WAY16">
        <v>0</v>
      </c>
      <c r="WAZ16">
        <v>0</v>
      </c>
      <c r="WBA16">
        <v>0</v>
      </c>
      <c r="WBB16">
        <v>0</v>
      </c>
      <c r="WBC16">
        <v>0</v>
      </c>
      <c r="WBD16">
        <v>0</v>
      </c>
      <c r="WBE16">
        <v>0</v>
      </c>
      <c r="WBF16">
        <v>0</v>
      </c>
      <c r="WBG16">
        <v>0</v>
      </c>
      <c r="WBH16">
        <v>0</v>
      </c>
      <c r="WBI16">
        <v>0</v>
      </c>
      <c r="WBJ16">
        <v>0</v>
      </c>
      <c r="WBK16">
        <v>0</v>
      </c>
      <c r="WBL16">
        <v>0</v>
      </c>
      <c r="WBM16">
        <v>0</v>
      </c>
      <c r="WBN16">
        <v>0</v>
      </c>
      <c r="WBO16">
        <v>0</v>
      </c>
      <c r="WBP16">
        <v>0</v>
      </c>
      <c r="WBQ16">
        <v>0</v>
      </c>
      <c r="WBR16">
        <v>0</v>
      </c>
      <c r="WBS16">
        <v>0</v>
      </c>
      <c r="WBT16">
        <v>0</v>
      </c>
      <c r="WBU16">
        <v>0</v>
      </c>
      <c r="WBV16">
        <v>0</v>
      </c>
      <c r="WBW16">
        <v>0</v>
      </c>
      <c r="WBX16">
        <v>0</v>
      </c>
      <c r="WBY16">
        <v>0</v>
      </c>
      <c r="WBZ16">
        <v>0</v>
      </c>
      <c r="WCA16">
        <v>0</v>
      </c>
      <c r="WCB16">
        <v>0</v>
      </c>
      <c r="WCC16">
        <v>0</v>
      </c>
      <c r="WCD16">
        <v>0</v>
      </c>
      <c r="WCE16">
        <v>0</v>
      </c>
      <c r="WCF16">
        <v>0</v>
      </c>
      <c r="WCG16">
        <v>0</v>
      </c>
      <c r="WCH16">
        <v>0</v>
      </c>
      <c r="WCI16">
        <v>0</v>
      </c>
      <c r="WCJ16">
        <v>0</v>
      </c>
      <c r="WCK16">
        <v>0</v>
      </c>
      <c r="WCL16">
        <v>0</v>
      </c>
      <c r="WCM16">
        <v>0</v>
      </c>
      <c r="WCN16">
        <v>0</v>
      </c>
      <c r="WCO16">
        <v>0</v>
      </c>
      <c r="WCP16">
        <v>0</v>
      </c>
      <c r="WCQ16">
        <v>0</v>
      </c>
      <c r="WCR16">
        <v>0</v>
      </c>
      <c r="WCS16">
        <v>0</v>
      </c>
      <c r="WCT16">
        <v>0</v>
      </c>
      <c r="WCU16">
        <v>0</v>
      </c>
      <c r="WCV16">
        <v>0</v>
      </c>
      <c r="WCW16">
        <v>0</v>
      </c>
      <c r="WCX16">
        <v>0</v>
      </c>
      <c r="WCY16">
        <v>0</v>
      </c>
      <c r="WCZ16">
        <v>0</v>
      </c>
      <c r="WDA16">
        <v>0</v>
      </c>
      <c r="WDB16">
        <v>0</v>
      </c>
      <c r="WDC16">
        <v>0</v>
      </c>
      <c r="WDD16">
        <v>0</v>
      </c>
      <c r="WDE16">
        <v>0</v>
      </c>
      <c r="WDF16">
        <v>0</v>
      </c>
      <c r="WDG16">
        <v>0</v>
      </c>
      <c r="WDH16">
        <v>0</v>
      </c>
      <c r="WDI16">
        <v>0</v>
      </c>
      <c r="WDJ16">
        <v>0</v>
      </c>
      <c r="WDK16">
        <v>0</v>
      </c>
      <c r="WDL16">
        <v>0</v>
      </c>
      <c r="WDM16">
        <v>0</v>
      </c>
      <c r="WDN16">
        <v>0</v>
      </c>
      <c r="WDO16">
        <v>0</v>
      </c>
      <c r="WDP16">
        <v>0</v>
      </c>
      <c r="WDQ16">
        <v>0</v>
      </c>
      <c r="WDR16">
        <v>0</v>
      </c>
      <c r="WDS16">
        <v>0</v>
      </c>
      <c r="WDT16">
        <v>0</v>
      </c>
      <c r="WDU16">
        <v>0</v>
      </c>
      <c r="WDV16">
        <v>0</v>
      </c>
      <c r="WDW16">
        <v>0</v>
      </c>
      <c r="WDX16">
        <v>0</v>
      </c>
      <c r="WDY16">
        <v>0</v>
      </c>
      <c r="WDZ16">
        <v>0</v>
      </c>
      <c r="WEA16">
        <v>0</v>
      </c>
      <c r="WEB16">
        <v>0</v>
      </c>
      <c r="WEC16">
        <v>0</v>
      </c>
      <c r="WED16">
        <v>0</v>
      </c>
      <c r="WEE16">
        <v>0</v>
      </c>
      <c r="WEF16">
        <v>0</v>
      </c>
      <c r="WEG16">
        <v>0</v>
      </c>
      <c r="WEH16">
        <v>0</v>
      </c>
      <c r="WEI16">
        <v>0</v>
      </c>
      <c r="WEJ16">
        <v>0</v>
      </c>
      <c r="WEK16">
        <v>0</v>
      </c>
      <c r="WEL16">
        <v>0</v>
      </c>
      <c r="WEM16">
        <v>0</v>
      </c>
      <c r="WEN16">
        <v>0</v>
      </c>
      <c r="WEO16">
        <v>0</v>
      </c>
      <c r="WEP16">
        <v>0</v>
      </c>
      <c r="WEQ16">
        <v>0</v>
      </c>
      <c r="WER16">
        <v>0</v>
      </c>
      <c r="WES16">
        <v>0</v>
      </c>
      <c r="WET16">
        <v>0</v>
      </c>
      <c r="WEU16">
        <v>0</v>
      </c>
      <c r="WEV16">
        <v>0</v>
      </c>
      <c r="WEW16">
        <v>0</v>
      </c>
      <c r="WEX16">
        <v>0</v>
      </c>
      <c r="WEY16">
        <v>0</v>
      </c>
      <c r="WEZ16">
        <v>0</v>
      </c>
      <c r="WFA16">
        <v>0</v>
      </c>
      <c r="WFB16">
        <v>0</v>
      </c>
      <c r="WFC16">
        <v>0</v>
      </c>
      <c r="WFD16">
        <v>0</v>
      </c>
      <c r="WFE16">
        <v>0</v>
      </c>
      <c r="WFF16">
        <v>0</v>
      </c>
      <c r="WFG16">
        <v>0</v>
      </c>
      <c r="WFH16">
        <v>0</v>
      </c>
      <c r="WFI16">
        <v>0</v>
      </c>
      <c r="WFJ16">
        <v>0</v>
      </c>
      <c r="WFK16">
        <v>0</v>
      </c>
      <c r="WFL16">
        <v>0</v>
      </c>
      <c r="WFM16">
        <v>0</v>
      </c>
      <c r="WFN16">
        <v>0</v>
      </c>
      <c r="WFO16">
        <v>0</v>
      </c>
      <c r="WFP16">
        <v>0</v>
      </c>
      <c r="WFQ16">
        <v>0</v>
      </c>
      <c r="WFR16">
        <v>0</v>
      </c>
      <c r="WFS16">
        <v>0</v>
      </c>
      <c r="WFT16">
        <v>0</v>
      </c>
      <c r="WFU16">
        <v>0</v>
      </c>
      <c r="WFV16">
        <v>0</v>
      </c>
      <c r="WFW16">
        <v>0</v>
      </c>
      <c r="WFX16">
        <v>0</v>
      </c>
      <c r="WFY16">
        <v>0</v>
      </c>
      <c r="WFZ16">
        <v>0</v>
      </c>
      <c r="WGA16">
        <v>0</v>
      </c>
      <c r="WGB16">
        <v>0</v>
      </c>
      <c r="WGC16">
        <v>0</v>
      </c>
      <c r="WGD16">
        <v>0</v>
      </c>
      <c r="WGE16">
        <v>0</v>
      </c>
      <c r="WGF16">
        <v>0</v>
      </c>
      <c r="WGG16">
        <v>0</v>
      </c>
      <c r="WGH16">
        <v>0</v>
      </c>
      <c r="WGI16">
        <v>0</v>
      </c>
      <c r="WGJ16">
        <v>0</v>
      </c>
      <c r="WGK16">
        <v>0</v>
      </c>
      <c r="WGL16">
        <v>0</v>
      </c>
      <c r="WGM16">
        <v>0</v>
      </c>
      <c r="WGN16">
        <v>0</v>
      </c>
      <c r="WGO16">
        <v>0</v>
      </c>
      <c r="WGP16">
        <v>0</v>
      </c>
      <c r="WGQ16">
        <v>0</v>
      </c>
      <c r="WGR16">
        <v>0</v>
      </c>
      <c r="WGS16">
        <v>0</v>
      </c>
      <c r="WGT16">
        <v>0</v>
      </c>
      <c r="WGU16">
        <v>0</v>
      </c>
      <c r="WGV16">
        <v>0</v>
      </c>
      <c r="WGW16">
        <v>0</v>
      </c>
      <c r="WGX16">
        <v>0</v>
      </c>
      <c r="WGY16">
        <v>0</v>
      </c>
      <c r="WGZ16">
        <v>0</v>
      </c>
      <c r="WHA16">
        <v>0</v>
      </c>
      <c r="WHB16">
        <v>0</v>
      </c>
      <c r="WHC16">
        <v>0</v>
      </c>
      <c r="WHD16">
        <v>0</v>
      </c>
      <c r="WHE16">
        <v>0</v>
      </c>
      <c r="WHF16">
        <v>0</v>
      </c>
      <c r="WHG16">
        <v>0</v>
      </c>
      <c r="WHH16">
        <v>0</v>
      </c>
      <c r="WHI16">
        <v>0</v>
      </c>
      <c r="WHJ16">
        <v>0</v>
      </c>
      <c r="WHK16">
        <v>0</v>
      </c>
      <c r="WHL16">
        <v>0</v>
      </c>
      <c r="WHM16">
        <v>0</v>
      </c>
      <c r="WHN16">
        <v>0</v>
      </c>
      <c r="WHO16">
        <v>0</v>
      </c>
      <c r="WHP16">
        <v>0</v>
      </c>
      <c r="WHQ16">
        <v>0</v>
      </c>
      <c r="WHR16">
        <v>0</v>
      </c>
      <c r="WHS16">
        <v>0</v>
      </c>
      <c r="WHT16">
        <v>0</v>
      </c>
      <c r="WHU16">
        <v>0</v>
      </c>
      <c r="WHV16">
        <v>0</v>
      </c>
      <c r="WHW16">
        <v>0</v>
      </c>
      <c r="WHX16">
        <v>0</v>
      </c>
      <c r="WHY16">
        <v>0</v>
      </c>
      <c r="WHZ16">
        <v>0</v>
      </c>
      <c r="WIA16">
        <v>0</v>
      </c>
      <c r="WIB16">
        <v>0</v>
      </c>
      <c r="WIC16">
        <v>0</v>
      </c>
      <c r="WID16">
        <v>0</v>
      </c>
      <c r="WIE16">
        <v>0</v>
      </c>
      <c r="WIF16">
        <v>0</v>
      </c>
      <c r="WIG16">
        <v>0</v>
      </c>
      <c r="WIH16">
        <v>0</v>
      </c>
      <c r="WII16">
        <v>0</v>
      </c>
      <c r="WIJ16">
        <v>0</v>
      </c>
      <c r="WIK16">
        <v>0</v>
      </c>
      <c r="WIL16">
        <v>0</v>
      </c>
      <c r="WIM16">
        <v>0</v>
      </c>
      <c r="WIN16">
        <v>0</v>
      </c>
      <c r="WIO16">
        <v>0</v>
      </c>
      <c r="WIP16">
        <v>0</v>
      </c>
      <c r="WIQ16">
        <v>0</v>
      </c>
      <c r="WIR16">
        <v>0</v>
      </c>
      <c r="WIS16">
        <v>0</v>
      </c>
      <c r="WIT16">
        <v>0</v>
      </c>
      <c r="WIU16">
        <v>0</v>
      </c>
      <c r="WIV16">
        <v>0</v>
      </c>
      <c r="WIW16">
        <v>0</v>
      </c>
      <c r="WIX16">
        <v>0</v>
      </c>
      <c r="WIY16">
        <v>0</v>
      </c>
      <c r="WIZ16">
        <v>0</v>
      </c>
      <c r="WJA16">
        <v>0</v>
      </c>
      <c r="WJB16">
        <v>0</v>
      </c>
      <c r="WJC16">
        <v>0</v>
      </c>
      <c r="WJD16">
        <v>0</v>
      </c>
      <c r="WJE16">
        <v>0</v>
      </c>
      <c r="WJF16">
        <v>0</v>
      </c>
      <c r="WJG16">
        <v>0</v>
      </c>
      <c r="WJH16">
        <v>0</v>
      </c>
      <c r="WJI16">
        <v>0</v>
      </c>
      <c r="WJJ16">
        <v>0</v>
      </c>
      <c r="WJK16">
        <v>0</v>
      </c>
      <c r="WJL16">
        <v>0</v>
      </c>
      <c r="WJM16">
        <v>0</v>
      </c>
      <c r="WJN16">
        <v>0</v>
      </c>
      <c r="WJO16">
        <v>0</v>
      </c>
      <c r="WJP16">
        <v>0</v>
      </c>
      <c r="WJQ16">
        <v>0</v>
      </c>
      <c r="WJR16">
        <v>0</v>
      </c>
      <c r="WJS16">
        <v>0</v>
      </c>
      <c r="WJT16">
        <v>0</v>
      </c>
      <c r="WJU16">
        <v>0</v>
      </c>
      <c r="WJV16">
        <v>0</v>
      </c>
      <c r="WJW16">
        <v>0</v>
      </c>
      <c r="WJX16">
        <v>0</v>
      </c>
      <c r="WJY16">
        <v>0</v>
      </c>
      <c r="WJZ16">
        <v>0</v>
      </c>
      <c r="WKA16">
        <v>0</v>
      </c>
      <c r="WKB16">
        <v>0</v>
      </c>
      <c r="WKC16">
        <v>0</v>
      </c>
      <c r="WKD16">
        <v>0</v>
      </c>
      <c r="WKE16">
        <v>0</v>
      </c>
      <c r="WKF16">
        <v>0</v>
      </c>
      <c r="WKG16">
        <v>0</v>
      </c>
      <c r="WKH16">
        <v>0</v>
      </c>
      <c r="WKI16">
        <v>0</v>
      </c>
      <c r="WKJ16">
        <v>0</v>
      </c>
      <c r="WKK16">
        <v>0</v>
      </c>
      <c r="WKL16">
        <v>0</v>
      </c>
      <c r="WKM16">
        <v>0</v>
      </c>
      <c r="WKN16">
        <v>0</v>
      </c>
      <c r="WKO16">
        <v>0</v>
      </c>
      <c r="WKP16">
        <v>0</v>
      </c>
      <c r="WKQ16">
        <v>0</v>
      </c>
      <c r="WKR16">
        <v>0</v>
      </c>
      <c r="WKS16">
        <v>0</v>
      </c>
      <c r="WKT16">
        <v>0</v>
      </c>
      <c r="WKU16">
        <v>0</v>
      </c>
      <c r="WKV16">
        <v>0</v>
      </c>
      <c r="WKW16">
        <v>0</v>
      </c>
      <c r="WKX16">
        <v>0</v>
      </c>
      <c r="WKY16">
        <v>0</v>
      </c>
      <c r="WKZ16">
        <v>0</v>
      </c>
      <c r="WLA16">
        <v>0</v>
      </c>
      <c r="WLB16">
        <v>0</v>
      </c>
      <c r="WLC16">
        <v>0</v>
      </c>
      <c r="WLD16">
        <v>0</v>
      </c>
      <c r="WLE16">
        <v>0</v>
      </c>
      <c r="WLF16">
        <v>0</v>
      </c>
      <c r="WLG16">
        <v>0</v>
      </c>
      <c r="WLH16">
        <v>0</v>
      </c>
      <c r="WLI16">
        <v>0</v>
      </c>
      <c r="WLJ16">
        <v>0</v>
      </c>
      <c r="WLK16">
        <v>0</v>
      </c>
      <c r="WLL16">
        <v>0</v>
      </c>
      <c r="WLM16">
        <v>0</v>
      </c>
      <c r="WLN16">
        <v>0</v>
      </c>
      <c r="WLO16">
        <v>0</v>
      </c>
      <c r="WLP16">
        <v>0</v>
      </c>
      <c r="WLQ16">
        <v>0</v>
      </c>
      <c r="WLR16">
        <v>0</v>
      </c>
      <c r="WLS16">
        <v>0</v>
      </c>
      <c r="WLT16">
        <v>0</v>
      </c>
      <c r="WLU16">
        <v>0</v>
      </c>
      <c r="WLV16">
        <v>0</v>
      </c>
      <c r="WLW16">
        <v>0</v>
      </c>
      <c r="WLX16">
        <v>0</v>
      </c>
      <c r="WLY16">
        <v>0</v>
      </c>
      <c r="WLZ16">
        <v>0</v>
      </c>
      <c r="WMA16">
        <v>0</v>
      </c>
      <c r="WMB16">
        <v>0</v>
      </c>
      <c r="WMC16">
        <v>0</v>
      </c>
      <c r="WMD16">
        <v>0</v>
      </c>
      <c r="WME16">
        <v>0</v>
      </c>
      <c r="WMF16">
        <v>0</v>
      </c>
      <c r="WMG16">
        <v>0</v>
      </c>
      <c r="WMH16">
        <v>0</v>
      </c>
      <c r="WMI16">
        <v>0</v>
      </c>
      <c r="WMJ16">
        <v>0</v>
      </c>
      <c r="WMK16">
        <v>0</v>
      </c>
      <c r="WML16">
        <v>0</v>
      </c>
      <c r="WMM16">
        <v>0</v>
      </c>
      <c r="WMN16">
        <v>0</v>
      </c>
      <c r="WMO16">
        <v>0</v>
      </c>
      <c r="WMP16">
        <v>0</v>
      </c>
      <c r="WMQ16">
        <v>0</v>
      </c>
      <c r="WMR16">
        <v>0</v>
      </c>
      <c r="WMS16">
        <v>0</v>
      </c>
      <c r="WMT16">
        <v>0</v>
      </c>
      <c r="WMU16">
        <v>0</v>
      </c>
      <c r="WMV16">
        <v>0</v>
      </c>
      <c r="WMW16">
        <v>0</v>
      </c>
      <c r="WMX16">
        <v>0</v>
      </c>
      <c r="WMY16">
        <v>0</v>
      </c>
      <c r="WMZ16">
        <v>0</v>
      </c>
      <c r="WNA16">
        <v>0</v>
      </c>
      <c r="WNB16">
        <v>0</v>
      </c>
      <c r="WNC16">
        <v>0</v>
      </c>
      <c r="WND16">
        <v>0</v>
      </c>
      <c r="WNE16">
        <v>0</v>
      </c>
      <c r="WNF16">
        <v>0</v>
      </c>
      <c r="WNG16">
        <v>0</v>
      </c>
      <c r="WNH16">
        <v>0</v>
      </c>
      <c r="WNI16">
        <v>0</v>
      </c>
      <c r="WNJ16">
        <v>0</v>
      </c>
      <c r="WNK16">
        <v>0</v>
      </c>
      <c r="WNL16">
        <v>0</v>
      </c>
      <c r="WNM16">
        <v>0</v>
      </c>
      <c r="WNN16">
        <v>0</v>
      </c>
      <c r="WNO16">
        <v>0</v>
      </c>
      <c r="WNP16">
        <v>0</v>
      </c>
      <c r="WNQ16">
        <v>0</v>
      </c>
      <c r="WNR16">
        <v>0</v>
      </c>
      <c r="WNS16">
        <v>0</v>
      </c>
      <c r="WNT16">
        <v>0</v>
      </c>
      <c r="WNU16">
        <v>0</v>
      </c>
      <c r="WNV16">
        <v>0</v>
      </c>
      <c r="WNW16">
        <v>0</v>
      </c>
      <c r="WNX16">
        <v>0</v>
      </c>
      <c r="WNY16">
        <v>0</v>
      </c>
      <c r="WNZ16">
        <v>0</v>
      </c>
      <c r="WOA16">
        <v>0</v>
      </c>
      <c r="WOB16">
        <v>0</v>
      </c>
      <c r="WOC16">
        <v>0</v>
      </c>
      <c r="WOD16">
        <v>0</v>
      </c>
      <c r="WOE16">
        <v>0</v>
      </c>
      <c r="WOF16">
        <v>0</v>
      </c>
      <c r="WOG16">
        <v>0</v>
      </c>
      <c r="WOH16">
        <v>0</v>
      </c>
      <c r="WOI16">
        <v>0</v>
      </c>
      <c r="WOJ16">
        <v>0</v>
      </c>
      <c r="WOK16">
        <v>0</v>
      </c>
      <c r="WOL16">
        <v>0</v>
      </c>
      <c r="WOM16">
        <v>0</v>
      </c>
      <c r="WON16">
        <v>0</v>
      </c>
      <c r="WOO16">
        <v>0</v>
      </c>
      <c r="WOP16">
        <v>0</v>
      </c>
      <c r="WOQ16">
        <v>0</v>
      </c>
      <c r="WOR16">
        <v>0</v>
      </c>
      <c r="WOS16">
        <v>0</v>
      </c>
      <c r="WOT16">
        <v>0</v>
      </c>
      <c r="WOU16">
        <v>0</v>
      </c>
      <c r="WOV16">
        <v>0</v>
      </c>
      <c r="WOW16">
        <v>0</v>
      </c>
      <c r="WOX16">
        <v>0</v>
      </c>
      <c r="WOY16">
        <v>0</v>
      </c>
      <c r="WOZ16">
        <v>0</v>
      </c>
      <c r="WPA16">
        <v>0</v>
      </c>
      <c r="WPB16">
        <v>0</v>
      </c>
      <c r="WPC16">
        <v>0</v>
      </c>
      <c r="WPD16">
        <v>0</v>
      </c>
      <c r="WPE16">
        <v>0</v>
      </c>
      <c r="WPF16">
        <v>0</v>
      </c>
      <c r="WPG16">
        <v>0</v>
      </c>
      <c r="WPH16">
        <v>0</v>
      </c>
      <c r="WPI16">
        <v>0</v>
      </c>
      <c r="WPJ16">
        <v>0</v>
      </c>
      <c r="WPK16">
        <v>0</v>
      </c>
      <c r="WPL16">
        <v>0</v>
      </c>
      <c r="WPM16">
        <v>0</v>
      </c>
      <c r="WPN16">
        <v>0</v>
      </c>
      <c r="WPO16">
        <v>0</v>
      </c>
      <c r="WPP16">
        <v>0</v>
      </c>
      <c r="WPQ16">
        <v>0</v>
      </c>
      <c r="WPR16">
        <v>0</v>
      </c>
      <c r="WPS16">
        <v>0</v>
      </c>
      <c r="WPT16">
        <v>0</v>
      </c>
      <c r="WPU16">
        <v>0</v>
      </c>
      <c r="WPV16">
        <v>0</v>
      </c>
      <c r="WPW16">
        <v>0</v>
      </c>
      <c r="WPX16">
        <v>0</v>
      </c>
      <c r="WPY16">
        <v>0</v>
      </c>
      <c r="WPZ16">
        <v>0</v>
      </c>
      <c r="WQA16">
        <v>0</v>
      </c>
      <c r="WQB16">
        <v>0</v>
      </c>
      <c r="WQC16">
        <v>0</v>
      </c>
      <c r="WQD16">
        <v>0</v>
      </c>
      <c r="WQE16">
        <v>0</v>
      </c>
      <c r="WQF16">
        <v>0</v>
      </c>
      <c r="WQG16">
        <v>0</v>
      </c>
      <c r="WQH16">
        <v>0</v>
      </c>
      <c r="WQI16">
        <v>0</v>
      </c>
      <c r="WQJ16">
        <v>0</v>
      </c>
      <c r="WQK16">
        <v>0</v>
      </c>
      <c r="WQL16">
        <v>0</v>
      </c>
      <c r="WQM16">
        <v>0</v>
      </c>
      <c r="WQN16">
        <v>0</v>
      </c>
      <c r="WQO16">
        <v>0</v>
      </c>
      <c r="WQP16">
        <v>0</v>
      </c>
      <c r="WQQ16">
        <v>0</v>
      </c>
      <c r="WQR16">
        <v>0</v>
      </c>
      <c r="WQS16">
        <v>0</v>
      </c>
      <c r="WQT16">
        <v>0</v>
      </c>
      <c r="WQU16">
        <v>0</v>
      </c>
      <c r="WQV16">
        <v>0</v>
      </c>
      <c r="WQW16">
        <v>0</v>
      </c>
      <c r="WQX16">
        <v>0</v>
      </c>
      <c r="WQY16">
        <v>0</v>
      </c>
      <c r="WQZ16">
        <v>0</v>
      </c>
      <c r="WRA16">
        <v>0</v>
      </c>
      <c r="WRB16">
        <v>0</v>
      </c>
      <c r="WRC16">
        <v>0</v>
      </c>
      <c r="WRD16">
        <v>0</v>
      </c>
      <c r="WRE16">
        <v>0</v>
      </c>
      <c r="WRF16">
        <v>0</v>
      </c>
      <c r="WRG16">
        <v>0</v>
      </c>
      <c r="WRH16">
        <v>0</v>
      </c>
      <c r="WRI16">
        <v>0</v>
      </c>
      <c r="WRJ16">
        <v>0</v>
      </c>
      <c r="WRK16">
        <v>0</v>
      </c>
      <c r="WRL16">
        <v>0</v>
      </c>
      <c r="WRM16">
        <v>0</v>
      </c>
      <c r="WRN16">
        <v>0</v>
      </c>
      <c r="WRO16">
        <v>0</v>
      </c>
      <c r="WRP16">
        <v>0</v>
      </c>
      <c r="WRQ16">
        <v>0</v>
      </c>
      <c r="WRR16">
        <v>0</v>
      </c>
      <c r="WRS16">
        <v>0</v>
      </c>
      <c r="WRT16">
        <v>0</v>
      </c>
      <c r="WRU16">
        <v>0</v>
      </c>
      <c r="WRV16">
        <v>0</v>
      </c>
      <c r="WRW16">
        <v>0</v>
      </c>
      <c r="WRX16">
        <v>0</v>
      </c>
      <c r="WRY16">
        <v>0</v>
      </c>
      <c r="WRZ16">
        <v>0</v>
      </c>
      <c r="WSA16">
        <v>0</v>
      </c>
      <c r="WSB16">
        <v>0</v>
      </c>
      <c r="WSC16">
        <v>0</v>
      </c>
      <c r="WSD16">
        <v>0</v>
      </c>
      <c r="WSE16">
        <v>0</v>
      </c>
      <c r="WSF16">
        <v>0</v>
      </c>
      <c r="WSG16">
        <v>0</v>
      </c>
      <c r="WSH16">
        <v>0</v>
      </c>
      <c r="WSI16">
        <v>0</v>
      </c>
      <c r="WSJ16">
        <v>0</v>
      </c>
      <c r="WSK16">
        <v>0</v>
      </c>
      <c r="WSL16">
        <v>0</v>
      </c>
      <c r="WSM16">
        <v>0</v>
      </c>
      <c r="WSN16">
        <v>0</v>
      </c>
      <c r="WSO16">
        <v>0</v>
      </c>
      <c r="WSP16">
        <v>0</v>
      </c>
      <c r="WSQ16">
        <v>0</v>
      </c>
      <c r="WSR16">
        <v>0</v>
      </c>
      <c r="WSS16">
        <v>0</v>
      </c>
      <c r="WST16">
        <v>0</v>
      </c>
      <c r="WSU16">
        <v>0</v>
      </c>
      <c r="WSV16">
        <v>0</v>
      </c>
      <c r="WSW16">
        <v>0</v>
      </c>
      <c r="WSX16">
        <v>0</v>
      </c>
      <c r="WSY16">
        <v>0</v>
      </c>
      <c r="WSZ16">
        <v>0</v>
      </c>
      <c r="WTA16">
        <v>0</v>
      </c>
      <c r="WTB16">
        <v>0</v>
      </c>
      <c r="WTC16">
        <v>0</v>
      </c>
      <c r="WTD16">
        <v>0</v>
      </c>
      <c r="WTE16">
        <v>0</v>
      </c>
      <c r="WTF16">
        <v>0</v>
      </c>
      <c r="WTG16">
        <v>0</v>
      </c>
      <c r="WTH16">
        <v>0</v>
      </c>
      <c r="WTI16">
        <v>0</v>
      </c>
      <c r="WTJ16">
        <v>0</v>
      </c>
      <c r="WTK16">
        <v>0</v>
      </c>
      <c r="WTL16">
        <v>0</v>
      </c>
      <c r="WTM16">
        <v>0</v>
      </c>
      <c r="WTN16">
        <v>0</v>
      </c>
      <c r="WTO16">
        <v>0</v>
      </c>
      <c r="WTP16">
        <v>0</v>
      </c>
      <c r="WTQ16">
        <v>0</v>
      </c>
      <c r="WTR16">
        <v>0</v>
      </c>
      <c r="WTS16">
        <v>0</v>
      </c>
      <c r="WTT16">
        <v>0</v>
      </c>
      <c r="WTU16">
        <v>0</v>
      </c>
      <c r="WTV16">
        <v>0</v>
      </c>
      <c r="WTW16">
        <v>0</v>
      </c>
      <c r="WTX16">
        <v>0</v>
      </c>
      <c r="WTY16">
        <v>0</v>
      </c>
      <c r="WTZ16">
        <v>0</v>
      </c>
      <c r="WUA16">
        <v>0</v>
      </c>
      <c r="WUB16">
        <v>0</v>
      </c>
      <c r="WUC16">
        <v>0</v>
      </c>
      <c r="WUD16">
        <v>0</v>
      </c>
      <c r="WUE16">
        <v>0</v>
      </c>
      <c r="WUF16">
        <v>0</v>
      </c>
      <c r="WUG16">
        <v>0</v>
      </c>
      <c r="WUH16">
        <v>0</v>
      </c>
      <c r="WUI16">
        <v>0</v>
      </c>
      <c r="WUJ16">
        <v>0</v>
      </c>
      <c r="WUK16">
        <v>0</v>
      </c>
      <c r="WUL16">
        <v>0</v>
      </c>
      <c r="WUM16">
        <v>0</v>
      </c>
      <c r="WUN16">
        <v>0</v>
      </c>
      <c r="WUO16">
        <v>0</v>
      </c>
      <c r="WUP16">
        <v>0</v>
      </c>
      <c r="WUQ16">
        <v>0</v>
      </c>
      <c r="WUR16">
        <v>0</v>
      </c>
      <c r="WUS16">
        <v>0</v>
      </c>
      <c r="WUT16">
        <v>0</v>
      </c>
      <c r="WUU16">
        <v>0</v>
      </c>
      <c r="WUV16">
        <v>0</v>
      </c>
      <c r="WUW16">
        <v>0</v>
      </c>
      <c r="WUX16">
        <v>0</v>
      </c>
      <c r="WUY16">
        <v>0</v>
      </c>
      <c r="WUZ16">
        <v>0</v>
      </c>
      <c r="WVA16">
        <v>0</v>
      </c>
      <c r="WVB16">
        <v>0</v>
      </c>
      <c r="WVC16">
        <v>0</v>
      </c>
      <c r="WVD16">
        <v>0</v>
      </c>
      <c r="WVE16">
        <v>0</v>
      </c>
      <c r="WVF16">
        <v>0</v>
      </c>
      <c r="WVG16">
        <v>0</v>
      </c>
      <c r="WVH16">
        <v>0</v>
      </c>
      <c r="WVI16">
        <v>0</v>
      </c>
      <c r="WVJ16">
        <v>0</v>
      </c>
      <c r="WVK16">
        <v>0</v>
      </c>
      <c r="WVL16">
        <v>0</v>
      </c>
      <c r="WVM16">
        <v>0</v>
      </c>
      <c r="WVN16">
        <v>0</v>
      </c>
      <c r="WVO16">
        <v>0</v>
      </c>
      <c r="WVP16">
        <v>0</v>
      </c>
      <c r="WVQ16">
        <v>0</v>
      </c>
      <c r="WVR16">
        <v>0</v>
      </c>
      <c r="WVS16">
        <v>0</v>
      </c>
      <c r="WVT16">
        <v>0</v>
      </c>
      <c r="WVU16">
        <v>0</v>
      </c>
      <c r="WVV16">
        <v>0</v>
      </c>
      <c r="WVW16">
        <v>0</v>
      </c>
      <c r="WVX16">
        <v>0</v>
      </c>
      <c r="WVY16">
        <v>0</v>
      </c>
      <c r="WVZ16">
        <v>0</v>
      </c>
      <c r="WWA16">
        <v>0</v>
      </c>
      <c r="WWB16">
        <v>0</v>
      </c>
      <c r="WWC16">
        <v>0</v>
      </c>
      <c r="WWD16">
        <v>0</v>
      </c>
      <c r="WWE16">
        <v>0</v>
      </c>
      <c r="WWF16">
        <v>0</v>
      </c>
      <c r="WWG16">
        <v>0</v>
      </c>
      <c r="WWH16">
        <v>0</v>
      </c>
      <c r="WWI16">
        <v>0</v>
      </c>
      <c r="WWJ16">
        <v>0</v>
      </c>
      <c r="WWK16">
        <v>0</v>
      </c>
      <c r="WWL16">
        <v>0</v>
      </c>
      <c r="WWM16">
        <v>0</v>
      </c>
      <c r="WWN16">
        <v>0</v>
      </c>
      <c r="WWO16">
        <v>0</v>
      </c>
      <c r="WWP16">
        <v>0</v>
      </c>
      <c r="WWQ16">
        <v>0</v>
      </c>
      <c r="WWR16">
        <v>0</v>
      </c>
      <c r="WWS16">
        <v>0</v>
      </c>
      <c r="WWT16">
        <v>0</v>
      </c>
      <c r="WWU16">
        <v>0</v>
      </c>
      <c r="WWV16">
        <v>0</v>
      </c>
      <c r="WWW16">
        <v>0</v>
      </c>
      <c r="WWX16">
        <v>0</v>
      </c>
      <c r="WWY16">
        <v>0</v>
      </c>
      <c r="WWZ16">
        <v>0</v>
      </c>
      <c r="WXA16">
        <v>0</v>
      </c>
      <c r="WXB16">
        <v>0</v>
      </c>
      <c r="WXC16">
        <v>0</v>
      </c>
      <c r="WXD16">
        <v>0</v>
      </c>
      <c r="WXE16">
        <v>0</v>
      </c>
      <c r="WXF16">
        <v>0</v>
      </c>
      <c r="WXG16">
        <v>0</v>
      </c>
      <c r="WXH16">
        <v>0</v>
      </c>
      <c r="WXI16">
        <v>0</v>
      </c>
      <c r="WXJ16">
        <v>0</v>
      </c>
      <c r="WXK16">
        <v>0</v>
      </c>
      <c r="WXL16">
        <v>0</v>
      </c>
      <c r="WXM16">
        <v>0</v>
      </c>
      <c r="WXN16">
        <v>0</v>
      </c>
      <c r="WXO16">
        <v>0</v>
      </c>
      <c r="WXP16">
        <v>0</v>
      </c>
      <c r="WXQ16">
        <v>0</v>
      </c>
      <c r="WXR16">
        <v>0</v>
      </c>
      <c r="WXS16">
        <v>0</v>
      </c>
      <c r="WXT16">
        <v>0</v>
      </c>
      <c r="WXU16">
        <v>0</v>
      </c>
      <c r="WXV16">
        <v>0</v>
      </c>
      <c r="WXW16">
        <v>0</v>
      </c>
      <c r="WXX16">
        <v>0</v>
      </c>
      <c r="WXY16">
        <v>0</v>
      </c>
      <c r="WXZ16">
        <v>0</v>
      </c>
      <c r="WYA16">
        <v>0</v>
      </c>
      <c r="WYB16">
        <v>0</v>
      </c>
      <c r="WYC16">
        <v>0</v>
      </c>
      <c r="WYD16">
        <v>0</v>
      </c>
      <c r="WYE16">
        <v>0</v>
      </c>
      <c r="WYF16">
        <v>0</v>
      </c>
      <c r="WYG16">
        <v>0</v>
      </c>
      <c r="WYH16">
        <v>0</v>
      </c>
      <c r="WYI16">
        <v>0</v>
      </c>
      <c r="WYJ16">
        <v>0</v>
      </c>
      <c r="WYK16">
        <v>0</v>
      </c>
      <c r="WYL16">
        <v>0</v>
      </c>
      <c r="WYM16">
        <v>0</v>
      </c>
      <c r="WYN16">
        <v>0</v>
      </c>
      <c r="WYO16">
        <v>0</v>
      </c>
      <c r="WYP16">
        <v>0</v>
      </c>
      <c r="WYQ16">
        <v>0</v>
      </c>
      <c r="WYR16">
        <v>0</v>
      </c>
      <c r="WYS16">
        <v>0</v>
      </c>
      <c r="WYT16">
        <v>0</v>
      </c>
      <c r="WYU16">
        <v>0</v>
      </c>
      <c r="WYV16">
        <v>0</v>
      </c>
      <c r="WYW16">
        <v>0</v>
      </c>
      <c r="WYX16">
        <v>0</v>
      </c>
      <c r="WYY16">
        <v>0</v>
      </c>
      <c r="WYZ16">
        <v>0</v>
      </c>
      <c r="WZA16">
        <v>0</v>
      </c>
      <c r="WZB16">
        <v>0</v>
      </c>
      <c r="WZC16">
        <v>0</v>
      </c>
      <c r="WZD16">
        <v>0</v>
      </c>
      <c r="WZE16">
        <v>0</v>
      </c>
      <c r="WZF16">
        <v>0</v>
      </c>
      <c r="WZG16">
        <v>0</v>
      </c>
      <c r="WZH16">
        <v>0</v>
      </c>
      <c r="WZI16">
        <v>0</v>
      </c>
      <c r="WZJ16">
        <v>0</v>
      </c>
      <c r="WZK16">
        <v>0</v>
      </c>
      <c r="WZL16">
        <v>0</v>
      </c>
      <c r="WZM16">
        <v>0</v>
      </c>
      <c r="WZN16">
        <v>0</v>
      </c>
      <c r="WZO16">
        <v>0</v>
      </c>
      <c r="WZP16">
        <v>0</v>
      </c>
      <c r="WZQ16">
        <v>0</v>
      </c>
      <c r="WZR16">
        <v>0</v>
      </c>
      <c r="WZS16">
        <v>0</v>
      </c>
      <c r="WZT16">
        <v>0</v>
      </c>
      <c r="WZU16">
        <v>0</v>
      </c>
      <c r="WZV16">
        <v>0</v>
      </c>
      <c r="WZW16">
        <v>0</v>
      </c>
      <c r="WZX16">
        <v>0</v>
      </c>
      <c r="WZY16">
        <v>0</v>
      </c>
      <c r="WZZ16">
        <v>0</v>
      </c>
      <c r="XAA16">
        <v>0</v>
      </c>
      <c r="XAB16">
        <v>0</v>
      </c>
      <c r="XAC16">
        <v>0</v>
      </c>
      <c r="XAD16">
        <v>0</v>
      </c>
      <c r="XAE16">
        <v>0</v>
      </c>
      <c r="XAF16">
        <v>0</v>
      </c>
      <c r="XAG16">
        <v>0</v>
      </c>
      <c r="XAH16">
        <v>0</v>
      </c>
      <c r="XAI16">
        <v>0</v>
      </c>
      <c r="XAJ16">
        <v>0</v>
      </c>
      <c r="XAK16">
        <v>0</v>
      </c>
      <c r="XAL16">
        <v>0</v>
      </c>
      <c r="XAM16">
        <v>0</v>
      </c>
      <c r="XAN16">
        <v>0</v>
      </c>
      <c r="XAO16">
        <v>0</v>
      </c>
      <c r="XAP16">
        <v>0</v>
      </c>
      <c r="XAQ16">
        <v>0</v>
      </c>
      <c r="XAR16">
        <v>0</v>
      </c>
      <c r="XAS16">
        <v>0</v>
      </c>
      <c r="XAT16">
        <v>0</v>
      </c>
      <c r="XAU16">
        <v>0</v>
      </c>
      <c r="XAV16">
        <v>0</v>
      </c>
      <c r="XAW16">
        <v>0</v>
      </c>
      <c r="XAX16">
        <v>0</v>
      </c>
      <c r="XAY16">
        <v>0</v>
      </c>
      <c r="XAZ16">
        <v>0</v>
      </c>
      <c r="XBA16">
        <v>0</v>
      </c>
      <c r="XBB16">
        <v>0</v>
      </c>
      <c r="XBC16">
        <v>0</v>
      </c>
      <c r="XBD16">
        <v>0</v>
      </c>
      <c r="XBE16">
        <v>0</v>
      </c>
      <c r="XBF16">
        <v>0</v>
      </c>
      <c r="XBG16">
        <v>0</v>
      </c>
      <c r="XBH16">
        <v>0</v>
      </c>
      <c r="XBI16">
        <v>0</v>
      </c>
      <c r="XBJ16">
        <v>0</v>
      </c>
      <c r="XBK16">
        <v>0</v>
      </c>
      <c r="XBL16">
        <v>0</v>
      </c>
      <c r="XBM16">
        <v>0</v>
      </c>
      <c r="XBN16">
        <v>0</v>
      </c>
      <c r="XBO16">
        <v>0</v>
      </c>
      <c r="XBP16">
        <v>0</v>
      </c>
      <c r="XBQ16">
        <v>0</v>
      </c>
      <c r="XBR16">
        <v>0</v>
      </c>
      <c r="XBS16">
        <v>0</v>
      </c>
      <c r="XBT16">
        <v>0</v>
      </c>
      <c r="XBU16">
        <v>0</v>
      </c>
      <c r="XBV16">
        <v>0</v>
      </c>
      <c r="XBW16">
        <v>0</v>
      </c>
      <c r="XBX16">
        <v>0</v>
      </c>
      <c r="XBY16">
        <v>0</v>
      </c>
      <c r="XBZ16">
        <v>0</v>
      </c>
      <c r="XCA16">
        <v>0</v>
      </c>
      <c r="XCB16">
        <v>0</v>
      </c>
      <c r="XCC16">
        <v>0</v>
      </c>
      <c r="XCD16">
        <v>0</v>
      </c>
      <c r="XCE16">
        <v>0</v>
      </c>
      <c r="XCF16">
        <v>0</v>
      </c>
      <c r="XCG16">
        <v>0</v>
      </c>
      <c r="XCH16">
        <v>0</v>
      </c>
      <c r="XCI16">
        <v>0</v>
      </c>
      <c r="XCJ16">
        <v>0</v>
      </c>
      <c r="XCK16">
        <v>0</v>
      </c>
      <c r="XCL16">
        <v>0</v>
      </c>
      <c r="XCM16">
        <v>0</v>
      </c>
      <c r="XCN16">
        <v>0</v>
      </c>
      <c r="XCO16">
        <v>0</v>
      </c>
      <c r="XCP16">
        <v>0</v>
      </c>
      <c r="XCQ16">
        <v>0</v>
      </c>
      <c r="XCR16">
        <v>0</v>
      </c>
      <c r="XCS16">
        <v>0</v>
      </c>
      <c r="XCT16">
        <v>0</v>
      </c>
      <c r="XCU16">
        <v>0</v>
      </c>
      <c r="XCV16">
        <v>0</v>
      </c>
      <c r="XCW16">
        <v>0</v>
      </c>
      <c r="XCX16">
        <v>0</v>
      </c>
      <c r="XCY16">
        <v>0</v>
      </c>
      <c r="XCZ16">
        <v>0</v>
      </c>
      <c r="XDA16">
        <v>0</v>
      </c>
      <c r="XDB16">
        <v>0</v>
      </c>
      <c r="XDC16">
        <v>0</v>
      </c>
      <c r="XDD16">
        <v>0</v>
      </c>
      <c r="XDE16">
        <v>0</v>
      </c>
      <c r="XDF16">
        <v>0</v>
      </c>
      <c r="XDG16">
        <v>0</v>
      </c>
      <c r="XDH16">
        <v>0</v>
      </c>
      <c r="XDI16">
        <v>0</v>
      </c>
      <c r="XDJ16">
        <v>0</v>
      </c>
      <c r="XDK16">
        <v>0</v>
      </c>
      <c r="XDL16">
        <v>0</v>
      </c>
      <c r="XDM16">
        <v>0</v>
      </c>
      <c r="XDN16">
        <v>0</v>
      </c>
      <c r="XDO16">
        <v>0</v>
      </c>
      <c r="XDP16">
        <v>0</v>
      </c>
      <c r="XDQ16">
        <v>0</v>
      </c>
      <c r="XDR16">
        <v>0</v>
      </c>
      <c r="XDS16">
        <v>0</v>
      </c>
      <c r="XDT16">
        <v>0</v>
      </c>
      <c r="XDU16">
        <v>0</v>
      </c>
      <c r="XDV16">
        <v>0</v>
      </c>
      <c r="XDW16">
        <v>0</v>
      </c>
      <c r="XDX16">
        <v>0</v>
      </c>
      <c r="XDY16">
        <v>0</v>
      </c>
      <c r="XDZ16">
        <v>0</v>
      </c>
      <c r="XEA16">
        <v>0</v>
      </c>
      <c r="XEB16">
        <v>0</v>
      </c>
      <c r="XEC16">
        <v>0</v>
      </c>
      <c r="XED16">
        <v>0</v>
      </c>
      <c r="XEE16">
        <v>0</v>
      </c>
      <c r="XEF16">
        <v>0</v>
      </c>
      <c r="XEG16">
        <v>0</v>
      </c>
      <c r="XEH16">
        <v>0</v>
      </c>
      <c r="XEI16">
        <v>0</v>
      </c>
      <c r="XEJ16">
        <v>0</v>
      </c>
      <c r="XEK16">
        <v>0</v>
      </c>
      <c r="XEL16">
        <v>0</v>
      </c>
      <c r="XEM16">
        <v>0</v>
      </c>
      <c r="XEN16">
        <v>0</v>
      </c>
      <c r="XEO16">
        <v>0</v>
      </c>
      <c r="XEP16">
        <v>0</v>
      </c>
      <c r="XEQ16">
        <v>0</v>
      </c>
      <c r="XER16">
        <v>0</v>
      </c>
      <c r="XES16">
        <v>0</v>
      </c>
      <c r="XET16">
        <v>0</v>
      </c>
      <c r="XEU16">
        <v>0</v>
      </c>
      <c r="XEV16">
        <v>0</v>
      </c>
      <c r="XEW16">
        <v>0</v>
      </c>
      <c r="XEX16">
        <v>0</v>
      </c>
      <c r="XEY16">
        <v>0</v>
      </c>
      <c r="XEZ16">
        <v>0</v>
      </c>
      <c r="XFA16">
        <v>0</v>
      </c>
      <c r="XFB16">
        <v>0</v>
      </c>
      <c r="XFC16">
        <v>0</v>
      </c>
      <c r="XFD16">
        <v>0</v>
      </c>
    </row>
    <row r="17" spans="1:16384" x14ac:dyDescent="0.3">
      <c r="A17" t="str">
        <v>PowerBI</v>
      </c>
      <c r="B17">
        <v>46021</v>
      </c>
      <c r="C17">
        <v>2</v>
      </c>
      <c r="D17">
        <v>4</v>
      </c>
      <c r="E17" t="str">
        <v>PowerBI - 2</v>
      </c>
      <c r="F17" t="b">
        <v>0</v>
      </c>
      <c r="G17">
        <v>0</v>
      </c>
      <c r="H17" t="str">
        <v>PowerBI</v>
      </c>
      <c r="I17">
        <v>46021</v>
      </c>
      <c r="J17">
        <v>2</v>
      </c>
      <c r="K17">
        <v>4</v>
      </c>
      <c r="L17" t="str">
        <v>PowerBI - 2</v>
      </c>
      <c r="M17" t="b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0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0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0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0</v>
      </c>
      <c r="FFI17">
        <v>0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0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0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0</v>
      </c>
      <c r="GAV17">
        <v>0</v>
      </c>
      <c r="GAW17">
        <v>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>
        <v>0</v>
      </c>
      <c r="GJH17">
        <v>0</v>
      </c>
      <c r="GJI17">
        <v>0</v>
      </c>
      <c r="GJJ17">
        <v>0</v>
      </c>
      <c r="GJK17">
        <v>0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</v>
      </c>
      <c r="GKT17">
        <v>0</v>
      </c>
      <c r="GKU17">
        <v>0</v>
      </c>
      <c r="GKV17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>
        <v>0</v>
      </c>
      <c r="GLK17">
        <v>0</v>
      </c>
      <c r="GLL17">
        <v>0</v>
      </c>
      <c r="GLM17">
        <v>0</v>
      </c>
      <c r="GLN17">
        <v>0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0</v>
      </c>
      <c r="GME17">
        <v>0</v>
      </c>
      <c r="GMF17">
        <v>0</v>
      </c>
      <c r="GMG17">
        <v>0</v>
      </c>
      <c r="GMH17">
        <v>0</v>
      </c>
      <c r="GMI17">
        <v>0</v>
      </c>
      <c r="GMJ17">
        <v>0</v>
      </c>
      <c r="GMK17">
        <v>0</v>
      </c>
      <c r="GML17">
        <v>0</v>
      </c>
      <c r="GMM17">
        <v>0</v>
      </c>
      <c r="GMN17">
        <v>0</v>
      </c>
      <c r="GMO17">
        <v>0</v>
      </c>
      <c r="GMP17">
        <v>0</v>
      </c>
      <c r="GMQ17">
        <v>0</v>
      </c>
      <c r="GMR17">
        <v>0</v>
      </c>
      <c r="GMS17">
        <v>0</v>
      </c>
      <c r="GMT17">
        <v>0</v>
      </c>
      <c r="GMU17">
        <v>0</v>
      </c>
      <c r="GMV17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0</v>
      </c>
      <c r="GPB17">
        <v>0</v>
      </c>
      <c r="GPC17">
        <v>0</v>
      </c>
      <c r="GPD17">
        <v>0</v>
      </c>
      <c r="GPE17">
        <v>0</v>
      </c>
      <c r="GPF17">
        <v>0</v>
      </c>
      <c r="GPG17">
        <v>0</v>
      </c>
      <c r="GPH17">
        <v>0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0</v>
      </c>
      <c r="GSH17">
        <v>0</v>
      </c>
      <c r="GSI17">
        <v>0</v>
      </c>
      <c r="GSJ17">
        <v>0</v>
      </c>
      <c r="GSK17">
        <v>0</v>
      </c>
      <c r="GSL17">
        <v>0</v>
      </c>
      <c r="GSM17">
        <v>0</v>
      </c>
      <c r="GSN17">
        <v>0</v>
      </c>
      <c r="GSO17">
        <v>0</v>
      </c>
      <c r="GSP17">
        <v>0</v>
      </c>
      <c r="GSQ17">
        <v>0</v>
      </c>
      <c r="GSR17">
        <v>0</v>
      </c>
      <c r="GSS17">
        <v>0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</v>
      </c>
      <c r="GTR17">
        <v>0</v>
      </c>
      <c r="GTS17">
        <v>0</v>
      </c>
      <c r="GTT17">
        <v>0</v>
      </c>
      <c r="GTU17">
        <v>0</v>
      </c>
      <c r="GTV17">
        <v>0</v>
      </c>
      <c r="GTW17">
        <v>0</v>
      </c>
      <c r="GTX17">
        <v>0</v>
      </c>
      <c r="GTY17">
        <v>0</v>
      </c>
      <c r="GTZ17">
        <v>0</v>
      </c>
      <c r="GUA17">
        <v>0</v>
      </c>
      <c r="GUB17">
        <v>0</v>
      </c>
      <c r="GUC17">
        <v>0</v>
      </c>
      <c r="GUD17">
        <v>0</v>
      </c>
      <c r="GUE17">
        <v>0</v>
      </c>
      <c r="GUF17">
        <v>0</v>
      </c>
      <c r="GUG17">
        <v>0</v>
      </c>
      <c r="GUH17">
        <v>0</v>
      </c>
      <c r="GUI17">
        <v>0</v>
      </c>
      <c r="GUJ17">
        <v>0</v>
      </c>
      <c r="GUK17">
        <v>0</v>
      </c>
      <c r="GUL17">
        <v>0</v>
      </c>
      <c r="GUM17">
        <v>0</v>
      </c>
      <c r="GUN17">
        <v>0</v>
      </c>
      <c r="GUO17">
        <v>0</v>
      </c>
      <c r="GUP17">
        <v>0</v>
      </c>
      <c r="GUQ17">
        <v>0</v>
      </c>
      <c r="GUR17">
        <v>0</v>
      </c>
      <c r="GUS17">
        <v>0</v>
      </c>
      <c r="GUT17">
        <v>0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0</v>
      </c>
      <c r="GVA17">
        <v>0</v>
      </c>
      <c r="GVB17">
        <v>0</v>
      </c>
      <c r="GVC17">
        <v>0</v>
      </c>
      <c r="GVD17">
        <v>0</v>
      </c>
      <c r="GVE17">
        <v>0</v>
      </c>
      <c r="GVF17">
        <v>0</v>
      </c>
      <c r="GVG17">
        <v>0</v>
      </c>
      <c r="GVH17">
        <v>0</v>
      </c>
      <c r="GVI17">
        <v>0</v>
      </c>
      <c r="GVJ17">
        <v>0</v>
      </c>
      <c r="GVK17">
        <v>0</v>
      </c>
      <c r="GVL17">
        <v>0</v>
      </c>
      <c r="GVM17">
        <v>0</v>
      </c>
      <c r="GVN17">
        <v>0</v>
      </c>
      <c r="GVO17">
        <v>0</v>
      </c>
      <c r="GVP17">
        <v>0</v>
      </c>
      <c r="GVQ17">
        <v>0</v>
      </c>
      <c r="GVR17">
        <v>0</v>
      </c>
      <c r="GVS17">
        <v>0</v>
      </c>
      <c r="GVT17">
        <v>0</v>
      </c>
      <c r="GVU17">
        <v>0</v>
      </c>
      <c r="GVV17">
        <v>0</v>
      </c>
      <c r="GVW17">
        <v>0</v>
      </c>
      <c r="GVX17">
        <v>0</v>
      </c>
      <c r="GVY17">
        <v>0</v>
      </c>
      <c r="GVZ17">
        <v>0</v>
      </c>
      <c r="GWA17">
        <v>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0</v>
      </c>
      <c r="GWI17">
        <v>0</v>
      </c>
      <c r="GWJ17">
        <v>0</v>
      </c>
      <c r="GWK17">
        <v>0</v>
      </c>
      <c r="GWL17">
        <v>0</v>
      </c>
      <c r="GWM17">
        <v>0</v>
      </c>
      <c r="GWN17">
        <v>0</v>
      </c>
      <c r="GWO17">
        <v>0</v>
      </c>
      <c r="GWP17">
        <v>0</v>
      </c>
      <c r="GWQ17">
        <v>0</v>
      </c>
      <c r="GWR17">
        <v>0</v>
      </c>
      <c r="GWS17">
        <v>0</v>
      </c>
      <c r="GWT17">
        <v>0</v>
      </c>
      <c r="GWU17">
        <v>0</v>
      </c>
      <c r="GWV17">
        <v>0</v>
      </c>
      <c r="GWW17">
        <v>0</v>
      </c>
      <c r="GWX17">
        <v>0</v>
      </c>
      <c r="GWY17">
        <v>0</v>
      </c>
      <c r="GWZ17">
        <v>0</v>
      </c>
      <c r="GXA17">
        <v>0</v>
      </c>
      <c r="GXB17">
        <v>0</v>
      </c>
      <c r="GXC17">
        <v>0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0</v>
      </c>
      <c r="GXL17">
        <v>0</v>
      </c>
      <c r="GXM17">
        <v>0</v>
      </c>
      <c r="GXN17">
        <v>0</v>
      </c>
      <c r="GXO17">
        <v>0</v>
      </c>
      <c r="GXP17">
        <v>0</v>
      </c>
      <c r="GXQ17">
        <v>0</v>
      </c>
      <c r="GXR17">
        <v>0</v>
      </c>
      <c r="GXS17">
        <v>0</v>
      </c>
      <c r="GXT17">
        <v>0</v>
      </c>
      <c r="GXU17">
        <v>0</v>
      </c>
      <c r="GXV17">
        <v>0</v>
      </c>
      <c r="GXW17">
        <v>0</v>
      </c>
      <c r="GXX17">
        <v>0</v>
      </c>
      <c r="GXY17">
        <v>0</v>
      </c>
      <c r="GXZ17">
        <v>0</v>
      </c>
      <c r="GYA17">
        <v>0</v>
      </c>
      <c r="GYB17">
        <v>0</v>
      </c>
      <c r="GYC17">
        <v>0</v>
      </c>
      <c r="GYD17">
        <v>0</v>
      </c>
      <c r="GYE17">
        <v>0</v>
      </c>
      <c r="GYF17">
        <v>0</v>
      </c>
      <c r="GYG17">
        <v>0</v>
      </c>
      <c r="GYH17">
        <v>0</v>
      </c>
      <c r="GYI17">
        <v>0</v>
      </c>
      <c r="GYJ17">
        <v>0</v>
      </c>
      <c r="GYK17">
        <v>0</v>
      </c>
      <c r="GYL17">
        <v>0</v>
      </c>
      <c r="GYM17">
        <v>0</v>
      </c>
      <c r="GYN17">
        <v>0</v>
      </c>
      <c r="GYO17">
        <v>0</v>
      </c>
      <c r="GYP17">
        <v>0</v>
      </c>
      <c r="GYQ17">
        <v>0</v>
      </c>
      <c r="GYR17">
        <v>0</v>
      </c>
      <c r="GYS17">
        <v>0</v>
      </c>
      <c r="GYT17">
        <v>0</v>
      </c>
      <c r="GYU17">
        <v>0</v>
      </c>
      <c r="GYV17">
        <v>0</v>
      </c>
      <c r="GYW17">
        <v>0</v>
      </c>
      <c r="GYX17">
        <v>0</v>
      </c>
      <c r="GYY17">
        <v>0</v>
      </c>
      <c r="GYZ17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>
        <v>0</v>
      </c>
      <c r="GZH17">
        <v>0</v>
      </c>
      <c r="GZI17">
        <v>0</v>
      </c>
      <c r="GZJ17">
        <v>0</v>
      </c>
      <c r="GZK17">
        <v>0</v>
      </c>
      <c r="GZL17">
        <v>0</v>
      </c>
      <c r="GZM17">
        <v>0</v>
      </c>
      <c r="GZN17">
        <v>0</v>
      </c>
      <c r="GZO17">
        <v>0</v>
      </c>
      <c r="GZP17">
        <v>0</v>
      </c>
      <c r="GZQ17">
        <v>0</v>
      </c>
      <c r="GZR17">
        <v>0</v>
      </c>
      <c r="GZS17">
        <v>0</v>
      </c>
      <c r="GZT17">
        <v>0</v>
      </c>
      <c r="GZU17">
        <v>0</v>
      </c>
      <c r="GZV17">
        <v>0</v>
      </c>
      <c r="GZW17">
        <v>0</v>
      </c>
      <c r="GZX17">
        <v>0</v>
      </c>
      <c r="GZY17">
        <v>0</v>
      </c>
      <c r="GZZ17">
        <v>0</v>
      </c>
      <c r="HAA17">
        <v>0</v>
      </c>
      <c r="HAB17">
        <v>0</v>
      </c>
      <c r="HAC17">
        <v>0</v>
      </c>
      <c r="HAD17">
        <v>0</v>
      </c>
      <c r="HAE17">
        <v>0</v>
      </c>
      <c r="HAF17">
        <v>0</v>
      </c>
      <c r="HAG17">
        <v>0</v>
      </c>
      <c r="HAH17">
        <v>0</v>
      </c>
      <c r="HAI17">
        <v>0</v>
      </c>
      <c r="HAJ17">
        <v>0</v>
      </c>
      <c r="HAK17">
        <v>0</v>
      </c>
      <c r="HAL17">
        <v>0</v>
      </c>
      <c r="HAM17">
        <v>0</v>
      </c>
      <c r="HAN17">
        <v>0</v>
      </c>
      <c r="HAO17">
        <v>0</v>
      </c>
      <c r="HAP17">
        <v>0</v>
      </c>
      <c r="HAQ17">
        <v>0</v>
      </c>
      <c r="HAR17">
        <v>0</v>
      </c>
      <c r="HAS17">
        <v>0</v>
      </c>
      <c r="HAT17">
        <v>0</v>
      </c>
      <c r="HAU17">
        <v>0</v>
      </c>
      <c r="HAV17">
        <v>0</v>
      </c>
      <c r="HAW17">
        <v>0</v>
      </c>
      <c r="HAX17">
        <v>0</v>
      </c>
      <c r="HAY17">
        <v>0</v>
      </c>
      <c r="HAZ17">
        <v>0</v>
      </c>
      <c r="HBA17">
        <v>0</v>
      </c>
      <c r="HBB17">
        <v>0</v>
      </c>
      <c r="HBC17">
        <v>0</v>
      </c>
      <c r="HBD17">
        <v>0</v>
      </c>
      <c r="HBE17">
        <v>0</v>
      </c>
      <c r="HBF17">
        <v>0</v>
      </c>
      <c r="HBG17">
        <v>0</v>
      </c>
      <c r="HBH17">
        <v>0</v>
      </c>
      <c r="HBI17">
        <v>0</v>
      </c>
      <c r="HBJ17">
        <v>0</v>
      </c>
      <c r="HBK17">
        <v>0</v>
      </c>
      <c r="HBL17">
        <v>0</v>
      </c>
      <c r="HBM17">
        <v>0</v>
      </c>
      <c r="HBN17">
        <v>0</v>
      </c>
      <c r="HBO17">
        <v>0</v>
      </c>
      <c r="HBP17">
        <v>0</v>
      </c>
      <c r="HBQ17">
        <v>0</v>
      </c>
      <c r="HBR17">
        <v>0</v>
      </c>
      <c r="HBS17">
        <v>0</v>
      </c>
      <c r="HBT17">
        <v>0</v>
      </c>
      <c r="HBU17">
        <v>0</v>
      </c>
      <c r="HBV17">
        <v>0</v>
      </c>
      <c r="HBW17">
        <v>0</v>
      </c>
      <c r="HBX17">
        <v>0</v>
      </c>
      <c r="HBY17">
        <v>0</v>
      </c>
      <c r="HBZ17">
        <v>0</v>
      </c>
      <c r="HCA17">
        <v>0</v>
      </c>
      <c r="HCB17">
        <v>0</v>
      </c>
      <c r="HCC17">
        <v>0</v>
      </c>
      <c r="HCD17">
        <v>0</v>
      </c>
      <c r="HCE17">
        <v>0</v>
      </c>
      <c r="HCF17">
        <v>0</v>
      </c>
      <c r="HCG17">
        <v>0</v>
      </c>
      <c r="HCH17">
        <v>0</v>
      </c>
      <c r="HCI17">
        <v>0</v>
      </c>
      <c r="HCJ17">
        <v>0</v>
      </c>
      <c r="HCK17">
        <v>0</v>
      </c>
      <c r="HCL17">
        <v>0</v>
      </c>
      <c r="HCM17">
        <v>0</v>
      </c>
      <c r="HCN17">
        <v>0</v>
      </c>
      <c r="HCO17">
        <v>0</v>
      </c>
      <c r="HCP17">
        <v>0</v>
      </c>
      <c r="HCQ17">
        <v>0</v>
      </c>
      <c r="HCR17">
        <v>0</v>
      </c>
      <c r="HCS17">
        <v>0</v>
      </c>
      <c r="HCT17">
        <v>0</v>
      </c>
      <c r="HCU17">
        <v>0</v>
      </c>
      <c r="HCV17">
        <v>0</v>
      </c>
      <c r="HCW17">
        <v>0</v>
      </c>
      <c r="HCX17">
        <v>0</v>
      </c>
      <c r="HCY17">
        <v>0</v>
      </c>
      <c r="HCZ17">
        <v>0</v>
      </c>
      <c r="HDA17">
        <v>0</v>
      </c>
      <c r="HDB17">
        <v>0</v>
      </c>
      <c r="HDC17">
        <v>0</v>
      </c>
      <c r="HDD17">
        <v>0</v>
      </c>
      <c r="HDE17">
        <v>0</v>
      </c>
      <c r="HDF17">
        <v>0</v>
      </c>
      <c r="HDG17">
        <v>0</v>
      </c>
      <c r="HDH17">
        <v>0</v>
      </c>
      <c r="HDI17">
        <v>0</v>
      </c>
      <c r="HDJ17">
        <v>0</v>
      </c>
      <c r="HDK17">
        <v>0</v>
      </c>
      <c r="HDL17">
        <v>0</v>
      </c>
      <c r="HDM17">
        <v>0</v>
      </c>
      <c r="HDN17">
        <v>0</v>
      </c>
      <c r="HDO17">
        <v>0</v>
      </c>
      <c r="HDP17">
        <v>0</v>
      </c>
      <c r="HDQ17">
        <v>0</v>
      </c>
      <c r="HDR17">
        <v>0</v>
      </c>
      <c r="HDS17">
        <v>0</v>
      </c>
      <c r="HDT17">
        <v>0</v>
      </c>
      <c r="HDU17">
        <v>0</v>
      </c>
      <c r="HDV17">
        <v>0</v>
      </c>
      <c r="HDW17">
        <v>0</v>
      </c>
      <c r="HDX17">
        <v>0</v>
      </c>
      <c r="HDY17">
        <v>0</v>
      </c>
      <c r="HDZ17">
        <v>0</v>
      </c>
      <c r="HEA17">
        <v>0</v>
      </c>
      <c r="HEB17">
        <v>0</v>
      </c>
      <c r="HEC17">
        <v>0</v>
      </c>
      <c r="HED17">
        <v>0</v>
      </c>
      <c r="HEE17">
        <v>0</v>
      </c>
      <c r="HEF17">
        <v>0</v>
      </c>
      <c r="HEG17">
        <v>0</v>
      </c>
      <c r="HEH17">
        <v>0</v>
      </c>
      <c r="HEI17">
        <v>0</v>
      </c>
      <c r="HEJ17">
        <v>0</v>
      </c>
      <c r="HEK17">
        <v>0</v>
      </c>
      <c r="HEL17">
        <v>0</v>
      </c>
      <c r="HEM17">
        <v>0</v>
      </c>
      <c r="HEN17">
        <v>0</v>
      </c>
      <c r="HEO17">
        <v>0</v>
      </c>
      <c r="HEP17">
        <v>0</v>
      </c>
      <c r="HEQ17">
        <v>0</v>
      </c>
      <c r="HER17">
        <v>0</v>
      </c>
      <c r="HES17">
        <v>0</v>
      </c>
      <c r="HET17">
        <v>0</v>
      </c>
      <c r="HEU17">
        <v>0</v>
      </c>
      <c r="HEV17">
        <v>0</v>
      </c>
      <c r="HEW17">
        <v>0</v>
      </c>
      <c r="HEX17">
        <v>0</v>
      </c>
      <c r="HEY17">
        <v>0</v>
      </c>
      <c r="HEZ17">
        <v>0</v>
      </c>
      <c r="HFA17">
        <v>0</v>
      </c>
      <c r="HFB17">
        <v>0</v>
      </c>
      <c r="HFC17">
        <v>0</v>
      </c>
      <c r="HFD17">
        <v>0</v>
      </c>
      <c r="HFE17">
        <v>0</v>
      </c>
      <c r="HFF17">
        <v>0</v>
      </c>
      <c r="HFG17">
        <v>0</v>
      </c>
      <c r="HFH17">
        <v>0</v>
      </c>
      <c r="HFI17">
        <v>0</v>
      </c>
      <c r="HFJ17">
        <v>0</v>
      </c>
      <c r="HFK17">
        <v>0</v>
      </c>
      <c r="HFL17">
        <v>0</v>
      </c>
      <c r="HFM17">
        <v>0</v>
      </c>
      <c r="HFN17">
        <v>0</v>
      </c>
      <c r="HFO17">
        <v>0</v>
      </c>
      <c r="HFP17">
        <v>0</v>
      </c>
      <c r="HFQ17">
        <v>0</v>
      </c>
      <c r="HFR17">
        <v>0</v>
      </c>
      <c r="HFS17">
        <v>0</v>
      </c>
      <c r="HFT17">
        <v>0</v>
      </c>
      <c r="HFU17">
        <v>0</v>
      </c>
      <c r="HFV17">
        <v>0</v>
      </c>
      <c r="HFW17">
        <v>0</v>
      </c>
      <c r="HFX17">
        <v>0</v>
      </c>
      <c r="HFY17">
        <v>0</v>
      </c>
      <c r="HFZ17">
        <v>0</v>
      </c>
      <c r="HGA17">
        <v>0</v>
      </c>
      <c r="HGB17">
        <v>0</v>
      </c>
      <c r="HGC17">
        <v>0</v>
      </c>
      <c r="HGD17">
        <v>0</v>
      </c>
      <c r="HGE17">
        <v>0</v>
      </c>
      <c r="HGF17">
        <v>0</v>
      </c>
      <c r="HGG17">
        <v>0</v>
      </c>
      <c r="HGH17">
        <v>0</v>
      </c>
      <c r="HGI17">
        <v>0</v>
      </c>
      <c r="HGJ17">
        <v>0</v>
      </c>
      <c r="HGK17">
        <v>0</v>
      </c>
      <c r="HGL17">
        <v>0</v>
      </c>
      <c r="HGM17">
        <v>0</v>
      </c>
      <c r="HGN17">
        <v>0</v>
      </c>
      <c r="HGO17">
        <v>0</v>
      </c>
      <c r="HGP17">
        <v>0</v>
      </c>
      <c r="HGQ17">
        <v>0</v>
      </c>
      <c r="HGR17">
        <v>0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0</v>
      </c>
      <c r="HGZ17">
        <v>0</v>
      </c>
      <c r="HHA17">
        <v>0</v>
      </c>
      <c r="HHB17">
        <v>0</v>
      </c>
      <c r="HHC17">
        <v>0</v>
      </c>
      <c r="HHD17">
        <v>0</v>
      </c>
      <c r="HHE17">
        <v>0</v>
      </c>
      <c r="HHF17">
        <v>0</v>
      </c>
      <c r="HHG17">
        <v>0</v>
      </c>
      <c r="HHH17">
        <v>0</v>
      </c>
      <c r="HHI17">
        <v>0</v>
      </c>
      <c r="HHJ17">
        <v>0</v>
      </c>
      <c r="HHK17">
        <v>0</v>
      </c>
      <c r="HHL17">
        <v>0</v>
      </c>
      <c r="HHM17">
        <v>0</v>
      </c>
      <c r="HHN17">
        <v>0</v>
      </c>
      <c r="HHO17">
        <v>0</v>
      </c>
      <c r="HHP17">
        <v>0</v>
      </c>
      <c r="HHQ17">
        <v>0</v>
      </c>
      <c r="HHR17">
        <v>0</v>
      </c>
      <c r="HHS17">
        <v>0</v>
      </c>
      <c r="HHT17">
        <v>0</v>
      </c>
      <c r="HHU17">
        <v>0</v>
      </c>
      <c r="HHV17">
        <v>0</v>
      </c>
      <c r="HHW17">
        <v>0</v>
      </c>
      <c r="HHX17">
        <v>0</v>
      </c>
      <c r="HHY17">
        <v>0</v>
      </c>
      <c r="HHZ17">
        <v>0</v>
      </c>
      <c r="HIA17">
        <v>0</v>
      </c>
      <c r="HIB17">
        <v>0</v>
      </c>
      <c r="HIC17">
        <v>0</v>
      </c>
      <c r="HID17">
        <v>0</v>
      </c>
      <c r="HIE17">
        <v>0</v>
      </c>
      <c r="HIF17">
        <v>0</v>
      </c>
      <c r="HIG17">
        <v>0</v>
      </c>
      <c r="HIH17">
        <v>0</v>
      </c>
      <c r="HII17">
        <v>0</v>
      </c>
      <c r="HIJ17">
        <v>0</v>
      </c>
      <c r="HIK17">
        <v>0</v>
      </c>
      <c r="HIL17">
        <v>0</v>
      </c>
      <c r="HIM17">
        <v>0</v>
      </c>
      <c r="HIN17">
        <v>0</v>
      </c>
      <c r="HIO17">
        <v>0</v>
      </c>
      <c r="HIP17">
        <v>0</v>
      </c>
      <c r="HIQ17">
        <v>0</v>
      </c>
      <c r="HIR17">
        <v>0</v>
      </c>
      <c r="HIS17">
        <v>0</v>
      </c>
      <c r="HIT17">
        <v>0</v>
      </c>
      <c r="HIU17">
        <v>0</v>
      </c>
      <c r="HIV17">
        <v>0</v>
      </c>
      <c r="HIW17">
        <v>0</v>
      </c>
      <c r="HIX17">
        <v>0</v>
      </c>
      <c r="HIY17">
        <v>0</v>
      </c>
      <c r="HIZ17">
        <v>0</v>
      </c>
      <c r="HJA17">
        <v>0</v>
      </c>
      <c r="HJB17">
        <v>0</v>
      </c>
      <c r="HJC17">
        <v>0</v>
      </c>
      <c r="HJD17">
        <v>0</v>
      </c>
      <c r="HJE17">
        <v>0</v>
      </c>
      <c r="HJF17">
        <v>0</v>
      </c>
      <c r="HJG17">
        <v>0</v>
      </c>
      <c r="HJH17">
        <v>0</v>
      </c>
      <c r="HJI17">
        <v>0</v>
      </c>
      <c r="HJJ17">
        <v>0</v>
      </c>
      <c r="HJK17">
        <v>0</v>
      </c>
      <c r="HJL17">
        <v>0</v>
      </c>
      <c r="HJM17">
        <v>0</v>
      </c>
      <c r="HJN17">
        <v>0</v>
      </c>
      <c r="HJO17">
        <v>0</v>
      </c>
      <c r="HJP17">
        <v>0</v>
      </c>
      <c r="HJQ17">
        <v>0</v>
      </c>
      <c r="HJR17">
        <v>0</v>
      </c>
      <c r="HJS17">
        <v>0</v>
      </c>
      <c r="HJT17">
        <v>0</v>
      </c>
      <c r="HJU17">
        <v>0</v>
      </c>
      <c r="HJV17">
        <v>0</v>
      </c>
      <c r="HJW17">
        <v>0</v>
      </c>
      <c r="HJX17">
        <v>0</v>
      </c>
      <c r="HJY17">
        <v>0</v>
      </c>
      <c r="HJZ17">
        <v>0</v>
      </c>
      <c r="HKA17">
        <v>0</v>
      </c>
      <c r="HKB17">
        <v>0</v>
      </c>
      <c r="HKC17">
        <v>0</v>
      </c>
      <c r="HKD17">
        <v>0</v>
      </c>
      <c r="HKE17">
        <v>0</v>
      </c>
      <c r="HKF17">
        <v>0</v>
      </c>
      <c r="HKG17">
        <v>0</v>
      </c>
      <c r="HKH17">
        <v>0</v>
      </c>
      <c r="HKI17">
        <v>0</v>
      </c>
      <c r="HKJ17">
        <v>0</v>
      </c>
      <c r="HKK17">
        <v>0</v>
      </c>
      <c r="HKL17">
        <v>0</v>
      </c>
      <c r="HKM17">
        <v>0</v>
      </c>
      <c r="HKN17">
        <v>0</v>
      </c>
      <c r="HKO17">
        <v>0</v>
      </c>
      <c r="HKP17">
        <v>0</v>
      </c>
      <c r="HKQ17">
        <v>0</v>
      </c>
      <c r="HKR17">
        <v>0</v>
      </c>
      <c r="HKS17">
        <v>0</v>
      </c>
      <c r="HKT17">
        <v>0</v>
      </c>
      <c r="HKU17">
        <v>0</v>
      </c>
      <c r="HKV17">
        <v>0</v>
      </c>
      <c r="HKW17">
        <v>0</v>
      </c>
      <c r="HKX17">
        <v>0</v>
      </c>
      <c r="HKY17">
        <v>0</v>
      </c>
      <c r="HKZ17">
        <v>0</v>
      </c>
      <c r="HLA17">
        <v>0</v>
      </c>
      <c r="HLB17">
        <v>0</v>
      </c>
      <c r="HLC17">
        <v>0</v>
      </c>
      <c r="HLD17">
        <v>0</v>
      </c>
      <c r="HLE17">
        <v>0</v>
      </c>
      <c r="HLF17">
        <v>0</v>
      </c>
      <c r="HLG17">
        <v>0</v>
      </c>
      <c r="HLH17">
        <v>0</v>
      </c>
      <c r="HLI17">
        <v>0</v>
      </c>
      <c r="HLJ17">
        <v>0</v>
      </c>
      <c r="HLK17">
        <v>0</v>
      </c>
      <c r="HLL17">
        <v>0</v>
      </c>
      <c r="HLM17">
        <v>0</v>
      </c>
      <c r="HLN17">
        <v>0</v>
      </c>
      <c r="HLO17">
        <v>0</v>
      </c>
      <c r="HLP17">
        <v>0</v>
      </c>
      <c r="HLQ17">
        <v>0</v>
      </c>
      <c r="HLR17">
        <v>0</v>
      </c>
      <c r="HLS17">
        <v>0</v>
      </c>
      <c r="HLT17">
        <v>0</v>
      </c>
      <c r="HLU17">
        <v>0</v>
      </c>
      <c r="HLV17">
        <v>0</v>
      </c>
      <c r="HLW17">
        <v>0</v>
      </c>
      <c r="HLX17">
        <v>0</v>
      </c>
      <c r="HLY17">
        <v>0</v>
      </c>
      <c r="HLZ17">
        <v>0</v>
      </c>
      <c r="HMA17">
        <v>0</v>
      </c>
      <c r="HMB17">
        <v>0</v>
      </c>
      <c r="HMC17">
        <v>0</v>
      </c>
      <c r="HMD17">
        <v>0</v>
      </c>
      <c r="HME17">
        <v>0</v>
      </c>
      <c r="HMF17">
        <v>0</v>
      </c>
      <c r="HMG17">
        <v>0</v>
      </c>
      <c r="HMH17">
        <v>0</v>
      </c>
      <c r="HMI17">
        <v>0</v>
      </c>
      <c r="HMJ17">
        <v>0</v>
      </c>
      <c r="HMK17">
        <v>0</v>
      </c>
      <c r="HML17">
        <v>0</v>
      </c>
      <c r="HMM17">
        <v>0</v>
      </c>
      <c r="HMN17">
        <v>0</v>
      </c>
      <c r="HMO17">
        <v>0</v>
      </c>
      <c r="HMP17">
        <v>0</v>
      </c>
      <c r="HMQ17">
        <v>0</v>
      </c>
      <c r="HMR17">
        <v>0</v>
      </c>
      <c r="HMS17">
        <v>0</v>
      </c>
      <c r="HMT17">
        <v>0</v>
      </c>
      <c r="HMU17">
        <v>0</v>
      </c>
      <c r="HMV17">
        <v>0</v>
      </c>
      <c r="HMW17">
        <v>0</v>
      </c>
      <c r="HMX17">
        <v>0</v>
      </c>
      <c r="HMY17">
        <v>0</v>
      </c>
      <c r="HMZ17">
        <v>0</v>
      </c>
      <c r="HNA17">
        <v>0</v>
      </c>
      <c r="HNB17">
        <v>0</v>
      </c>
      <c r="HNC17">
        <v>0</v>
      </c>
      <c r="HND17">
        <v>0</v>
      </c>
      <c r="HNE17">
        <v>0</v>
      </c>
      <c r="HNF17">
        <v>0</v>
      </c>
      <c r="HNG17">
        <v>0</v>
      </c>
      <c r="HNH17">
        <v>0</v>
      </c>
      <c r="HNI17">
        <v>0</v>
      </c>
      <c r="HNJ17">
        <v>0</v>
      </c>
      <c r="HNK17">
        <v>0</v>
      </c>
      <c r="HNL17">
        <v>0</v>
      </c>
      <c r="HNM17">
        <v>0</v>
      </c>
      <c r="HNN17">
        <v>0</v>
      </c>
      <c r="HNO17">
        <v>0</v>
      </c>
      <c r="HNP17">
        <v>0</v>
      </c>
      <c r="HNQ17">
        <v>0</v>
      </c>
      <c r="HNR17">
        <v>0</v>
      </c>
      <c r="HNS17">
        <v>0</v>
      </c>
      <c r="HNT17">
        <v>0</v>
      </c>
      <c r="HNU17">
        <v>0</v>
      </c>
      <c r="HNV17">
        <v>0</v>
      </c>
      <c r="HNW17">
        <v>0</v>
      </c>
      <c r="HNX17">
        <v>0</v>
      </c>
      <c r="HNY17">
        <v>0</v>
      </c>
      <c r="HNZ17">
        <v>0</v>
      </c>
      <c r="HOA17">
        <v>0</v>
      </c>
      <c r="HOB17">
        <v>0</v>
      </c>
      <c r="HOC17">
        <v>0</v>
      </c>
      <c r="HOD17">
        <v>0</v>
      </c>
      <c r="HOE17">
        <v>0</v>
      </c>
      <c r="HOF17">
        <v>0</v>
      </c>
      <c r="HOG17">
        <v>0</v>
      </c>
      <c r="HOH17">
        <v>0</v>
      </c>
      <c r="HOI17">
        <v>0</v>
      </c>
      <c r="HOJ17">
        <v>0</v>
      </c>
      <c r="HOK17">
        <v>0</v>
      </c>
      <c r="HOL17">
        <v>0</v>
      </c>
      <c r="HOM17">
        <v>0</v>
      </c>
      <c r="HON17">
        <v>0</v>
      </c>
      <c r="HOO17">
        <v>0</v>
      </c>
      <c r="HOP17">
        <v>0</v>
      </c>
      <c r="HOQ17">
        <v>0</v>
      </c>
      <c r="HOR17">
        <v>0</v>
      </c>
      <c r="HOS17">
        <v>0</v>
      </c>
      <c r="HOT17">
        <v>0</v>
      </c>
      <c r="HOU17">
        <v>0</v>
      </c>
      <c r="HOV17">
        <v>0</v>
      </c>
      <c r="HOW17">
        <v>0</v>
      </c>
      <c r="HOX17">
        <v>0</v>
      </c>
      <c r="HOY17">
        <v>0</v>
      </c>
      <c r="HOZ17">
        <v>0</v>
      </c>
      <c r="HPA17">
        <v>0</v>
      </c>
      <c r="HPB17">
        <v>0</v>
      </c>
      <c r="HPC17">
        <v>0</v>
      </c>
      <c r="HPD17">
        <v>0</v>
      </c>
      <c r="HPE17">
        <v>0</v>
      </c>
      <c r="HPF17">
        <v>0</v>
      </c>
      <c r="HPG17">
        <v>0</v>
      </c>
      <c r="HPH17">
        <v>0</v>
      </c>
      <c r="HPI17">
        <v>0</v>
      </c>
      <c r="HPJ17">
        <v>0</v>
      </c>
      <c r="HPK17">
        <v>0</v>
      </c>
      <c r="HPL17">
        <v>0</v>
      </c>
      <c r="HPM17">
        <v>0</v>
      </c>
      <c r="HPN17">
        <v>0</v>
      </c>
      <c r="HPO17">
        <v>0</v>
      </c>
      <c r="HPP17">
        <v>0</v>
      </c>
      <c r="HPQ17">
        <v>0</v>
      </c>
      <c r="HPR17">
        <v>0</v>
      </c>
      <c r="HPS17">
        <v>0</v>
      </c>
      <c r="HPT17">
        <v>0</v>
      </c>
      <c r="HPU17">
        <v>0</v>
      </c>
      <c r="HPV17">
        <v>0</v>
      </c>
      <c r="HPW17">
        <v>0</v>
      </c>
      <c r="HPX17">
        <v>0</v>
      </c>
      <c r="HPY17">
        <v>0</v>
      </c>
      <c r="HPZ17">
        <v>0</v>
      </c>
      <c r="HQA17">
        <v>0</v>
      </c>
      <c r="HQB17">
        <v>0</v>
      </c>
      <c r="HQC17">
        <v>0</v>
      </c>
      <c r="HQD17">
        <v>0</v>
      </c>
      <c r="HQE17">
        <v>0</v>
      </c>
      <c r="HQF17">
        <v>0</v>
      </c>
      <c r="HQG17">
        <v>0</v>
      </c>
      <c r="HQH17">
        <v>0</v>
      </c>
      <c r="HQI17">
        <v>0</v>
      </c>
      <c r="HQJ17">
        <v>0</v>
      </c>
      <c r="HQK17">
        <v>0</v>
      </c>
      <c r="HQL17">
        <v>0</v>
      </c>
      <c r="HQM17">
        <v>0</v>
      </c>
      <c r="HQN17">
        <v>0</v>
      </c>
      <c r="HQO17">
        <v>0</v>
      </c>
      <c r="HQP17">
        <v>0</v>
      </c>
      <c r="HQQ17">
        <v>0</v>
      </c>
      <c r="HQR17">
        <v>0</v>
      </c>
      <c r="HQS17">
        <v>0</v>
      </c>
      <c r="HQT17">
        <v>0</v>
      </c>
      <c r="HQU17">
        <v>0</v>
      </c>
      <c r="HQV17">
        <v>0</v>
      </c>
      <c r="HQW17">
        <v>0</v>
      </c>
      <c r="HQX17">
        <v>0</v>
      </c>
      <c r="HQY17">
        <v>0</v>
      </c>
      <c r="HQZ17">
        <v>0</v>
      </c>
      <c r="HRA17">
        <v>0</v>
      </c>
      <c r="HRB17">
        <v>0</v>
      </c>
      <c r="HRC17">
        <v>0</v>
      </c>
      <c r="HRD17">
        <v>0</v>
      </c>
      <c r="HRE17">
        <v>0</v>
      </c>
      <c r="HRF17">
        <v>0</v>
      </c>
      <c r="HRG17">
        <v>0</v>
      </c>
      <c r="HRH17">
        <v>0</v>
      </c>
      <c r="HRI17">
        <v>0</v>
      </c>
      <c r="HRJ17">
        <v>0</v>
      </c>
      <c r="HRK17">
        <v>0</v>
      </c>
      <c r="HRL17">
        <v>0</v>
      </c>
      <c r="HRM17">
        <v>0</v>
      </c>
      <c r="HRN17">
        <v>0</v>
      </c>
      <c r="HRO17">
        <v>0</v>
      </c>
      <c r="HRP17">
        <v>0</v>
      </c>
      <c r="HRQ17">
        <v>0</v>
      </c>
      <c r="HRR17">
        <v>0</v>
      </c>
      <c r="HRS17">
        <v>0</v>
      </c>
      <c r="HRT17">
        <v>0</v>
      </c>
      <c r="HRU17">
        <v>0</v>
      </c>
      <c r="HRV17">
        <v>0</v>
      </c>
      <c r="HRW17">
        <v>0</v>
      </c>
      <c r="HRX17">
        <v>0</v>
      </c>
      <c r="HRY17">
        <v>0</v>
      </c>
      <c r="HRZ17">
        <v>0</v>
      </c>
      <c r="HSA17">
        <v>0</v>
      </c>
      <c r="HSB17">
        <v>0</v>
      </c>
      <c r="HSC17">
        <v>0</v>
      </c>
      <c r="HSD17">
        <v>0</v>
      </c>
      <c r="HSE17">
        <v>0</v>
      </c>
      <c r="HSF17">
        <v>0</v>
      </c>
      <c r="HSG17">
        <v>0</v>
      </c>
      <c r="HSH17">
        <v>0</v>
      </c>
      <c r="HSI17">
        <v>0</v>
      </c>
      <c r="HSJ17">
        <v>0</v>
      </c>
      <c r="HSK17">
        <v>0</v>
      </c>
      <c r="HSL17">
        <v>0</v>
      </c>
      <c r="HSM17">
        <v>0</v>
      </c>
      <c r="HSN17">
        <v>0</v>
      </c>
      <c r="HSO17">
        <v>0</v>
      </c>
      <c r="HSP17">
        <v>0</v>
      </c>
      <c r="HSQ17">
        <v>0</v>
      </c>
      <c r="HSR17">
        <v>0</v>
      </c>
      <c r="HSS17">
        <v>0</v>
      </c>
      <c r="HST17">
        <v>0</v>
      </c>
      <c r="HSU17">
        <v>0</v>
      </c>
      <c r="HSV17">
        <v>0</v>
      </c>
      <c r="HSW17">
        <v>0</v>
      </c>
      <c r="HSX17">
        <v>0</v>
      </c>
      <c r="HSY17">
        <v>0</v>
      </c>
      <c r="HSZ17">
        <v>0</v>
      </c>
      <c r="HTA17">
        <v>0</v>
      </c>
      <c r="HTB17">
        <v>0</v>
      </c>
      <c r="HTC17">
        <v>0</v>
      </c>
      <c r="HTD17">
        <v>0</v>
      </c>
      <c r="HTE17">
        <v>0</v>
      </c>
      <c r="HTF17">
        <v>0</v>
      </c>
      <c r="HTG17">
        <v>0</v>
      </c>
      <c r="HTH17">
        <v>0</v>
      </c>
      <c r="HTI17">
        <v>0</v>
      </c>
      <c r="HTJ17">
        <v>0</v>
      </c>
      <c r="HTK17">
        <v>0</v>
      </c>
      <c r="HTL17">
        <v>0</v>
      </c>
      <c r="HTM17">
        <v>0</v>
      </c>
      <c r="HTN17">
        <v>0</v>
      </c>
      <c r="HTO17">
        <v>0</v>
      </c>
      <c r="HTP17">
        <v>0</v>
      </c>
      <c r="HTQ17">
        <v>0</v>
      </c>
      <c r="HTR17">
        <v>0</v>
      </c>
      <c r="HTS17">
        <v>0</v>
      </c>
      <c r="HTT17">
        <v>0</v>
      </c>
      <c r="HTU17">
        <v>0</v>
      </c>
      <c r="HTV17">
        <v>0</v>
      </c>
      <c r="HTW17">
        <v>0</v>
      </c>
      <c r="HTX17">
        <v>0</v>
      </c>
      <c r="HTY17">
        <v>0</v>
      </c>
      <c r="HTZ17">
        <v>0</v>
      </c>
      <c r="HUA17">
        <v>0</v>
      </c>
      <c r="HUB17">
        <v>0</v>
      </c>
      <c r="HUC17">
        <v>0</v>
      </c>
      <c r="HUD17">
        <v>0</v>
      </c>
      <c r="HUE17">
        <v>0</v>
      </c>
      <c r="HUF17">
        <v>0</v>
      </c>
      <c r="HUG17">
        <v>0</v>
      </c>
      <c r="HUH17">
        <v>0</v>
      </c>
      <c r="HUI17">
        <v>0</v>
      </c>
      <c r="HUJ17">
        <v>0</v>
      </c>
      <c r="HUK17">
        <v>0</v>
      </c>
      <c r="HUL17">
        <v>0</v>
      </c>
      <c r="HUM17">
        <v>0</v>
      </c>
      <c r="HUN17">
        <v>0</v>
      </c>
      <c r="HUO17">
        <v>0</v>
      </c>
      <c r="HUP17">
        <v>0</v>
      </c>
      <c r="HUQ17">
        <v>0</v>
      </c>
      <c r="HUR17">
        <v>0</v>
      </c>
      <c r="HUS17">
        <v>0</v>
      </c>
      <c r="HUT17">
        <v>0</v>
      </c>
      <c r="HUU17">
        <v>0</v>
      </c>
      <c r="HUV17">
        <v>0</v>
      </c>
      <c r="HUW17">
        <v>0</v>
      </c>
      <c r="HUX17">
        <v>0</v>
      </c>
      <c r="HUY17">
        <v>0</v>
      </c>
      <c r="HUZ17">
        <v>0</v>
      </c>
      <c r="HVA17">
        <v>0</v>
      </c>
      <c r="HVB17">
        <v>0</v>
      </c>
      <c r="HVC17">
        <v>0</v>
      </c>
      <c r="HVD17">
        <v>0</v>
      </c>
      <c r="HVE17">
        <v>0</v>
      </c>
      <c r="HVF17">
        <v>0</v>
      </c>
      <c r="HVG17">
        <v>0</v>
      </c>
      <c r="HVH17">
        <v>0</v>
      </c>
      <c r="HVI17">
        <v>0</v>
      </c>
      <c r="HVJ17">
        <v>0</v>
      </c>
      <c r="HVK17">
        <v>0</v>
      </c>
      <c r="HVL17">
        <v>0</v>
      </c>
      <c r="HVM17">
        <v>0</v>
      </c>
      <c r="HVN17">
        <v>0</v>
      </c>
      <c r="HVO17">
        <v>0</v>
      </c>
      <c r="HVP17">
        <v>0</v>
      </c>
      <c r="HVQ17">
        <v>0</v>
      </c>
      <c r="HVR17">
        <v>0</v>
      </c>
      <c r="HVS17">
        <v>0</v>
      </c>
      <c r="HVT17">
        <v>0</v>
      </c>
      <c r="HVU17">
        <v>0</v>
      </c>
      <c r="HVV17">
        <v>0</v>
      </c>
      <c r="HVW17">
        <v>0</v>
      </c>
      <c r="HVX17">
        <v>0</v>
      </c>
      <c r="HVY17">
        <v>0</v>
      </c>
      <c r="HVZ17">
        <v>0</v>
      </c>
      <c r="HWA17">
        <v>0</v>
      </c>
      <c r="HWB17">
        <v>0</v>
      </c>
      <c r="HWC17">
        <v>0</v>
      </c>
      <c r="HWD17">
        <v>0</v>
      </c>
      <c r="HWE17">
        <v>0</v>
      </c>
      <c r="HWF17">
        <v>0</v>
      </c>
      <c r="HWG17">
        <v>0</v>
      </c>
      <c r="HWH17">
        <v>0</v>
      </c>
      <c r="HWI17">
        <v>0</v>
      </c>
      <c r="HWJ17">
        <v>0</v>
      </c>
      <c r="HWK17">
        <v>0</v>
      </c>
      <c r="HWL17">
        <v>0</v>
      </c>
      <c r="HWM17">
        <v>0</v>
      </c>
      <c r="HWN17">
        <v>0</v>
      </c>
      <c r="HWO17">
        <v>0</v>
      </c>
      <c r="HWP17">
        <v>0</v>
      </c>
      <c r="HWQ17">
        <v>0</v>
      </c>
      <c r="HWR17">
        <v>0</v>
      </c>
      <c r="HWS17">
        <v>0</v>
      </c>
      <c r="HWT17">
        <v>0</v>
      </c>
      <c r="HWU17">
        <v>0</v>
      </c>
      <c r="HWV17">
        <v>0</v>
      </c>
      <c r="HWW17">
        <v>0</v>
      </c>
      <c r="HWX17">
        <v>0</v>
      </c>
      <c r="HWY17">
        <v>0</v>
      </c>
      <c r="HWZ17">
        <v>0</v>
      </c>
      <c r="HXA17">
        <v>0</v>
      </c>
      <c r="HXB17">
        <v>0</v>
      </c>
      <c r="HXC17">
        <v>0</v>
      </c>
      <c r="HXD17">
        <v>0</v>
      </c>
      <c r="HXE17">
        <v>0</v>
      </c>
      <c r="HXF17">
        <v>0</v>
      </c>
      <c r="HXG17">
        <v>0</v>
      </c>
      <c r="HXH17">
        <v>0</v>
      </c>
      <c r="HXI17">
        <v>0</v>
      </c>
      <c r="HXJ17">
        <v>0</v>
      </c>
      <c r="HXK17">
        <v>0</v>
      </c>
      <c r="HXL17">
        <v>0</v>
      </c>
      <c r="HXM17">
        <v>0</v>
      </c>
      <c r="HXN17">
        <v>0</v>
      </c>
      <c r="HXO17">
        <v>0</v>
      </c>
      <c r="HXP17">
        <v>0</v>
      </c>
      <c r="HXQ17">
        <v>0</v>
      </c>
      <c r="HXR17">
        <v>0</v>
      </c>
      <c r="HXS17">
        <v>0</v>
      </c>
      <c r="HXT17">
        <v>0</v>
      </c>
      <c r="HXU17">
        <v>0</v>
      </c>
      <c r="HXV17">
        <v>0</v>
      </c>
      <c r="HXW17">
        <v>0</v>
      </c>
      <c r="HXX17">
        <v>0</v>
      </c>
      <c r="HXY17">
        <v>0</v>
      </c>
      <c r="HXZ17">
        <v>0</v>
      </c>
      <c r="HYA17">
        <v>0</v>
      </c>
      <c r="HYB17">
        <v>0</v>
      </c>
      <c r="HYC17">
        <v>0</v>
      </c>
      <c r="HYD17">
        <v>0</v>
      </c>
      <c r="HYE17">
        <v>0</v>
      </c>
      <c r="HYF17">
        <v>0</v>
      </c>
      <c r="HYG17">
        <v>0</v>
      </c>
      <c r="HYH17">
        <v>0</v>
      </c>
      <c r="HYI17">
        <v>0</v>
      </c>
      <c r="HYJ17">
        <v>0</v>
      </c>
      <c r="HYK17">
        <v>0</v>
      </c>
      <c r="HYL17">
        <v>0</v>
      </c>
      <c r="HYM17">
        <v>0</v>
      </c>
      <c r="HYN17">
        <v>0</v>
      </c>
      <c r="HYO17">
        <v>0</v>
      </c>
      <c r="HYP17">
        <v>0</v>
      </c>
      <c r="HYQ17">
        <v>0</v>
      </c>
      <c r="HYR17">
        <v>0</v>
      </c>
      <c r="HYS17">
        <v>0</v>
      </c>
      <c r="HYT17">
        <v>0</v>
      </c>
      <c r="HYU17">
        <v>0</v>
      </c>
      <c r="HYV17">
        <v>0</v>
      </c>
      <c r="HYW17">
        <v>0</v>
      </c>
      <c r="HYX17">
        <v>0</v>
      </c>
      <c r="HYY17">
        <v>0</v>
      </c>
      <c r="HYZ17">
        <v>0</v>
      </c>
      <c r="HZA17">
        <v>0</v>
      </c>
      <c r="HZB17">
        <v>0</v>
      </c>
      <c r="HZC17">
        <v>0</v>
      </c>
      <c r="HZD17">
        <v>0</v>
      </c>
      <c r="HZE17">
        <v>0</v>
      </c>
      <c r="HZF17">
        <v>0</v>
      </c>
      <c r="HZG17">
        <v>0</v>
      </c>
      <c r="HZH17">
        <v>0</v>
      </c>
      <c r="HZI17">
        <v>0</v>
      </c>
      <c r="HZJ17">
        <v>0</v>
      </c>
      <c r="HZK17">
        <v>0</v>
      </c>
      <c r="HZL17">
        <v>0</v>
      </c>
      <c r="HZM17">
        <v>0</v>
      </c>
      <c r="HZN17">
        <v>0</v>
      </c>
      <c r="HZO17">
        <v>0</v>
      </c>
      <c r="HZP17">
        <v>0</v>
      </c>
      <c r="HZQ17">
        <v>0</v>
      </c>
      <c r="HZR17">
        <v>0</v>
      </c>
      <c r="HZS17">
        <v>0</v>
      </c>
      <c r="HZT17">
        <v>0</v>
      </c>
      <c r="HZU17">
        <v>0</v>
      </c>
      <c r="HZV17">
        <v>0</v>
      </c>
      <c r="HZW17">
        <v>0</v>
      </c>
      <c r="HZX17">
        <v>0</v>
      </c>
      <c r="HZY17">
        <v>0</v>
      </c>
      <c r="HZZ17">
        <v>0</v>
      </c>
      <c r="IAA17">
        <v>0</v>
      </c>
      <c r="IAB17">
        <v>0</v>
      </c>
      <c r="IAC17">
        <v>0</v>
      </c>
      <c r="IAD17">
        <v>0</v>
      </c>
      <c r="IAE17">
        <v>0</v>
      </c>
      <c r="IAF17">
        <v>0</v>
      </c>
      <c r="IAG17">
        <v>0</v>
      </c>
      <c r="IAH17">
        <v>0</v>
      </c>
      <c r="IAI17">
        <v>0</v>
      </c>
      <c r="IAJ17">
        <v>0</v>
      </c>
      <c r="IAK17">
        <v>0</v>
      </c>
      <c r="IAL17">
        <v>0</v>
      </c>
      <c r="IAM17">
        <v>0</v>
      </c>
      <c r="IAN17">
        <v>0</v>
      </c>
      <c r="IAO17">
        <v>0</v>
      </c>
      <c r="IAP17">
        <v>0</v>
      </c>
      <c r="IAQ17">
        <v>0</v>
      </c>
      <c r="IAR17">
        <v>0</v>
      </c>
      <c r="IAS17">
        <v>0</v>
      </c>
      <c r="IAT17">
        <v>0</v>
      </c>
      <c r="IAU17">
        <v>0</v>
      </c>
      <c r="IAV17">
        <v>0</v>
      </c>
      <c r="IAW17">
        <v>0</v>
      </c>
      <c r="IAX17">
        <v>0</v>
      </c>
      <c r="IAY17">
        <v>0</v>
      </c>
      <c r="IAZ17">
        <v>0</v>
      </c>
      <c r="IBA17">
        <v>0</v>
      </c>
      <c r="IBB17">
        <v>0</v>
      </c>
      <c r="IBC17">
        <v>0</v>
      </c>
      <c r="IBD17">
        <v>0</v>
      </c>
      <c r="IBE17">
        <v>0</v>
      </c>
      <c r="IBF17">
        <v>0</v>
      </c>
      <c r="IBG17">
        <v>0</v>
      </c>
      <c r="IBH17">
        <v>0</v>
      </c>
      <c r="IBI17">
        <v>0</v>
      </c>
      <c r="IBJ17">
        <v>0</v>
      </c>
      <c r="IBK17">
        <v>0</v>
      </c>
      <c r="IBL17">
        <v>0</v>
      </c>
      <c r="IBM17">
        <v>0</v>
      </c>
      <c r="IBN17">
        <v>0</v>
      </c>
      <c r="IBO17">
        <v>0</v>
      </c>
      <c r="IBP17">
        <v>0</v>
      </c>
      <c r="IBQ17">
        <v>0</v>
      </c>
      <c r="IBR17">
        <v>0</v>
      </c>
      <c r="IBS17">
        <v>0</v>
      </c>
      <c r="IBT17">
        <v>0</v>
      </c>
      <c r="IBU17">
        <v>0</v>
      </c>
      <c r="IBV17">
        <v>0</v>
      </c>
      <c r="IBW17">
        <v>0</v>
      </c>
      <c r="IBX17">
        <v>0</v>
      </c>
      <c r="IBY17">
        <v>0</v>
      </c>
      <c r="IBZ17">
        <v>0</v>
      </c>
      <c r="ICA17">
        <v>0</v>
      </c>
      <c r="ICB17">
        <v>0</v>
      </c>
      <c r="ICC17">
        <v>0</v>
      </c>
      <c r="ICD17">
        <v>0</v>
      </c>
      <c r="ICE17">
        <v>0</v>
      </c>
      <c r="ICF17">
        <v>0</v>
      </c>
      <c r="ICG17">
        <v>0</v>
      </c>
      <c r="ICH17">
        <v>0</v>
      </c>
      <c r="ICI17">
        <v>0</v>
      </c>
      <c r="ICJ17">
        <v>0</v>
      </c>
      <c r="ICK17">
        <v>0</v>
      </c>
      <c r="ICL17">
        <v>0</v>
      </c>
      <c r="ICM17">
        <v>0</v>
      </c>
      <c r="ICN17">
        <v>0</v>
      </c>
      <c r="ICO17">
        <v>0</v>
      </c>
      <c r="ICP17">
        <v>0</v>
      </c>
      <c r="ICQ17">
        <v>0</v>
      </c>
      <c r="ICR17">
        <v>0</v>
      </c>
      <c r="ICS17">
        <v>0</v>
      </c>
      <c r="ICT17">
        <v>0</v>
      </c>
      <c r="ICU17">
        <v>0</v>
      </c>
      <c r="ICV17">
        <v>0</v>
      </c>
      <c r="ICW17">
        <v>0</v>
      </c>
      <c r="ICX17">
        <v>0</v>
      </c>
      <c r="ICY17">
        <v>0</v>
      </c>
      <c r="ICZ17">
        <v>0</v>
      </c>
      <c r="IDA17">
        <v>0</v>
      </c>
      <c r="IDB17">
        <v>0</v>
      </c>
      <c r="IDC17">
        <v>0</v>
      </c>
      <c r="IDD17">
        <v>0</v>
      </c>
      <c r="IDE17">
        <v>0</v>
      </c>
      <c r="IDF17">
        <v>0</v>
      </c>
      <c r="IDG17">
        <v>0</v>
      </c>
      <c r="IDH17">
        <v>0</v>
      </c>
      <c r="IDI17">
        <v>0</v>
      </c>
      <c r="IDJ17">
        <v>0</v>
      </c>
      <c r="IDK17">
        <v>0</v>
      </c>
      <c r="IDL17">
        <v>0</v>
      </c>
      <c r="IDM17">
        <v>0</v>
      </c>
      <c r="IDN17">
        <v>0</v>
      </c>
      <c r="IDO17">
        <v>0</v>
      </c>
      <c r="IDP17">
        <v>0</v>
      </c>
      <c r="IDQ17">
        <v>0</v>
      </c>
      <c r="IDR17">
        <v>0</v>
      </c>
      <c r="IDS17">
        <v>0</v>
      </c>
      <c r="IDT17">
        <v>0</v>
      </c>
      <c r="IDU17">
        <v>0</v>
      </c>
      <c r="IDV17">
        <v>0</v>
      </c>
      <c r="IDW17">
        <v>0</v>
      </c>
      <c r="IDX17">
        <v>0</v>
      </c>
      <c r="IDY17">
        <v>0</v>
      </c>
      <c r="IDZ17">
        <v>0</v>
      </c>
      <c r="IEA17">
        <v>0</v>
      </c>
      <c r="IEB17">
        <v>0</v>
      </c>
      <c r="IEC17">
        <v>0</v>
      </c>
      <c r="IED17">
        <v>0</v>
      </c>
      <c r="IEE17">
        <v>0</v>
      </c>
      <c r="IEF17">
        <v>0</v>
      </c>
      <c r="IEG17">
        <v>0</v>
      </c>
      <c r="IEH17">
        <v>0</v>
      </c>
      <c r="IEI17">
        <v>0</v>
      </c>
      <c r="IEJ17">
        <v>0</v>
      </c>
      <c r="IEK17">
        <v>0</v>
      </c>
      <c r="IEL17">
        <v>0</v>
      </c>
      <c r="IEM17">
        <v>0</v>
      </c>
      <c r="IEN17">
        <v>0</v>
      </c>
      <c r="IEO17">
        <v>0</v>
      </c>
      <c r="IEP17">
        <v>0</v>
      </c>
      <c r="IEQ17">
        <v>0</v>
      </c>
      <c r="IER17">
        <v>0</v>
      </c>
      <c r="IES17">
        <v>0</v>
      </c>
      <c r="IET17">
        <v>0</v>
      </c>
      <c r="IEU17">
        <v>0</v>
      </c>
      <c r="IEV17">
        <v>0</v>
      </c>
      <c r="IEW17">
        <v>0</v>
      </c>
      <c r="IEX17">
        <v>0</v>
      </c>
      <c r="IEY17">
        <v>0</v>
      </c>
      <c r="IEZ17">
        <v>0</v>
      </c>
      <c r="IFA17">
        <v>0</v>
      </c>
      <c r="IFB17">
        <v>0</v>
      </c>
      <c r="IFC17">
        <v>0</v>
      </c>
      <c r="IFD17">
        <v>0</v>
      </c>
      <c r="IFE17">
        <v>0</v>
      </c>
      <c r="IFF17">
        <v>0</v>
      </c>
      <c r="IFG17">
        <v>0</v>
      </c>
      <c r="IFH17">
        <v>0</v>
      </c>
      <c r="IFI17">
        <v>0</v>
      </c>
      <c r="IFJ17">
        <v>0</v>
      </c>
      <c r="IFK17">
        <v>0</v>
      </c>
      <c r="IFL17">
        <v>0</v>
      </c>
      <c r="IFM17">
        <v>0</v>
      </c>
      <c r="IFN17">
        <v>0</v>
      </c>
      <c r="IFO17">
        <v>0</v>
      </c>
      <c r="IFP17">
        <v>0</v>
      </c>
      <c r="IFQ17">
        <v>0</v>
      </c>
      <c r="IFR17">
        <v>0</v>
      </c>
      <c r="IFS17">
        <v>0</v>
      </c>
      <c r="IFT17">
        <v>0</v>
      </c>
      <c r="IFU17">
        <v>0</v>
      </c>
      <c r="IFV17">
        <v>0</v>
      </c>
      <c r="IFW17">
        <v>0</v>
      </c>
      <c r="IFX17">
        <v>0</v>
      </c>
      <c r="IFY17">
        <v>0</v>
      </c>
      <c r="IFZ17">
        <v>0</v>
      </c>
      <c r="IGA17">
        <v>0</v>
      </c>
      <c r="IGB17">
        <v>0</v>
      </c>
      <c r="IGC17">
        <v>0</v>
      </c>
      <c r="IGD17">
        <v>0</v>
      </c>
      <c r="IGE17">
        <v>0</v>
      </c>
      <c r="IGF17">
        <v>0</v>
      </c>
      <c r="IGG17">
        <v>0</v>
      </c>
      <c r="IGH17">
        <v>0</v>
      </c>
      <c r="IGI17">
        <v>0</v>
      </c>
      <c r="IGJ17">
        <v>0</v>
      </c>
      <c r="IGK17">
        <v>0</v>
      </c>
      <c r="IGL17">
        <v>0</v>
      </c>
      <c r="IGM17">
        <v>0</v>
      </c>
      <c r="IGN17">
        <v>0</v>
      </c>
      <c r="IGO17">
        <v>0</v>
      </c>
      <c r="IGP17">
        <v>0</v>
      </c>
      <c r="IGQ17">
        <v>0</v>
      </c>
      <c r="IGR17">
        <v>0</v>
      </c>
      <c r="IGS17">
        <v>0</v>
      </c>
      <c r="IGT17">
        <v>0</v>
      </c>
      <c r="IGU17">
        <v>0</v>
      </c>
      <c r="IGV17">
        <v>0</v>
      </c>
      <c r="IGW17">
        <v>0</v>
      </c>
      <c r="IGX17">
        <v>0</v>
      </c>
      <c r="IGY17">
        <v>0</v>
      </c>
      <c r="IGZ17">
        <v>0</v>
      </c>
      <c r="IHA17">
        <v>0</v>
      </c>
      <c r="IHB17">
        <v>0</v>
      </c>
      <c r="IHC17">
        <v>0</v>
      </c>
      <c r="IHD17">
        <v>0</v>
      </c>
      <c r="IHE17">
        <v>0</v>
      </c>
      <c r="IHF17">
        <v>0</v>
      </c>
      <c r="IHG17">
        <v>0</v>
      </c>
      <c r="IHH17">
        <v>0</v>
      </c>
      <c r="IHI17">
        <v>0</v>
      </c>
      <c r="IHJ17">
        <v>0</v>
      </c>
      <c r="IHK17">
        <v>0</v>
      </c>
      <c r="IHL17">
        <v>0</v>
      </c>
      <c r="IHM17">
        <v>0</v>
      </c>
      <c r="IHN17">
        <v>0</v>
      </c>
      <c r="IHO17">
        <v>0</v>
      </c>
      <c r="IHP17">
        <v>0</v>
      </c>
      <c r="IHQ17">
        <v>0</v>
      </c>
      <c r="IHR17">
        <v>0</v>
      </c>
      <c r="IHS17">
        <v>0</v>
      </c>
      <c r="IHT17">
        <v>0</v>
      </c>
      <c r="IHU17">
        <v>0</v>
      </c>
      <c r="IHV17">
        <v>0</v>
      </c>
      <c r="IHW17">
        <v>0</v>
      </c>
      <c r="IHX17">
        <v>0</v>
      </c>
      <c r="IHY17">
        <v>0</v>
      </c>
      <c r="IHZ17">
        <v>0</v>
      </c>
      <c r="IIA17">
        <v>0</v>
      </c>
      <c r="IIB17">
        <v>0</v>
      </c>
      <c r="IIC17">
        <v>0</v>
      </c>
      <c r="IID17">
        <v>0</v>
      </c>
      <c r="IIE17">
        <v>0</v>
      </c>
      <c r="IIF17">
        <v>0</v>
      </c>
      <c r="IIG17">
        <v>0</v>
      </c>
      <c r="IIH17">
        <v>0</v>
      </c>
      <c r="III17">
        <v>0</v>
      </c>
      <c r="IIJ17">
        <v>0</v>
      </c>
      <c r="IIK17">
        <v>0</v>
      </c>
      <c r="IIL17">
        <v>0</v>
      </c>
      <c r="IIM17">
        <v>0</v>
      </c>
      <c r="IIN17">
        <v>0</v>
      </c>
      <c r="IIO17">
        <v>0</v>
      </c>
      <c r="IIP17">
        <v>0</v>
      </c>
      <c r="IIQ17">
        <v>0</v>
      </c>
      <c r="IIR17">
        <v>0</v>
      </c>
      <c r="IIS17">
        <v>0</v>
      </c>
      <c r="IIT17">
        <v>0</v>
      </c>
      <c r="IIU17">
        <v>0</v>
      </c>
      <c r="IIV17">
        <v>0</v>
      </c>
      <c r="IIW17">
        <v>0</v>
      </c>
      <c r="IIX17">
        <v>0</v>
      </c>
      <c r="IIY17">
        <v>0</v>
      </c>
      <c r="IIZ17">
        <v>0</v>
      </c>
      <c r="IJA17">
        <v>0</v>
      </c>
      <c r="IJB17">
        <v>0</v>
      </c>
      <c r="IJC17">
        <v>0</v>
      </c>
      <c r="IJD17">
        <v>0</v>
      </c>
      <c r="IJE17">
        <v>0</v>
      </c>
      <c r="IJF17">
        <v>0</v>
      </c>
      <c r="IJG17">
        <v>0</v>
      </c>
      <c r="IJH17">
        <v>0</v>
      </c>
      <c r="IJI17">
        <v>0</v>
      </c>
      <c r="IJJ17">
        <v>0</v>
      </c>
      <c r="IJK17">
        <v>0</v>
      </c>
      <c r="IJL17">
        <v>0</v>
      </c>
      <c r="IJM17">
        <v>0</v>
      </c>
      <c r="IJN17">
        <v>0</v>
      </c>
      <c r="IJO17">
        <v>0</v>
      </c>
      <c r="IJP17">
        <v>0</v>
      </c>
      <c r="IJQ17">
        <v>0</v>
      </c>
      <c r="IJR17">
        <v>0</v>
      </c>
      <c r="IJS17">
        <v>0</v>
      </c>
      <c r="IJT17">
        <v>0</v>
      </c>
      <c r="IJU17">
        <v>0</v>
      </c>
      <c r="IJV17">
        <v>0</v>
      </c>
      <c r="IJW17">
        <v>0</v>
      </c>
      <c r="IJX17">
        <v>0</v>
      </c>
      <c r="IJY17">
        <v>0</v>
      </c>
      <c r="IJZ17">
        <v>0</v>
      </c>
      <c r="IKA17">
        <v>0</v>
      </c>
      <c r="IKB17">
        <v>0</v>
      </c>
      <c r="IKC17">
        <v>0</v>
      </c>
      <c r="IKD17">
        <v>0</v>
      </c>
      <c r="IKE17">
        <v>0</v>
      </c>
      <c r="IKF17">
        <v>0</v>
      </c>
      <c r="IKG17">
        <v>0</v>
      </c>
      <c r="IKH17">
        <v>0</v>
      </c>
      <c r="IKI17">
        <v>0</v>
      </c>
      <c r="IKJ17">
        <v>0</v>
      </c>
      <c r="IKK17">
        <v>0</v>
      </c>
      <c r="IKL17">
        <v>0</v>
      </c>
      <c r="IKM17">
        <v>0</v>
      </c>
      <c r="IKN17">
        <v>0</v>
      </c>
      <c r="IKO17">
        <v>0</v>
      </c>
      <c r="IKP17">
        <v>0</v>
      </c>
      <c r="IKQ17">
        <v>0</v>
      </c>
      <c r="IKR17">
        <v>0</v>
      </c>
      <c r="IKS17">
        <v>0</v>
      </c>
      <c r="IKT17">
        <v>0</v>
      </c>
      <c r="IKU17">
        <v>0</v>
      </c>
      <c r="IKV17">
        <v>0</v>
      </c>
      <c r="IKW17">
        <v>0</v>
      </c>
      <c r="IKX17">
        <v>0</v>
      </c>
      <c r="IKY17">
        <v>0</v>
      </c>
      <c r="IKZ17">
        <v>0</v>
      </c>
      <c r="ILA17">
        <v>0</v>
      </c>
      <c r="ILB17">
        <v>0</v>
      </c>
      <c r="ILC17">
        <v>0</v>
      </c>
      <c r="ILD17">
        <v>0</v>
      </c>
      <c r="ILE17">
        <v>0</v>
      </c>
      <c r="ILF17">
        <v>0</v>
      </c>
      <c r="ILG17">
        <v>0</v>
      </c>
      <c r="ILH17">
        <v>0</v>
      </c>
      <c r="ILI17">
        <v>0</v>
      </c>
      <c r="ILJ17">
        <v>0</v>
      </c>
      <c r="ILK17">
        <v>0</v>
      </c>
      <c r="ILL17">
        <v>0</v>
      </c>
      <c r="ILM17">
        <v>0</v>
      </c>
      <c r="ILN17">
        <v>0</v>
      </c>
      <c r="ILO17">
        <v>0</v>
      </c>
      <c r="ILP17">
        <v>0</v>
      </c>
      <c r="ILQ17">
        <v>0</v>
      </c>
      <c r="ILR17">
        <v>0</v>
      </c>
      <c r="ILS17">
        <v>0</v>
      </c>
      <c r="ILT17">
        <v>0</v>
      </c>
      <c r="ILU17">
        <v>0</v>
      </c>
      <c r="ILV17">
        <v>0</v>
      </c>
      <c r="ILW17">
        <v>0</v>
      </c>
      <c r="ILX17">
        <v>0</v>
      </c>
      <c r="ILY17">
        <v>0</v>
      </c>
      <c r="ILZ17">
        <v>0</v>
      </c>
      <c r="IMA17">
        <v>0</v>
      </c>
      <c r="IMB17">
        <v>0</v>
      </c>
      <c r="IMC17">
        <v>0</v>
      </c>
      <c r="IMD17">
        <v>0</v>
      </c>
      <c r="IME17">
        <v>0</v>
      </c>
      <c r="IMF17">
        <v>0</v>
      </c>
      <c r="IMG17">
        <v>0</v>
      </c>
      <c r="IMH17">
        <v>0</v>
      </c>
      <c r="IMI17">
        <v>0</v>
      </c>
      <c r="IMJ17">
        <v>0</v>
      </c>
      <c r="IMK17">
        <v>0</v>
      </c>
      <c r="IML17">
        <v>0</v>
      </c>
      <c r="IMM17">
        <v>0</v>
      </c>
      <c r="IMN17">
        <v>0</v>
      </c>
      <c r="IMO17">
        <v>0</v>
      </c>
      <c r="IMP17">
        <v>0</v>
      </c>
      <c r="IMQ17">
        <v>0</v>
      </c>
      <c r="IMR17">
        <v>0</v>
      </c>
      <c r="IMS17">
        <v>0</v>
      </c>
      <c r="IMT17">
        <v>0</v>
      </c>
      <c r="IMU17">
        <v>0</v>
      </c>
      <c r="IMV17">
        <v>0</v>
      </c>
      <c r="IMW17">
        <v>0</v>
      </c>
      <c r="IMX17">
        <v>0</v>
      </c>
      <c r="IMY17">
        <v>0</v>
      </c>
      <c r="IMZ17">
        <v>0</v>
      </c>
      <c r="INA17">
        <v>0</v>
      </c>
      <c r="INB17">
        <v>0</v>
      </c>
      <c r="INC17">
        <v>0</v>
      </c>
      <c r="IND17">
        <v>0</v>
      </c>
      <c r="INE17">
        <v>0</v>
      </c>
      <c r="INF17">
        <v>0</v>
      </c>
      <c r="ING17">
        <v>0</v>
      </c>
      <c r="INH17">
        <v>0</v>
      </c>
      <c r="INI17">
        <v>0</v>
      </c>
      <c r="INJ17">
        <v>0</v>
      </c>
      <c r="INK17">
        <v>0</v>
      </c>
      <c r="INL17">
        <v>0</v>
      </c>
      <c r="INM17">
        <v>0</v>
      </c>
      <c r="INN17">
        <v>0</v>
      </c>
      <c r="INO17">
        <v>0</v>
      </c>
      <c r="INP17">
        <v>0</v>
      </c>
      <c r="INQ17">
        <v>0</v>
      </c>
      <c r="INR17">
        <v>0</v>
      </c>
      <c r="INS17">
        <v>0</v>
      </c>
      <c r="INT17">
        <v>0</v>
      </c>
      <c r="INU17">
        <v>0</v>
      </c>
      <c r="INV17">
        <v>0</v>
      </c>
      <c r="INW17">
        <v>0</v>
      </c>
      <c r="INX17">
        <v>0</v>
      </c>
      <c r="INY17">
        <v>0</v>
      </c>
      <c r="INZ17">
        <v>0</v>
      </c>
      <c r="IOA17">
        <v>0</v>
      </c>
      <c r="IOB17">
        <v>0</v>
      </c>
      <c r="IOC17">
        <v>0</v>
      </c>
      <c r="IOD17">
        <v>0</v>
      </c>
      <c r="IOE17">
        <v>0</v>
      </c>
      <c r="IOF17">
        <v>0</v>
      </c>
      <c r="IOG17">
        <v>0</v>
      </c>
      <c r="IOH17">
        <v>0</v>
      </c>
      <c r="IOI17">
        <v>0</v>
      </c>
      <c r="IOJ17">
        <v>0</v>
      </c>
      <c r="IOK17">
        <v>0</v>
      </c>
      <c r="IOL17">
        <v>0</v>
      </c>
      <c r="IOM17">
        <v>0</v>
      </c>
      <c r="ION17">
        <v>0</v>
      </c>
      <c r="IOO17">
        <v>0</v>
      </c>
      <c r="IOP17">
        <v>0</v>
      </c>
      <c r="IOQ17">
        <v>0</v>
      </c>
      <c r="IOR17">
        <v>0</v>
      </c>
      <c r="IOS17">
        <v>0</v>
      </c>
      <c r="IOT17">
        <v>0</v>
      </c>
      <c r="IOU17">
        <v>0</v>
      </c>
      <c r="IOV17">
        <v>0</v>
      </c>
      <c r="IOW17">
        <v>0</v>
      </c>
      <c r="IOX17">
        <v>0</v>
      </c>
      <c r="IOY17">
        <v>0</v>
      </c>
      <c r="IOZ17">
        <v>0</v>
      </c>
      <c r="IPA17">
        <v>0</v>
      </c>
      <c r="IPB17">
        <v>0</v>
      </c>
      <c r="IPC17">
        <v>0</v>
      </c>
      <c r="IPD17">
        <v>0</v>
      </c>
      <c r="IPE17">
        <v>0</v>
      </c>
      <c r="IPF17">
        <v>0</v>
      </c>
      <c r="IPG17">
        <v>0</v>
      </c>
      <c r="IPH17">
        <v>0</v>
      </c>
      <c r="IPI17">
        <v>0</v>
      </c>
      <c r="IPJ17">
        <v>0</v>
      </c>
      <c r="IPK17">
        <v>0</v>
      </c>
      <c r="IPL17">
        <v>0</v>
      </c>
      <c r="IPM17">
        <v>0</v>
      </c>
      <c r="IPN17">
        <v>0</v>
      </c>
      <c r="IPO17">
        <v>0</v>
      </c>
      <c r="IPP17">
        <v>0</v>
      </c>
      <c r="IPQ17">
        <v>0</v>
      </c>
      <c r="IPR17">
        <v>0</v>
      </c>
      <c r="IPS17">
        <v>0</v>
      </c>
      <c r="IPT17">
        <v>0</v>
      </c>
      <c r="IPU17">
        <v>0</v>
      </c>
      <c r="IPV17">
        <v>0</v>
      </c>
      <c r="IPW17">
        <v>0</v>
      </c>
      <c r="IPX17">
        <v>0</v>
      </c>
      <c r="IPY17">
        <v>0</v>
      </c>
      <c r="IPZ17">
        <v>0</v>
      </c>
      <c r="IQA17">
        <v>0</v>
      </c>
      <c r="IQB17">
        <v>0</v>
      </c>
      <c r="IQC17">
        <v>0</v>
      </c>
      <c r="IQD17">
        <v>0</v>
      </c>
      <c r="IQE17">
        <v>0</v>
      </c>
      <c r="IQF17">
        <v>0</v>
      </c>
      <c r="IQG17">
        <v>0</v>
      </c>
      <c r="IQH17">
        <v>0</v>
      </c>
      <c r="IQI17">
        <v>0</v>
      </c>
      <c r="IQJ17">
        <v>0</v>
      </c>
      <c r="IQK17">
        <v>0</v>
      </c>
      <c r="IQL17">
        <v>0</v>
      </c>
      <c r="IQM17">
        <v>0</v>
      </c>
      <c r="IQN17">
        <v>0</v>
      </c>
      <c r="IQO17">
        <v>0</v>
      </c>
      <c r="IQP17">
        <v>0</v>
      </c>
      <c r="IQQ17">
        <v>0</v>
      </c>
      <c r="IQR17">
        <v>0</v>
      </c>
      <c r="IQS17">
        <v>0</v>
      </c>
      <c r="IQT17">
        <v>0</v>
      </c>
      <c r="IQU17">
        <v>0</v>
      </c>
      <c r="IQV17">
        <v>0</v>
      </c>
      <c r="IQW17">
        <v>0</v>
      </c>
      <c r="IQX17">
        <v>0</v>
      </c>
      <c r="IQY17">
        <v>0</v>
      </c>
      <c r="IQZ17">
        <v>0</v>
      </c>
      <c r="IRA17">
        <v>0</v>
      </c>
      <c r="IRB17">
        <v>0</v>
      </c>
      <c r="IRC17">
        <v>0</v>
      </c>
      <c r="IRD17">
        <v>0</v>
      </c>
      <c r="IRE17">
        <v>0</v>
      </c>
      <c r="IRF17">
        <v>0</v>
      </c>
      <c r="IRG17">
        <v>0</v>
      </c>
      <c r="IRH17">
        <v>0</v>
      </c>
      <c r="IRI17">
        <v>0</v>
      </c>
      <c r="IRJ17">
        <v>0</v>
      </c>
      <c r="IRK17">
        <v>0</v>
      </c>
      <c r="IRL17">
        <v>0</v>
      </c>
      <c r="IRM17">
        <v>0</v>
      </c>
      <c r="IRN17">
        <v>0</v>
      </c>
      <c r="IRO17">
        <v>0</v>
      </c>
      <c r="IRP17">
        <v>0</v>
      </c>
      <c r="IRQ17">
        <v>0</v>
      </c>
      <c r="IRR17">
        <v>0</v>
      </c>
      <c r="IRS17">
        <v>0</v>
      </c>
      <c r="IRT17">
        <v>0</v>
      </c>
      <c r="IRU17">
        <v>0</v>
      </c>
      <c r="IRV17">
        <v>0</v>
      </c>
      <c r="IRW17">
        <v>0</v>
      </c>
      <c r="IRX17">
        <v>0</v>
      </c>
      <c r="IRY17">
        <v>0</v>
      </c>
      <c r="IRZ17">
        <v>0</v>
      </c>
      <c r="ISA17">
        <v>0</v>
      </c>
      <c r="ISB17">
        <v>0</v>
      </c>
      <c r="ISC17">
        <v>0</v>
      </c>
      <c r="ISD17">
        <v>0</v>
      </c>
      <c r="ISE17">
        <v>0</v>
      </c>
      <c r="ISF17">
        <v>0</v>
      </c>
      <c r="ISG17">
        <v>0</v>
      </c>
      <c r="ISH17">
        <v>0</v>
      </c>
      <c r="ISI17">
        <v>0</v>
      </c>
      <c r="ISJ17">
        <v>0</v>
      </c>
      <c r="ISK17">
        <v>0</v>
      </c>
      <c r="ISL17">
        <v>0</v>
      </c>
      <c r="ISM17">
        <v>0</v>
      </c>
      <c r="ISN17">
        <v>0</v>
      </c>
      <c r="ISO17">
        <v>0</v>
      </c>
      <c r="ISP17">
        <v>0</v>
      </c>
      <c r="ISQ17">
        <v>0</v>
      </c>
      <c r="ISR17">
        <v>0</v>
      </c>
      <c r="ISS17">
        <v>0</v>
      </c>
      <c r="IST17">
        <v>0</v>
      </c>
      <c r="ISU17">
        <v>0</v>
      </c>
      <c r="ISV17">
        <v>0</v>
      </c>
      <c r="ISW17">
        <v>0</v>
      </c>
      <c r="ISX17">
        <v>0</v>
      </c>
      <c r="ISY17">
        <v>0</v>
      </c>
      <c r="ISZ17">
        <v>0</v>
      </c>
      <c r="ITA17">
        <v>0</v>
      </c>
      <c r="ITB17">
        <v>0</v>
      </c>
      <c r="ITC17">
        <v>0</v>
      </c>
      <c r="ITD17">
        <v>0</v>
      </c>
      <c r="ITE17">
        <v>0</v>
      </c>
      <c r="ITF17">
        <v>0</v>
      </c>
      <c r="ITG17">
        <v>0</v>
      </c>
      <c r="ITH17">
        <v>0</v>
      </c>
      <c r="ITI17">
        <v>0</v>
      </c>
      <c r="ITJ17">
        <v>0</v>
      </c>
      <c r="ITK17">
        <v>0</v>
      </c>
      <c r="ITL17">
        <v>0</v>
      </c>
      <c r="ITM17">
        <v>0</v>
      </c>
      <c r="ITN17">
        <v>0</v>
      </c>
      <c r="ITO17">
        <v>0</v>
      </c>
      <c r="ITP17">
        <v>0</v>
      </c>
      <c r="ITQ17">
        <v>0</v>
      </c>
      <c r="ITR17">
        <v>0</v>
      </c>
      <c r="ITS17">
        <v>0</v>
      </c>
      <c r="ITT17">
        <v>0</v>
      </c>
      <c r="ITU17">
        <v>0</v>
      </c>
      <c r="ITV17">
        <v>0</v>
      </c>
      <c r="ITW17">
        <v>0</v>
      </c>
      <c r="ITX17">
        <v>0</v>
      </c>
      <c r="ITY17">
        <v>0</v>
      </c>
      <c r="ITZ17">
        <v>0</v>
      </c>
      <c r="IUA17">
        <v>0</v>
      </c>
      <c r="IUB17">
        <v>0</v>
      </c>
      <c r="IUC17">
        <v>0</v>
      </c>
      <c r="IUD17">
        <v>0</v>
      </c>
      <c r="IUE17">
        <v>0</v>
      </c>
      <c r="IUF17">
        <v>0</v>
      </c>
      <c r="IUG17">
        <v>0</v>
      </c>
      <c r="IUH17">
        <v>0</v>
      </c>
      <c r="IUI17">
        <v>0</v>
      </c>
      <c r="IUJ17">
        <v>0</v>
      </c>
      <c r="IUK17">
        <v>0</v>
      </c>
      <c r="IUL17">
        <v>0</v>
      </c>
      <c r="IUM17">
        <v>0</v>
      </c>
      <c r="IUN17">
        <v>0</v>
      </c>
      <c r="IUO17">
        <v>0</v>
      </c>
      <c r="IUP17">
        <v>0</v>
      </c>
      <c r="IUQ17">
        <v>0</v>
      </c>
      <c r="IUR17">
        <v>0</v>
      </c>
      <c r="IUS17">
        <v>0</v>
      </c>
      <c r="IUT17">
        <v>0</v>
      </c>
      <c r="IUU17">
        <v>0</v>
      </c>
      <c r="IUV17">
        <v>0</v>
      </c>
      <c r="IUW17">
        <v>0</v>
      </c>
      <c r="IUX17">
        <v>0</v>
      </c>
      <c r="IUY17">
        <v>0</v>
      </c>
      <c r="IUZ17">
        <v>0</v>
      </c>
      <c r="IVA17">
        <v>0</v>
      </c>
      <c r="IVB17">
        <v>0</v>
      </c>
      <c r="IVC17">
        <v>0</v>
      </c>
      <c r="IVD17">
        <v>0</v>
      </c>
      <c r="IVE17">
        <v>0</v>
      </c>
      <c r="IVF17">
        <v>0</v>
      </c>
      <c r="IVG17">
        <v>0</v>
      </c>
      <c r="IVH17">
        <v>0</v>
      </c>
      <c r="IVI17">
        <v>0</v>
      </c>
      <c r="IVJ17">
        <v>0</v>
      </c>
      <c r="IVK17">
        <v>0</v>
      </c>
      <c r="IVL17">
        <v>0</v>
      </c>
      <c r="IVM17">
        <v>0</v>
      </c>
      <c r="IVN17">
        <v>0</v>
      </c>
      <c r="IVO17">
        <v>0</v>
      </c>
      <c r="IVP17">
        <v>0</v>
      </c>
      <c r="IVQ17">
        <v>0</v>
      </c>
      <c r="IVR17">
        <v>0</v>
      </c>
      <c r="IVS17">
        <v>0</v>
      </c>
      <c r="IVT17">
        <v>0</v>
      </c>
      <c r="IVU17">
        <v>0</v>
      </c>
      <c r="IVV17">
        <v>0</v>
      </c>
      <c r="IVW17">
        <v>0</v>
      </c>
      <c r="IVX17">
        <v>0</v>
      </c>
      <c r="IVY17">
        <v>0</v>
      </c>
      <c r="IVZ17">
        <v>0</v>
      </c>
      <c r="IWA17">
        <v>0</v>
      </c>
      <c r="IWB17">
        <v>0</v>
      </c>
      <c r="IWC17">
        <v>0</v>
      </c>
      <c r="IWD17">
        <v>0</v>
      </c>
      <c r="IWE17">
        <v>0</v>
      </c>
      <c r="IWF17">
        <v>0</v>
      </c>
      <c r="IWG17">
        <v>0</v>
      </c>
      <c r="IWH17">
        <v>0</v>
      </c>
      <c r="IWI17">
        <v>0</v>
      </c>
      <c r="IWJ17">
        <v>0</v>
      </c>
      <c r="IWK17">
        <v>0</v>
      </c>
      <c r="IWL17">
        <v>0</v>
      </c>
      <c r="IWM17">
        <v>0</v>
      </c>
      <c r="IWN17">
        <v>0</v>
      </c>
      <c r="IWO17">
        <v>0</v>
      </c>
      <c r="IWP17">
        <v>0</v>
      </c>
      <c r="IWQ17">
        <v>0</v>
      </c>
      <c r="IWR17">
        <v>0</v>
      </c>
      <c r="IWS17">
        <v>0</v>
      </c>
      <c r="IWT17">
        <v>0</v>
      </c>
      <c r="IWU17">
        <v>0</v>
      </c>
      <c r="IWV17">
        <v>0</v>
      </c>
      <c r="IWW17">
        <v>0</v>
      </c>
      <c r="IWX17">
        <v>0</v>
      </c>
      <c r="IWY17">
        <v>0</v>
      </c>
      <c r="IWZ17">
        <v>0</v>
      </c>
      <c r="IXA17">
        <v>0</v>
      </c>
      <c r="IXB17">
        <v>0</v>
      </c>
      <c r="IXC17">
        <v>0</v>
      </c>
      <c r="IXD17">
        <v>0</v>
      </c>
      <c r="IXE17">
        <v>0</v>
      </c>
      <c r="IXF17">
        <v>0</v>
      </c>
      <c r="IXG17">
        <v>0</v>
      </c>
      <c r="IXH17">
        <v>0</v>
      </c>
      <c r="IXI17">
        <v>0</v>
      </c>
      <c r="IXJ17">
        <v>0</v>
      </c>
      <c r="IXK17">
        <v>0</v>
      </c>
      <c r="IXL17">
        <v>0</v>
      </c>
      <c r="IXM17">
        <v>0</v>
      </c>
      <c r="IXN17">
        <v>0</v>
      </c>
      <c r="IXO17">
        <v>0</v>
      </c>
      <c r="IXP17">
        <v>0</v>
      </c>
      <c r="IXQ17">
        <v>0</v>
      </c>
      <c r="IXR17">
        <v>0</v>
      </c>
      <c r="IXS17">
        <v>0</v>
      </c>
      <c r="IXT17">
        <v>0</v>
      </c>
      <c r="IXU17">
        <v>0</v>
      </c>
      <c r="IXV17">
        <v>0</v>
      </c>
      <c r="IXW17">
        <v>0</v>
      </c>
      <c r="IXX17">
        <v>0</v>
      </c>
      <c r="IXY17">
        <v>0</v>
      </c>
      <c r="IXZ17">
        <v>0</v>
      </c>
      <c r="IYA17">
        <v>0</v>
      </c>
      <c r="IYB17">
        <v>0</v>
      </c>
      <c r="IYC17">
        <v>0</v>
      </c>
      <c r="IYD17">
        <v>0</v>
      </c>
      <c r="IYE17">
        <v>0</v>
      </c>
      <c r="IYF17">
        <v>0</v>
      </c>
      <c r="IYG17">
        <v>0</v>
      </c>
      <c r="IYH17">
        <v>0</v>
      </c>
      <c r="IYI17">
        <v>0</v>
      </c>
      <c r="IYJ17">
        <v>0</v>
      </c>
      <c r="IYK17">
        <v>0</v>
      </c>
      <c r="IYL17">
        <v>0</v>
      </c>
      <c r="IYM17">
        <v>0</v>
      </c>
      <c r="IYN17">
        <v>0</v>
      </c>
      <c r="IYO17">
        <v>0</v>
      </c>
      <c r="IYP17">
        <v>0</v>
      </c>
      <c r="IYQ17">
        <v>0</v>
      </c>
      <c r="IYR17">
        <v>0</v>
      </c>
      <c r="IYS17">
        <v>0</v>
      </c>
      <c r="IYT17">
        <v>0</v>
      </c>
      <c r="IYU17">
        <v>0</v>
      </c>
      <c r="IYV17">
        <v>0</v>
      </c>
      <c r="IYW17">
        <v>0</v>
      </c>
      <c r="IYX17">
        <v>0</v>
      </c>
      <c r="IYY17">
        <v>0</v>
      </c>
      <c r="IYZ17">
        <v>0</v>
      </c>
      <c r="IZA17">
        <v>0</v>
      </c>
      <c r="IZB17">
        <v>0</v>
      </c>
      <c r="IZC17">
        <v>0</v>
      </c>
      <c r="IZD17">
        <v>0</v>
      </c>
      <c r="IZE17">
        <v>0</v>
      </c>
      <c r="IZF17">
        <v>0</v>
      </c>
      <c r="IZG17">
        <v>0</v>
      </c>
      <c r="IZH17">
        <v>0</v>
      </c>
      <c r="IZI17">
        <v>0</v>
      </c>
      <c r="IZJ17">
        <v>0</v>
      </c>
      <c r="IZK17">
        <v>0</v>
      </c>
      <c r="IZL17">
        <v>0</v>
      </c>
      <c r="IZM17">
        <v>0</v>
      </c>
      <c r="IZN17">
        <v>0</v>
      </c>
      <c r="IZO17">
        <v>0</v>
      </c>
      <c r="IZP17">
        <v>0</v>
      </c>
      <c r="IZQ17">
        <v>0</v>
      </c>
      <c r="IZR17">
        <v>0</v>
      </c>
      <c r="IZS17">
        <v>0</v>
      </c>
      <c r="IZT17">
        <v>0</v>
      </c>
      <c r="IZU17">
        <v>0</v>
      </c>
      <c r="IZV17">
        <v>0</v>
      </c>
      <c r="IZW17">
        <v>0</v>
      </c>
      <c r="IZX17">
        <v>0</v>
      </c>
      <c r="IZY17">
        <v>0</v>
      </c>
      <c r="IZZ17">
        <v>0</v>
      </c>
      <c r="JAA17">
        <v>0</v>
      </c>
      <c r="JAB17">
        <v>0</v>
      </c>
      <c r="JAC17">
        <v>0</v>
      </c>
      <c r="JAD17">
        <v>0</v>
      </c>
      <c r="JAE17">
        <v>0</v>
      </c>
      <c r="JAF17">
        <v>0</v>
      </c>
      <c r="JAG17">
        <v>0</v>
      </c>
      <c r="JAH17">
        <v>0</v>
      </c>
      <c r="JAI17">
        <v>0</v>
      </c>
      <c r="JAJ17">
        <v>0</v>
      </c>
      <c r="JAK17">
        <v>0</v>
      </c>
      <c r="JAL17">
        <v>0</v>
      </c>
      <c r="JAM17">
        <v>0</v>
      </c>
      <c r="JAN17">
        <v>0</v>
      </c>
      <c r="JAO17">
        <v>0</v>
      </c>
      <c r="JAP17">
        <v>0</v>
      </c>
      <c r="JAQ17">
        <v>0</v>
      </c>
      <c r="JAR17">
        <v>0</v>
      </c>
      <c r="JAS17">
        <v>0</v>
      </c>
      <c r="JAT17">
        <v>0</v>
      </c>
      <c r="JAU17">
        <v>0</v>
      </c>
      <c r="JAV17">
        <v>0</v>
      </c>
      <c r="JAW17">
        <v>0</v>
      </c>
      <c r="JAX17">
        <v>0</v>
      </c>
      <c r="JAY17">
        <v>0</v>
      </c>
      <c r="JAZ17">
        <v>0</v>
      </c>
      <c r="JBA17">
        <v>0</v>
      </c>
      <c r="JBB17">
        <v>0</v>
      </c>
      <c r="JBC17">
        <v>0</v>
      </c>
      <c r="JBD17">
        <v>0</v>
      </c>
      <c r="JBE17">
        <v>0</v>
      </c>
      <c r="JBF17">
        <v>0</v>
      </c>
      <c r="JBG17">
        <v>0</v>
      </c>
      <c r="JBH17">
        <v>0</v>
      </c>
      <c r="JBI17">
        <v>0</v>
      </c>
      <c r="JBJ17">
        <v>0</v>
      </c>
      <c r="JBK17">
        <v>0</v>
      </c>
      <c r="JBL17">
        <v>0</v>
      </c>
      <c r="JBM17">
        <v>0</v>
      </c>
      <c r="JBN17">
        <v>0</v>
      </c>
      <c r="JBO17">
        <v>0</v>
      </c>
      <c r="JBP17">
        <v>0</v>
      </c>
      <c r="JBQ17">
        <v>0</v>
      </c>
      <c r="JBR17">
        <v>0</v>
      </c>
      <c r="JBS17">
        <v>0</v>
      </c>
      <c r="JBT17">
        <v>0</v>
      </c>
      <c r="JBU17">
        <v>0</v>
      </c>
      <c r="JBV17">
        <v>0</v>
      </c>
      <c r="JBW17">
        <v>0</v>
      </c>
      <c r="JBX17">
        <v>0</v>
      </c>
      <c r="JBY17">
        <v>0</v>
      </c>
      <c r="JBZ17">
        <v>0</v>
      </c>
      <c r="JCA17">
        <v>0</v>
      </c>
      <c r="JCB17">
        <v>0</v>
      </c>
      <c r="JCC17">
        <v>0</v>
      </c>
      <c r="JCD17">
        <v>0</v>
      </c>
      <c r="JCE17">
        <v>0</v>
      </c>
      <c r="JCF17">
        <v>0</v>
      </c>
      <c r="JCG17">
        <v>0</v>
      </c>
      <c r="JCH17">
        <v>0</v>
      </c>
      <c r="JCI17">
        <v>0</v>
      </c>
      <c r="JCJ17">
        <v>0</v>
      </c>
      <c r="JCK17">
        <v>0</v>
      </c>
      <c r="JCL17">
        <v>0</v>
      </c>
      <c r="JCM17">
        <v>0</v>
      </c>
      <c r="JCN17">
        <v>0</v>
      </c>
      <c r="JCO17">
        <v>0</v>
      </c>
      <c r="JCP17">
        <v>0</v>
      </c>
      <c r="JCQ17">
        <v>0</v>
      </c>
      <c r="JCR17">
        <v>0</v>
      </c>
      <c r="JCS17">
        <v>0</v>
      </c>
      <c r="JCT17">
        <v>0</v>
      </c>
      <c r="JCU17">
        <v>0</v>
      </c>
      <c r="JCV17">
        <v>0</v>
      </c>
      <c r="JCW17">
        <v>0</v>
      </c>
      <c r="JCX17">
        <v>0</v>
      </c>
      <c r="JCY17">
        <v>0</v>
      </c>
      <c r="JCZ17">
        <v>0</v>
      </c>
      <c r="JDA17">
        <v>0</v>
      </c>
      <c r="JDB17">
        <v>0</v>
      </c>
      <c r="JDC17">
        <v>0</v>
      </c>
      <c r="JDD17">
        <v>0</v>
      </c>
      <c r="JDE17">
        <v>0</v>
      </c>
      <c r="JDF17">
        <v>0</v>
      </c>
      <c r="JDG17">
        <v>0</v>
      </c>
      <c r="JDH17">
        <v>0</v>
      </c>
      <c r="JDI17">
        <v>0</v>
      </c>
      <c r="JDJ17">
        <v>0</v>
      </c>
      <c r="JDK17">
        <v>0</v>
      </c>
      <c r="JDL17">
        <v>0</v>
      </c>
      <c r="JDM17">
        <v>0</v>
      </c>
      <c r="JDN17">
        <v>0</v>
      </c>
      <c r="JDO17">
        <v>0</v>
      </c>
      <c r="JDP17">
        <v>0</v>
      </c>
      <c r="JDQ17">
        <v>0</v>
      </c>
      <c r="JDR17">
        <v>0</v>
      </c>
      <c r="JDS17">
        <v>0</v>
      </c>
      <c r="JDT17">
        <v>0</v>
      </c>
      <c r="JDU17">
        <v>0</v>
      </c>
      <c r="JDV17">
        <v>0</v>
      </c>
      <c r="JDW17">
        <v>0</v>
      </c>
      <c r="JDX17">
        <v>0</v>
      </c>
      <c r="JDY17">
        <v>0</v>
      </c>
      <c r="JDZ17">
        <v>0</v>
      </c>
      <c r="JEA17">
        <v>0</v>
      </c>
      <c r="JEB17">
        <v>0</v>
      </c>
      <c r="JEC17">
        <v>0</v>
      </c>
      <c r="JED17">
        <v>0</v>
      </c>
      <c r="JEE17">
        <v>0</v>
      </c>
      <c r="JEF17">
        <v>0</v>
      </c>
      <c r="JEG17">
        <v>0</v>
      </c>
      <c r="JEH17">
        <v>0</v>
      </c>
      <c r="JEI17">
        <v>0</v>
      </c>
      <c r="JEJ17">
        <v>0</v>
      </c>
      <c r="JEK17">
        <v>0</v>
      </c>
      <c r="JEL17">
        <v>0</v>
      </c>
      <c r="JEM17">
        <v>0</v>
      </c>
      <c r="JEN17">
        <v>0</v>
      </c>
      <c r="JEO17">
        <v>0</v>
      </c>
      <c r="JEP17">
        <v>0</v>
      </c>
      <c r="JEQ17">
        <v>0</v>
      </c>
      <c r="JER17">
        <v>0</v>
      </c>
      <c r="JES17">
        <v>0</v>
      </c>
      <c r="JET17">
        <v>0</v>
      </c>
      <c r="JEU17">
        <v>0</v>
      </c>
      <c r="JEV17">
        <v>0</v>
      </c>
      <c r="JEW17">
        <v>0</v>
      </c>
      <c r="JEX17">
        <v>0</v>
      </c>
      <c r="JEY17">
        <v>0</v>
      </c>
      <c r="JEZ17">
        <v>0</v>
      </c>
      <c r="JFA17">
        <v>0</v>
      </c>
      <c r="JFB17">
        <v>0</v>
      </c>
      <c r="JFC17">
        <v>0</v>
      </c>
      <c r="JFD17">
        <v>0</v>
      </c>
      <c r="JFE17">
        <v>0</v>
      </c>
      <c r="JFF17">
        <v>0</v>
      </c>
      <c r="JFG17">
        <v>0</v>
      </c>
      <c r="JFH17">
        <v>0</v>
      </c>
      <c r="JFI17">
        <v>0</v>
      </c>
      <c r="JFJ17">
        <v>0</v>
      </c>
      <c r="JFK17">
        <v>0</v>
      </c>
      <c r="JFL17">
        <v>0</v>
      </c>
      <c r="JFM17">
        <v>0</v>
      </c>
      <c r="JFN17">
        <v>0</v>
      </c>
      <c r="JFO17">
        <v>0</v>
      </c>
      <c r="JFP17">
        <v>0</v>
      </c>
      <c r="JFQ17">
        <v>0</v>
      </c>
      <c r="JFR17">
        <v>0</v>
      </c>
      <c r="JFS17">
        <v>0</v>
      </c>
      <c r="JFT17">
        <v>0</v>
      </c>
      <c r="JFU17">
        <v>0</v>
      </c>
      <c r="JFV17">
        <v>0</v>
      </c>
      <c r="JFW17">
        <v>0</v>
      </c>
      <c r="JFX17">
        <v>0</v>
      </c>
      <c r="JFY17">
        <v>0</v>
      </c>
      <c r="JFZ17">
        <v>0</v>
      </c>
      <c r="JGA17">
        <v>0</v>
      </c>
      <c r="JGB17">
        <v>0</v>
      </c>
      <c r="JGC17">
        <v>0</v>
      </c>
      <c r="JGD17">
        <v>0</v>
      </c>
      <c r="JGE17">
        <v>0</v>
      </c>
      <c r="JGF17">
        <v>0</v>
      </c>
      <c r="JGG17">
        <v>0</v>
      </c>
      <c r="JGH17">
        <v>0</v>
      </c>
      <c r="JGI17">
        <v>0</v>
      </c>
      <c r="JGJ17">
        <v>0</v>
      </c>
      <c r="JGK17">
        <v>0</v>
      </c>
      <c r="JGL17">
        <v>0</v>
      </c>
      <c r="JGM17">
        <v>0</v>
      </c>
      <c r="JGN17">
        <v>0</v>
      </c>
      <c r="JGO17">
        <v>0</v>
      </c>
      <c r="JGP17">
        <v>0</v>
      </c>
      <c r="JGQ17">
        <v>0</v>
      </c>
      <c r="JGR17">
        <v>0</v>
      </c>
      <c r="JGS17">
        <v>0</v>
      </c>
      <c r="JGT17">
        <v>0</v>
      </c>
      <c r="JGU17">
        <v>0</v>
      </c>
      <c r="JGV17">
        <v>0</v>
      </c>
      <c r="JGW17">
        <v>0</v>
      </c>
      <c r="JGX17">
        <v>0</v>
      </c>
      <c r="JGY17">
        <v>0</v>
      </c>
      <c r="JGZ17">
        <v>0</v>
      </c>
      <c r="JHA17">
        <v>0</v>
      </c>
      <c r="JHB17">
        <v>0</v>
      </c>
      <c r="JHC17">
        <v>0</v>
      </c>
      <c r="JHD17">
        <v>0</v>
      </c>
      <c r="JHE17">
        <v>0</v>
      </c>
      <c r="JHF17">
        <v>0</v>
      </c>
      <c r="JHG17">
        <v>0</v>
      </c>
      <c r="JHH17">
        <v>0</v>
      </c>
      <c r="JHI17">
        <v>0</v>
      </c>
      <c r="JHJ17">
        <v>0</v>
      </c>
      <c r="JHK17">
        <v>0</v>
      </c>
      <c r="JHL17">
        <v>0</v>
      </c>
      <c r="JHM17">
        <v>0</v>
      </c>
      <c r="JHN17">
        <v>0</v>
      </c>
      <c r="JHO17">
        <v>0</v>
      </c>
      <c r="JHP17">
        <v>0</v>
      </c>
      <c r="JHQ17">
        <v>0</v>
      </c>
      <c r="JHR17">
        <v>0</v>
      </c>
      <c r="JHS17">
        <v>0</v>
      </c>
      <c r="JHT17">
        <v>0</v>
      </c>
      <c r="JHU17">
        <v>0</v>
      </c>
      <c r="JHV17">
        <v>0</v>
      </c>
      <c r="JHW17">
        <v>0</v>
      </c>
      <c r="JHX17">
        <v>0</v>
      </c>
      <c r="JHY17">
        <v>0</v>
      </c>
      <c r="JHZ17">
        <v>0</v>
      </c>
      <c r="JIA17">
        <v>0</v>
      </c>
      <c r="JIB17">
        <v>0</v>
      </c>
      <c r="JIC17">
        <v>0</v>
      </c>
      <c r="JID17">
        <v>0</v>
      </c>
      <c r="JIE17">
        <v>0</v>
      </c>
      <c r="JIF17">
        <v>0</v>
      </c>
      <c r="JIG17">
        <v>0</v>
      </c>
      <c r="JIH17">
        <v>0</v>
      </c>
      <c r="JII17">
        <v>0</v>
      </c>
      <c r="JIJ17">
        <v>0</v>
      </c>
      <c r="JIK17">
        <v>0</v>
      </c>
      <c r="JIL17">
        <v>0</v>
      </c>
      <c r="JIM17">
        <v>0</v>
      </c>
      <c r="JIN17">
        <v>0</v>
      </c>
      <c r="JIO17">
        <v>0</v>
      </c>
      <c r="JIP17">
        <v>0</v>
      </c>
      <c r="JIQ17">
        <v>0</v>
      </c>
      <c r="JIR17">
        <v>0</v>
      </c>
      <c r="JIS17">
        <v>0</v>
      </c>
      <c r="JIT17">
        <v>0</v>
      </c>
      <c r="JIU17">
        <v>0</v>
      </c>
      <c r="JIV17">
        <v>0</v>
      </c>
      <c r="JIW17">
        <v>0</v>
      </c>
      <c r="JIX17">
        <v>0</v>
      </c>
      <c r="JIY17">
        <v>0</v>
      </c>
      <c r="JIZ17">
        <v>0</v>
      </c>
      <c r="JJA17">
        <v>0</v>
      </c>
      <c r="JJB17">
        <v>0</v>
      </c>
      <c r="JJC17">
        <v>0</v>
      </c>
      <c r="JJD17">
        <v>0</v>
      </c>
      <c r="JJE17">
        <v>0</v>
      </c>
      <c r="JJF17">
        <v>0</v>
      </c>
      <c r="JJG17">
        <v>0</v>
      </c>
      <c r="JJH17">
        <v>0</v>
      </c>
      <c r="JJI17">
        <v>0</v>
      </c>
      <c r="JJJ17">
        <v>0</v>
      </c>
      <c r="JJK17">
        <v>0</v>
      </c>
      <c r="JJL17">
        <v>0</v>
      </c>
      <c r="JJM17">
        <v>0</v>
      </c>
      <c r="JJN17">
        <v>0</v>
      </c>
      <c r="JJO17">
        <v>0</v>
      </c>
      <c r="JJP17">
        <v>0</v>
      </c>
      <c r="JJQ17">
        <v>0</v>
      </c>
      <c r="JJR17">
        <v>0</v>
      </c>
      <c r="JJS17">
        <v>0</v>
      </c>
      <c r="JJT17">
        <v>0</v>
      </c>
      <c r="JJU17">
        <v>0</v>
      </c>
      <c r="JJV17">
        <v>0</v>
      </c>
      <c r="JJW17">
        <v>0</v>
      </c>
      <c r="JJX17">
        <v>0</v>
      </c>
      <c r="JJY17">
        <v>0</v>
      </c>
      <c r="JJZ17">
        <v>0</v>
      </c>
      <c r="JKA17">
        <v>0</v>
      </c>
      <c r="JKB17">
        <v>0</v>
      </c>
      <c r="JKC17">
        <v>0</v>
      </c>
      <c r="JKD17">
        <v>0</v>
      </c>
      <c r="JKE17">
        <v>0</v>
      </c>
      <c r="JKF17">
        <v>0</v>
      </c>
      <c r="JKG17">
        <v>0</v>
      </c>
      <c r="JKH17">
        <v>0</v>
      </c>
      <c r="JKI17">
        <v>0</v>
      </c>
      <c r="JKJ17">
        <v>0</v>
      </c>
      <c r="JKK17">
        <v>0</v>
      </c>
      <c r="JKL17">
        <v>0</v>
      </c>
      <c r="JKM17">
        <v>0</v>
      </c>
      <c r="JKN17">
        <v>0</v>
      </c>
      <c r="JKO17">
        <v>0</v>
      </c>
      <c r="JKP17">
        <v>0</v>
      </c>
      <c r="JKQ17">
        <v>0</v>
      </c>
      <c r="JKR17">
        <v>0</v>
      </c>
      <c r="JKS17">
        <v>0</v>
      </c>
      <c r="JKT17">
        <v>0</v>
      </c>
      <c r="JKU17">
        <v>0</v>
      </c>
      <c r="JKV17">
        <v>0</v>
      </c>
      <c r="JKW17">
        <v>0</v>
      </c>
      <c r="JKX17">
        <v>0</v>
      </c>
      <c r="JKY17">
        <v>0</v>
      </c>
      <c r="JKZ17">
        <v>0</v>
      </c>
      <c r="JLA17">
        <v>0</v>
      </c>
      <c r="JLB17">
        <v>0</v>
      </c>
      <c r="JLC17">
        <v>0</v>
      </c>
      <c r="JLD17">
        <v>0</v>
      </c>
      <c r="JLE17">
        <v>0</v>
      </c>
      <c r="JLF17">
        <v>0</v>
      </c>
      <c r="JLG17">
        <v>0</v>
      </c>
      <c r="JLH17">
        <v>0</v>
      </c>
      <c r="JLI17">
        <v>0</v>
      </c>
      <c r="JLJ17">
        <v>0</v>
      </c>
      <c r="JLK17">
        <v>0</v>
      </c>
      <c r="JLL17">
        <v>0</v>
      </c>
      <c r="JLM17">
        <v>0</v>
      </c>
      <c r="JLN17">
        <v>0</v>
      </c>
      <c r="JLO17">
        <v>0</v>
      </c>
      <c r="JLP17">
        <v>0</v>
      </c>
      <c r="JLQ17">
        <v>0</v>
      </c>
      <c r="JLR17">
        <v>0</v>
      </c>
      <c r="JLS17">
        <v>0</v>
      </c>
      <c r="JLT17">
        <v>0</v>
      </c>
      <c r="JLU17">
        <v>0</v>
      </c>
      <c r="JLV17">
        <v>0</v>
      </c>
      <c r="JLW17">
        <v>0</v>
      </c>
      <c r="JLX17">
        <v>0</v>
      </c>
      <c r="JLY17">
        <v>0</v>
      </c>
      <c r="JLZ17">
        <v>0</v>
      </c>
      <c r="JMA17">
        <v>0</v>
      </c>
      <c r="JMB17">
        <v>0</v>
      </c>
      <c r="JMC17">
        <v>0</v>
      </c>
      <c r="JMD17">
        <v>0</v>
      </c>
      <c r="JME17">
        <v>0</v>
      </c>
      <c r="JMF17">
        <v>0</v>
      </c>
      <c r="JMG17">
        <v>0</v>
      </c>
      <c r="JMH17">
        <v>0</v>
      </c>
      <c r="JMI17">
        <v>0</v>
      </c>
      <c r="JMJ17">
        <v>0</v>
      </c>
      <c r="JMK17">
        <v>0</v>
      </c>
      <c r="JML17">
        <v>0</v>
      </c>
      <c r="JMM17">
        <v>0</v>
      </c>
      <c r="JMN17">
        <v>0</v>
      </c>
      <c r="JMO17">
        <v>0</v>
      </c>
      <c r="JMP17">
        <v>0</v>
      </c>
      <c r="JMQ17">
        <v>0</v>
      </c>
      <c r="JMR17">
        <v>0</v>
      </c>
      <c r="JMS17">
        <v>0</v>
      </c>
      <c r="JMT17">
        <v>0</v>
      </c>
      <c r="JMU17">
        <v>0</v>
      </c>
      <c r="JMV17">
        <v>0</v>
      </c>
      <c r="JMW17">
        <v>0</v>
      </c>
      <c r="JMX17">
        <v>0</v>
      </c>
      <c r="JMY17">
        <v>0</v>
      </c>
      <c r="JMZ17">
        <v>0</v>
      </c>
      <c r="JNA17">
        <v>0</v>
      </c>
      <c r="JNB17">
        <v>0</v>
      </c>
      <c r="JNC17">
        <v>0</v>
      </c>
      <c r="JND17">
        <v>0</v>
      </c>
      <c r="JNE17">
        <v>0</v>
      </c>
      <c r="JNF17">
        <v>0</v>
      </c>
      <c r="JNG17">
        <v>0</v>
      </c>
      <c r="JNH17">
        <v>0</v>
      </c>
      <c r="JNI17">
        <v>0</v>
      </c>
      <c r="JNJ17">
        <v>0</v>
      </c>
      <c r="JNK17">
        <v>0</v>
      </c>
      <c r="JNL17">
        <v>0</v>
      </c>
      <c r="JNM17">
        <v>0</v>
      </c>
      <c r="JNN17">
        <v>0</v>
      </c>
      <c r="JNO17">
        <v>0</v>
      </c>
      <c r="JNP17">
        <v>0</v>
      </c>
      <c r="JNQ17">
        <v>0</v>
      </c>
      <c r="JNR17">
        <v>0</v>
      </c>
      <c r="JNS17">
        <v>0</v>
      </c>
      <c r="JNT17">
        <v>0</v>
      </c>
      <c r="JNU17">
        <v>0</v>
      </c>
      <c r="JNV17">
        <v>0</v>
      </c>
      <c r="JNW17">
        <v>0</v>
      </c>
      <c r="JNX17">
        <v>0</v>
      </c>
      <c r="JNY17">
        <v>0</v>
      </c>
      <c r="JNZ17">
        <v>0</v>
      </c>
      <c r="JOA17">
        <v>0</v>
      </c>
      <c r="JOB17">
        <v>0</v>
      </c>
      <c r="JOC17">
        <v>0</v>
      </c>
      <c r="JOD17">
        <v>0</v>
      </c>
      <c r="JOE17">
        <v>0</v>
      </c>
      <c r="JOF17">
        <v>0</v>
      </c>
      <c r="JOG17">
        <v>0</v>
      </c>
      <c r="JOH17">
        <v>0</v>
      </c>
      <c r="JOI17">
        <v>0</v>
      </c>
      <c r="JOJ17">
        <v>0</v>
      </c>
      <c r="JOK17">
        <v>0</v>
      </c>
      <c r="JOL17">
        <v>0</v>
      </c>
      <c r="JOM17">
        <v>0</v>
      </c>
      <c r="JON17">
        <v>0</v>
      </c>
      <c r="JOO17">
        <v>0</v>
      </c>
      <c r="JOP17">
        <v>0</v>
      </c>
      <c r="JOQ17">
        <v>0</v>
      </c>
      <c r="JOR17">
        <v>0</v>
      </c>
      <c r="JOS17">
        <v>0</v>
      </c>
      <c r="JOT17">
        <v>0</v>
      </c>
      <c r="JOU17">
        <v>0</v>
      </c>
      <c r="JOV17">
        <v>0</v>
      </c>
      <c r="JOW17">
        <v>0</v>
      </c>
      <c r="JOX17">
        <v>0</v>
      </c>
      <c r="JOY17">
        <v>0</v>
      </c>
      <c r="JOZ17">
        <v>0</v>
      </c>
      <c r="JPA17">
        <v>0</v>
      </c>
      <c r="JPB17">
        <v>0</v>
      </c>
      <c r="JPC17">
        <v>0</v>
      </c>
      <c r="JPD17">
        <v>0</v>
      </c>
      <c r="JPE17">
        <v>0</v>
      </c>
      <c r="JPF17">
        <v>0</v>
      </c>
      <c r="JPG17">
        <v>0</v>
      </c>
      <c r="JPH17">
        <v>0</v>
      </c>
      <c r="JPI17">
        <v>0</v>
      </c>
      <c r="JPJ17">
        <v>0</v>
      </c>
      <c r="JPK17">
        <v>0</v>
      </c>
      <c r="JPL17">
        <v>0</v>
      </c>
      <c r="JPM17">
        <v>0</v>
      </c>
      <c r="JPN17">
        <v>0</v>
      </c>
      <c r="JPO17">
        <v>0</v>
      </c>
      <c r="JPP17">
        <v>0</v>
      </c>
      <c r="JPQ17">
        <v>0</v>
      </c>
      <c r="JPR17">
        <v>0</v>
      </c>
      <c r="JPS17">
        <v>0</v>
      </c>
      <c r="JPT17">
        <v>0</v>
      </c>
      <c r="JPU17">
        <v>0</v>
      </c>
      <c r="JPV17">
        <v>0</v>
      </c>
      <c r="JPW17">
        <v>0</v>
      </c>
      <c r="JPX17">
        <v>0</v>
      </c>
      <c r="JPY17">
        <v>0</v>
      </c>
      <c r="JPZ17">
        <v>0</v>
      </c>
      <c r="JQA17">
        <v>0</v>
      </c>
      <c r="JQB17">
        <v>0</v>
      </c>
      <c r="JQC17">
        <v>0</v>
      </c>
      <c r="JQD17">
        <v>0</v>
      </c>
      <c r="JQE17">
        <v>0</v>
      </c>
      <c r="JQF17">
        <v>0</v>
      </c>
      <c r="JQG17">
        <v>0</v>
      </c>
      <c r="JQH17">
        <v>0</v>
      </c>
      <c r="JQI17">
        <v>0</v>
      </c>
      <c r="JQJ17">
        <v>0</v>
      </c>
      <c r="JQK17">
        <v>0</v>
      </c>
      <c r="JQL17">
        <v>0</v>
      </c>
      <c r="JQM17">
        <v>0</v>
      </c>
      <c r="JQN17">
        <v>0</v>
      </c>
      <c r="JQO17">
        <v>0</v>
      </c>
      <c r="JQP17">
        <v>0</v>
      </c>
      <c r="JQQ17">
        <v>0</v>
      </c>
      <c r="JQR17">
        <v>0</v>
      </c>
      <c r="JQS17">
        <v>0</v>
      </c>
      <c r="JQT17">
        <v>0</v>
      </c>
      <c r="JQU17">
        <v>0</v>
      </c>
      <c r="JQV17">
        <v>0</v>
      </c>
      <c r="JQW17">
        <v>0</v>
      </c>
      <c r="JQX17">
        <v>0</v>
      </c>
      <c r="JQY17">
        <v>0</v>
      </c>
      <c r="JQZ17">
        <v>0</v>
      </c>
      <c r="JRA17">
        <v>0</v>
      </c>
      <c r="JRB17">
        <v>0</v>
      </c>
      <c r="JRC17">
        <v>0</v>
      </c>
      <c r="JRD17">
        <v>0</v>
      </c>
      <c r="JRE17">
        <v>0</v>
      </c>
      <c r="JRF17">
        <v>0</v>
      </c>
      <c r="JRG17">
        <v>0</v>
      </c>
      <c r="JRH17">
        <v>0</v>
      </c>
      <c r="JRI17">
        <v>0</v>
      </c>
      <c r="JRJ17">
        <v>0</v>
      </c>
      <c r="JRK17">
        <v>0</v>
      </c>
      <c r="JRL17">
        <v>0</v>
      </c>
      <c r="JRM17">
        <v>0</v>
      </c>
      <c r="JRN17">
        <v>0</v>
      </c>
      <c r="JRO17">
        <v>0</v>
      </c>
      <c r="JRP17">
        <v>0</v>
      </c>
      <c r="JRQ17">
        <v>0</v>
      </c>
      <c r="JRR17">
        <v>0</v>
      </c>
      <c r="JRS17">
        <v>0</v>
      </c>
      <c r="JRT17">
        <v>0</v>
      </c>
      <c r="JRU17">
        <v>0</v>
      </c>
      <c r="JRV17">
        <v>0</v>
      </c>
      <c r="JRW17">
        <v>0</v>
      </c>
      <c r="JRX17">
        <v>0</v>
      </c>
      <c r="JRY17">
        <v>0</v>
      </c>
      <c r="JRZ17">
        <v>0</v>
      </c>
      <c r="JSA17">
        <v>0</v>
      </c>
      <c r="JSB17">
        <v>0</v>
      </c>
      <c r="JSC17">
        <v>0</v>
      </c>
      <c r="JSD17">
        <v>0</v>
      </c>
      <c r="JSE17">
        <v>0</v>
      </c>
      <c r="JSF17">
        <v>0</v>
      </c>
      <c r="JSG17">
        <v>0</v>
      </c>
      <c r="JSH17">
        <v>0</v>
      </c>
      <c r="JSI17">
        <v>0</v>
      </c>
      <c r="JSJ17">
        <v>0</v>
      </c>
      <c r="JSK17">
        <v>0</v>
      </c>
      <c r="JSL17">
        <v>0</v>
      </c>
      <c r="JSM17">
        <v>0</v>
      </c>
      <c r="JSN17">
        <v>0</v>
      </c>
      <c r="JSO17">
        <v>0</v>
      </c>
      <c r="JSP17">
        <v>0</v>
      </c>
      <c r="JSQ17">
        <v>0</v>
      </c>
      <c r="JSR17">
        <v>0</v>
      </c>
      <c r="JSS17">
        <v>0</v>
      </c>
      <c r="JST17">
        <v>0</v>
      </c>
      <c r="JSU17">
        <v>0</v>
      </c>
      <c r="JSV17">
        <v>0</v>
      </c>
      <c r="JSW17">
        <v>0</v>
      </c>
      <c r="JSX17">
        <v>0</v>
      </c>
      <c r="JSY17">
        <v>0</v>
      </c>
      <c r="JSZ17">
        <v>0</v>
      </c>
      <c r="JTA17">
        <v>0</v>
      </c>
      <c r="JTB17">
        <v>0</v>
      </c>
      <c r="JTC17">
        <v>0</v>
      </c>
      <c r="JTD17">
        <v>0</v>
      </c>
      <c r="JTE17">
        <v>0</v>
      </c>
      <c r="JTF17">
        <v>0</v>
      </c>
      <c r="JTG17">
        <v>0</v>
      </c>
      <c r="JTH17">
        <v>0</v>
      </c>
      <c r="JTI17">
        <v>0</v>
      </c>
      <c r="JTJ17">
        <v>0</v>
      </c>
      <c r="JTK17">
        <v>0</v>
      </c>
      <c r="JTL17">
        <v>0</v>
      </c>
      <c r="JTM17">
        <v>0</v>
      </c>
      <c r="JTN17">
        <v>0</v>
      </c>
      <c r="JTO17">
        <v>0</v>
      </c>
      <c r="JTP17">
        <v>0</v>
      </c>
      <c r="JTQ17">
        <v>0</v>
      </c>
      <c r="JTR17">
        <v>0</v>
      </c>
      <c r="JTS17">
        <v>0</v>
      </c>
      <c r="JTT17">
        <v>0</v>
      </c>
      <c r="JTU17">
        <v>0</v>
      </c>
      <c r="JTV17">
        <v>0</v>
      </c>
      <c r="JTW17">
        <v>0</v>
      </c>
      <c r="JTX17">
        <v>0</v>
      </c>
      <c r="JTY17">
        <v>0</v>
      </c>
      <c r="JTZ17">
        <v>0</v>
      </c>
      <c r="JUA17">
        <v>0</v>
      </c>
      <c r="JUB17">
        <v>0</v>
      </c>
      <c r="JUC17">
        <v>0</v>
      </c>
      <c r="JUD17">
        <v>0</v>
      </c>
      <c r="JUE17">
        <v>0</v>
      </c>
      <c r="JUF17">
        <v>0</v>
      </c>
      <c r="JUG17">
        <v>0</v>
      </c>
      <c r="JUH17">
        <v>0</v>
      </c>
      <c r="JUI17">
        <v>0</v>
      </c>
      <c r="JUJ17">
        <v>0</v>
      </c>
      <c r="JUK17">
        <v>0</v>
      </c>
      <c r="JUL17">
        <v>0</v>
      </c>
      <c r="JUM17">
        <v>0</v>
      </c>
      <c r="JUN17">
        <v>0</v>
      </c>
      <c r="JUO17">
        <v>0</v>
      </c>
      <c r="JUP17">
        <v>0</v>
      </c>
      <c r="JUQ17">
        <v>0</v>
      </c>
      <c r="JUR17">
        <v>0</v>
      </c>
      <c r="JUS17">
        <v>0</v>
      </c>
      <c r="JUT17">
        <v>0</v>
      </c>
      <c r="JUU17">
        <v>0</v>
      </c>
      <c r="JUV17">
        <v>0</v>
      </c>
      <c r="JUW17">
        <v>0</v>
      </c>
      <c r="JUX17">
        <v>0</v>
      </c>
      <c r="JUY17">
        <v>0</v>
      </c>
      <c r="JUZ17">
        <v>0</v>
      </c>
      <c r="JVA17">
        <v>0</v>
      </c>
      <c r="JVB17">
        <v>0</v>
      </c>
      <c r="JVC17">
        <v>0</v>
      </c>
      <c r="JVD17">
        <v>0</v>
      </c>
      <c r="JVE17">
        <v>0</v>
      </c>
      <c r="JVF17">
        <v>0</v>
      </c>
      <c r="JVG17">
        <v>0</v>
      </c>
      <c r="JVH17">
        <v>0</v>
      </c>
      <c r="JVI17">
        <v>0</v>
      </c>
      <c r="JVJ17">
        <v>0</v>
      </c>
      <c r="JVK17">
        <v>0</v>
      </c>
      <c r="JVL17">
        <v>0</v>
      </c>
      <c r="JVM17">
        <v>0</v>
      </c>
      <c r="JVN17">
        <v>0</v>
      </c>
      <c r="JVO17">
        <v>0</v>
      </c>
      <c r="JVP17">
        <v>0</v>
      </c>
      <c r="JVQ17">
        <v>0</v>
      </c>
      <c r="JVR17">
        <v>0</v>
      </c>
      <c r="JVS17">
        <v>0</v>
      </c>
      <c r="JVT17">
        <v>0</v>
      </c>
      <c r="JVU17">
        <v>0</v>
      </c>
      <c r="JVV17">
        <v>0</v>
      </c>
      <c r="JVW17">
        <v>0</v>
      </c>
      <c r="JVX17">
        <v>0</v>
      </c>
      <c r="JVY17">
        <v>0</v>
      </c>
      <c r="JVZ17">
        <v>0</v>
      </c>
      <c r="JWA17">
        <v>0</v>
      </c>
      <c r="JWB17">
        <v>0</v>
      </c>
      <c r="JWC17">
        <v>0</v>
      </c>
      <c r="JWD17">
        <v>0</v>
      </c>
      <c r="JWE17">
        <v>0</v>
      </c>
      <c r="JWF17">
        <v>0</v>
      </c>
      <c r="JWG17">
        <v>0</v>
      </c>
      <c r="JWH17">
        <v>0</v>
      </c>
      <c r="JWI17">
        <v>0</v>
      </c>
      <c r="JWJ17">
        <v>0</v>
      </c>
      <c r="JWK17">
        <v>0</v>
      </c>
      <c r="JWL17">
        <v>0</v>
      </c>
      <c r="JWM17">
        <v>0</v>
      </c>
      <c r="JWN17">
        <v>0</v>
      </c>
      <c r="JWO17">
        <v>0</v>
      </c>
      <c r="JWP17">
        <v>0</v>
      </c>
      <c r="JWQ17">
        <v>0</v>
      </c>
      <c r="JWR17">
        <v>0</v>
      </c>
      <c r="JWS17">
        <v>0</v>
      </c>
      <c r="JWT17">
        <v>0</v>
      </c>
      <c r="JWU17">
        <v>0</v>
      </c>
      <c r="JWV17">
        <v>0</v>
      </c>
      <c r="JWW17">
        <v>0</v>
      </c>
      <c r="JWX17">
        <v>0</v>
      </c>
      <c r="JWY17">
        <v>0</v>
      </c>
      <c r="JWZ17">
        <v>0</v>
      </c>
      <c r="JXA17">
        <v>0</v>
      </c>
      <c r="JXB17">
        <v>0</v>
      </c>
      <c r="JXC17">
        <v>0</v>
      </c>
      <c r="JXD17">
        <v>0</v>
      </c>
      <c r="JXE17">
        <v>0</v>
      </c>
      <c r="JXF17">
        <v>0</v>
      </c>
      <c r="JXG17">
        <v>0</v>
      </c>
      <c r="JXH17">
        <v>0</v>
      </c>
      <c r="JXI17">
        <v>0</v>
      </c>
      <c r="JXJ17">
        <v>0</v>
      </c>
      <c r="JXK17">
        <v>0</v>
      </c>
      <c r="JXL17">
        <v>0</v>
      </c>
      <c r="JXM17">
        <v>0</v>
      </c>
      <c r="JXN17">
        <v>0</v>
      </c>
      <c r="JXO17">
        <v>0</v>
      </c>
      <c r="JXP17">
        <v>0</v>
      </c>
      <c r="JXQ17">
        <v>0</v>
      </c>
      <c r="JXR17">
        <v>0</v>
      </c>
      <c r="JXS17">
        <v>0</v>
      </c>
      <c r="JXT17">
        <v>0</v>
      </c>
      <c r="JXU17">
        <v>0</v>
      </c>
      <c r="JXV17">
        <v>0</v>
      </c>
      <c r="JXW17">
        <v>0</v>
      </c>
      <c r="JXX17">
        <v>0</v>
      </c>
      <c r="JXY17">
        <v>0</v>
      </c>
      <c r="JXZ17">
        <v>0</v>
      </c>
      <c r="JYA17">
        <v>0</v>
      </c>
      <c r="JYB17">
        <v>0</v>
      </c>
      <c r="JYC17">
        <v>0</v>
      </c>
      <c r="JYD17">
        <v>0</v>
      </c>
      <c r="JYE17">
        <v>0</v>
      </c>
      <c r="JYF17">
        <v>0</v>
      </c>
      <c r="JYG17">
        <v>0</v>
      </c>
      <c r="JYH17">
        <v>0</v>
      </c>
      <c r="JYI17">
        <v>0</v>
      </c>
      <c r="JYJ17">
        <v>0</v>
      </c>
      <c r="JYK17">
        <v>0</v>
      </c>
      <c r="JYL17">
        <v>0</v>
      </c>
      <c r="JYM17">
        <v>0</v>
      </c>
      <c r="JYN17">
        <v>0</v>
      </c>
      <c r="JYO17">
        <v>0</v>
      </c>
      <c r="JYP17">
        <v>0</v>
      </c>
      <c r="JYQ17">
        <v>0</v>
      </c>
      <c r="JYR17">
        <v>0</v>
      </c>
      <c r="JYS17">
        <v>0</v>
      </c>
      <c r="JYT17">
        <v>0</v>
      </c>
      <c r="JYU17">
        <v>0</v>
      </c>
      <c r="JYV17">
        <v>0</v>
      </c>
      <c r="JYW17">
        <v>0</v>
      </c>
      <c r="JYX17">
        <v>0</v>
      </c>
      <c r="JYY17">
        <v>0</v>
      </c>
      <c r="JYZ17">
        <v>0</v>
      </c>
      <c r="JZA17">
        <v>0</v>
      </c>
      <c r="JZB17">
        <v>0</v>
      </c>
      <c r="JZC17">
        <v>0</v>
      </c>
      <c r="JZD17">
        <v>0</v>
      </c>
      <c r="JZE17">
        <v>0</v>
      </c>
      <c r="JZF17">
        <v>0</v>
      </c>
      <c r="JZG17">
        <v>0</v>
      </c>
      <c r="JZH17">
        <v>0</v>
      </c>
      <c r="JZI17">
        <v>0</v>
      </c>
      <c r="JZJ17">
        <v>0</v>
      </c>
      <c r="JZK17">
        <v>0</v>
      </c>
      <c r="JZL17">
        <v>0</v>
      </c>
      <c r="JZM17">
        <v>0</v>
      </c>
      <c r="JZN17">
        <v>0</v>
      </c>
      <c r="JZO17">
        <v>0</v>
      </c>
      <c r="JZP17">
        <v>0</v>
      </c>
      <c r="JZQ17">
        <v>0</v>
      </c>
      <c r="JZR17">
        <v>0</v>
      </c>
      <c r="JZS17">
        <v>0</v>
      </c>
      <c r="JZT17">
        <v>0</v>
      </c>
      <c r="JZU17">
        <v>0</v>
      </c>
      <c r="JZV17">
        <v>0</v>
      </c>
      <c r="JZW17">
        <v>0</v>
      </c>
      <c r="JZX17">
        <v>0</v>
      </c>
      <c r="JZY17">
        <v>0</v>
      </c>
      <c r="JZZ17">
        <v>0</v>
      </c>
      <c r="KAA17">
        <v>0</v>
      </c>
      <c r="KAB17">
        <v>0</v>
      </c>
      <c r="KAC17">
        <v>0</v>
      </c>
      <c r="KAD17">
        <v>0</v>
      </c>
      <c r="KAE17">
        <v>0</v>
      </c>
      <c r="KAF17">
        <v>0</v>
      </c>
      <c r="KAG17">
        <v>0</v>
      </c>
      <c r="KAH17">
        <v>0</v>
      </c>
      <c r="KAI17">
        <v>0</v>
      </c>
      <c r="KAJ17">
        <v>0</v>
      </c>
      <c r="KAK17">
        <v>0</v>
      </c>
      <c r="KAL17">
        <v>0</v>
      </c>
      <c r="KAM17">
        <v>0</v>
      </c>
      <c r="KAN17">
        <v>0</v>
      </c>
      <c r="KAO17">
        <v>0</v>
      </c>
      <c r="KAP17">
        <v>0</v>
      </c>
      <c r="KAQ17">
        <v>0</v>
      </c>
      <c r="KAR17">
        <v>0</v>
      </c>
      <c r="KAS17">
        <v>0</v>
      </c>
      <c r="KAT17">
        <v>0</v>
      </c>
      <c r="KAU17">
        <v>0</v>
      </c>
      <c r="KAV17">
        <v>0</v>
      </c>
      <c r="KAW17">
        <v>0</v>
      </c>
      <c r="KAX17">
        <v>0</v>
      </c>
      <c r="KAY17">
        <v>0</v>
      </c>
      <c r="KAZ17">
        <v>0</v>
      </c>
      <c r="KBA17">
        <v>0</v>
      </c>
      <c r="KBB17">
        <v>0</v>
      </c>
      <c r="KBC17">
        <v>0</v>
      </c>
      <c r="KBD17">
        <v>0</v>
      </c>
      <c r="KBE17">
        <v>0</v>
      </c>
      <c r="KBF17">
        <v>0</v>
      </c>
      <c r="KBG17">
        <v>0</v>
      </c>
      <c r="KBH17">
        <v>0</v>
      </c>
      <c r="KBI17">
        <v>0</v>
      </c>
      <c r="KBJ17">
        <v>0</v>
      </c>
      <c r="KBK17">
        <v>0</v>
      </c>
      <c r="KBL17">
        <v>0</v>
      </c>
      <c r="KBM17">
        <v>0</v>
      </c>
      <c r="KBN17">
        <v>0</v>
      </c>
      <c r="KBO17">
        <v>0</v>
      </c>
      <c r="KBP17">
        <v>0</v>
      </c>
      <c r="KBQ17">
        <v>0</v>
      </c>
      <c r="KBR17">
        <v>0</v>
      </c>
      <c r="KBS17">
        <v>0</v>
      </c>
      <c r="KBT17">
        <v>0</v>
      </c>
      <c r="KBU17">
        <v>0</v>
      </c>
      <c r="KBV17">
        <v>0</v>
      </c>
      <c r="KBW17">
        <v>0</v>
      </c>
      <c r="KBX17">
        <v>0</v>
      </c>
      <c r="KBY17">
        <v>0</v>
      </c>
      <c r="KBZ17">
        <v>0</v>
      </c>
      <c r="KCA17">
        <v>0</v>
      </c>
      <c r="KCB17">
        <v>0</v>
      </c>
      <c r="KCC17">
        <v>0</v>
      </c>
      <c r="KCD17">
        <v>0</v>
      </c>
      <c r="KCE17">
        <v>0</v>
      </c>
      <c r="KCF17">
        <v>0</v>
      </c>
      <c r="KCG17">
        <v>0</v>
      </c>
      <c r="KCH17">
        <v>0</v>
      </c>
      <c r="KCI17">
        <v>0</v>
      </c>
      <c r="KCJ17">
        <v>0</v>
      </c>
      <c r="KCK17">
        <v>0</v>
      </c>
      <c r="KCL17">
        <v>0</v>
      </c>
      <c r="KCM17">
        <v>0</v>
      </c>
      <c r="KCN17">
        <v>0</v>
      </c>
      <c r="KCO17">
        <v>0</v>
      </c>
      <c r="KCP17">
        <v>0</v>
      </c>
      <c r="KCQ17">
        <v>0</v>
      </c>
      <c r="KCR17">
        <v>0</v>
      </c>
      <c r="KCS17">
        <v>0</v>
      </c>
      <c r="KCT17">
        <v>0</v>
      </c>
      <c r="KCU17">
        <v>0</v>
      </c>
      <c r="KCV17">
        <v>0</v>
      </c>
      <c r="KCW17">
        <v>0</v>
      </c>
      <c r="KCX17">
        <v>0</v>
      </c>
      <c r="KCY17">
        <v>0</v>
      </c>
      <c r="KCZ17">
        <v>0</v>
      </c>
      <c r="KDA17">
        <v>0</v>
      </c>
      <c r="KDB17">
        <v>0</v>
      </c>
      <c r="KDC17">
        <v>0</v>
      </c>
      <c r="KDD17">
        <v>0</v>
      </c>
      <c r="KDE17">
        <v>0</v>
      </c>
      <c r="KDF17">
        <v>0</v>
      </c>
      <c r="KDG17">
        <v>0</v>
      </c>
      <c r="KDH17">
        <v>0</v>
      </c>
      <c r="KDI17">
        <v>0</v>
      </c>
      <c r="KDJ17">
        <v>0</v>
      </c>
      <c r="KDK17">
        <v>0</v>
      </c>
      <c r="KDL17">
        <v>0</v>
      </c>
      <c r="KDM17">
        <v>0</v>
      </c>
      <c r="KDN17">
        <v>0</v>
      </c>
      <c r="KDO17">
        <v>0</v>
      </c>
      <c r="KDP17">
        <v>0</v>
      </c>
      <c r="KDQ17">
        <v>0</v>
      </c>
      <c r="KDR17">
        <v>0</v>
      </c>
      <c r="KDS17">
        <v>0</v>
      </c>
      <c r="KDT17">
        <v>0</v>
      </c>
      <c r="KDU17">
        <v>0</v>
      </c>
      <c r="KDV17">
        <v>0</v>
      </c>
      <c r="KDW17">
        <v>0</v>
      </c>
      <c r="KDX17">
        <v>0</v>
      </c>
      <c r="KDY17">
        <v>0</v>
      </c>
      <c r="KDZ17">
        <v>0</v>
      </c>
      <c r="KEA17">
        <v>0</v>
      </c>
      <c r="KEB17">
        <v>0</v>
      </c>
      <c r="KEC17">
        <v>0</v>
      </c>
      <c r="KED17">
        <v>0</v>
      </c>
      <c r="KEE17">
        <v>0</v>
      </c>
      <c r="KEF17">
        <v>0</v>
      </c>
      <c r="KEG17">
        <v>0</v>
      </c>
      <c r="KEH17">
        <v>0</v>
      </c>
      <c r="KEI17">
        <v>0</v>
      </c>
      <c r="KEJ17">
        <v>0</v>
      </c>
      <c r="KEK17">
        <v>0</v>
      </c>
      <c r="KEL17">
        <v>0</v>
      </c>
      <c r="KEM17">
        <v>0</v>
      </c>
      <c r="KEN17">
        <v>0</v>
      </c>
      <c r="KEO17">
        <v>0</v>
      </c>
      <c r="KEP17">
        <v>0</v>
      </c>
      <c r="KEQ17">
        <v>0</v>
      </c>
      <c r="KER17">
        <v>0</v>
      </c>
      <c r="KES17">
        <v>0</v>
      </c>
      <c r="KET17">
        <v>0</v>
      </c>
      <c r="KEU17">
        <v>0</v>
      </c>
      <c r="KEV17">
        <v>0</v>
      </c>
      <c r="KEW17">
        <v>0</v>
      </c>
      <c r="KEX17">
        <v>0</v>
      </c>
      <c r="KEY17">
        <v>0</v>
      </c>
      <c r="KEZ17">
        <v>0</v>
      </c>
      <c r="KFA17">
        <v>0</v>
      </c>
      <c r="KFB17">
        <v>0</v>
      </c>
      <c r="KFC17">
        <v>0</v>
      </c>
      <c r="KFD17">
        <v>0</v>
      </c>
      <c r="KFE17">
        <v>0</v>
      </c>
      <c r="KFF17">
        <v>0</v>
      </c>
      <c r="KFG17">
        <v>0</v>
      </c>
      <c r="KFH17">
        <v>0</v>
      </c>
      <c r="KFI17">
        <v>0</v>
      </c>
      <c r="KFJ17">
        <v>0</v>
      </c>
      <c r="KFK17">
        <v>0</v>
      </c>
      <c r="KFL17">
        <v>0</v>
      </c>
      <c r="KFM17">
        <v>0</v>
      </c>
      <c r="KFN17">
        <v>0</v>
      </c>
      <c r="KFO17">
        <v>0</v>
      </c>
      <c r="KFP17">
        <v>0</v>
      </c>
      <c r="KFQ17">
        <v>0</v>
      </c>
      <c r="KFR17">
        <v>0</v>
      </c>
      <c r="KFS17">
        <v>0</v>
      </c>
      <c r="KFT17">
        <v>0</v>
      </c>
      <c r="KFU17">
        <v>0</v>
      </c>
      <c r="KFV17">
        <v>0</v>
      </c>
      <c r="KFW17">
        <v>0</v>
      </c>
      <c r="KFX17">
        <v>0</v>
      </c>
      <c r="KFY17">
        <v>0</v>
      </c>
      <c r="KFZ17">
        <v>0</v>
      </c>
      <c r="KGA17">
        <v>0</v>
      </c>
      <c r="KGB17">
        <v>0</v>
      </c>
      <c r="KGC17">
        <v>0</v>
      </c>
      <c r="KGD17">
        <v>0</v>
      </c>
      <c r="KGE17">
        <v>0</v>
      </c>
      <c r="KGF17">
        <v>0</v>
      </c>
      <c r="KGG17">
        <v>0</v>
      </c>
      <c r="KGH17">
        <v>0</v>
      </c>
      <c r="KGI17">
        <v>0</v>
      </c>
      <c r="KGJ17">
        <v>0</v>
      </c>
      <c r="KGK17">
        <v>0</v>
      </c>
      <c r="KGL17">
        <v>0</v>
      </c>
      <c r="KGM17">
        <v>0</v>
      </c>
      <c r="KGN17">
        <v>0</v>
      </c>
      <c r="KGO17">
        <v>0</v>
      </c>
      <c r="KGP17">
        <v>0</v>
      </c>
      <c r="KGQ17">
        <v>0</v>
      </c>
      <c r="KGR17">
        <v>0</v>
      </c>
      <c r="KGS17">
        <v>0</v>
      </c>
      <c r="KGT17">
        <v>0</v>
      </c>
      <c r="KGU17">
        <v>0</v>
      </c>
      <c r="KGV17">
        <v>0</v>
      </c>
      <c r="KGW17">
        <v>0</v>
      </c>
      <c r="KGX17">
        <v>0</v>
      </c>
      <c r="KGY17">
        <v>0</v>
      </c>
      <c r="KGZ17">
        <v>0</v>
      </c>
      <c r="KHA17">
        <v>0</v>
      </c>
      <c r="KHB17">
        <v>0</v>
      </c>
      <c r="KHC17">
        <v>0</v>
      </c>
      <c r="KHD17">
        <v>0</v>
      </c>
      <c r="KHE17">
        <v>0</v>
      </c>
      <c r="KHF17">
        <v>0</v>
      </c>
      <c r="KHG17">
        <v>0</v>
      </c>
      <c r="KHH17">
        <v>0</v>
      </c>
      <c r="KHI17">
        <v>0</v>
      </c>
      <c r="KHJ17">
        <v>0</v>
      </c>
      <c r="KHK17">
        <v>0</v>
      </c>
      <c r="KHL17">
        <v>0</v>
      </c>
      <c r="KHM17">
        <v>0</v>
      </c>
      <c r="KHN17">
        <v>0</v>
      </c>
      <c r="KHO17">
        <v>0</v>
      </c>
      <c r="KHP17">
        <v>0</v>
      </c>
      <c r="KHQ17">
        <v>0</v>
      </c>
      <c r="KHR17">
        <v>0</v>
      </c>
      <c r="KHS17">
        <v>0</v>
      </c>
      <c r="KHT17">
        <v>0</v>
      </c>
      <c r="KHU17">
        <v>0</v>
      </c>
      <c r="KHV17">
        <v>0</v>
      </c>
      <c r="KHW17">
        <v>0</v>
      </c>
      <c r="KHX17">
        <v>0</v>
      </c>
      <c r="KHY17">
        <v>0</v>
      </c>
      <c r="KHZ17">
        <v>0</v>
      </c>
      <c r="KIA17">
        <v>0</v>
      </c>
      <c r="KIB17">
        <v>0</v>
      </c>
      <c r="KIC17">
        <v>0</v>
      </c>
      <c r="KID17">
        <v>0</v>
      </c>
      <c r="KIE17">
        <v>0</v>
      </c>
      <c r="KIF17">
        <v>0</v>
      </c>
      <c r="KIG17">
        <v>0</v>
      </c>
      <c r="KIH17">
        <v>0</v>
      </c>
      <c r="KII17">
        <v>0</v>
      </c>
      <c r="KIJ17">
        <v>0</v>
      </c>
      <c r="KIK17">
        <v>0</v>
      </c>
      <c r="KIL17">
        <v>0</v>
      </c>
      <c r="KIM17">
        <v>0</v>
      </c>
      <c r="KIN17">
        <v>0</v>
      </c>
      <c r="KIO17">
        <v>0</v>
      </c>
      <c r="KIP17">
        <v>0</v>
      </c>
      <c r="KIQ17">
        <v>0</v>
      </c>
      <c r="KIR17">
        <v>0</v>
      </c>
      <c r="KIS17">
        <v>0</v>
      </c>
      <c r="KIT17">
        <v>0</v>
      </c>
      <c r="KIU17">
        <v>0</v>
      </c>
      <c r="KIV17">
        <v>0</v>
      </c>
      <c r="KIW17">
        <v>0</v>
      </c>
      <c r="KIX17">
        <v>0</v>
      </c>
      <c r="KIY17">
        <v>0</v>
      </c>
      <c r="KIZ17">
        <v>0</v>
      </c>
      <c r="KJA17">
        <v>0</v>
      </c>
      <c r="KJB17">
        <v>0</v>
      </c>
      <c r="KJC17">
        <v>0</v>
      </c>
      <c r="KJD17">
        <v>0</v>
      </c>
      <c r="KJE17">
        <v>0</v>
      </c>
      <c r="KJF17">
        <v>0</v>
      </c>
      <c r="KJG17">
        <v>0</v>
      </c>
      <c r="KJH17">
        <v>0</v>
      </c>
      <c r="KJI17">
        <v>0</v>
      </c>
      <c r="KJJ17">
        <v>0</v>
      </c>
      <c r="KJK17">
        <v>0</v>
      </c>
      <c r="KJL17">
        <v>0</v>
      </c>
      <c r="KJM17">
        <v>0</v>
      </c>
      <c r="KJN17">
        <v>0</v>
      </c>
      <c r="KJO17">
        <v>0</v>
      </c>
      <c r="KJP17">
        <v>0</v>
      </c>
      <c r="KJQ17">
        <v>0</v>
      </c>
      <c r="KJR17">
        <v>0</v>
      </c>
      <c r="KJS17">
        <v>0</v>
      </c>
      <c r="KJT17">
        <v>0</v>
      </c>
      <c r="KJU17">
        <v>0</v>
      </c>
      <c r="KJV17">
        <v>0</v>
      </c>
      <c r="KJW17">
        <v>0</v>
      </c>
      <c r="KJX17">
        <v>0</v>
      </c>
      <c r="KJY17">
        <v>0</v>
      </c>
      <c r="KJZ17">
        <v>0</v>
      </c>
      <c r="KKA17">
        <v>0</v>
      </c>
      <c r="KKB17">
        <v>0</v>
      </c>
      <c r="KKC17">
        <v>0</v>
      </c>
      <c r="KKD17">
        <v>0</v>
      </c>
      <c r="KKE17">
        <v>0</v>
      </c>
      <c r="KKF17">
        <v>0</v>
      </c>
      <c r="KKG17">
        <v>0</v>
      </c>
      <c r="KKH17">
        <v>0</v>
      </c>
      <c r="KKI17">
        <v>0</v>
      </c>
      <c r="KKJ17">
        <v>0</v>
      </c>
      <c r="KKK17">
        <v>0</v>
      </c>
      <c r="KKL17">
        <v>0</v>
      </c>
      <c r="KKM17">
        <v>0</v>
      </c>
      <c r="KKN17">
        <v>0</v>
      </c>
      <c r="KKO17">
        <v>0</v>
      </c>
      <c r="KKP17">
        <v>0</v>
      </c>
      <c r="KKQ17">
        <v>0</v>
      </c>
      <c r="KKR17">
        <v>0</v>
      </c>
      <c r="KKS17">
        <v>0</v>
      </c>
      <c r="KKT17">
        <v>0</v>
      </c>
      <c r="KKU17">
        <v>0</v>
      </c>
      <c r="KKV17">
        <v>0</v>
      </c>
      <c r="KKW17">
        <v>0</v>
      </c>
      <c r="KKX17">
        <v>0</v>
      </c>
      <c r="KKY17">
        <v>0</v>
      </c>
      <c r="KKZ17">
        <v>0</v>
      </c>
      <c r="KLA17">
        <v>0</v>
      </c>
      <c r="KLB17">
        <v>0</v>
      </c>
      <c r="KLC17">
        <v>0</v>
      </c>
      <c r="KLD17">
        <v>0</v>
      </c>
      <c r="KLE17">
        <v>0</v>
      </c>
      <c r="KLF17">
        <v>0</v>
      </c>
      <c r="KLG17">
        <v>0</v>
      </c>
      <c r="KLH17">
        <v>0</v>
      </c>
      <c r="KLI17">
        <v>0</v>
      </c>
      <c r="KLJ17">
        <v>0</v>
      </c>
      <c r="KLK17">
        <v>0</v>
      </c>
      <c r="KLL17">
        <v>0</v>
      </c>
      <c r="KLM17">
        <v>0</v>
      </c>
      <c r="KLN17">
        <v>0</v>
      </c>
      <c r="KLO17">
        <v>0</v>
      </c>
      <c r="KLP17">
        <v>0</v>
      </c>
      <c r="KLQ17">
        <v>0</v>
      </c>
      <c r="KLR17">
        <v>0</v>
      </c>
      <c r="KLS17">
        <v>0</v>
      </c>
      <c r="KLT17">
        <v>0</v>
      </c>
      <c r="KLU17">
        <v>0</v>
      </c>
      <c r="KLV17">
        <v>0</v>
      </c>
      <c r="KLW17">
        <v>0</v>
      </c>
      <c r="KLX17">
        <v>0</v>
      </c>
      <c r="KLY17">
        <v>0</v>
      </c>
      <c r="KLZ17">
        <v>0</v>
      </c>
      <c r="KMA17">
        <v>0</v>
      </c>
      <c r="KMB17">
        <v>0</v>
      </c>
      <c r="KMC17">
        <v>0</v>
      </c>
      <c r="KMD17">
        <v>0</v>
      </c>
      <c r="KME17">
        <v>0</v>
      </c>
      <c r="KMF17">
        <v>0</v>
      </c>
      <c r="KMG17">
        <v>0</v>
      </c>
      <c r="KMH17">
        <v>0</v>
      </c>
      <c r="KMI17">
        <v>0</v>
      </c>
      <c r="KMJ17">
        <v>0</v>
      </c>
      <c r="KMK17">
        <v>0</v>
      </c>
      <c r="KML17">
        <v>0</v>
      </c>
      <c r="KMM17">
        <v>0</v>
      </c>
      <c r="KMN17">
        <v>0</v>
      </c>
      <c r="KMO17">
        <v>0</v>
      </c>
      <c r="KMP17">
        <v>0</v>
      </c>
      <c r="KMQ17">
        <v>0</v>
      </c>
      <c r="KMR17">
        <v>0</v>
      </c>
      <c r="KMS17">
        <v>0</v>
      </c>
      <c r="KMT17">
        <v>0</v>
      </c>
      <c r="KMU17">
        <v>0</v>
      </c>
      <c r="KMV17">
        <v>0</v>
      </c>
      <c r="KMW17">
        <v>0</v>
      </c>
      <c r="KMX17">
        <v>0</v>
      </c>
      <c r="KMY17">
        <v>0</v>
      </c>
      <c r="KMZ17">
        <v>0</v>
      </c>
      <c r="KNA17">
        <v>0</v>
      </c>
      <c r="KNB17">
        <v>0</v>
      </c>
      <c r="KNC17">
        <v>0</v>
      </c>
      <c r="KND17">
        <v>0</v>
      </c>
      <c r="KNE17">
        <v>0</v>
      </c>
      <c r="KNF17">
        <v>0</v>
      </c>
      <c r="KNG17">
        <v>0</v>
      </c>
      <c r="KNH17">
        <v>0</v>
      </c>
      <c r="KNI17">
        <v>0</v>
      </c>
      <c r="KNJ17">
        <v>0</v>
      </c>
      <c r="KNK17">
        <v>0</v>
      </c>
      <c r="KNL17">
        <v>0</v>
      </c>
      <c r="KNM17">
        <v>0</v>
      </c>
      <c r="KNN17">
        <v>0</v>
      </c>
      <c r="KNO17">
        <v>0</v>
      </c>
      <c r="KNP17">
        <v>0</v>
      </c>
      <c r="KNQ17">
        <v>0</v>
      </c>
      <c r="KNR17">
        <v>0</v>
      </c>
      <c r="KNS17">
        <v>0</v>
      </c>
      <c r="KNT17">
        <v>0</v>
      </c>
      <c r="KNU17">
        <v>0</v>
      </c>
      <c r="KNV17">
        <v>0</v>
      </c>
      <c r="KNW17">
        <v>0</v>
      </c>
      <c r="KNX17">
        <v>0</v>
      </c>
      <c r="KNY17">
        <v>0</v>
      </c>
      <c r="KNZ17">
        <v>0</v>
      </c>
      <c r="KOA17">
        <v>0</v>
      </c>
      <c r="KOB17">
        <v>0</v>
      </c>
      <c r="KOC17">
        <v>0</v>
      </c>
      <c r="KOD17">
        <v>0</v>
      </c>
      <c r="KOE17">
        <v>0</v>
      </c>
      <c r="KOF17">
        <v>0</v>
      </c>
      <c r="KOG17">
        <v>0</v>
      </c>
      <c r="KOH17">
        <v>0</v>
      </c>
      <c r="KOI17">
        <v>0</v>
      </c>
      <c r="KOJ17">
        <v>0</v>
      </c>
      <c r="KOK17">
        <v>0</v>
      </c>
      <c r="KOL17">
        <v>0</v>
      </c>
      <c r="KOM17">
        <v>0</v>
      </c>
      <c r="KON17">
        <v>0</v>
      </c>
      <c r="KOO17">
        <v>0</v>
      </c>
      <c r="KOP17">
        <v>0</v>
      </c>
      <c r="KOQ17">
        <v>0</v>
      </c>
      <c r="KOR17">
        <v>0</v>
      </c>
      <c r="KOS17">
        <v>0</v>
      </c>
      <c r="KOT17">
        <v>0</v>
      </c>
      <c r="KOU17">
        <v>0</v>
      </c>
      <c r="KOV17">
        <v>0</v>
      </c>
      <c r="KOW17">
        <v>0</v>
      </c>
      <c r="KOX17">
        <v>0</v>
      </c>
      <c r="KOY17">
        <v>0</v>
      </c>
      <c r="KOZ17">
        <v>0</v>
      </c>
      <c r="KPA17">
        <v>0</v>
      </c>
      <c r="KPB17">
        <v>0</v>
      </c>
      <c r="KPC17">
        <v>0</v>
      </c>
      <c r="KPD17">
        <v>0</v>
      </c>
      <c r="KPE17">
        <v>0</v>
      </c>
      <c r="KPF17">
        <v>0</v>
      </c>
      <c r="KPG17">
        <v>0</v>
      </c>
      <c r="KPH17">
        <v>0</v>
      </c>
      <c r="KPI17">
        <v>0</v>
      </c>
      <c r="KPJ17">
        <v>0</v>
      </c>
      <c r="KPK17">
        <v>0</v>
      </c>
      <c r="KPL17">
        <v>0</v>
      </c>
      <c r="KPM17">
        <v>0</v>
      </c>
      <c r="KPN17">
        <v>0</v>
      </c>
      <c r="KPO17">
        <v>0</v>
      </c>
      <c r="KPP17">
        <v>0</v>
      </c>
      <c r="KPQ17">
        <v>0</v>
      </c>
      <c r="KPR17">
        <v>0</v>
      </c>
      <c r="KPS17">
        <v>0</v>
      </c>
      <c r="KPT17">
        <v>0</v>
      </c>
      <c r="KPU17">
        <v>0</v>
      </c>
      <c r="KPV17">
        <v>0</v>
      </c>
      <c r="KPW17">
        <v>0</v>
      </c>
      <c r="KPX17">
        <v>0</v>
      </c>
      <c r="KPY17">
        <v>0</v>
      </c>
      <c r="KPZ17">
        <v>0</v>
      </c>
      <c r="KQA17">
        <v>0</v>
      </c>
      <c r="KQB17">
        <v>0</v>
      </c>
      <c r="KQC17">
        <v>0</v>
      </c>
      <c r="KQD17">
        <v>0</v>
      </c>
      <c r="KQE17">
        <v>0</v>
      </c>
      <c r="KQF17">
        <v>0</v>
      </c>
      <c r="KQG17">
        <v>0</v>
      </c>
      <c r="KQH17">
        <v>0</v>
      </c>
      <c r="KQI17">
        <v>0</v>
      </c>
      <c r="KQJ17">
        <v>0</v>
      </c>
      <c r="KQK17">
        <v>0</v>
      </c>
      <c r="KQL17">
        <v>0</v>
      </c>
      <c r="KQM17">
        <v>0</v>
      </c>
      <c r="KQN17">
        <v>0</v>
      </c>
      <c r="KQO17">
        <v>0</v>
      </c>
      <c r="KQP17">
        <v>0</v>
      </c>
      <c r="KQQ17">
        <v>0</v>
      </c>
      <c r="KQR17">
        <v>0</v>
      </c>
      <c r="KQS17">
        <v>0</v>
      </c>
      <c r="KQT17">
        <v>0</v>
      </c>
      <c r="KQU17">
        <v>0</v>
      </c>
      <c r="KQV17">
        <v>0</v>
      </c>
      <c r="KQW17">
        <v>0</v>
      </c>
      <c r="KQX17">
        <v>0</v>
      </c>
      <c r="KQY17">
        <v>0</v>
      </c>
      <c r="KQZ17">
        <v>0</v>
      </c>
      <c r="KRA17">
        <v>0</v>
      </c>
      <c r="KRB17">
        <v>0</v>
      </c>
      <c r="KRC17">
        <v>0</v>
      </c>
      <c r="KRD17">
        <v>0</v>
      </c>
      <c r="KRE17">
        <v>0</v>
      </c>
      <c r="KRF17">
        <v>0</v>
      </c>
      <c r="KRG17">
        <v>0</v>
      </c>
      <c r="KRH17">
        <v>0</v>
      </c>
      <c r="KRI17">
        <v>0</v>
      </c>
      <c r="KRJ17">
        <v>0</v>
      </c>
      <c r="KRK17">
        <v>0</v>
      </c>
      <c r="KRL17">
        <v>0</v>
      </c>
      <c r="KRM17">
        <v>0</v>
      </c>
      <c r="KRN17">
        <v>0</v>
      </c>
      <c r="KRO17">
        <v>0</v>
      </c>
      <c r="KRP17">
        <v>0</v>
      </c>
      <c r="KRQ17">
        <v>0</v>
      </c>
      <c r="KRR17">
        <v>0</v>
      </c>
      <c r="KRS17">
        <v>0</v>
      </c>
      <c r="KRT17">
        <v>0</v>
      </c>
      <c r="KRU17">
        <v>0</v>
      </c>
      <c r="KRV17">
        <v>0</v>
      </c>
      <c r="KRW17">
        <v>0</v>
      </c>
      <c r="KRX17">
        <v>0</v>
      </c>
      <c r="KRY17">
        <v>0</v>
      </c>
      <c r="KRZ17">
        <v>0</v>
      </c>
      <c r="KSA17">
        <v>0</v>
      </c>
      <c r="KSB17">
        <v>0</v>
      </c>
      <c r="KSC17">
        <v>0</v>
      </c>
      <c r="KSD17">
        <v>0</v>
      </c>
      <c r="KSE17">
        <v>0</v>
      </c>
      <c r="KSF17">
        <v>0</v>
      </c>
      <c r="KSG17">
        <v>0</v>
      </c>
      <c r="KSH17">
        <v>0</v>
      </c>
      <c r="KSI17">
        <v>0</v>
      </c>
      <c r="KSJ17">
        <v>0</v>
      </c>
      <c r="KSK17">
        <v>0</v>
      </c>
      <c r="KSL17">
        <v>0</v>
      </c>
      <c r="KSM17">
        <v>0</v>
      </c>
      <c r="KSN17">
        <v>0</v>
      </c>
      <c r="KSO17">
        <v>0</v>
      </c>
      <c r="KSP17">
        <v>0</v>
      </c>
      <c r="KSQ17">
        <v>0</v>
      </c>
      <c r="KSR17">
        <v>0</v>
      </c>
      <c r="KSS17">
        <v>0</v>
      </c>
      <c r="KST17">
        <v>0</v>
      </c>
      <c r="KSU17">
        <v>0</v>
      </c>
      <c r="KSV17">
        <v>0</v>
      </c>
      <c r="KSW17">
        <v>0</v>
      </c>
      <c r="KSX17">
        <v>0</v>
      </c>
      <c r="KSY17">
        <v>0</v>
      </c>
      <c r="KSZ17">
        <v>0</v>
      </c>
      <c r="KTA17">
        <v>0</v>
      </c>
      <c r="KTB17">
        <v>0</v>
      </c>
      <c r="KTC17">
        <v>0</v>
      </c>
      <c r="KTD17">
        <v>0</v>
      </c>
      <c r="KTE17">
        <v>0</v>
      </c>
      <c r="KTF17">
        <v>0</v>
      </c>
      <c r="KTG17">
        <v>0</v>
      </c>
      <c r="KTH17">
        <v>0</v>
      </c>
      <c r="KTI17">
        <v>0</v>
      </c>
      <c r="KTJ17">
        <v>0</v>
      </c>
      <c r="KTK17">
        <v>0</v>
      </c>
      <c r="KTL17">
        <v>0</v>
      </c>
      <c r="KTM17">
        <v>0</v>
      </c>
      <c r="KTN17">
        <v>0</v>
      </c>
      <c r="KTO17">
        <v>0</v>
      </c>
      <c r="KTP17">
        <v>0</v>
      </c>
      <c r="KTQ17">
        <v>0</v>
      </c>
      <c r="KTR17">
        <v>0</v>
      </c>
      <c r="KTS17">
        <v>0</v>
      </c>
      <c r="KTT17">
        <v>0</v>
      </c>
      <c r="KTU17">
        <v>0</v>
      </c>
      <c r="KTV17">
        <v>0</v>
      </c>
      <c r="KTW17">
        <v>0</v>
      </c>
      <c r="KTX17">
        <v>0</v>
      </c>
      <c r="KTY17">
        <v>0</v>
      </c>
      <c r="KTZ17">
        <v>0</v>
      </c>
      <c r="KUA17">
        <v>0</v>
      </c>
      <c r="KUB17">
        <v>0</v>
      </c>
      <c r="KUC17">
        <v>0</v>
      </c>
      <c r="KUD17">
        <v>0</v>
      </c>
      <c r="KUE17">
        <v>0</v>
      </c>
      <c r="KUF17">
        <v>0</v>
      </c>
      <c r="KUG17">
        <v>0</v>
      </c>
      <c r="KUH17">
        <v>0</v>
      </c>
      <c r="KUI17">
        <v>0</v>
      </c>
      <c r="KUJ17">
        <v>0</v>
      </c>
      <c r="KUK17">
        <v>0</v>
      </c>
      <c r="KUL17">
        <v>0</v>
      </c>
      <c r="KUM17">
        <v>0</v>
      </c>
      <c r="KUN17">
        <v>0</v>
      </c>
      <c r="KUO17">
        <v>0</v>
      </c>
      <c r="KUP17">
        <v>0</v>
      </c>
      <c r="KUQ17">
        <v>0</v>
      </c>
      <c r="KUR17">
        <v>0</v>
      </c>
      <c r="KUS17">
        <v>0</v>
      </c>
      <c r="KUT17">
        <v>0</v>
      </c>
      <c r="KUU17">
        <v>0</v>
      </c>
      <c r="KUV17">
        <v>0</v>
      </c>
      <c r="KUW17">
        <v>0</v>
      </c>
      <c r="KUX17">
        <v>0</v>
      </c>
      <c r="KUY17">
        <v>0</v>
      </c>
      <c r="KUZ17">
        <v>0</v>
      </c>
      <c r="KVA17">
        <v>0</v>
      </c>
      <c r="KVB17">
        <v>0</v>
      </c>
      <c r="KVC17">
        <v>0</v>
      </c>
      <c r="KVD17">
        <v>0</v>
      </c>
      <c r="KVE17">
        <v>0</v>
      </c>
      <c r="KVF17">
        <v>0</v>
      </c>
      <c r="KVG17">
        <v>0</v>
      </c>
      <c r="KVH17">
        <v>0</v>
      </c>
      <c r="KVI17">
        <v>0</v>
      </c>
      <c r="KVJ17">
        <v>0</v>
      </c>
      <c r="KVK17">
        <v>0</v>
      </c>
      <c r="KVL17">
        <v>0</v>
      </c>
      <c r="KVM17">
        <v>0</v>
      </c>
      <c r="KVN17">
        <v>0</v>
      </c>
      <c r="KVO17">
        <v>0</v>
      </c>
      <c r="KVP17">
        <v>0</v>
      </c>
      <c r="KVQ17">
        <v>0</v>
      </c>
      <c r="KVR17">
        <v>0</v>
      </c>
      <c r="KVS17">
        <v>0</v>
      </c>
      <c r="KVT17">
        <v>0</v>
      </c>
      <c r="KVU17">
        <v>0</v>
      </c>
      <c r="KVV17">
        <v>0</v>
      </c>
      <c r="KVW17">
        <v>0</v>
      </c>
      <c r="KVX17">
        <v>0</v>
      </c>
      <c r="KVY17">
        <v>0</v>
      </c>
      <c r="KVZ17">
        <v>0</v>
      </c>
      <c r="KWA17">
        <v>0</v>
      </c>
      <c r="KWB17">
        <v>0</v>
      </c>
      <c r="KWC17">
        <v>0</v>
      </c>
      <c r="KWD17">
        <v>0</v>
      </c>
      <c r="KWE17">
        <v>0</v>
      </c>
      <c r="KWF17">
        <v>0</v>
      </c>
      <c r="KWG17">
        <v>0</v>
      </c>
      <c r="KWH17">
        <v>0</v>
      </c>
      <c r="KWI17">
        <v>0</v>
      </c>
      <c r="KWJ17">
        <v>0</v>
      </c>
      <c r="KWK17">
        <v>0</v>
      </c>
      <c r="KWL17">
        <v>0</v>
      </c>
      <c r="KWM17">
        <v>0</v>
      </c>
      <c r="KWN17">
        <v>0</v>
      </c>
      <c r="KWO17">
        <v>0</v>
      </c>
      <c r="KWP17">
        <v>0</v>
      </c>
      <c r="KWQ17">
        <v>0</v>
      </c>
      <c r="KWR17">
        <v>0</v>
      </c>
      <c r="KWS17">
        <v>0</v>
      </c>
      <c r="KWT17">
        <v>0</v>
      </c>
      <c r="KWU17">
        <v>0</v>
      </c>
      <c r="KWV17">
        <v>0</v>
      </c>
      <c r="KWW17">
        <v>0</v>
      </c>
      <c r="KWX17">
        <v>0</v>
      </c>
      <c r="KWY17">
        <v>0</v>
      </c>
      <c r="KWZ17">
        <v>0</v>
      </c>
      <c r="KXA17">
        <v>0</v>
      </c>
      <c r="KXB17">
        <v>0</v>
      </c>
      <c r="KXC17">
        <v>0</v>
      </c>
      <c r="KXD17">
        <v>0</v>
      </c>
      <c r="KXE17">
        <v>0</v>
      </c>
      <c r="KXF17">
        <v>0</v>
      </c>
      <c r="KXG17">
        <v>0</v>
      </c>
      <c r="KXH17">
        <v>0</v>
      </c>
      <c r="KXI17">
        <v>0</v>
      </c>
      <c r="KXJ17">
        <v>0</v>
      </c>
      <c r="KXK17">
        <v>0</v>
      </c>
      <c r="KXL17">
        <v>0</v>
      </c>
      <c r="KXM17">
        <v>0</v>
      </c>
      <c r="KXN17">
        <v>0</v>
      </c>
      <c r="KXO17">
        <v>0</v>
      </c>
      <c r="KXP17">
        <v>0</v>
      </c>
      <c r="KXQ17">
        <v>0</v>
      </c>
      <c r="KXR17">
        <v>0</v>
      </c>
      <c r="KXS17">
        <v>0</v>
      </c>
      <c r="KXT17">
        <v>0</v>
      </c>
      <c r="KXU17">
        <v>0</v>
      </c>
      <c r="KXV17">
        <v>0</v>
      </c>
      <c r="KXW17">
        <v>0</v>
      </c>
      <c r="KXX17">
        <v>0</v>
      </c>
      <c r="KXY17">
        <v>0</v>
      </c>
      <c r="KXZ17">
        <v>0</v>
      </c>
      <c r="KYA17">
        <v>0</v>
      </c>
      <c r="KYB17">
        <v>0</v>
      </c>
      <c r="KYC17">
        <v>0</v>
      </c>
      <c r="KYD17">
        <v>0</v>
      </c>
      <c r="KYE17">
        <v>0</v>
      </c>
      <c r="KYF17">
        <v>0</v>
      </c>
      <c r="KYG17">
        <v>0</v>
      </c>
      <c r="KYH17">
        <v>0</v>
      </c>
      <c r="KYI17">
        <v>0</v>
      </c>
      <c r="KYJ17">
        <v>0</v>
      </c>
      <c r="KYK17">
        <v>0</v>
      </c>
      <c r="KYL17">
        <v>0</v>
      </c>
      <c r="KYM17">
        <v>0</v>
      </c>
      <c r="KYN17">
        <v>0</v>
      </c>
      <c r="KYO17">
        <v>0</v>
      </c>
      <c r="KYP17">
        <v>0</v>
      </c>
      <c r="KYQ17">
        <v>0</v>
      </c>
      <c r="KYR17">
        <v>0</v>
      </c>
      <c r="KYS17">
        <v>0</v>
      </c>
      <c r="KYT17">
        <v>0</v>
      </c>
      <c r="KYU17">
        <v>0</v>
      </c>
      <c r="KYV17">
        <v>0</v>
      </c>
      <c r="KYW17">
        <v>0</v>
      </c>
      <c r="KYX17">
        <v>0</v>
      </c>
      <c r="KYY17">
        <v>0</v>
      </c>
      <c r="KYZ17">
        <v>0</v>
      </c>
      <c r="KZA17">
        <v>0</v>
      </c>
      <c r="KZB17">
        <v>0</v>
      </c>
      <c r="KZC17">
        <v>0</v>
      </c>
      <c r="KZD17">
        <v>0</v>
      </c>
      <c r="KZE17">
        <v>0</v>
      </c>
      <c r="KZF17">
        <v>0</v>
      </c>
      <c r="KZG17">
        <v>0</v>
      </c>
      <c r="KZH17">
        <v>0</v>
      </c>
      <c r="KZI17">
        <v>0</v>
      </c>
      <c r="KZJ17">
        <v>0</v>
      </c>
      <c r="KZK17">
        <v>0</v>
      </c>
      <c r="KZL17">
        <v>0</v>
      </c>
      <c r="KZM17">
        <v>0</v>
      </c>
      <c r="KZN17">
        <v>0</v>
      </c>
      <c r="KZO17">
        <v>0</v>
      </c>
      <c r="KZP17">
        <v>0</v>
      </c>
      <c r="KZQ17">
        <v>0</v>
      </c>
      <c r="KZR17">
        <v>0</v>
      </c>
      <c r="KZS17">
        <v>0</v>
      </c>
      <c r="KZT17">
        <v>0</v>
      </c>
      <c r="KZU17">
        <v>0</v>
      </c>
      <c r="KZV17">
        <v>0</v>
      </c>
      <c r="KZW17">
        <v>0</v>
      </c>
      <c r="KZX17">
        <v>0</v>
      </c>
      <c r="KZY17">
        <v>0</v>
      </c>
      <c r="KZZ17">
        <v>0</v>
      </c>
      <c r="LAA17">
        <v>0</v>
      </c>
      <c r="LAB17">
        <v>0</v>
      </c>
      <c r="LAC17">
        <v>0</v>
      </c>
      <c r="LAD17">
        <v>0</v>
      </c>
      <c r="LAE17">
        <v>0</v>
      </c>
      <c r="LAF17">
        <v>0</v>
      </c>
      <c r="LAG17">
        <v>0</v>
      </c>
      <c r="LAH17">
        <v>0</v>
      </c>
      <c r="LAI17">
        <v>0</v>
      </c>
      <c r="LAJ17">
        <v>0</v>
      </c>
      <c r="LAK17">
        <v>0</v>
      </c>
      <c r="LAL17">
        <v>0</v>
      </c>
      <c r="LAM17">
        <v>0</v>
      </c>
      <c r="LAN17">
        <v>0</v>
      </c>
      <c r="LAO17">
        <v>0</v>
      </c>
      <c r="LAP17">
        <v>0</v>
      </c>
      <c r="LAQ17">
        <v>0</v>
      </c>
      <c r="LAR17">
        <v>0</v>
      </c>
      <c r="LAS17">
        <v>0</v>
      </c>
      <c r="LAT17">
        <v>0</v>
      </c>
      <c r="LAU17">
        <v>0</v>
      </c>
      <c r="LAV17">
        <v>0</v>
      </c>
      <c r="LAW17">
        <v>0</v>
      </c>
      <c r="LAX17">
        <v>0</v>
      </c>
      <c r="LAY17">
        <v>0</v>
      </c>
      <c r="LAZ17">
        <v>0</v>
      </c>
      <c r="LBA17">
        <v>0</v>
      </c>
      <c r="LBB17">
        <v>0</v>
      </c>
      <c r="LBC17">
        <v>0</v>
      </c>
      <c r="LBD17">
        <v>0</v>
      </c>
      <c r="LBE17">
        <v>0</v>
      </c>
      <c r="LBF17">
        <v>0</v>
      </c>
      <c r="LBG17">
        <v>0</v>
      </c>
      <c r="LBH17">
        <v>0</v>
      </c>
      <c r="LBI17">
        <v>0</v>
      </c>
      <c r="LBJ17">
        <v>0</v>
      </c>
      <c r="LBK17">
        <v>0</v>
      </c>
      <c r="LBL17">
        <v>0</v>
      </c>
      <c r="LBM17">
        <v>0</v>
      </c>
      <c r="LBN17">
        <v>0</v>
      </c>
      <c r="LBO17">
        <v>0</v>
      </c>
      <c r="LBP17">
        <v>0</v>
      </c>
      <c r="LBQ17">
        <v>0</v>
      </c>
      <c r="LBR17">
        <v>0</v>
      </c>
      <c r="LBS17">
        <v>0</v>
      </c>
      <c r="LBT17">
        <v>0</v>
      </c>
      <c r="LBU17">
        <v>0</v>
      </c>
      <c r="LBV17">
        <v>0</v>
      </c>
      <c r="LBW17">
        <v>0</v>
      </c>
      <c r="LBX17">
        <v>0</v>
      </c>
      <c r="LBY17">
        <v>0</v>
      </c>
      <c r="LBZ17">
        <v>0</v>
      </c>
      <c r="LCA17">
        <v>0</v>
      </c>
      <c r="LCB17">
        <v>0</v>
      </c>
      <c r="LCC17">
        <v>0</v>
      </c>
      <c r="LCD17">
        <v>0</v>
      </c>
      <c r="LCE17">
        <v>0</v>
      </c>
      <c r="LCF17">
        <v>0</v>
      </c>
      <c r="LCG17">
        <v>0</v>
      </c>
      <c r="LCH17">
        <v>0</v>
      </c>
      <c r="LCI17">
        <v>0</v>
      </c>
      <c r="LCJ17">
        <v>0</v>
      </c>
      <c r="LCK17">
        <v>0</v>
      </c>
      <c r="LCL17">
        <v>0</v>
      </c>
      <c r="LCM17">
        <v>0</v>
      </c>
      <c r="LCN17">
        <v>0</v>
      </c>
      <c r="LCO17">
        <v>0</v>
      </c>
      <c r="LCP17">
        <v>0</v>
      </c>
      <c r="LCQ17">
        <v>0</v>
      </c>
      <c r="LCR17">
        <v>0</v>
      </c>
      <c r="LCS17">
        <v>0</v>
      </c>
      <c r="LCT17">
        <v>0</v>
      </c>
      <c r="LCU17">
        <v>0</v>
      </c>
      <c r="LCV17">
        <v>0</v>
      </c>
      <c r="LCW17">
        <v>0</v>
      </c>
      <c r="LCX17">
        <v>0</v>
      </c>
      <c r="LCY17">
        <v>0</v>
      </c>
      <c r="LCZ17">
        <v>0</v>
      </c>
      <c r="LDA17">
        <v>0</v>
      </c>
      <c r="LDB17">
        <v>0</v>
      </c>
      <c r="LDC17">
        <v>0</v>
      </c>
      <c r="LDD17">
        <v>0</v>
      </c>
      <c r="LDE17">
        <v>0</v>
      </c>
      <c r="LDF17">
        <v>0</v>
      </c>
      <c r="LDG17">
        <v>0</v>
      </c>
      <c r="LDH17">
        <v>0</v>
      </c>
      <c r="LDI17">
        <v>0</v>
      </c>
      <c r="LDJ17">
        <v>0</v>
      </c>
      <c r="LDK17">
        <v>0</v>
      </c>
      <c r="LDL17">
        <v>0</v>
      </c>
      <c r="LDM17">
        <v>0</v>
      </c>
      <c r="LDN17">
        <v>0</v>
      </c>
      <c r="LDO17">
        <v>0</v>
      </c>
      <c r="LDP17">
        <v>0</v>
      </c>
      <c r="LDQ17">
        <v>0</v>
      </c>
      <c r="LDR17">
        <v>0</v>
      </c>
      <c r="LDS17">
        <v>0</v>
      </c>
      <c r="LDT17">
        <v>0</v>
      </c>
      <c r="LDU17">
        <v>0</v>
      </c>
      <c r="LDV17">
        <v>0</v>
      </c>
      <c r="LDW17">
        <v>0</v>
      </c>
      <c r="LDX17">
        <v>0</v>
      </c>
      <c r="LDY17">
        <v>0</v>
      </c>
      <c r="LDZ17">
        <v>0</v>
      </c>
      <c r="LEA17">
        <v>0</v>
      </c>
      <c r="LEB17">
        <v>0</v>
      </c>
      <c r="LEC17">
        <v>0</v>
      </c>
      <c r="LED17">
        <v>0</v>
      </c>
      <c r="LEE17">
        <v>0</v>
      </c>
      <c r="LEF17">
        <v>0</v>
      </c>
      <c r="LEG17">
        <v>0</v>
      </c>
      <c r="LEH17">
        <v>0</v>
      </c>
      <c r="LEI17">
        <v>0</v>
      </c>
      <c r="LEJ17">
        <v>0</v>
      </c>
      <c r="LEK17">
        <v>0</v>
      </c>
      <c r="LEL17">
        <v>0</v>
      </c>
      <c r="LEM17">
        <v>0</v>
      </c>
      <c r="LEN17">
        <v>0</v>
      </c>
      <c r="LEO17">
        <v>0</v>
      </c>
      <c r="LEP17">
        <v>0</v>
      </c>
      <c r="LEQ17">
        <v>0</v>
      </c>
      <c r="LER17">
        <v>0</v>
      </c>
      <c r="LES17">
        <v>0</v>
      </c>
      <c r="LET17">
        <v>0</v>
      </c>
      <c r="LEU17">
        <v>0</v>
      </c>
      <c r="LEV17">
        <v>0</v>
      </c>
      <c r="LEW17">
        <v>0</v>
      </c>
      <c r="LEX17">
        <v>0</v>
      </c>
      <c r="LEY17">
        <v>0</v>
      </c>
      <c r="LEZ17">
        <v>0</v>
      </c>
      <c r="LFA17">
        <v>0</v>
      </c>
      <c r="LFB17">
        <v>0</v>
      </c>
      <c r="LFC17">
        <v>0</v>
      </c>
      <c r="LFD17">
        <v>0</v>
      </c>
      <c r="LFE17">
        <v>0</v>
      </c>
      <c r="LFF17">
        <v>0</v>
      </c>
      <c r="LFG17">
        <v>0</v>
      </c>
      <c r="LFH17">
        <v>0</v>
      </c>
      <c r="LFI17">
        <v>0</v>
      </c>
      <c r="LFJ17">
        <v>0</v>
      </c>
      <c r="LFK17">
        <v>0</v>
      </c>
      <c r="LFL17">
        <v>0</v>
      </c>
      <c r="LFM17">
        <v>0</v>
      </c>
      <c r="LFN17">
        <v>0</v>
      </c>
      <c r="LFO17">
        <v>0</v>
      </c>
      <c r="LFP17">
        <v>0</v>
      </c>
      <c r="LFQ17">
        <v>0</v>
      </c>
      <c r="LFR17">
        <v>0</v>
      </c>
      <c r="LFS17">
        <v>0</v>
      </c>
      <c r="LFT17">
        <v>0</v>
      </c>
      <c r="LFU17">
        <v>0</v>
      </c>
      <c r="LFV17">
        <v>0</v>
      </c>
      <c r="LFW17">
        <v>0</v>
      </c>
      <c r="LFX17">
        <v>0</v>
      </c>
      <c r="LFY17">
        <v>0</v>
      </c>
      <c r="LFZ17">
        <v>0</v>
      </c>
      <c r="LGA17">
        <v>0</v>
      </c>
      <c r="LGB17">
        <v>0</v>
      </c>
      <c r="LGC17">
        <v>0</v>
      </c>
      <c r="LGD17">
        <v>0</v>
      </c>
      <c r="LGE17">
        <v>0</v>
      </c>
      <c r="LGF17">
        <v>0</v>
      </c>
      <c r="LGG17">
        <v>0</v>
      </c>
      <c r="LGH17">
        <v>0</v>
      </c>
      <c r="LGI17">
        <v>0</v>
      </c>
      <c r="LGJ17">
        <v>0</v>
      </c>
      <c r="LGK17">
        <v>0</v>
      </c>
      <c r="LGL17">
        <v>0</v>
      </c>
      <c r="LGM17">
        <v>0</v>
      </c>
      <c r="LGN17">
        <v>0</v>
      </c>
      <c r="LGO17">
        <v>0</v>
      </c>
      <c r="LGP17">
        <v>0</v>
      </c>
      <c r="LGQ17">
        <v>0</v>
      </c>
      <c r="LGR17">
        <v>0</v>
      </c>
      <c r="LGS17">
        <v>0</v>
      </c>
      <c r="LGT17">
        <v>0</v>
      </c>
      <c r="LGU17">
        <v>0</v>
      </c>
      <c r="LGV17">
        <v>0</v>
      </c>
      <c r="LGW17">
        <v>0</v>
      </c>
      <c r="LGX17">
        <v>0</v>
      </c>
      <c r="LGY17">
        <v>0</v>
      </c>
      <c r="LGZ17">
        <v>0</v>
      </c>
      <c r="LHA17">
        <v>0</v>
      </c>
      <c r="LHB17">
        <v>0</v>
      </c>
      <c r="LHC17">
        <v>0</v>
      </c>
      <c r="LHD17">
        <v>0</v>
      </c>
      <c r="LHE17">
        <v>0</v>
      </c>
      <c r="LHF17">
        <v>0</v>
      </c>
      <c r="LHG17">
        <v>0</v>
      </c>
      <c r="LHH17">
        <v>0</v>
      </c>
      <c r="LHI17">
        <v>0</v>
      </c>
      <c r="LHJ17">
        <v>0</v>
      </c>
      <c r="LHK17">
        <v>0</v>
      </c>
      <c r="LHL17">
        <v>0</v>
      </c>
      <c r="LHM17">
        <v>0</v>
      </c>
      <c r="LHN17">
        <v>0</v>
      </c>
      <c r="LHO17">
        <v>0</v>
      </c>
      <c r="LHP17">
        <v>0</v>
      </c>
      <c r="LHQ17">
        <v>0</v>
      </c>
      <c r="LHR17">
        <v>0</v>
      </c>
      <c r="LHS17">
        <v>0</v>
      </c>
      <c r="LHT17">
        <v>0</v>
      </c>
      <c r="LHU17">
        <v>0</v>
      </c>
      <c r="LHV17">
        <v>0</v>
      </c>
      <c r="LHW17">
        <v>0</v>
      </c>
      <c r="LHX17">
        <v>0</v>
      </c>
      <c r="LHY17">
        <v>0</v>
      </c>
      <c r="LHZ17">
        <v>0</v>
      </c>
      <c r="LIA17">
        <v>0</v>
      </c>
      <c r="LIB17">
        <v>0</v>
      </c>
      <c r="LIC17">
        <v>0</v>
      </c>
      <c r="LID17">
        <v>0</v>
      </c>
      <c r="LIE17">
        <v>0</v>
      </c>
      <c r="LIF17">
        <v>0</v>
      </c>
      <c r="LIG17">
        <v>0</v>
      </c>
      <c r="LIH17">
        <v>0</v>
      </c>
      <c r="LII17">
        <v>0</v>
      </c>
      <c r="LIJ17">
        <v>0</v>
      </c>
      <c r="LIK17">
        <v>0</v>
      </c>
      <c r="LIL17">
        <v>0</v>
      </c>
      <c r="LIM17">
        <v>0</v>
      </c>
      <c r="LIN17">
        <v>0</v>
      </c>
      <c r="LIO17">
        <v>0</v>
      </c>
      <c r="LIP17">
        <v>0</v>
      </c>
      <c r="LIQ17">
        <v>0</v>
      </c>
      <c r="LIR17">
        <v>0</v>
      </c>
      <c r="LIS17">
        <v>0</v>
      </c>
      <c r="LIT17">
        <v>0</v>
      </c>
      <c r="LIU17">
        <v>0</v>
      </c>
      <c r="LIV17">
        <v>0</v>
      </c>
      <c r="LIW17">
        <v>0</v>
      </c>
      <c r="LIX17">
        <v>0</v>
      </c>
      <c r="LIY17">
        <v>0</v>
      </c>
      <c r="LIZ17">
        <v>0</v>
      </c>
      <c r="LJA17">
        <v>0</v>
      </c>
      <c r="LJB17">
        <v>0</v>
      </c>
      <c r="LJC17">
        <v>0</v>
      </c>
      <c r="LJD17">
        <v>0</v>
      </c>
      <c r="LJE17">
        <v>0</v>
      </c>
      <c r="LJF17">
        <v>0</v>
      </c>
      <c r="LJG17">
        <v>0</v>
      </c>
      <c r="LJH17">
        <v>0</v>
      </c>
      <c r="LJI17">
        <v>0</v>
      </c>
      <c r="LJJ17">
        <v>0</v>
      </c>
      <c r="LJK17">
        <v>0</v>
      </c>
      <c r="LJL17">
        <v>0</v>
      </c>
      <c r="LJM17">
        <v>0</v>
      </c>
      <c r="LJN17">
        <v>0</v>
      </c>
      <c r="LJO17">
        <v>0</v>
      </c>
      <c r="LJP17">
        <v>0</v>
      </c>
      <c r="LJQ17">
        <v>0</v>
      </c>
      <c r="LJR17">
        <v>0</v>
      </c>
      <c r="LJS17">
        <v>0</v>
      </c>
      <c r="LJT17">
        <v>0</v>
      </c>
      <c r="LJU17">
        <v>0</v>
      </c>
      <c r="LJV17">
        <v>0</v>
      </c>
      <c r="LJW17">
        <v>0</v>
      </c>
      <c r="LJX17">
        <v>0</v>
      </c>
      <c r="LJY17">
        <v>0</v>
      </c>
      <c r="LJZ17">
        <v>0</v>
      </c>
      <c r="LKA17">
        <v>0</v>
      </c>
      <c r="LKB17">
        <v>0</v>
      </c>
      <c r="LKC17">
        <v>0</v>
      </c>
      <c r="LKD17">
        <v>0</v>
      </c>
      <c r="LKE17">
        <v>0</v>
      </c>
      <c r="LKF17">
        <v>0</v>
      </c>
      <c r="LKG17">
        <v>0</v>
      </c>
      <c r="LKH17">
        <v>0</v>
      </c>
      <c r="LKI17">
        <v>0</v>
      </c>
      <c r="LKJ17">
        <v>0</v>
      </c>
      <c r="LKK17">
        <v>0</v>
      </c>
      <c r="LKL17">
        <v>0</v>
      </c>
      <c r="LKM17">
        <v>0</v>
      </c>
      <c r="LKN17">
        <v>0</v>
      </c>
      <c r="LKO17">
        <v>0</v>
      </c>
      <c r="LKP17">
        <v>0</v>
      </c>
      <c r="LKQ17">
        <v>0</v>
      </c>
      <c r="LKR17">
        <v>0</v>
      </c>
      <c r="LKS17">
        <v>0</v>
      </c>
      <c r="LKT17">
        <v>0</v>
      </c>
      <c r="LKU17">
        <v>0</v>
      </c>
      <c r="LKV17">
        <v>0</v>
      </c>
      <c r="LKW17">
        <v>0</v>
      </c>
      <c r="LKX17">
        <v>0</v>
      </c>
      <c r="LKY17">
        <v>0</v>
      </c>
      <c r="LKZ17">
        <v>0</v>
      </c>
      <c r="LLA17">
        <v>0</v>
      </c>
      <c r="LLB17">
        <v>0</v>
      </c>
      <c r="LLC17">
        <v>0</v>
      </c>
      <c r="LLD17">
        <v>0</v>
      </c>
      <c r="LLE17">
        <v>0</v>
      </c>
      <c r="LLF17">
        <v>0</v>
      </c>
      <c r="LLG17">
        <v>0</v>
      </c>
      <c r="LLH17">
        <v>0</v>
      </c>
      <c r="LLI17">
        <v>0</v>
      </c>
      <c r="LLJ17">
        <v>0</v>
      </c>
      <c r="LLK17">
        <v>0</v>
      </c>
      <c r="LLL17">
        <v>0</v>
      </c>
      <c r="LLM17">
        <v>0</v>
      </c>
      <c r="LLN17">
        <v>0</v>
      </c>
      <c r="LLO17">
        <v>0</v>
      </c>
      <c r="LLP17">
        <v>0</v>
      </c>
      <c r="LLQ17">
        <v>0</v>
      </c>
      <c r="LLR17">
        <v>0</v>
      </c>
      <c r="LLS17">
        <v>0</v>
      </c>
      <c r="LLT17">
        <v>0</v>
      </c>
      <c r="LLU17">
        <v>0</v>
      </c>
      <c r="LLV17">
        <v>0</v>
      </c>
      <c r="LLW17">
        <v>0</v>
      </c>
      <c r="LLX17">
        <v>0</v>
      </c>
      <c r="LLY17">
        <v>0</v>
      </c>
      <c r="LLZ17">
        <v>0</v>
      </c>
      <c r="LMA17">
        <v>0</v>
      </c>
      <c r="LMB17">
        <v>0</v>
      </c>
      <c r="LMC17">
        <v>0</v>
      </c>
      <c r="LMD17">
        <v>0</v>
      </c>
      <c r="LME17">
        <v>0</v>
      </c>
      <c r="LMF17">
        <v>0</v>
      </c>
      <c r="LMG17">
        <v>0</v>
      </c>
      <c r="LMH17">
        <v>0</v>
      </c>
      <c r="LMI17">
        <v>0</v>
      </c>
      <c r="LMJ17">
        <v>0</v>
      </c>
      <c r="LMK17">
        <v>0</v>
      </c>
      <c r="LML17">
        <v>0</v>
      </c>
      <c r="LMM17">
        <v>0</v>
      </c>
      <c r="LMN17">
        <v>0</v>
      </c>
      <c r="LMO17">
        <v>0</v>
      </c>
      <c r="LMP17">
        <v>0</v>
      </c>
      <c r="LMQ17">
        <v>0</v>
      </c>
      <c r="LMR17">
        <v>0</v>
      </c>
      <c r="LMS17">
        <v>0</v>
      </c>
      <c r="LMT17">
        <v>0</v>
      </c>
      <c r="LMU17">
        <v>0</v>
      </c>
      <c r="LMV17">
        <v>0</v>
      </c>
      <c r="LMW17">
        <v>0</v>
      </c>
      <c r="LMX17">
        <v>0</v>
      </c>
      <c r="LMY17">
        <v>0</v>
      </c>
      <c r="LMZ17">
        <v>0</v>
      </c>
      <c r="LNA17">
        <v>0</v>
      </c>
      <c r="LNB17">
        <v>0</v>
      </c>
      <c r="LNC17">
        <v>0</v>
      </c>
      <c r="LND17">
        <v>0</v>
      </c>
      <c r="LNE17">
        <v>0</v>
      </c>
      <c r="LNF17">
        <v>0</v>
      </c>
      <c r="LNG17">
        <v>0</v>
      </c>
      <c r="LNH17">
        <v>0</v>
      </c>
      <c r="LNI17">
        <v>0</v>
      </c>
      <c r="LNJ17">
        <v>0</v>
      </c>
      <c r="LNK17">
        <v>0</v>
      </c>
      <c r="LNL17">
        <v>0</v>
      </c>
      <c r="LNM17">
        <v>0</v>
      </c>
      <c r="LNN17">
        <v>0</v>
      </c>
      <c r="LNO17">
        <v>0</v>
      </c>
      <c r="LNP17">
        <v>0</v>
      </c>
      <c r="LNQ17">
        <v>0</v>
      </c>
      <c r="LNR17">
        <v>0</v>
      </c>
      <c r="LNS17">
        <v>0</v>
      </c>
      <c r="LNT17">
        <v>0</v>
      </c>
      <c r="LNU17">
        <v>0</v>
      </c>
      <c r="LNV17">
        <v>0</v>
      </c>
      <c r="LNW17">
        <v>0</v>
      </c>
      <c r="LNX17">
        <v>0</v>
      </c>
      <c r="LNY17">
        <v>0</v>
      </c>
      <c r="LNZ17">
        <v>0</v>
      </c>
      <c r="LOA17">
        <v>0</v>
      </c>
      <c r="LOB17">
        <v>0</v>
      </c>
      <c r="LOC17">
        <v>0</v>
      </c>
      <c r="LOD17">
        <v>0</v>
      </c>
      <c r="LOE17">
        <v>0</v>
      </c>
      <c r="LOF17">
        <v>0</v>
      </c>
      <c r="LOG17">
        <v>0</v>
      </c>
      <c r="LOH17">
        <v>0</v>
      </c>
      <c r="LOI17">
        <v>0</v>
      </c>
      <c r="LOJ17">
        <v>0</v>
      </c>
      <c r="LOK17">
        <v>0</v>
      </c>
      <c r="LOL17">
        <v>0</v>
      </c>
      <c r="LOM17">
        <v>0</v>
      </c>
      <c r="LON17">
        <v>0</v>
      </c>
      <c r="LOO17">
        <v>0</v>
      </c>
      <c r="LOP17">
        <v>0</v>
      </c>
      <c r="LOQ17">
        <v>0</v>
      </c>
      <c r="LOR17">
        <v>0</v>
      </c>
      <c r="LOS17">
        <v>0</v>
      </c>
      <c r="LOT17">
        <v>0</v>
      </c>
      <c r="LOU17">
        <v>0</v>
      </c>
      <c r="LOV17">
        <v>0</v>
      </c>
      <c r="LOW17">
        <v>0</v>
      </c>
      <c r="LOX17">
        <v>0</v>
      </c>
      <c r="LOY17">
        <v>0</v>
      </c>
      <c r="LOZ17">
        <v>0</v>
      </c>
      <c r="LPA17">
        <v>0</v>
      </c>
      <c r="LPB17">
        <v>0</v>
      </c>
      <c r="LPC17">
        <v>0</v>
      </c>
      <c r="LPD17">
        <v>0</v>
      </c>
      <c r="LPE17">
        <v>0</v>
      </c>
      <c r="LPF17">
        <v>0</v>
      </c>
      <c r="LPG17">
        <v>0</v>
      </c>
      <c r="LPH17">
        <v>0</v>
      </c>
      <c r="LPI17">
        <v>0</v>
      </c>
      <c r="LPJ17">
        <v>0</v>
      </c>
      <c r="LPK17">
        <v>0</v>
      </c>
      <c r="LPL17">
        <v>0</v>
      </c>
      <c r="LPM17">
        <v>0</v>
      </c>
      <c r="LPN17">
        <v>0</v>
      </c>
      <c r="LPO17">
        <v>0</v>
      </c>
      <c r="LPP17">
        <v>0</v>
      </c>
      <c r="LPQ17">
        <v>0</v>
      </c>
      <c r="LPR17">
        <v>0</v>
      </c>
      <c r="LPS17">
        <v>0</v>
      </c>
      <c r="LPT17">
        <v>0</v>
      </c>
      <c r="LPU17">
        <v>0</v>
      </c>
      <c r="LPV17">
        <v>0</v>
      </c>
      <c r="LPW17">
        <v>0</v>
      </c>
      <c r="LPX17">
        <v>0</v>
      </c>
      <c r="LPY17">
        <v>0</v>
      </c>
      <c r="LPZ17">
        <v>0</v>
      </c>
      <c r="LQA17">
        <v>0</v>
      </c>
      <c r="LQB17">
        <v>0</v>
      </c>
      <c r="LQC17">
        <v>0</v>
      </c>
      <c r="LQD17">
        <v>0</v>
      </c>
      <c r="LQE17">
        <v>0</v>
      </c>
      <c r="LQF17">
        <v>0</v>
      </c>
      <c r="LQG17">
        <v>0</v>
      </c>
      <c r="LQH17">
        <v>0</v>
      </c>
      <c r="LQI17">
        <v>0</v>
      </c>
      <c r="LQJ17">
        <v>0</v>
      </c>
      <c r="LQK17">
        <v>0</v>
      </c>
      <c r="LQL17">
        <v>0</v>
      </c>
      <c r="LQM17">
        <v>0</v>
      </c>
      <c r="LQN17">
        <v>0</v>
      </c>
      <c r="LQO17">
        <v>0</v>
      </c>
      <c r="LQP17">
        <v>0</v>
      </c>
      <c r="LQQ17">
        <v>0</v>
      </c>
      <c r="LQR17">
        <v>0</v>
      </c>
      <c r="LQS17">
        <v>0</v>
      </c>
      <c r="LQT17">
        <v>0</v>
      </c>
      <c r="LQU17">
        <v>0</v>
      </c>
      <c r="LQV17">
        <v>0</v>
      </c>
      <c r="LQW17">
        <v>0</v>
      </c>
      <c r="LQX17">
        <v>0</v>
      </c>
      <c r="LQY17">
        <v>0</v>
      </c>
      <c r="LQZ17">
        <v>0</v>
      </c>
      <c r="LRA17">
        <v>0</v>
      </c>
      <c r="LRB17">
        <v>0</v>
      </c>
      <c r="LRC17">
        <v>0</v>
      </c>
      <c r="LRD17">
        <v>0</v>
      </c>
      <c r="LRE17">
        <v>0</v>
      </c>
      <c r="LRF17">
        <v>0</v>
      </c>
      <c r="LRG17">
        <v>0</v>
      </c>
      <c r="LRH17">
        <v>0</v>
      </c>
      <c r="LRI17">
        <v>0</v>
      </c>
      <c r="LRJ17">
        <v>0</v>
      </c>
      <c r="LRK17">
        <v>0</v>
      </c>
      <c r="LRL17">
        <v>0</v>
      </c>
      <c r="LRM17">
        <v>0</v>
      </c>
      <c r="LRN17">
        <v>0</v>
      </c>
      <c r="LRO17">
        <v>0</v>
      </c>
      <c r="LRP17">
        <v>0</v>
      </c>
      <c r="LRQ17">
        <v>0</v>
      </c>
      <c r="LRR17">
        <v>0</v>
      </c>
      <c r="LRS17">
        <v>0</v>
      </c>
      <c r="LRT17">
        <v>0</v>
      </c>
      <c r="LRU17">
        <v>0</v>
      </c>
      <c r="LRV17">
        <v>0</v>
      </c>
      <c r="LRW17">
        <v>0</v>
      </c>
      <c r="LRX17">
        <v>0</v>
      </c>
      <c r="LRY17">
        <v>0</v>
      </c>
      <c r="LRZ17">
        <v>0</v>
      </c>
      <c r="LSA17">
        <v>0</v>
      </c>
      <c r="LSB17">
        <v>0</v>
      </c>
      <c r="LSC17">
        <v>0</v>
      </c>
      <c r="LSD17">
        <v>0</v>
      </c>
      <c r="LSE17">
        <v>0</v>
      </c>
      <c r="LSF17">
        <v>0</v>
      </c>
      <c r="LSG17">
        <v>0</v>
      </c>
      <c r="LSH17">
        <v>0</v>
      </c>
      <c r="LSI17">
        <v>0</v>
      </c>
      <c r="LSJ17">
        <v>0</v>
      </c>
      <c r="LSK17">
        <v>0</v>
      </c>
      <c r="LSL17">
        <v>0</v>
      </c>
      <c r="LSM17">
        <v>0</v>
      </c>
      <c r="LSN17">
        <v>0</v>
      </c>
      <c r="LSO17">
        <v>0</v>
      </c>
      <c r="LSP17">
        <v>0</v>
      </c>
      <c r="LSQ17">
        <v>0</v>
      </c>
      <c r="LSR17">
        <v>0</v>
      </c>
      <c r="LSS17">
        <v>0</v>
      </c>
      <c r="LST17">
        <v>0</v>
      </c>
      <c r="LSU17">
        <v>0</v>
      </c>
      <c r="LSV17">
        <v>0</v>
      </c>
      <c r="LSW17">
        <v>0</v>
      </c>
      <c r="LSX17">
        <v>0</v>
      </c>
      <c r="LSY17">
        <v>0</v>
      </c>
      <c r="LSZ17">
        <v>0</v>
      </c>
      <c r="LTA17">
        <v>0</v>
      </c>
      <c r="LTB17">
        <v>0</v>
      </c>
      <c r="LTC17">
        <v>0</v>
      </c>
      <c r="LTD17">
        <v>0</v>
      </c>
      <c r="LTE17">
        <v>0</v>
      </c>
      <c r="LTF17">
        <v>0</v>
      </c>
      <c r="LTG17">
        <v>0</v>
      </c>
      <c r="LTH17">
        <v>0</v>
      </c>
      <c r="LTI17">
        <v>0</v>
      </c>
      <c r="LTJ17">
        <v>0</v>
      </c>
      <c r="LTK17">
        <v>0</v>
      </c>
      <c r="LTL17">
        <v>0</v>
      </c>
      <c r="LTM17">
        <v>0</v>
      </c>
      <c r="LTN17">
        <v>0</v>
      </c>
      <c r="LTO17">
        <v>0</v>
      </c>
      <c r="LTP17">
        <v>0</v>
      </c>
      <c r="LTQ17">
        <v>0</v>
      </c>
      <c r="LTR17">
        <v>0</v>
      </c>
      <c r="LTS17">
        <v>0</v>
      </c>
      <c r="LTT17">
        <v>0</v>
      </c>
      <c r="LTU17">
        <v>0</v>
      </c>
      <c r="LTV17">
        <v>0</v>
      </c>
      <c r="LTW17">
        <v>0</v>
      </c>
      <c r="LTX17">
        <v>0</v>
      </c>
      <c r="LTY17">
        <v>0</v>
      </c>
      <c r="LTZ17">
        <v>0</v>
      </c>
      <c r="LUA17">
        <v>0</v>
      </c>
      <c r="LUB17">
        <v>0</v>
      </c>
      <c r="LUC17">
        <v>0</v>
      </c>
      <c r="LUD17">
        <v>0</v>
      </c>
      <c r="LUE17">
        <v>0</v>
      </c>
      <c r="LUF17">
        <v>0</v>
      </c>
      <c r="LUG17">
        <v>0</v>
      </c>
      <c r="LUH17">
        <v>0</v>
      </c>
      <c r="LUI17">
        <v>0</v>
      </c>
      <c r="LUJ17">
        <v>0</v>
      </c>
      <c r="LUK17">
        <v>0</v>
      </c>
      <c r="LUL17">
        <v>0</v>
      </c>
      <c r="LUM17">
        <v>0</v>
      </c>
      <c r="LUN17">
        <v>0</v>
      </c>
      <c r="LUO17">
        <v>0</v>
      </c>
      <c r="LUP17">
        <v>0</v>
      </c>
      <c r="LUQ17">
        <v>0</v>
      </c>
      <c r="LUR17">
        <v>0</v>
      </c>
      <c r="LUS17">
        <v>0</v>
      </c>
      <c r="LUT17">
        <v>0</v>
      </c>
      <c r="LUU17">
        <v>0</v>
      </c>
      <c r="LUV17">
        <v>0</v>
      </c>
      <c r="LUW17">
        <v>0</v>
      </c>
      <c r="LUX17">
        <v>0</v>
      </c>
      <c r="LUY17">
        <v>0</v>
      </c>
      <c r="LUZ17">
        <v>0</v>
      </c>
      <c r="LVA17">
        <v>0</v>
      </c>
      <c r="LVB17">
        <v>0</v>
      </c>
      <c r="LVC17">
        <v>0</v>
      </c>
      <c r="LVD17">
        <v>0</v>
      </c>
      <c r="LVE17">
        <v>0</v>
      </c>
      <c r="LVF17">
        <v>0</v>
      </c>
      <c r="LVG17">
        <v>0</v>
      </c>
      <c r="LVH17">
        <v>0</v>
      </c>
      <c r="LVI17">
        <v>0</v>
      </c>
      <c r="LVJ17">
        <v>0</v>
      </c>
      <c r="LVK17">
        <v>0</v>
      </c>
      <c r="LVL17">
        <v>0</v>
      </c>
      <c r="LVM17">
        <v>0</v>
      </c>
      <c r="LVN17">
        <v>0</v>
      </c>
      <c r="LVO17">
        <v>0</v>
      </c>
      <c r="LVP17">
        <v>0</v>
      </c>
      <c r="LVQ17">
        <v>0</v>
      </c>
      <c r="LVR17">
        <v>0</v>
      </c>
      <c r="LVS17">
        <v>0</v>
      </c>
      <c r="LVT17">
        <v>0</v>
      </c>
      <c r="LVU17">
        <v>0</v>
      </c>
      <c r="LVV17">
        <v>0</v>
      </c>
      <c r="LVW17">
        <v>0</v>
      </c>
      <c r="LVX17">
        <v>0</v>
      </c>
      <c r="LVY17">
        <v>0</v>
      </c>
      <c r="LVZ17">
        <v>0</v>
      </c>
      <c r="LWA17">
        <v>0</v>
      </c>
      <c r="LWB17">
        <v>0</v>
      </c>
      <c r="LWC17">
        <v>0</v>
      </c>
      <c r="LWD17">
        <v>0</v>
      </c>
      <c r="LWE17">
        <v>0</v>
      </c>
      <c r="LWF17">
        <v>0</v>
      </c>
      <c r="LWG17">
        <v>0</v>
      </c>
      <c r="LWH17">
        <v>0</v>
      </c>
      <c r="LWI17">
        <v>0</v>
      </c>
      <c r="LWJ17">
        <v>0</v>
      </c>
      <c r="LWK17">
        <v>0</v>
      </c>
      <c r="LWL17">
        <v>0</v>
      </c>
      <c r="LWM17">
        <v>0</v>
      </c>
      <c r="LWN17">
        <v>0</v>
      </c>
      <c r="LWO17">
        <v>0</v>
      </c>
      <c r="LWP17">
        <v>0</v>
      </c>
      <c r="LWQ17">
        <v>0</v>
      </c>
      <c r="LWR17">
        <v>0</v>
      </c>
      <c r="LWS17">
        <v>0</v>
      </c>
      <c r="LWT17">
        <v>0</v>
      </c>
      <c r="LWU17">
        <v>0</v>
      </c>
      <c r="LWV17">
        <v>0</v>
      </c>
      <c r="LWW17">
        <v>0</v>
      </c>
      <c r="LWX17">
        <v>0</v>
      </c>
      <c r="LWY17">
        <v>0</v>
      </c>
      <c r="LWZ17">
        <v>0</v>
      </c>
      <c r="LXA17">
        <v>0</v>
      </c>
      <c r="LXB17">
        <v>0</v>
      </c>
      <c r="LXC17">
        <v>0</v>
      </c>
      <c r="LXD17">
        <v>0</v>
      </c>
      <c r="LXE17">
        <v>0</v>
      </c>
      <c r="LXF17">
        <v>0</v>
      </c>
      <c r="LXG17">
        <v>0</v>
      </c>
      <c r="LXH17">
        <v>0</v>
      </c>
      <c r="LXI17">
        <v>0</v>
      </c>
      <c r="LXJ17">
        <v>0</v>
      </c>
      <c r="LXK17">
        <v>0</v>
      </c>
      <c r="LXL17">
        <v>0</v>
      </c>
      <c r="LXM17">
        <v>0</v>
      </c>
      <c r="LXN17">
        <v>0</v>
      </c>
      <c r="LXO17">
        <v>0</v>
      </c>
      <c r="LXP17">
        <v>0</v>
      </c>
      <c r="LXQ17">
        <v>0</v>
      </c>
      <c r="LXR17">
        <v>0</v>
      </c>
      <c r="LXS17">
        <v>0</v>
      </c>
      <c r="LXT17">
        <v>0</v>
      </c>
      <c r="LXU17">
        <v>0</v>
      </c>
      <c r="LXV17">
        <v>0</v>
      </c>
      <c r="LXW17">
        <v>0</v>
      </c>
      <c r="LXX17">
        <v>0</v>
      </c>
      <c r="LXY17">
        <v>0</v>
      </c>
      <c r="LXZ17">
        <v>0</v>
      </c>
      <c r="LYA17">
        <v>0</v>
      </c>
      <c r="LYB17">
        <v>0</v>
      </c>
      <c r="LYC17">
        <v>0</v>
      </c>
      <c r="LYD17">
        <v>0</v>
      </c>
      <c r="LYE17">
        <v>0</v>
      </c>
      <c r="LYF17">
        <v>0</v>
      </c>
      <c r="LYG17">
        <v>0</v>
      </c>
      <c r="LYH17">
        <v>0</v>
      </c>
      <c r="LYI17">
        <v>0</v>
      </c>
      <c r="LYJ17">
        <v>0</v>
      </c>
      <c r="LYK17">
        <v>0</v>
      </c>
      <c r="LYL17">
        <v>0</v>
      </c>
      <c r="LYM17">
        <v>0</v>
      </c>
      <c r="LYN17">
        <v>0</v>
      </c>
      <c r="LYO17">
        <v>0</v>
      </c>
      <c r="LYP17">
        <v>0</v>
      </c>
      <c r="LYQ17">
        <v>0</v>
      </c>
      <c r="LYR17">
        <v>0</v>
      </c>
      <c r="LYS17">
        <v>0</v>
      </c>
      <c r="LYT17">
        <v>0</v>
      </c>
      <c r="LYU17">
        <v>0</v>
      </c>
      <c r="LYV17">
        <v>0</v>
      </c>
      <c r="LYW17">
        <v>0</v>
      </c>
      <c r="LYX17">
        <v>0</v>
      </c>
      <c r="LYY17">
        <v>0</v>
      </c>
      <c r="LYZ17">
        <v>0</v>
      </c>
      <c r="LZA17">
        <v>0</v>
      </c>
      <c r="LZB17">
        <v>0</v>
      </c>
      <c r="LZC17">
        <v>0</v>
      </c>
      <c r="LZD17">
        <v>0</v>
      </c>
      <c r="LZE17">
        <v>0</v>
      </c>
      <c r="LZF17">
        <v>0</v>
      </c>
      <c r="LZG17">
        <v>0</v>
      </c>
      <c r="LZH17">
        <v>0</v>
      </c>
      <c r="LZI17">
        <v>0</v>
      </c>
      <c r="LZJ17">
        <v>0</v>
      </c>
      <c r="LZK17">
        <v>0</v>
      </c>
      <c r="LZL17">
        <v>0</v>
      </c>
      <c r="LZM17">
        <v>0</v>
      </c>
      <c r="LZN17">
        <v>0</v>
      </c>
      <c r="LZO17">
        <v>0</v>
      </c>
      <c r="LZP17">
        <v>0</v>
      </c>
      <c r="LZQ17">
        <v>0</v>
      </c>
      <c r="LZR17">
        <v>0</v>
      </c>
      <c r="LZS17">
        <v>0</v>
      </c>
      <c r="LZT17">
        <v>0</v>
      </c>
      <c r="LZU17">
        <v>0</v>
      </c>
      <c r="LZV17">
        <v>0</v>
      </c>
      <c r="LZW17">
        <v>0</v>
      </c>
      <c r="LZX17">
        <v>0</v>
      </c>
      <c r="LZY17">
        <v>0</v>
      </c>
      <c r="LZZ17">
        <v>0</v>
      </c>
      <c r="MAA17">
        <v>0</v>
      </c>
      <c r="MAB17">
        <v>0</v>
      </c>
      <c r="MAC17">
        <v>0</v>
      </c>
      <c r="MAD17">
        <v>0</v>
      </c>
      <c r="MAE17">
        <v>0</v>
      </c>
      <c r="MAF17">
        <v>0</v>
      </c>
      <c r="MAG17">
        <v>0</v>
      </c>
      <c r="MAH17">
        <v>0</v>
      </c>
      <c r="MAI17">
        <v>0</v>
      </c>
      <c r="MAJ17">
        <v>0</v>
      </c>
      <c r="MAK17">
        <v>0</v>
      </c>
      <c r="MAL17">
        <v>0</v>
      </c>
      <c r="MAM17">
        <v>0</v>
      </c>
      <c r="MAN17">
        <v>0</v>
      </c>
      <c r="MAO17">
        <v>0</v>
      </c>
      <c r="MAP17">
        <v>0</v>
      </c>
      <c r="MAQ17">
        <v>0</v>
      </c>
      <c r="MAR17">
        <v>0</v>
      </c>
      <c r="MAS17">
        <v>0</v>
      </c>
      <c r="MAT17">
        <v>0</v>
      </c>
      <c r="MAU17">
        <v>0</v>
      </c>
      <c r="MAV17">
        <v>0</v>
      </c>
      <c r="MAW17">
        <v>0</v>
      </c>
      <c r="MAX17">
        <v>0</v>
      </c>
      <c r="MAY17">
        <v>0</v>
      </c>
      <c r="MAZ17">
        <v>0</v>
      </c>
      <c r="MBA17">
        <v>0</v>
      </c>
      <c r="MBB17">
        <v>0</v>
      </c>
      <c r="MBC17">
        <v>0</v>
      </c>
      <c r="MBD17">
        <v>0</v>
      </c>
      <c r="MBE17">
        <v>0</v>
      </c>
      <c r="MBF17">
        <v>0</v>
      </c>
      <c r="MBG17">
        <v>0</v>
      </c>
      <c r="MBH17">
        <v>0</v>
      </c>
      <c r="MBI17">
        <v>0</v>
      </c>
      <c r="MBJ17">
        <v>0</v>
      </c>
      <c r="MBK17">
        <v>0</v>
      </c>
      <c r="MBL17">
        <v>0</v>
      </c>
      <c r="MBM17">
        <v>0</v>
      </c>
      <c r="MBN17">
        <v>0</v>
      </c>
      <c r="MBO17">
        <v>0</v>
      </c>
      <c r="MBP17">
        <v>0</v>
      </c>
      <c r="MBQ17">
        <v>0</v>
      </c>
      <c r="MBR17">
        <v>0</v>
      </c>
      <c r="MBS17">
        <v>0</v>
      </c>
      <c r="MBT17">
        <v>0</v>
      </c>
      <c r="MBU17">
        <v>0</v>
      </c>
      <c r="MBV17">
        <v>0</v>
      </c>
      <c r="MBW17">
        <v>0</v>
      </c>
      <c r="MBX17">
        <v>0</v>
      </c>
      <c r="MBY17">
        <v>0</v>
      </c>
      <c r="MBZ17">
        <v>0</v>
      </c>
      <c r="MCA17">
        <v>0</v>
      </c>
      <c r="MCB17">
        <v>0</v>
      </c>
      <c r="MCC17">
        <v>0</v>
      </c>
      <c r="MCD17">
        <v>0</v>
      </c>
      <c r="MCE17">
        <v>0</v>
      </c>
      <c r="MCF17">
        <v>0</v>
      </c>
      <c r="MCG17">
        <v>0</v>
      </c>
      <c r="MCH17">
        <v>0</v>
      </c>
      <c r="MCI17">
        <v>0</v>
      </c>
      <c r="MCJ17">
        <v>0</v>
      </c>
      <c r="MCK17">
        <v>0</v>
      </c>
      <c r="MCL17">
        <v>0</v>
      </c>
      <c r="MCM17">
        <v>0</v>
      </c>
      <c r="MCN17">
        <v>0</v>
      </c>
      <c r="MCO17">
        <v>0</v>
      </c>
      <c r="MCP17">
        <v>0</v>
      </c>
      <c r="MCQ17">
        <v>0</v>
      </c>
      <c r="MCR17">
        <v>0</v>
      </c>
      <c r="MCS17">
        <v>0</v>
      </c>
      <c r="MCT17">
        <v>0</v>
      </c>
      <c r="MCU17">
        <v>0</v>
      </c>
      <c r="MCV17">
        <v>0</v>
      </c>
      <c r="MCW17">
        <v>0</v>
      </c>
      <c r="MCX17">
        <v>0</v>
      </c>
      <c r="MCY17">
        <v>0</v>
      </c>
      <c r="MCZ17">
        <v>0</v>
      </c>
      <c r="MDA17">
        <v>0</v>
      </c>
      <c r="MDB17">
        <v>0</v>
      </c>
      <c r="MDC17">
        <v>0</v>
      </c>
      <c r="MDD17">
        <v>0</v>
      </c>
      <c r="MDE17">
        <v>0</v>
      </c>
      <c r="MDF17">
        <v>0</v>
      </c>
      <c r="MDG17">
        <v>0</v>
      </c>
      <c r="MDH17">
        <v>0</v>
      </c>
      <c r="MDI17">
        <v>0</v>
      </c>
      <c r="MDJ17">
        <v>0</v>
      </c>
      <c r="MDK17">
        <v>0</v>
      </c>
      <c r="MDL17">
        <v>0</v>
      </c>
      <c r="MDM17">
        <v>0</v>
      </c>
      <c r="MDN17">
        <v>0</v>
      </c>
      <c r="MDO17">
        <v>0</v>
      </c>
      <c r="MDP17">
        <v>0</v>
      </c>
      <c r="MDQ17">
        <v>0</v>
      </c>
      <c r="MDR17">
        <v>0</v>
      </c>
      <c r="MDS17">
        <v>0</v>
      </c>
      <c r="MDT17">
        <v>0</v>
      </c>
      <c r="MDU17">
        <v>0</v>
      </c>
      <c r="MDV17">
        <v>0</v>
      </c>
      <c r="MDW17">
        <v>0</v>
      </c>
      <c r="MDX17">
        <v>0</v>
      </c>
      <c r="MDY17">
        <v>0</v>
      </c>
      <c r="MDZ17">
        <v>0</v>
      </c>
      <c r="MEA17">
        <v>0</v>
      </c>
      <c r="MEB17">
        <v>0</v>
      </c>
      <c r="MEC17">
        <v>0</v>
      </c>
      <c r="MED17">
        <v>0</v>
      </c>
      <c r="MEE17">
        <v>0</v>
      </c>
      <c r="MEF17">
        <v>0</v>
      </c>
      <c r="MEG17">
        <v>0</v>
      </c>
      <c r="MEH17">
        <v>0</v>
      </c>
      <c r="MEI17">
        <v>0</v>
      </c>
      <c r="MEJ17">
        <v>0</v>
      </c>
      <c r="MEK17">
        <v>0</v>
      </c>
      <c r="MEL17">
        <v>0</v>
      </c>
      <c r="MEM17">
        <v>0</v>
      </c>
      <c r="MEN17">
        <v>0</v>
      </c>
      <c r="MEO17">
        <v>0</v>
      </c>
      <c r="MEP17">
        <v>0</v>
      </c>
      <c r="MEQ17">
        <v>0</v>
      </c>
      <c r="MER17">
        <v>0</v>
      </c>
      <c r="MES17">
        <v>0</v>
      </c>
      <c r="MET17">
        <v>0</v>
      </c>
      <c r="MEU17">
        <v>0</v>
      </c>
      <c r="MEV17">
        <v>0</v>
      </c>
      <c r="MEW17">
        <v>0</v>
      </c>
      <c r="MEX17">
        <v>0</v>
      </c>
      <c r="MEY17">
        <v>0</v>
      </c>
      <c r="MEZ17">
        <v>0</v>
      </c>
      <c r="MFA17">
        <v>0</v>
      </c>
      <c r="MFB17">
        <v>0</v>
      </c>
      <c r="MFC17">
        <v>0</v>
      </c>
      <c r="MFD17">
        <v>0</v>
      </c>
      <c r="MFE17">
        <v>0</v>
      </c>
      <c r="MFF17">
        <v>0</v>
      </c>
      <c r="MFG17">
        <v>0</v>
      </c>
      <c r="MFH17">
        <v>0</v>
      </c>
      <c r="MFI17">
        <v>0</v>
      </c>
      <c r="MFJ17">
        <v>0</v>
      </c>
      <c r="MFK17">
        <v>0</v>
      </c>
      <c r="MFL17">
        <v>0</v>
      </c>
      <c r="MFM17">
        <v>0</v>
      </c>
      <c r="MFN17">
        <v>0</v>
      </c>
      <c r="MFO17">
        <v>0</v>
      </c>
      <c r="MFP17">
        <v>0</v>
      </c>
      <c r="MFQ17">
        <v>0</v>
      </c>
      <c r="MFR17">
        <v>0</v>
      </c>
      <c r="MFS17">
        <v>0</v>
      </c>
      <c r="MFT17">
        <v>0</v>
      </c>
      <c r="MFU17">
        <v>0</v>
      </c>
      <c r="MFV17">
        <v>0</v>
      </c>
      <c r="MFW17">
        <v>0</v>
      </c>
      <c r="MFX17">
        <v>0</v>
      </c>
      <c r="MFY17">
        <v>0</v>
      </c>
      <c r="MFZ17">
        <v>0</v>
      </c>
      <c r="MGA17">
        <v>0</v>
      </c>
      <c r="MGB17">
        <v>0</v>
      </c>
      <c r="MGC17">
        <v>0</v>
      </c>
      <c r="MGD17">
        <v>0</v>
      </c>
      <c r="MGE17">
        <v>0</v>
      </c>
      <c r="MGF17">
        <v>0</v>
      </c>
      <c r="MGG17">
        <v>0</v>
      </c>
      <c r="MGH17">
        <v>0</v>
      </c>
      <c r="MGI17">
        <v>0</v>
      </c>
      <c r="MGJ17">
        <v>0</v>
      </c>
      <c r="MGK17">
        <v>0</v>
      </c>
      <c r="MGL17">
        <v>0</v>
      </c>
      <c r="MGM17">
        <v>0</v>
      </c>
      <c r="MGN17">
        <v>0</v>
      </c>
      <c r="MGO17">
        <v>0</v>
      </c>
      <c r="MGP17">
        <v>0</v>
      </c>
      <c r="MGQ17">
        <v>0</v>
      </c>
      <c r="MGR17">
        <v>0</v>
      </c>
      <c r="MGS17">
        <v>0</v>
      </c>
      <c r="MGT17">
        <v>0</v>
      </c>
      <c r="MGU17">
        <v>0</v>
      </c>
      <c r="MGV17">
        <v>0</v>
      </c>
      <c r="MGW17">
        <v>0</v>
      </c>
      <c r="MGX17">
        <v>0</v>
      </c>
      <c r="MGY17">
        <v>0</v>
      </c>
      <c r="MGZ17">
        <v>0</v>
      </c>
      <c r="MHA17">
        <v>0</v>
      </c>
      <c r="MHB17">
        <v>0</v>
      </c>
      <c r="MHC17">
        <v>0</v>
      </c>
      <c r="MHD17">
        <v>0</v>
      </c>
      <c r="MHE17">
        <v>0</v>
      </c>
      <c r="MHF17">
        <v>0</v>
      </c>
      <c r="MHG17">
        <v>0</v>
      </c>
      <c r="MHH17">
        <v>0</v>
      </c>
      <c r="MHI17">
        <v>0</v>
      </c>
      <c r="MHJ17">
        <v>0</v>
      </c>
      <c r="MHK17">
        <v>0</v>
      </c>
      <c r="MHL17">
        <v>0</v>
      </c>
      <c r="MHM17">
        <v>0</v>
      </c>
      <c r="MHN17">
        <v>0</v>
      </c>
      <c r="MHO17">
        <v>0</v>
      </c>
      <c r="MHP17">
        <v>0</v>
      </c>
      <c r="MHQ17">
        <v>0</v>
      </c>
      <c r="MHR17">
        <v>0</v>
      </c>
      <c r="MHS17">
        <v>0</v>
      </c>
      <c r="MHT17">
        <v>0</v>
      </c>
      <c r="MHU17">
        <v>0</v>
      </c>
      <c r="MHV17">
        <v>0</v>
      </c>
      <c r="MHW17">
        <v>0</v>
      </c>
      <c r="MHX17">
        <v>0</v>
      </c>
      <c r="MHY17">
        <v>0</v>
      </c>
      <c r="MHZ17">
        <v>0</v>
      </c>
      <c r="MIA17">
        <v>0</v>
      </c>
      <c r="MIB17">
        <v>0</v>
      </c>
      <c r="MIC17">
        <v>0</v>
      </c>
      <c r="MID17">
        <v>0</v>
      </c>
      <c r="MIE17">
        <v>0</v>
      </c>
      <c r="MIF17">
        <v>0</v>
      </c>
      <c r="MIG17">
        <v>0</v>
      </c>
      <c r="MIH17">
        <v>0</v>
      </c>
      <c r="MII17">
        <v>0</v>
      </c>
      <c r="MIJ17">
        <v>0</v>
      </c>
      <c r="MIK17">
        <v>0</v>
      </c>
      <c r="MIL17">
        <v>0</v>
      </c>
      <c r="MIM17">
        <v>0</v>
      </c>
      <c r="MIN17">
        <v>0</v>
      </c>
      <c r="MIO17">
        <v>0</v>
      </c>
      <c r="MIP17">
        <v>0</v>
      </c>
      <c r="MIQ17">
        <v>0</v>
      </c>
      <c r="MIR17">
        <v>0</v>
      </c>
      <c r="MIS17">
        <v>0</v>
      </c>
      <c r="MIT17">
        <v>0</v>
      </c>
      <c r="MIU17">
        <v>0</v>
      </c>
      <c r="MIV17">
        <v>0</v>
      </c>
      <c r="MIW17">
        <v>0</v>
      </c>
      <c r="MIX17">
        <v>0</v>
      </c>
      <c r="MIY17">
        <v>0</v>
      </c>
      <c r="MIZ17">
        <v>0</v>
      </c>
      <c r="MJA17">
        <v>0</v>
      </c>
      <c r="MJB17">
        <v>0</v>
      </c>
      <c r="MJC17">
        <v>0</v>
      </c>
      <c r="MJD17">
        <v>0</v>
      </c>
      <c r="MJE17">
        <v>0</v>
      </c>
      <c r="MJF17">
        <v>0</v>
      </c>
      <c r="MJG17">
        <v>0</v>
      </c>
      <c r="MJH17">
        <v>0</v>
      </c>
      <c r="MJI17">
        <v>0</v>
      </c>
      <c r="MJJ17">
        <v>0</v>
      </c>
      <c r="MJK17">
        <v>0</v>
      </c>
      <c r="MJL17">
        <v>0</v>
      </c>
      <c r="MJM17">
        <v>0</v>
      </c>
      <c r="MJN17">
        <v>0</v>
      </c>
      <c r="MJO17">
        <v>0</v>
      </c>
      <c r="MJP17">
        <v>0</v>
      </c>
      <c r="MJQ17">
        <v>0</v>
      </c>
      <c r="MJR17">
        <v>0</v>
      </c>
      <c r="MJS17">
        <v>0</v>
      </c>
      <c r="MJT17">
        <v>0</v>
      </c>
      <c r="MJU17">
        <v>0</v>
      </c>
      <c r="MJV17">
        <v>0</v>
      </c>
      <c r="MJW17">
        <v>0</v>
      </c>
      <c r="MJX17">
        <v>0</v>
      </c>
      <c r="MJY17">
        <v>0</v>
      </c>
      <c r="MJZ17">
        <v>0</v>
      </c>
      <c r="MKA17">
        <v>0</v>
      </c>
      <c r="MKB17">
        <v>0</v>
      </c>
      <c r="MKC17">
        <v>0</v>
      </c>
      <c r="MKD17">
        <v>0</v>
      </c>
      <c r="MKE17">
        <v>0</v>
      </c>
      <c r="MKF17">
        <v>0</v>
      </c>
      <c r="MKG17">
        <v>0</v>
      </c>
      <c r="MKH17">
        <v>0</v>
      </c>
      <c r="MKI17">
        <v>0</v>
      </c>
      <c r="MKJ17">
        <v>0</v>
      </c>
      <c r="MKK17">
        <v>0</v>
      </c>
      <c r="MKL17">
        <v>0</v>
      </c>
      <c r="MKM17">
        <v>0</v>
      </c>
      <c r="MKN17">
        <v>0</v>
      </c>
      <c r="MKO17">
        <v>0</v>
      </c>
      <c r="MKP17">
        <v>0</v>
      </c>
      <c r="MKQ17">
        <v>0</v>
      </c>
      <c r="MKR17">
        <v>0</v>
      </c>
      <c r="MKS17">
        <v>0</v>
      </c>
      <c r="MKT17">
        <v>0</v>
      </c>
      <c r="MKU17">
        <v>0</v>
      </c>
      <c r="MKV17">
        <v>0</v>
      </c>
      <c r="MKW17">
        <v>0</v>
      </c>
      <c r="MKX17">
        <v>0</v>
      </c>
      <c r="MKY17">
        <v>0</v>
      </c>
      <c r="MKZ17">
        <v>0</v>
      </c>
      <c r="MLA17">
        <v>0</v>
      </c>
      <c r="MLB17">
        <v>0</v>
      </c>
      <c r="MLC17">
        <v>0</v>
      </c>
      <c r="MLD17">
        <v>0</v>
      </c>
      <c r="MLE17">
        <v>0</v>
      </c>
      <c r="MLF17">
        <v>0</v>
      </c>
      <c r="MLG17">
        <v>0</v>
      </c>
      <c r="MLH17">
        <v>0</v>
      </c>
      <c r="MLI17">
        <v>0</v>
      </c>
      <c r="MLJ17">
        <v>0</v>
      </c>
      <c r="MLK17">
        <v>0</v>
      </c>
      <c r="MLL17">
        <v>0</v>
      </c>
      <c r="MLM17">
        <v>0</v>
      </c>
      <c r="MLN17">
        <v>0</v>
      </c>
      <c r="MLO17">
        <v>0</v>
      </c>
      <c r="MLP17">
        <v>0</v>
      </c>
      <c r="MLQ17">
        <v>0</v>
      </c>
      <c r="MLR17">
        <v>0</v>
      </c>
      <c r="MLS17">
        <v>0</v>
      </c>
      <c r="MLT17">
        <v>0</v>
      </c>
      <c r="MLU17">
        <v>0</v>
      </c>
      <c r="MLV17">
        <v>0</v>
      </c>
      <c r="MLW17">
        <v>0</v>
      </c>
      <c r="MLX17">
        <v>0</v>
      </c>
      <c r="MLY17">
        <v>0</v>
      </c>
      <c r="MLZ17">
        <v>0</v>
      </c>
      <c r="MMA17">
        <v>0</v>
      </c>
      <c r="MMB17">
        <v>0</v>
      </c>
      <c r="MMC17">
        <v>0</v>
      </c>
      <c r="MMD17">
        <v>0</v>
      </c>
      <c r="MME17">
        <v>0</v>
      </c>
      <c r="MMF17">
        <v>0</v>
      </c>
      <c r="MMG17">
        <v>0</v>
      </c>
      <c r="MMH17">
        <v>0</v>
      </c>
      <c r="MMI17">
        <v>0</v>
      </c>
      <c r="MMJ17">
        <v>0</v>
      </c>
      <c r="MMK17">
        <v>0</v>
      </c>
      <c r="MML17">
        <v>0</v>
      </c>
      <c r="MMM17">
        <v>0</v>
      </c>
      <c r="MMN17">
        <v>0</v>
      </c>
      <c r="MMO17">
        <v>0</v>
      </c>
      <c r="MMP17">
        <v>0</v>
      </c>
      <c r="MMQ17">
        <v>0</v>
      </c>
      <c r="MMR17">
        <v>0</v>
      </c>
      <c r="MMS17">
        <v>0</v>
      </c>
      <c r="MMT17">
        <v>0</v>
      </c>
      <c r="MMU17">
        <v>0</v>
      </c>
      <c r="MMV17">
        <v>0</v>
      </c>
      <c r="MMW17">
        <v>0</v>
      </c>
      <c r="MMX17">
        <v>0</v>
      </c>
      <c r="MMY17">
        <v>0</v>
      </c>
      <c r="MMZ17">
        <v>0</v>
      </c>
      <c r="MNA17">
        <v>0</v>
      </c>
      <c r="MNB17">
        <v>0</v>
      </c>
      <c r="MNC17">
        <v>0</v>
      </c>
      <c r="MND17">
        <v>0</v>
      </c>
      <c r="MNE17">
        <v>0</v>
      </c>
      <c r="MNF17">
        <v>0</v>
      </c>
      <c r="MNG17">
        <v>0</v>
      </c>
      <c r="MNH17">
        <v>0</v>
      </c>
      <c r="MNI17">
        <v>0</v>
      </c>
      <c r="MNJ17">
        <v>0</v>
      </c>
      <c r="MNK17">
        <v>0</v>
      </c>
      <c r="MNL17">
        <v>0</v>
      </c>
      <c r="MNM17">
        <v>0</v>
      </c>
      <c r="MNN17">
        <v>0</v>
      </c>
      <c r="MNO17">
        <v>0</v>
      </c>
      <c r="MNP17">
        <v>0</v>
      </c>
      <c r="MNQ17">
        <v>0</v>
      </c>
      <c r="MNR17">
        <v>0</v>
      </c>
      <c r="MNS17">
        <v>0</v>
      </c>
      <c r="MNT17">
        <v>0</v>
      </c>
      <c r="MNU17">
        <v>0</v>
      </c>
      <c r="MNV17">
        <v>0</v>
      </c>
      <c r="MNW17">
        <v>0</v>
      </c>
      <c r="MNX17">
        <v>0</v>
      </c>
      <c r="MNY17">
        <v>0</v>
      </c>
      <c r="MNZ17">
        <v>0</v>
      </c>
      <c r="MOA17">
        <v>0</v>
      </c>
      <c r="MOB17">
        <v>0</v>
      </c>
      <c r="MOC17">
        <v>0</v>
      </c>
      <c r="MOD17">
        <v>0</v>
      </c>
      <c r="MOE17">
        <v>0</v>
      </c>
      <c r="MOF17">
        <v>0</v>
      </c>
      <c r="MOG17">
        <v>0</v>
      </c>
      <c r="MOH17">
        <v>0</v>
      </c>
      <c r="MOI17">
        <v>0</v>
      </c>
      <c r="MOJ17">
        <v>0</v>
      </c>
      <c r="MOK17">
        <v>0</v>
      </c>
      <c r="MOL17">
        <v>0</v>
      </c>
      <c r="MOM17">
        <v>0</v>
      </c>
      <c r="MON17">
        <v>0</v>
      </c>
      <c r="MOO17">
        <v>0</v>
      </c>
      <c r="MOP17">
        <v>0</v>
      </c>
      <c r="MOQ17">
        <v>0</v>
      </c>
      <c r="MOR17">
        <v>0</v>
      </c>
      <c r="MOS17">
        <v>0</v>
      </c>
      <c r="MOT17">
        <v>0</v>
      </c>
      <c r="MOU17">
        <v>0</v>
      </c>
      <c r="MOV17">
        <v>0</v>
      </c>
      <c r="MOW17">
        <v>0</v>
      </c>
      <c r="MOX17">
        <v>0</v>
      </c>
      <c r="MOY17">
        <v>0</v>
      </c>
      <c r="MOZ17">
        <v>0</v>
      </c>
      <c r="MPA17">
        <v>0</v>
      </c>
      <c r="MPB17">
        <v>0</v>
      </c>
      <c r="MPC17">
        <v>0</v>
      </c>
      <c r="MPD17">
        <v>0</v>
      </c>
      <c r="MPE17">
        <v>0</v>
      </c>
      <c r="MPF17">
        <v>0</v>
      </c>
      <c r="MPG17">
        <v>0</v>
      </c>
      <c r="MPH17">
        <v>0</v>
      </c>
      <c r="MPI17">
        <v>0</v>
      </c>
      <c r="MPJ17">
        <v>0</v>
      </c>
      <c r="MPK17">
        <v>0</v>
      </c>
      <c r="MPL17">
        <v>0</v>
      </c>
      <c r="MPM17">
        <v>0</v>
      </c>
      <c r="MPN17">
        <v>0</v>
      </c>
      <c r="MPO17">
        <v>0</v>
      </c>
      <c r="MPP17">
        <v>0</v>
      </c>
      <c r="MPQ17">
        <v>0</v>
      </c>
      <c r="MPR17">
        <v>0</v>
      </c>
      <c r="MPS17">
        <v>0</v>
      </c>
      <c r="MPT17">
        <v>0</v>
      </c>
      <c r="MPU17">
        <v>0</v>
      </c>
      <c r="MPV17">
        <v>0</v>
      </c>
      <c r="MPW17">
        <v>0</v>
      </c>
      <c r="MPX17">
        <v>0</v>
      </c>
      <c r="MPY17">
        <v>0</v>
      </c>
      <c r="MPZ17">
        <v>0</v>
      </c>
      <c r="MQA17">
        <v>0</v>
      </c>
      <c r="MQB17">
        <v>0</v>
      </c>
      <c r="MQC17">
        <v>0</v>
      </c>
      <c r="MQD17">
        <v>0</v>
      </c>
      <c r="MQE17">
        <v>0</v>
      </c>
      <c r="MQF17">
        <v>0</v>
      </c>
      <c r="MQG17">
        <v>0</v>
      </c>
      <c r="MQH17">
        <v>0</v>
      </c>
      <c r="MQI17">
        <v>0</v>
      </c>
      <c r="MQJ17">
        <v>0</v>
      </c>
      <c r="MQK17">
        <v>0</v>
      </c>
      <c r="MQL17">
        <v>0</v>
      </c>
      <c r="MQM17">
        <v>0</v>
      </c>
      <c r="MQN17">
        <v>0</v>
      </c>
      <c r="MQO17">
        <v>0</v>
      </c>
      <c r="MQP17">
        <v>0</v>
      </c>
      <c r="MQQ17">
        <v>0</v>
      </c>
      <c r="MQR17">
        <v>0</v>
      </c>
      <c r="MQS17">
        <v>0</v>
      </c>
      <c r="MQT17">
        <v>0</v>
      </c>
      <c r="MQU17">
        <v>0</v>
      </c>
      <c r="MQV17">
        <v>0</v>
      </c>
      <c r="MQW17">
        <v>0</v>
      </c>
      <c r="MQX17">
        <v>0</v>
      </c>
      <c r="MQY17">
        <v>0</v>
      </c>
      <c r="MQZ17">
        <v>0</v>
      </c>
      <c r="MRA17">
        <v>0</v>
      </c>
      <c r="MRB17">
        <v>0</v>
      </c>
      <c r="MRC17">
        <v>0</v>
      </c>
      <c r="MRD17">
        <v>0</v>
      </c>
      <c r="MRE17">
        <v>0</v>
      </c>
      <c r="MRF17">
        <v>0</v>
      </c>
      <c r="MRG17">
        <v>0</v>
      </c>
      <c r="MRH17">
        <v>0</v>
      </c>
      <c r="MRI17">
        <v>0</v>
      </c>
      <c r="MRJ17">
        <v>0</v>
      </c>
      <c r="MRK17">
        <v>0</v>
      </c>
      <c r="MRL17">
        <v>0</v>
      </c>
      <c r="MRM17">
        <v>0</v>
      </c>
      <c r="MRN17">
        <v>0</v>
      </c>
      <c r="MRO17">
        <v>0</v>
      </c>
      <c r="MRP17">
        <v>0</v>
      </c>
      <c r="MRQ17">
        <v>0</v>
      </c>
      <c r="MRR17">
        <v>0</v>
      </c>
      <c r="MRS17">
        <v>0</v>
      </c>
      <c r="MRT17">
        <v>0</v>
      </c>
      <c r="MRU17">
        <v>0</v>
      </c>
      <c r="MRV17">
        <v>0</v>
      </c>
      <c r="MRW17">
        <v>0</v>
      </c>
      <c r="MRX17">
        <v>0</v>
      </c>
      <c r="MRY17">
        <v>0</v>
      </c>
      <c r="MRZ17">
        <v>0</v>
      </c>
      <c r="MSA17">
        <v>0</v>
      </c>
      <c r="MSB17">
        <v>0</v>
      </c>
      <c r="MSC17">
        <v>0</v>
      </c>
      <c r="MSD17">
        <v>0</v>
      </c>
      <c r="MSE17">
        <v>0</v>
      </c>
      <c r="MSF17">
        <v>0</v>
      </c>
      <c r="MSG17">
        <v>0</v>
      </c>
      <c r="MSH17">
        <v>0</v>
      </c>
      <c r="MSI17">
        <v>0</v>
      </c>
      <c r="MSJ17">
        <v>0</v>
      </c>
      <c r="MSK17">
        <v>0</v>
      </c>
      <c r="MSL17">
        <v>0</v>
      </c>
      <c r="MSM17">
        <v>0</v>
      </c>
      <c r="MSN17">
        <v>0</v>
      </c>
      <c r="MSO17">
        <v>0</v>
      </c>
      <c r="MSP17">
        <v>0</v>
      </c>
      <c r="MSQ17">
        <v>0</v>
      </c>
      <c r="MSR17">
        <v>0</v>
      </c>
      <c r="MSS17">
        <v>0</v>
      </c>
      <c r="MST17">
        <v>0</v>
      </c>
      <c r="MSU17">
        <v>0</v>
      </c>
      <c r="MSV17">
        <v>0</v>
      </c>
      <c r="MSW17">
        <v>0</v>
      </c>
      <c r="MSX17">
        <v>0</v>
      </c>
      <c r="MSY17">
        <v>0</v>
      </c>
      <c r="MSZ17">
        <v>0</v>
      </c>
      <c r="MTA17">
        <v>0</v>
      </c>
      <c r="MTB17">
        <v>0</v>
      </c>
      <c r="MTC17">
        <v>0</v>
      </c>
      <c r="MTD17">
        <v>0</v>
      </c>
      <c r="MTE17">
        <v>0</v>
      </c>
      <c r="MTF17">
        <v>0</v>
      </c>
      <c r="MTG17">
        <v>0</v>
      </c>
      <c r="MTH17">
        <v>0</v>
      </c>
      <c r="MTI17">
        <v>0</v>
      </c>
      <c r="MTJ17">
        <v>0</v>
      </c>
      <c r="MTK17">
        <v>0</v>
      </c>
      <c r="MTL17">
        <v>0</v>
      </c>
      <c r="MTM17">
        <v>0</v>
      </c>
      <c r="MTN17">
        <v>0</v>
      </c>
      <c r="MTO17">
        <v>0</v>
      </c>
      <c r="MTP17">
        <v>0</v>
      </c>
      <c r="MTQ17">
        <v>0</v>
      </c>
      <c r="MTR17">
        <v>0</v>
      </c>
      <c r="MTS17">
        <v>0</v>
      </c>
      <c r="MTT17">
        <v>0</v>
      </c>
      <c r="MTU17">
        <v>0</v>
      </c>
      <c r="MTV17">
        <v>0</v>
      </c>
      <c r="MTW17">
        <v>0</v>
      </c>
      <c r="MTX17">
        <v>0</v>
      </c>
      <c r="MTY17">
        <v>0</v>
      </c>
      <c r="MTZ17">
        <v>0</v>
      </c>
      <c r="MUA17">
        <v>0</v>
      </c>
      <c r="MUB17">
        <v>0</v>
      </c>
      <c r="MUC17">
        <v>0</v>
      </c>
      <c r="MUD17">
        <v>0</v>
      </c>
      <c r="MUE17">
        <v>0</v>
      </c>
      <c r="MUF17">
        <v>0</v>
      </c>
      <c r="MUG17">
        <v>0</v>
      </c>
      <c r="MUH17">
        <v>0</v>
      </c>
      <c r="MUI17">
        <v>0</v>
      </c>
      <c r="MUJ17">
        <v>0</v>
      </c>
      <c r="MUK17">
        <v>0</v>
      </c>
      <c r="MUL17">
        <v>0</v>
      </c>
      <c r="MUM17">
        <v>0</v>
      </c>
      <c r="MUN17">
        <v>0</v>
      </c>
      <c r="MUO17">
        <v>0</v>
      </c>
      <c r="MUP17">
        <v>0</v>
      </c>
      <c r="MUQ17">
        <v>0</v>
      </c>
      <c r="MUR17">
        <v>0</v>
      </c>
      <c r="MUS17">
        <v>0</v>
      </c>
      <c r="MUT17">
        <v>0</v>
      </c>
      <c r="MUU17">
        <v>0</v>
      </c>
      <c r="MUV17">
        <v>0</v>
      </c>
      <c r="MUW17">
        <v>0</v>
      </c>
      <c r="MUX17">
        <v>0</v>
      </c>
      <c r="MUY17">
        <v>0</v>
      </c>
      <c r="MUZ17">
        <v>0</v>
      </c>
      <c r="MVA17">
        <v>0</v>
      </c>
      <c r="MVB17">
        <v>0</v>
      </c>
      <c r="MVC17">
        <v>0</v>
      </c>
      <c r="MVD17">
        <v>0</v>
      </c>
      <c r="MVE17">
        <v>0</v>
      </c>
      <c r="MVF17">
        <v>0</v>
      </c>
      <c r="MVG17">
        <v>0</v>
      </c>
      <c r="MVH17">
        <v>0</v>
      </c>
      <c r="MVI17">
        <v>0</v>
      </c>
      <c r="MVJ17">
        <v>0</v>
      </c>
      <c r="MVK17">
        <v>0</v>
      </c>
      <c r="MVL17">
        <v>0</v>
      </c>
      <c r="MVM17">
        <v>0</v>
      </c>
      <c r="MVN17">
        <v>0</v>
      </c>
      <c r="MVO17">
        <v>0</v>
      </c>
      <c r="MVP17">
        <v>0</v>
      </c>
      <c r="MVQ17">
        <v>0</v>
      </c>
      <c r="MVR17">
        <v>0</v>
      </c>
      <c r="MVS17">
        <v>0</v>
      </c>
      <c r="MVT17">
        <v>0</v>
      </c>
      <c r="MVU17">
        <v>0</v>
      </c>
      <c r="MVV17">
        <v>0</v>
      </c>
      <c r="MVW17">
        <v>0</v>
      </c>
      <c r="MVX17">
        <v>0</v>
      </c>
      <c r="MVY17">
        <v>0</v>
      </c>
      <c r="MVZ17">
        <v>0</v>
      </c>
      <c r="MWA17">
        <v>0</v>
      </c>
      <c r="MWB17">
        <v>0</v>
      </c>
      <c r="MWC17">
        <v>0</v>
      </c>
      <c r="MWD17">
        <v>0</v>
      </c>
      <c r="MWE17">
        <v>0</v>
      </c>
      <c r="MWF17">
        <v>0</v>
      </c>
      <c r="MWG17">
        <v>0</v>
      </c>
      <c r="MWH17">
        <v>0</v>
      </c>
      <c r="MWI17">
        <v>0</v>
      </c>
      <c r="MWJ17">
        <v>0</v>
      </c>
      <c r="MWK17">
        <v>0</v>
      </c>
      <c r="MWL17">
        <v>0</v>
      </c>
      <c r="MWM17">
        <v>0</v>
      </c>
      <c r="MWN17">
        <v>0</v>
      </c>
      <c r="MWO17">
        <v>0</v>
      </c>
      <c r="MWP17">
        <v>0</v>
      </c>
      <c r="MWQ17">
        <v>0</v>
      </c>
      <c r="MWR17">
        <v>0</v>
      </c>
      <c r="MWS17">
        <v>0</v>
      </c>
      <c r="MWT17">
        <v>0</v>
      </c>
      <c r="MWU17">
        <v>0</v>
      </c>
      <c r="MWV17">
        <v>0</v>
      </c>
      <c r="MWW17">
        <v>0</v>
      </c>
      <c r="MWX17">
        <v>0</v>
      </c>
      <c r="MWY17">
        <v>0</v>
      </c>
      <c r="MWZ17">
        <v>0</v>
      </c>
      <c r="MXA17">
        <v>0</v>
      </c>
      <c r="MXB17">
        <v>0</v>
      </c>
      <c r="MXC17">
        <v>0</v>
      </c>
      <c r="MXD17">
        <v>0</v>
      </c>
      <c r="MXE17">
        <v>0</v>
      </c>
      <c r="MXF17">
        <v>0</v>
      </c>
      <c r="MXG17">
        <v>0</v>
      </c>
      <c r="MXH17">
        <v>0</v>
      </c>
      <c r="MXI17">
        <v>0</v>
      </c>
      <c r="MXJ17">
        <v>0</v>
      </c>
      <c r="MXK17">
        <v>0</v>
      </c>
      <c r="MXL17">
        <v>0</v>
      </c>
      <c r="MXM17">
        <v>0</v>
      </c>
      <c r="MXN17">
        <v>0</v>
      </c>
      <c r="MXO17">
        <v>0</v>
      </c>
      <c r="MXP17">
        <v>0</v>
      </c>
      <c r="MXQ17">
        <v>0</v>
      </c>
      <c r="MXR17">
        <v>0</v>
      </c>
      <c r="MXS17">
        <v>0</v>
      </c>
      <c r="MXT17">
        <v>0</v>
      </c>
      <c r="MXU17">
        <v>0</v>
      </c>
      <c r="MXV17">
        <v>0</v>
      </c>
      <c r="MXW17">
        <v>0</v>
      </c>
      <c r="MXX17">
        <v>0</v>
      </c>
      <c r="MXY17">
        <v>0</v>
      </c>
      <c r="MXZ17">
        <v>0</v>
      </c>
      <c r="MYA17">
        <v>0</v>
      </c>
      <c r="MYB17">
        <v>0</v>
      </c>
      <c r="MYC17">
        <v>0</v>
      </c>
      <c r="MYD17">
        <v>0</v>
      </c>
      <c r="MYE17">
        <v>0</v>
      </c>
      <c r="MYF17">
        <v>0</v>
      </c>
      <c r="MYG17">
        <v>0</v>
      </c>
      <c r="MYH17">
        <v>0</v>
      </c>
      <c r="MYI17">
        <v>0</v>
      </c>
      <c r="MYJ17">
        <v>0</v>
      </c>
      <c r="MYK17">
        <v>0</v>
      </c>
      <c r="MYL17">
        <v>0</v>
      </c>
      <c r="MYM17">
        <v>0</v>
      </c>
      <c r="MYN17">
        <v>0</v>
      </c>
      <c r="MYO17">
        <v>0</v>
      </c>
      <c r="MYP17">
        <v>0</v>
      </c>
      <c r="MYQ17">
        <v>0</v>
      </c>
      <c r="MYR17">
        <v>0</v>
      </c>
      <c r="MYS17">
        <v>0</v>
      </c>
      <c r="MYT17">
        <v>0</v>
      </c>
      <c r="MYU17">
        <v>0</v>
      </c>
      <c r="MYV17">
        <v>0</v>
      </c>
      <c r="MYW17">
        <v>0</v>
      </c>
      <c r="MYX17">
        <v>0</v>
      </c>
      <c r="MYY17">
        <v>0</v>
      </c>
      <c r="MYZ17">
        <v>0</v>
      </c>
      <c r="MZA17">
        <v>0</v>
      </c>
      <c r="MZB17">
        <v>0</v>
      </c>
      <c r="MZC17">
        <v>0</v>
      </c>
      <c r="MZD17">
        <v>0</v>
      </c>
      <c r="MZE17">
        <v>0</v>
      </c>
      <c r="MZF17">
        <v>0</v>
      </c>
      <c r="MZG17">
        <v>0</v>
      </c>
      <c r="MZH17">
        <v>0</v>
      </c>
      <c r="MZI17">
        <v>0</v>
      </c>
      <c r="MZJ17">
        <v>0</v>
      </c>
      <c r="MZK17">
        <v>0</v>
      </c>
      <c r="MZL17">
        <v>0</v>
      </c>
      <c r="MZM17">
        <v>0</v>
      </c>
      <c r="MZN17">
        <v>0</v>
      </c>
      <c r="MZO17">
        <v>0</v>
      </c>
      <c r="MZP17">
        <v>0</v>
      </c>
      <c r="MZQ17">
        <v>0</v>
      </c>
      <c r="MZR17">
        <v>0</v>
      </c>
      <c r="MZS17">
        <v>0</v>
      </c>
      <c r="MZT17">
        <v>0</v>
      </c>
      <c r="MZU17">
        <v>0</v>
      </c>
      <c r="MZV17">
        <v>0</v>
      </c>
      <c r="MZW17">
        <v>0</v>
      </c>
      <c r="MZX17">
        <v>0</v>
      </c>
      <c r="MZY17">
        <v>0</v>
      </c>
      <c r="MZZ17">
        <v>0</v>
      </c>
      <c r="NAA17">
        <v>0</v>
      </c>
      <c r="NAB17">
        <v>0</v>
      </c>
      <c r="NAC17">
        <v>0</v>
      </c>
      <c r="NAD17">
        <v>0</v>
      </c>
      <c r="NAE17">
        <v>0</v>
      </c>
      <c r="NAF17">
        <v>0</v>
      </c>
      <c r="NAG17">
        <v>0</v>
      </c>
      <c r="NAH17">
        <v>0</v>
      </c>
      <c r="NAI17">
        <v>0</v>
      </c>
      <c r="NAJ17">
        <v>0</v>
      </c>
      <c r="NAK17">
        <v>0</v>
      </c>
      <c r="NAL17">
        <v>0</v>
      </c>
      <c r="NAM17">
        <v>0</v>
      </c>
      <c r="NAN17">
        <v>0</v>
      </c>
      <c r="NAO17">
        <v>0</v>
      </c>
      <c r="NAP17">
        <v>0</v>
      </c>
      <c r="NAQ17">
        <v>0</v>
      </c>
      <c r="NAR17">
        <v>0</v>
      </c>
      <c r="NAS17">
        <v>0</v>
      </c>
      <c r="NAT17">
        <v>0</v>
      </c>
      <c r="NAU17">
        <v>0</v>
      </c>
      <c r="NAV17">
        <v>0</v>
      </c>
      <c r="NAW17">
        <v>0</v>
      </c>
      <c r="NAX17">
        <v>0</v>
      </c>
      <c r="NAY17">
        <v>0</v>
      </c>
      <c r="NAZ17">
        <v>0</v>
      </c>
      <c r="NBA17">
        <v>0</v>
      </c>
      <c r="NBB17">
        <v>0</v>
      </c>
      <c r="NBC17">
        <v>0</v>
      </c>
      <c r="NBD17">
        <v>0</v>
      </c>
      <c r="NBE17">
        <v>0</v>
      </c>
      <c r="NBF17">
        <v>0</v>
      </c>
      <c r="NBG17">
        <v>0</v>
      </c>
      <c r="NBH17">
        <v>0</v>
      </c>
      <c r="NBI17">
        <v>0</v>
      </c>
      <c r="NBJ17">
        <v>0</v>
      </c>
      <c r="NBK17">
        <v>0</v>
      </c>
      <c r="NBL17">
        <v>0</v>
      </c>
      <c r="NBM17">
        <v>0</v>
      </c>
      <c r="NBN17">
        <v>0</v>
      </c>
      <c r="NBO17">
        <v>0</v>
      </c>
      <c r="NBP17">
        <v>0</v>
      </c>
      <c r="NBQ17">
        <v>0</v>
      </c>
      <c r="NBR17">
        <v>0</v>
      </c>
      <c r="NBS17">
        <v>0</v>
      </c>
      <c r="NBT17">
        <v>0</v>
      </c>
      <c r="NBU17">
        <v>0</v>
      </c>
      <c r="NBV17">
        <v>0</v>
      </c>
      <c r="NBW17">
        <v>0</v>
      </c>
      <c r="NBX17">
        <v>0</v>
      </c>
      <c r="NBY17">
        <v>0</v>
      </c>
      <c r="NBZ17">
        <v>0</v>
      </c>
      <c r="NCA17">
        <v>0</v>
      </c>
      <c r="NCB17">
        <v>0</v>
      </c>
      <c r="NCC17">
        <v>0</v>
      </c>
      <c r="NCD17">
        <v>0</v>
      </c>
      <c r="NCE17">
        <v>0</v>
      </c>
      <c r="NCF17">
        <v>0</v>
      </c>
      <c r="NCG17">
        <v>0</v>
      </c>
      <c r="NCH17">
        <v>0</v>
      </c>
      <c r="NCI17">
        <v>0</v>
      </c>
      <c r="NCJ17">
        <v>0</v>
      </c>
      <c r="NCK17">
        <v>0</v>
      </c>
      <c r="NCL17">
        <v>0</v>
      </c>
      <c r="NCM17">
        <v>0</v>
      </c>
      <c r="NCN17">
        <v>0</v>
      </c>
      <c r="NCO17">
        <v>0</v>
      </c>
      <c r="NCP17">
        <v>0</v>
      </c>
      <c r="NCQ17">
        <v>0</v>
      </c>
      <c r="NCR17">
        <v>0</v>
      </c>
      <c r="NCS17">
        <v>0</v>
      </c>
      <c r="NCT17">
        <v>0</v>
      </c>
      <c r="NCU17">
        <v>0</v>
      </c>
      <c r="NCV17">
        <v>0</v>
      </c>
      <c r="NCW17">
        <v>0</v>
      </c>
      <c r="NCX17">
        <v>0</v>
      </c>
      <c r="NCY17">
        <v>0</v>
      </c>
      <c r="NCZ17">
        <v>0</v>
      </c>
      <c r="NDA17">
        <v>0</v>
      </c>
      <c r="NDB17">
        <v>0</v>
      </c>
      <c r="NDC17">
        <v>0</v>
      </c>
      <c r="NDD17">
        <v>0</v>
      </c>
      <c r="NDE17">
        <v>0</v>
      </c>
      <c r="NDF17">
        <v>0</v>
      </c>
      <c r="NDG17">
        <v>0</v>
      </c>
      <c r="NDH17">
        <v>0</v>
      </c>
      <c r="NDI17">
        <v>0</v>
      </c>
      <c r="NDJ17">
        <v>0</v>
      </c>
      <c r="NDK17">
        <v>0</v>
      </c>
      <c r="NDL17">
        <v>0</v>
      </c>
      <c r="NDM17">
        <v>0</v>
      </c>
      <c r="NDN17">
        <v>0</v>
      </c>
      <c r="NDO17">
        <v>0</v>
      </c>
      <c r="NDP17">
        <v>0</v>
      </c>
      <c r="NDQ17">
        <v>0</v>
      </c>
      <c r="NDR17">
        <v>0</v>
      </c>
      <c r="NDS17">
        <v>0</v>
      </c>
      <c r="NDT17">
        <v>0</v>
      </c>
      <c r="NDU17">
        <v>0</v>
      </c>
      <c r="NDV17">
        <v>0</v>
      </c>
      <c r="NDW17">
        <v>0</v>
      </c>
      <c r="NDX17">
        <v>0</v>
      </c>
      <c r="NDY17">
        <v>0</v>
      </c>
      <c r="NDZ17">
        <v>0</v>
      </c>
      <c r="NEA17">
        <v>0</v>
      </c>
      <c r="NEB17">
        <v>0</v>
      </c>
      <c r="NEC17">
        <v>0</v>
      </c>
      <c r="NED17">
        <v>0</v>
      </c>
      <c r="NEE17">
        <v>0</v>
      </c>
      <c r="NEF17">
        <v>0</v>
      </c>
      <c r="NEG17">
        <v>0</v>
      </c>
      <c r="NEH17">
        <v>0</v>
      </c>
      <c r="NEI17">
        <v>0</v>
      </c>
      <c r="NEJ17">
        <v>0</v>
      </c>
      <c r="NEK17">
        <v>0</v>
      </c>
      <c r="NEL17">
        <v>0</v>
      </c>
      <c r="NEM17">
        <v>0</v>
      </c>
      <c r="NEN17">
        <v>0</v>
      </c>
      <c r="NEO17">
        <v>0</v>
      </c>
      <c r="NEP17">
        <v>0</v>
      </c>
      <c r="NEQ17">
        <v>0</v>
      </c>
      <c r="NER17">
        <v>0</v>
      </c>
      <c r="NES17">
        <v>0</v>
      </c>
      <c r="NET17">
        <v>0</v>
      </c>
      <c r="NEU17">
        <v>0</v>
      </c>
      <c r="NEV17">
        <v>0</v>
      </c>
      <c r="NEW17">
        <v>0</v>
      </c>
      <c r="NEX17">
        <v>0</v>
      </c>
      <c r="NEY17">
        <v>0</v>
      </c>
      <c r="NEZ17">
        <v>0</v>
      </c>
      <c r="NFA17">
        <v>0</v>
      </c>
      <c r="NFB17">
        <v>0</v>
      </c>
      <c r="NFC17">
        <v>0</v>
      </c>
      <c r="NFD17">
        <v>0</v>
      </c>
      <c r="NFE17">
        <v>0</v>
      </c>
      <c r="NFF17">
        <v>0</v>
      </c>
      <c r="NFG17">
        <v>0</v>
      </c>
      <c r="NFH17">
        <v>0</v>
      </c>
      <c r="NFI17">
        <v>0</v>
      </c>
      <c r="NFJ17">
        <v>0</v>
      </c>
      <c r="NFK17">
        <v>0</v>
      </c>
      <c r="NFL17">
        <v>0</v>
      </c>
      <c r="NFM17">
        <v>0</v>
      </c>
      <c r="NFN17">
        <v>0</v>
      </c>
      <c r="NFO17">
        <v>0</v>
      </c>
      <c r="NFP17">
        <v>0</v>
      </c>
      <c r="NFQ17">
        <v>0</v>
      </c>
      <c r="NFR17">
        <v>0</v>
      </c>
      <c r="NFS17">
        <v>0</v>
      </c>
      <c r="NFT17">
        <v>0</v>
      </c>
      <c r="NFU17">
        <v>0</v>
      </c>
      <c r="NFV17">
        <v>0</v>
      </c>
      <c r="NFW17">
        <v>0</v>
      </c>
      <c r="NFX17">
        <v>0</v>
      </c>
      <c r="NFY17">
        <v>0</v>
      </c>
      <c r="NFZ17">
        <v>0</v>
      </c>
      <c r="NGA17">
        <v>0</v>
      </c>
      <c r="NGB17">
        <v>0</v>
      </c>
      <c r="NGC17">
        <v>0</v>
      </c>
      <c r="NGD17">
        <v>0</v>
      </c>
      <c r="NGE17">
        <v>0</v>
      </c>
      <c r="NGF17">
        <v>0</v>
      </c>
      <c r="NGG17">
        <v>0</v>
      </c>
      <c r="NGH17">
        <v>0</v>
      </c>
      <c r="NGI17">
        <v>0</v>
      </c>
      <c r="NGJ17">
        <v>0</v>
      </c>
      <c r="NGK17">
        <v>0</v>
      </c>
      <c r="NGL17">
        <v>0</v>
      </c>
      <c r="NGM17">
        <v>0</v>
      </c>
      <c r="NGN17">
        <v>0</v>
      </c>
      <c r="NGO17">
        <v>0</v>
      </c>
      <c r="NGP17">
        <v>0</v>
      </c>
      <c r="NGQ17">
        <v>0</v>
      </c>
      <c r="NGR17">
        <v>0</v>
      </c>
      <c r="NGS17">
        <v>0</v>
      </c>
      <c r="NGT17">
        <v>0</v>
      </c>
      <c r="NGU17">
        <v>0</v>
      </c>
      <c r="NGV17">
        <v>0</v>
      </c>
      <c r="NGW17">
        <v>0</v>
      </c>
      <c r="NGX17">
        <v>0</v>
      </c>
      <c r="NGY17">
        <v>0</v>
      </c>
      <c r="NGZ17">
        <v>0</v>
      </c>
      <c r="NHA17">
        <v>0</v>
      </c>
      <c r="NHB17">
        <v>0</v>
      </c>
      <c r="NHC17">
        <v>0</v>
      </c>
      <c r="NHD17">
        <v>0</v>
      </c>
      <c r="NHE17">
        <v>0</v>
      </c>
      <c r="NHF17">
        <v>0</v>
      </c>
      <c r="NHG17">
        <v>0</v>
      </c>
      <c r="NHH17">
        <v>0</v>
      </c>
      <c r="NHI17">
        <v>0</v>
      </c>
      <c r="NHJ17">
        <v>0</v>
      </c>
      <c r="NHK17">
        <v>0</v>
      </c>
      <c r="NHL17">
        <v>0</v>
      </c>
      <c r="NHM17">
        <v>0</v>
      </c>
      <c r="NHN17">
        <v>0</v>
      </c>
      <c r="NHO17">
        <v>0</v>
      </c>
      <c r="NHP17">
        <v>0</v>
      </c>
      <c r="NHQ17">
        <v>0</v>
      </c>
      <c r="NHR17">
        <v>0</v>
      </c>
      <c r="NHS17">
        <v>0</v>
      </c>
      <c r="NHT17">
        <v>0</v>
      </c>
      <c r="NHU17">
        <v>0</v>
      </c>
      <c r="NHV17">
        <v>0</v>
      </c>
      <c r="NHW17">
        <v>0</v>
      </c>
      <c r="NHX17">
        <v>0</v>
      </c>
      <c r="NHY17">
        <v>0</v>
      </c>
      <c r="NHZ17">
        <v>0</v>
      </c>
      <c r="NIA17">
        <v>0</v>
      </c>
      <c r="NIB17">
        <v>0</v>
      </c>
      <c r="NIC17">
        <v>0</v>
      </c>
      <c r="NID17">
        <v>0</v>
      </c>
      <c r="NIE17">
        <v>0</v>
      </c>
      <c r="NIF17">
        <v>0</v>
      </c>
      <c r="NIG17">
        <v>0</v>
      </c>
      <c r="NIH17">
        <v>0</v>
      </c>
      <c r="NII17">
        <v>0</v>
      </c>
      <c r="NIJ17">
        <v>0</v>
      </c>
      <c r="NIK17">
        <v>0</v>
      </c>
      <c r="NIL17">
        <v>0</v>
      </c>
      <c r="NIM17">
        <v>0</v>
      </c>
      <c r="NIN17">
        <v>0</v>
      </c>
      <c r="NIO17">
        <v>0</v>
      </c>
      <c r="NIP17">
        <v>0</v>
      </c>
      <c r="NIQ17">
        <v>0</v>
      </c>
      <c r="NIR17">
        <v>0</v>
      </c>
      <c r="NIS17">
        <v>0</v>
      </c>
      <c r="NIT17">
        <v>0</v>
      </c>
      <c r="NIU17">
        <v>0</v>
      </c>
      <c r="NIV17">
        <v>0</v>
      </c>
      <c r="NIW17">
        <v>0</v>
      </c>
      <c r="NIX17">
        <v>0</v>
      </c>
      <c r="NIY17">
        <v>0</v>
      </c>
      <c r="NIZ17">
        <v>0</v>
      </c>
      <c r="NJA17">
        <v>0</v>
      </c>
      <c r="NJB17">
        <v>0</v>
      </c>
      <c r="NJC17">
        <v>0</v>
      </c>
      <c r="NJD17">
        <v>0</v>
      </c>
      <c r="NJE17">
        <v>0</v>
      </c>
      <c r="NJF17">
        <v>0</v>
      </c>
      <c r="NJG17">
        <v>0</v>
      </c>
      <c r="NJH17">
        <v>0</v>
      </c>
      <c r="NJI17">
        <v>0</v>
      </c>
      <c r="NJJ17">
        <v>0</v>
      </c>
      <c r="NJK17">
        <v>0</v>
      </c>
      <c r="NJL17">
        <v>0</v>
      </c>
      <c r="NJM17">
        <v>0</v>
      </c>
      <c r="NJN17">
        <v>0</v>
      </c>
      <c r="NJO17">
        <v>0</v>
      </c>
      <c r="NJP17">
        <v>0</v>
      </c>
      <c r="NJQ17">
        <v>0</v>
      </c>
      <c r="NJR17">
        <v>0</v>
      </c>
      <c r="NJS17">
        <v>0</v>
      </c>
      <c r="NJT17">
        <v>0</v>
      </c>
      <c r="NJU17">
        <v>0</v>
      </c>
      <c r="NJV17">
        <v>0</v>
      </c>
      <c r="NJW17">
        <v>0</v>
      </c>
      <c r="NJX17">
        <v>0</v>
      </c>
      <c r="NJY17">
        <v>0</v>
      </c>
      <c r="NJZ17">
        <v>0</v>
      </c>
      <c r="NKA17">
        <v>0</v>
      </c>
      <c r="NKB17">
        <v>0</v>
      </c>
      <c r="NKC17">
        <v>0</v>
      </c>
      <c r="NKD17">
        <v>0</v>
      </c>
      <c r="NKE17">
        <v>0</v>
      </c>
      <c r="NKF17">
        <v>0</v>
      </c>
      <c r="NKG17">
        <v>0</v>
      </c>
      <c r="NKH17">
        <v>0</v>
      </c>
      <c r="NKI17">
        <v>0</v>
      </c>
      <c r="NKJ17">
        <v>0</v>
      </c>
      <c r="NKK17">
        <v>0</v>
      </c>
      <c r="NKL17">
        <v>0</v>
      </c>
      <c r="NKM17">
        <v>0</v>
      </c>
      <c r="NKN17">
        <v>0</v>
      </c>
      <c r="NKO17">
        <v>0</v>
      </c>
      <c r="NKP17">
        <v>0</v>
      </c>
      <c r="NKQ17">
        <v>0</v>
      </c>
      <c r="NKR17">
        <v>0</v>
      </c>
      <c r="NKS17">
        <v>0</v>
      </c>
      <c r="NKT17">
        <v>0</v>
      </c>
      <c r="NKU17">
        <v>0</v>
      </c>
      <c r="NKV17">
        <v>0</v>
      </c>
      <c r="NKW17">
        <v>0</v>
      </c>
      <c r="NKX17">
        <v>0</v>
      </c>
      <c r="NKY17">
        <v>0</v>
      </c>
      <c r="NKZ17">
        <v>0</v>
      </c>
      <c r="NLA17">
        <v>0</v>
      </c>
      <c r="NLB17">
        <v>0</v>
      </c>
      <c r="NLC17">
        <v>0</v>
      </c>
      <c r="NLD17">
        <v>0</v>
      </c>
      <c r="NLE17">
        <v>0</v>
      </c>
      <c r="NLF17">
        <v>0</v>
      </c>
      <c r="NLG17">
        <v>0</v>
      </c>
      <c r="NLH17">
        <v>0</v>
      </c>
      <c r="NLI17">
        <v>0</v>
      </c>
      <c r="NLJ17">
        <v>0</v>
      </c>
      <c r="NLK17">
        <v>0</v>
      </c>
      <c r="NLL17">
        <v>0</v>
      </c>
      <c r="NLM17">
        <v>0</v>
      </c>
      <c r="NLN17">
        <v>0</v>
      </c>
      <c r="NLO17">
        <v>0</v>
      </c>
      <c r="NLP17">
        <v>0</v>
      </c>
      <c r="NLQ17">
        <v>0</v>
      </c>
      <c r="NLR17">
        <v>0</v>
      </c>
      <c r="NLS17">
        <v>0</v>
      </c>
      <c r="NLT17">
        <v>0</v>
      </c>
      <c r="NLU17">
        <v>0</v>
      </c>
      <c r="NLV17">
        <v>0</v>
      </c>
      <c r="NLW17">
        <v>0</v>
      </c>
      <c r="NLX17">
        <v>0</v>
      </c>
      <c r="NLY17">
        <v>0</v>
      </c>
      <c r="NLZ17">
        <v>0</v>
      </c>
      <c r="NMA17">
        <v>0</v>
      </c>
      <c r="NMB17">
        <v>0</v>
      </c>
      <c r="NMC17">
        <v>0</v>
      </c>
      <c r="NMD17">
        <v>0</v>
      </c>
      <c r="NME17">
        <v>0</v>
      </c>
      <c r="NMF17">
        <v>0</v>
      </c>
      <c r="NMG17">
        <v>0</v>
      </c>
      <c r="NMH17">
        <v>0</v>
      </c>
      <c r="NMI17">
        <v>0</v>
      </c>
      <c r="NMJ17">
        <v>0</v>
      </c>
      <c r="NMK17">
        <v>0</v>
      </c>
      <c r="NML17">
        <v>0</v>
      </c>
      <c r="NMM17">
        <v>0</v>
      </c>
      <c r="NMN17">
        <v>0</v>
      </c>
      <c r="NMO17">
        <v>0</v>
      </c>
      <c r="NMP17">
        <v>0</v>
      </c>
      <c r="NMQ17">
        <v>0</v>
      </c>
      <c r="NMR17">
        <v>0</v>
      </c>
      <c r="NMS17">
        <v>0</v>
      </c>
      <c r="NMT17">
        <v>0</v>
      </c>
      <c r="NMU17">
        <v>0</v>
      </c>
      <c r="NMV17">
        <v>0</v>
      </c>
      <c r="NMW17">
        <v>0</v>
      </c>
      <c r="NMX17">
        <v>0</v>
      </c>
      <c r="NMY17">
        <v>0</v>
      </c>
      <c r="NMZ17">
        <v>0</v>
      </c>
      <c r="NNA17">
        <v>0</v>
      </c>
      <c r="NNB17">
        <v>0</v>
      </c>
      <c r="NNC17">
        <v>0</v>
      </c>
      <c r="NND17">
        <v>0</v>
      </c>
      <c r="NNE17">
        <v>0</v>
      </c>
      <c r="NNF17">
        <v>0</v>
      </c>
      <c r="NNG17">
        <v>0</v>
      </c>
      <c r="NNH17">
        <v>0</v>
      </c>
      <c r="NNI17">
        <v>0</v>
      </c>
      <c r="NNJ17">
        <v>0</v>
      </c>
      <c r="NNK17">
        <v>0</v>
      </c>
      <c r="NNL17">
        <v>0</v>
      </c>
      <c r="NNM17">
        <v>0</v>
      </c>
      <c r="NNN17">
        <v>0</v>
      </c>
      <c r="NNO17">
        <v>0</v>
      </c>
      <c r="NNP17">
        <v>0</v>
      </c>
      <c r="NNQ17">
        <v>0</v>
      </c>
      <c r="NNR17">
        <v>0</v>
      </c>
      <c r="NNS17">
        <v>0</v>
      </c>
      <c r="NNT17">
        <v>0</v>
      </c>
      <c r="NNU17">
        <v>0</v>
      </c>
      <c r="NNV17">
        <v>0</v>
      </c>
      <c r="NNW17">
        <v>0</v>
      </c>
      <c r="NNX17">
        <v>0</v>
      </c>
      <c r="NNY17">
        <v>0</v>
      </c>
      <c r="NNZ17">
        <v>0</v>
      </c>
      <c r="NOA17">
        <v>0</v>
      </c>
      <c r="NOB17">
        <v>0</v>
      </c>
      <c r="NOC17">
        <v>0</v>
      </c>
      <c r="NOD17">
        <v>0</v>
      </c>
      <c r="NOE17">
        <v>0</v>
      </c>
      <c r="NOF17">
        <v>0</v>
      </c>
      <c r="NOG17">
        <v>0</v>
      </c>
      <c r="NOH17">
        <v>0</v>
      </c>
      <c r="NOI17">
        <v>0</v>
      </c>
      <c r="NOJ17">
        <v>0</v>
      </c>
      <c r="NOK17">
        <v>0</v>
      </c>
      <c r="NOL17">
        <v>0</v>
      </c>
      <c r="NOM17">
        <v>0</v>
      </c>
      <c r="NON17">
        <v>0</v>
      </c>
      <c r="NOO17">
        <v>0</v>
      </c>
      <c r="NOP17">
        <v>0</v>
      </c>
      <c r="NOQ17">
        <v>0</v>
      </c>
      <c r="NOR17">
        <v>0</v>
      </c>
      <c r="NOS17">
        <v>0</v>
      </c>
      <c r="NOT17">
        <v>0</v>
      </c>
      <c r="NOU17">
        <v>0</v>
      </c>
      <c r="NOV17">
        <v>0</v>
      </c>
      <c r="NOW17">
        <v>0</v>
      </c>
      <c r="NOX17">
        <v>0</v>
      </c>
      <c r="NOY17">
        <v>0</v>
      </c>
      <c r="NOZ17">
        <v>0</v>
      </c>
      <c r="NPA17">
        <v>0</v>
      </c>
      <c r="NPB17">
        <v>0</v>
      </c>
      <c r="NPC17">
        <v>0</v>
      </c>
      <c r="NPD17">
        <v>0</v>
      </c>
      <c r="NPE17">
        <v>0</v>
      </c>
      <c r="NPF17">
        <v>0</v>
      </c>
      <c r="NPG17">
        <v>0</v>
      </c>
      <c r="NPH17">
        <v>0</v>
      </c>
      <c r="NPI17">
        <v>0</v>
      </c>
      <c r="NPJ17">
        <v>0</v>
      </c>
      <c r="NPK17">
        <v>0</v>
      </c>
      <c r="NPL17">
        <v>0</v>
      </c>
      <c r="NPM17">
        <v>0</v>
      </c>
      <c r="NPN17">
        <v>0</v>
      </c>
      <c r="NPO17">
        <v>0</v>
      </c>
      <c r="NPP17">
        <v>0</v>
      </c>
      <c r="NPQ17">
        <v>0</v>
      </c>
      <c r="NPR17">
        <v>0</v>
      </c>
      <c r="NPS17">
        <v>0</v>
      </c>
      <c r="NPT17">
        <v>0</v>
      </c>
      <c r="NPU17">
        <v>0</v>
      </c>
      <c r="NPV17">
        <v>0</v>
      </c>
      <c r="NPW17">
        <v>0</v>
      </c>
      <c r="NPX17">
        <v>0</v>
      </c>
      <c r="NPY17">
        <v>0</v>
      </c>
      <c r="NPZ17">
        <v>0</v>
      </c>
      <c r="NQA17">
        <v>0</v>
      </c>
      <c r="NQB17">
        <v>0</v>
      </c>
      <c r="NQC17">
        <v>0</v>
      </c>
      <c r="NQD17">
        <v>0</v>
      </c>
      <c r="NQE17">
        <v>0</v>
      </c>
      <c r="NQF17">
        <v>0</v>
      </c>
      <c r="NQG17">
        <v>0</v>
      </c>
      <c r="NQH17">
        <v>0</v>
      </c>
      <c r="NQI17">
        <v>0</v>
      </c>
      <c r="NQJ17">
        <v>0</v>
      </c>
      <c r="NQK17">
        <v>0</v>
      </c>
      <c r="NQL17">
        <v>0</v>
      </c>
      <c r="NQM17">
        <v>0</v>
      </c>
      <c r="NQN17">
        <v>0</v>
      </c>
      <c r="NQO17">
        <v>0</v>
      </c>
      <c r="NQP17">
        <v>0</v>
      </c>
      <c r="NQQ17">
        <v>0</v>
      </c>
      <c r="NQR17">
        <v>0</v>
      </c>
      <c r="NQS17">
        <v>0</v>
      </c>
      <c r="NQT17">
        <v>0</v>
      </c>
      <c r="NQU17">
        <v>0</v>
      </c>
      <c r="NQV17">
        <v>0</v>
      </c>
      <c r="NQW17">
        <v>0</v>
      </c>
      <c r="NQX17">
        <v>0</v>
      </c>
      <c r="NQY17">
        <v>0</v>
      </c>
      <c r="NQZ17">
        <v>0</v>
      </c>
      <c r="NRA17">
        <v>0</v>
      </c>
      <c r="NRB17">
        <v>0</v>
      </c>
      <c r="NRC17">
        <v>0</v>
      </c>
      <c r="NRD17">
        <v>0</v>
      </c>
      <c r="NRE17">
        <v>0</v>
      </c>
      <c r="NRF17">
        <v>0</v>
      </c>
      <c r="NRG17">
        <v>0</v>
      </c>
      <c r="NRH17">
        <v>0</v>
      </c>
      <c r="NRI17">
        <v>0</v>
      </c>
      <c r="NRJ17">
        <v>0</v>
      </c>
      <c r="NRK17">
        <v>0</v>
      </c>
      <c r="NRL17">
        <v>0</v>
      </c>
      <c r="NRM17">
        <v>0</v>
      </c>
      <c r="NRN17">
        <v>0</v>
      </c>
      <c r="NRO17">
        <v>0</v>
      </c>
      <c r="NRP17">
        <v>0</v>
      </c>
      <c r="NRQ17">
        <v>0</v>
      </c>
      <c r="NRR17">
        <v>0</v>
      </c>
      <c r="NRS17">
        <v>0</v>
      </c>
      <c r="NRT17">
        <v>0</v>
      </c>
      <c r="NRU17">
        <v>0</v>
      </c>
      <c r="NRV17">
        <v>0</v>
      </c>
      <c r="NRW17">
        <v>0</v>
      </c>
      <c r="NRX17">
        <v>0</v>
      </c>
      <c r="NRY17">
        <v>0</v>
      </c>
      <c r="NRZ17">
        <v>0</v>
      </c>
      <c r="NSA17">
        <v>0</v>
      </c>
      <c r="NSB17">
        <v>0</v>
      </c>
      <c r="NSC17">
        <v>0</v>
      </c>
      <c r="NSD17">
        <v>0</v>
      </c>
      <c r="NSE17">
        <v>0</v>
      </c>
      <c r="NSF17">
        <v>0</v>
      </c>
      <c r="NSG17">
        <v>0</v>
      </c>
      <c r="NSH17">
        <v>0</v>
      </c>
      <c r="NSI17">
        <v>0</v>
      </c>
      <c r="NSJ17">
        <v>0</v>
      </c>
      <c r="NSK17">
        <v>0</v>
      </c>
      <c r="NSL17">
        <v>0</v>
      </c>
      <c r="NSM17">
        <v>0</v>
      </c>
      <c r="NSN17">
        <v>0</v>
      </c>
      <c r="NSO17">
        <v>0</v>
      </c>
      <c r="NSP17">
        <v>0</v>
      </c>
      <c r="NSQ17">
        <v>0</v>
      </c>
      <c r="NSR17">
        <v>0</v>
      </c>
      <c r="NSS17">
        <v>0</v>
      </c>
      <c r="NST17">
        <v>0</v>
      </c>
      <c r="NSU17">
        <v>0</v>
      </c>
      <c r="NSV17">
        <v>0</v>
      </c>
      <c r="NSW17">
        <v>0</v>
      </c>
      <c r="NSX17">
        <v>0</v>
      </c>
      <c r="NSY17">
        <v>0</v>
      </c>
      <c r="NSZ17">
        <v>0</v>
      </c>
      <c r="NTA17">
        <v>0</v>
      </c>
      <c r="NTB17">
        <v>0</v>
      </c>
      <c r="NTC17">
        <v>0</v>
      </c>
      <c r="NTD17">
        <v>0</v>
      </c>
      <c r="NTE17">
        <v>0</v>
      </c>
      <c r="NTF17">
        <v>0</v>
      </c>
      <c r="NTG17">
        <v>0</v>
      </c>
      <c r="NTH17">
        <v>0</v>
      </c>
      <c r="NTI17">
        <v>0</v>
      </c>
      <c r="NTJ17">
        <v>0</v>
      </c>
      <c r="NTK17">
        <v>0</v>
      </c>
      <c r="NTL17">
        <v>0</v>
      </c>
      <c r="NTM17">
        <v>0</v>
      </c>
      <c r="NTN17">
        <v>0</v>
      </c>
      <c r="NTO17">
        <v>0</v>
      </c>
      <c r="NTP17">
        <v>0</v>
      </c>
      <c r="NTQ17">
        <v>0</v>
      </c>
      <c r="NTR17">
        <v>0</v>
      </c>
      <c r="NTS17">
        <v>0</v>
      </c>
      <c r="NTT17">
        <v>0</v>
      </c>
      <c r="NTU17">
        <v>0</v>
      </c>
      <c r="NTV17">
        <v>0</v>
      </c>
      <c r="NTW17">
        <v>0</v>
      </c>
      <c r="NTX17">
        <v>0</v>
      </c>
      <c r="NTY17">
        <v>0</v>
      </c>
      <c r="NTZ17">
        <v>0</v>
      </c>
      <c r="NUA17">
        <v>0</v>
      </c>
      <c r="NUB17">
        <v>0</v>
      </c>
      <c r="NUC17">
        <v>0</v>
      </c>
      <c r="NUD17">
        <v>0</v>
      </c>
      <c r="NUE17">
        <v>0</v>
      </c>
      <c r="NUF17">
        <v>0</v>
      </c>
      <c r="NUG17">
        <v>0</v>
      </c>
      <c r="NUH17">
        <v>0</v>
      </c>
      <c r="NUI17">
        <v>0</v>
      </c>
      <c r="NUJ17">
        <v>0</v>
      </c>
      <c r="NUK17">
        <v>0</v>
      </c>
      <c r="NUL17">
        <v>0</v>
      </c>
      <c r="NUM17">
        <v>0</v>
      </c>
      <c r="NUN17">
        <v>0</v>
      </c>
      <c r="NUO17">
        <v>0</v>
      </c>
      <c r="NUP17">
        <v>0</v>
      </c>
      <c r="NUQ17">
        <v>0</v>
      </c>
      <c r="NUR17">
        <v>0</v>
      </c>
      <c r="NUS17">
        <v>0</v>
      </c>
      <c r="NUT17">
        <v>0</v>
      </c>
      <c r="NUU17">
        <v>0</v>
      </c>
      <c r="NUV17">
        <v>0</v>
      </c>
      <c r="NUW17">
        <v>0</v>
      </c>
      <c r="NUX17">
        <v>0</v>
      </c>
      <c r="NUY17">
        <v>0</v>
      </c>
      <c r="NUZ17">
        <v>0</v>
      </c>
      <c r="NVA17">
        <v>0</v>
      </c>
      <c r="NVB17">
        <v>0</v>
      </c>
      <c r="NVC17">
        <v>0</v>
      </c>
      <c r="NVD17">
        <v>0</v>
      </c>
      <c r="NVE17">
        <v>0</v>
      </c>
      <c r="NVF17">
        <v>0</v>
      </c>
      <c r="NVG17">
        <v>0</v>
      </c>
      <c r="NVH17">
        <v>0</v>
      </c>
      <c r="NVI17">
        <v>0</v>
      </c>
      <c r="NVJ17">
        <v>0</v>
      </c>
      <c r="NVK17">
        <v>0</v>
      </c>
      <c r="NVL17">
        <v>0</v>
      </c>
      <c r="NVM17">
        <v>0</v>
      </c>
      <c r="NVN17">
        <v>0</v>
      </c>
      <c r="NVO17">
        <v>0</v>
      </c>
      <c r="NVP17">
        <v>0</v>
      </c>
      <c r="NVQ17">
        <v>0</v>
      </c>
      <c r="NVR17">
        <v>0</v>
      </c>
      <c r="NVS17">
        <v>0</v>
      </c>
      <c r="NVT17">
        <v>0</v>
      </c>
      <c r="NVU17">
        <v>0</v>
      </c>
      <c r="NVV17">
        <v>0</v>
      </c>
      <c r="NVW17">
        <v>0</v>
      </c>
      <c r="NVX17">
        <v>0</v>
      </c>
      <c r="NVY17">
        <v>0</v>
      </c>
      <c r="NVZ17">
        <v>0</v>
      </c>
      <c r="NWA17">
        <v>0</v>
      </c>
      <c r="NWB17">
        <v>0</v>
      </c>
      <c r="NWC17">
        <v>0</v>
      </c>
      <c r="NWD17">
        <v>0</v>
      </c>
      <c r="NWE17">
        <v>0</v>
      </c>
      <c r="NWF17">
        <v>0</v>
      </c>
      <c r="NWG17">
        <v>0</v>
      </c>
      <c r="NWH17">
        <v>0</v>
      </c>
      <c r="NWI17">
        <v>0</v>
      </c>
      <c r="NWJ17">
        <v>0</v>
      </c>
      <c r="NWK17">
        <v>0</v>
      </c>
      <c r="NWL17">
        <v>0</v>
      </c>
      <c r="NWM17">
        <v>0</v>
      </c>
      <c r="NWN17">
        <v>0</v>
      </c>
      <c r="NWO17">
        <v>0</v>
      </c>
      <c r="NWP17">
        <v>0</v>
      </c>
      <c r="NWQ17">
        <v>0</v>
      </c>
      <c r="NWR17">
        <v>0</v>
      </c>
      <c r="NWS17">
        <v>0</v>
      </c>
      <c r="NWT17">
        <v>0</v>
      </c>
      <c r="NWU17">
        <v>0</v>
      </c>
      <c r="NWV17">
        <v>0</v>
      </c>
      <c r="NWW17">
        <v>0</v>
      </c>
      <c r="NWX17">
        <v>0</v>
      </c>
      <c r="NWY17">
        <v>0</v>
      </c>
      <c r="NWZ17">
        <v>0</v>
      </c>
      <c r="NXA17">
        <v>0</v>
      </c>
      <c r="NXB17">
        <v>0</v>
      </c>
      <c r="NXC17">
        <v>0</v>
      </c>
      <c r="NXD17">
        <v>0</v>
      </c>
      <c r="NXE17">
        <v>0</v>
      </c>
      <c r="NXF17">
        <v>0</v>
      </c>
      <c r="NXG17">
        <v>0</v>
      </c>
      <c r="NXH17">
        <v>0</v>
      </c>
      <c r="NXI17">
        <v>0</v>
      </c>
      <c r="NXJ17">
        <v>0</v>
      </c>
      <c r="NXK17">
        <v>0</v>
      </c>
      <c r="NXL17">
        <v>0</v>
      </c>
      <c r="NXM17">
        <v>0</v>
      </c>
      <c r="NXN17">
        <v>0</v>
      </c>
      <c r="NXO17">
        <v>0</v>
      </c>
      <c r="NXP17">
        <v>0</v>
      </c>
      <c r="NXQ17">
        <v>0</v>
      </c>
      <c r="NXR17">
        <v>0</v>
      </c>
      <c r="NXS17">
        <v>0</v>
      </c>
      <c r="NXT17">
        <v>0</v>
      </c>
      <c r="NXU17">
        <v>0</v>
      </c>
      <c r="NXV17">
        <v>0</v>
      </c>
      <c r="NXW17">
        <v>0</v>
      </c>
      <c r="NXX17">
        <v>0</v>
      </c>
      <c r="NXY17">
        <v>0</v>
      </c>
      <c r="NXZ17">
        <v>0</v>
      </c>
      <c r="NYA17">
        <v>0</v>
      </c>
      <c r="NYB17">
        <v>0</v>
      </c>
      <c r="NYC17">
        <v>0</v>
      </c>
      <c r="NYD17">
        <v>0</v>
      </c>
      <c r="NYE17">
        <v>0</v>
      </c>
      <c r="NYF17">
        <v>0</v>
      </c>
      <c r="NYG17">
        <v>0</v>
      </c>
      <c r="NYH17">
        <v>0</v>
      </c>
      <c r="NYI17">
        <v>0</v>
      </c>
      <c r="NYJ17">
        <v>0</v>
      </c>
      <c r="NYK17">
        <v>0</v>
      </c>
      <c r="NYL17">
        <v>0</v>
      </c>
      <c r="NYM17">
        <v>0</v>
      </c>
      <c r="NYN17">
        <v>0</v>
      </c>
      <c r="NYO17">
        <v>0</v>
      </c>
      <c r="NYP17">
        <v>0</v>
      </c>
      <c r="NYQ17">
        <v>0</v>
      </c>
      <c r="NYR17">
        <v>0</v>
      </c>
      <c r="NYS17">
        <v>0</v>
      </c>
      <c r="NYT17">
        <v>0</v>
      </c>
      <c r="NYU17">
        <v>0</v>
      </c>
      <c r="NYV17">
        <v>0</v>
      </c>
      <c r="NYW17">
        <v>0</v>
      </c>
      <c r="NYX17">
        <v>0</v>
      </c>
      <c r="NYY17">
        <v>0</v>
      </c>
      <c r="NYZ17">
        <v>0</v>
      </c>
      <c r="NZA17">
        <v>0</v>
      </c>
      <c r="NZB17">
        <v>0</v>
      </c>
      <c r="NZC17">
        <v>0</v>
      </c>
      <c r="NZD17">
        <v>0</v>
      </c>
      <c r="NZE17">
        <v>0</v>
      </c>
      <c r="NZF17">
        <v>0</v>
      </c>
      <c r="NZG17">
        <v>0</v>
      </c>
      <c r="NZH17">
        <v>0</v>
      </c>
      <c r="NZI17">
        <v>0</v>
      </c>
      <c r="NZJ17">
        <v>0</v>
      </c>
      <c r="NZK17">
        <v>0</v>
      </c>
      <c r="NZL17">
        <v>0</v>
      </c>
      <c r="NZM17">
        <v>0</v>
      </c>
      <c r="NZN17">
        <v>0</v>
      </c>
      <c r="NZO17">
        <v>0</v>
      </c>
      <c r="NZP17">
        <v>0</v>
      </c>
      <c r="NZQ17">
        <v>0</v>
      </c>
      <c r="NZR17">
        <v>0</v>
      </c>
      <c r="NZS17">
        <v>0</v>
      </c>
      <c r="NZT17">
        <v>0</v>
      </c>
      <c r="NZU17">
        <v>0</v>
      </c>
      <c r="NZV17">
        <v>0</v>
      </c>
      <c r="NZW17">
        <v>0</v>
      </c>
      <c r="NZX17">
        <v>0</v>
      </c>
      <c r="NZY17">
        <v>0</v>
      </c>
      <c r="NZZ17">
        <v>0</v>
      </c>
      <c r="OAA17">
        <v>0</v>
      </c>
      <c r="OAB17">
        <v>0</v>
      </c>
      <c r="OAC17">
        <v>0</v>
      </c>
      <c r="OAD17">
        <v>0</v>
      </c>
      <c r="OAE17">
        <v>0</v>
      </c>
      <c r="OAF17">
        <v>0</v>
      </c>
      <c r="OAG17">
        <v>0</v>
      </c>
      <c r="OAH17">
        <v>0</v>
      </c>
      <c r="OAI17">
        <v>0</v>
      </c>
      <c r="OAJ17">
        <v>0</v>
      </c>
      <c r="OAK17">
        <v>0</v>
      </c>
      <c r="OAL17">
        <v>0</v>
      </c>
      <c r="OAM17">
        <v>0</v>
      </c>
      <c r="OAN17">
        <v>0</v>
      </c>
      <c r="OAO17">
        <v>0</v>
      </c>
      <c r="OAP17">
        <v>0</v>
      </c>
      <c r="OAQ17">
        <v>0</v>
      </c>
      <c r="OAR17">
        <v>0</v>
      </c>
      <c r="OAS17">
        <v>0</v>
      </c>
      <c r="OAT17">
        <v>0</v>
      </c>
      <c r="OAU17">
        <v>0</v>
      </c>
      <c r="OAV17">
        <v>0</v>
      </c>
      <c r="OAW17">
        <v>0</v>
      </c>
      <c r="OAX17">
        <v>0</v>
      </c>
      <c r="OAY17">
        <v>0</v>
      </c>
      <c r="OAZ17">
        <v>0</v>
      </c>
      <c r="OBA17">
        <v>0</v>
      </c>
      <c r="OBB17">
        <v>0</v>
      </c>
      <c r="OBC17">
        <v>0</v>
      </c>
      <c r="OBD17">
        <v>0</v>
      </c>
      <c r="OBE17">
        <v>0</v>
      </c>
      <c r="OBF17">
        <v>0</v>
      </c>
      <c r="OBG17">
        <v>0</v>
      </c>
      <c r="OBH17">
        <v>0</v>
      </c>
      <c r="OBI17">
        <v>0</v>
      </c>
      <c r="OBJ17">
        <v>0</v>
      </c>
      <c r="OBK17">
        <v>0</v>
      </c>
      <c r="OBL17">
        <v>0</v>
      </c>
      <c r="OBM17">
        <v>0</v>
      </c>
      <c r="OBN17">
        <v>0</v>
      </c>
      <c r="OBO17">
        <v>0</v>
      </c>
      <c r="OBP17">
        <v>0</v>
      </c>
      <c r="OBQ17">
        <v>0</v>
      </c>
      <c r="OBR17">
        <v>0</v>
      </c>
      <c r="OBS17">
        <v>0</v>
      </c>
      <c r="OBT17">
        <v>0</v>
      </c>
      <c r="OBU17">
        <v>0</v>
      </c>
      <c r="OBV17">
        <v>0</v>
      </c>
      <c r="OBW17">
        <v>0</v>
      </c>
      <c r="OBX17">
        <v>0</v>
      </c>
      <c r="OBY17">
        <v>0</v>
      </c>
      <c r="OBZ17">
        <v>0</v>
      </c>
      <c r="OCA17">
        <v>0</v>
      </c>
      <c r="OCB17">
        <v>0</v>
      </c>
      <c r="OCC17">
        <v>0</v>
      </c>
      <c r="OCD17">
        <v>0</v>
      </c>
      <c r="OCE17">
        <v>0</v>
      </c>
      <c r="OCF17">
        <v>0</v>
      </c>
      <c r="OCG17">
        <v>0</v>
      </c>
      <c r="OCH17">
        <v>0</v>
      </c>
      <c r="OCI17">
        <v>0</v>
      </c>
      <c r="OCJ17">
        <v>0</v>
      </c>
      <c r="OCK17">
        <v>0</v>
      </c>
      <c r="OCL17">
        <v>0</v>
      </c>
      <c r="OCM17">
        <v>0</v>
      </c>
      <c r="OCN17">
        <v>0</v>
      </c>
      <c r="OCO17">
        <v>0</v>
      </c>
      <c r="OCP17">
        <v>0</v>
      </c>
      <c r="OCQ17">
        <v>0</v>
      </c>
      <c r="OCR17">
        <v>0</v>
      </c>
      <c r="OCS17">
        <v>0</v>
      </c>
      <c r="OCT17">
        <v>0</v>
      </c>
      <c r="OCU17">
        <v>0</v>
      </c>
      <c r="OCV17">
        <v>0</v>
      </c>
      <c r="OCW17">
        <v>0</v>
      </c>
      <c r="OCX17">
        <v>0</v>
      </c>
      <c r="OCY17">
        <v>0</v>
      </c>
      <c r="OCZ17">
        <v>0</v>
      </c>
      <c r="ODA17">
        <v>0</v>
      </c>
      <c r="ODB17">
        <v>0</v>
      </c>
      <c r="ODC17">
        <v>0</v>
      </c>
      <c r="ODD17">
        <v>0</v>
      </c>
      <c r="ODE17">
        <v>0</v>
      </c>
      <c r="ODF17">
        <v>0</v>
      </c>
      <c r="ODG17">
        <v>0</v>
      </c>
      <c r="ODH17">
        <v>0</v>
      </c>
      <c r="ODI17">
        <v>0</v>
      </c>
      <c r="ODJ17">
        <v>0</v>
      </c>
      <c r="ODK17">
        <v>0</v>
      </c>
      <c r="ODL17">
        <v>0</v>
      </c>
      <c r="ODM17">
        <v>0</v>
      </c>
      <c r="ODN17">
        <v>0</v>
      </c>
      <c r="ODO17">
        <v>0</v>
      </c>
      <c r="ODP17">
        <v>0</v>
      </c>
      <c r="ODQ17">
        <v>0</v>
      </c>
      <c r="ODR17">
        <v>0</v>
      </c>
      <c r="ODS17">
        <v>0</v>
      </c>
      <c r="ODT17">
        <v>0</v>
      </c>
      <c r="ODU17">
        <v>0</v>
      </c>
      <c r="ODV17">
        <v>0</v>
      </c>
      <c r="ODW17">
        <v>0</v>
      </c>
      <c r="ODX17">
        <v>0</v>
      </c>
      <c r="ODY17">
        <v>0</v>
      </c>
      <c r="ODZ17">
        <v>0</v>
      </c>
      <c r="OEA17">
        <v>0</v>
      </c>
      <c r="OEB17">
        <v>0</v>
      </c>
      <c r="OEC17">
        <v>0</v>
      </c>
      <c r="OED17">
        <v>0</v>
      </c>
      <c r="OEE17">
        <v>0</v>
      </c>
      <c r="OEF17">
        <v>0</v>
      </c>
      <c r="OEG17">
        <v>0</v>
      </c>
      <c r="OEH17">
        <v>0</v>
      </c>
      <c r="OEI17">
        <v>0</v>
      </c>
      <c r="OEJ17">
        <v>0</v>
      </c>
      <c r="OEK17">
        <v>0</v>
      </c>
      <c r="OEL17">
        <v>0</v>
      </c>
      <c r="OEM17">
        <v>0</v>
      </c>
      <c r="OEN17">
        <v>0</v>
      </c>
      <c r="OEO17">
        <v>0</v>
      </c>
      <c r="OEP17">
        <v>0</v>
      </c>
      <c r="OEQ17">
        <v>0</v>
      </c>
      <c r="OER17">
        <v>0</v>
      </c>
      <c r="OES17">
        <v>0</v>
      </c>
      <c r="OET17">
        <v>0</v>
      </c>
      <c r="OEU17">
        <v>0</v>
      </c>
      <c r="OEV17">
        <v>0</v>
      </c>
      <c r="OEW17">
        <v>0</v>
      </c>
      <c r="OEX17">
        <v>0</v>
      </c>
      <c r="OEY17">
        <v>0</v>
      </c>
      <c r="OEZ17">
        <v>0</v>
      </c>
      <c r="OFA17">
        <v>0</v>
      </c>
      <c r="OFB17">
        <v>0</v>
      </c>
      <c r="OFC17">
        <v>0</v>
      </c>
      <c r="OFD17">
        <v>0</v>
      </c>
      <c r="OFE17">
        <v>0</v>
      </c>
      <c r="OFF17">
        <v>0</v>
      </c>
      <c r="OFG17">
        <v>0</v>
      </c>
      <c r="OFH17">
        <v>0</v>
      </c>
      <c r="OFI17">
        <v>0</v>
      </c>
      <c r="OFJ17">
        <v>0</v>
      </c>
      <c r="OFK17">
        <v>0</v>
      </c>
      <c r="OFL17">
        <v>0</v>
      </c>
      <c r="OFM17">
        <v>0</v>
      </c>
      <c r="OFN17">
        <v>0</v>
      </c>
      <c r="OFO17">
        <v>0</v>
      </c>
      <c r="OFP17">
        <v>0</v>
      </c>
      <c r="OFQ17">
        <v>0</v>
      </c>
      <c r="OFR17">
        <v>0</v>
      </c>
      <c r="OFS17">
        <v>0</v>
      </c>
      <c r="OFT17">
        <v>0</v>
      </c>
      <c r="OFU17">
        <v>0</v>
      </c>
      <c r="OFV17">
        <v>0</v>
      </c>
      <c r="OFW17">
        <v>0</v>
      </c>
      <c r="OFX17">
        <v>0</v>
      </c>
      <c r="OFY17">
        <v>0</v>
      </c>
      <c r="OFZ17">
        <v>0</v>
      </c>
      <c r="OGA17">
        <v>0</v>
      </c>
      <c r="OGB17">
        <v>0</v>
      </c>
      <c r="OGC17">
        <v>0</v>
      </c>
      <c r="OGD17">
        <v>0</v>
      </c>
      <c r="OGE17">
        <v>0</v>
      </c>
      <c r="OGF17">
        <v>0</v>
      </c>
      <c r="OGG17">
        <v>0</v>
      </c>
      <c r="OGH17">
        <v>0</v>
      </c>
      <c r="OGI17">
        <v>0</v>
      </c>
      <c r="OGJ17">
        <v>0</v>
      </c>
      <c r="OGK17">
        <v>0</v>
      </c>
      <c r="OGL17">
        <v>0</v>
      </c>
      <c r="OGM17">
        <v>0</v>
      </c>
      <c r="OGN17">
        <v>0</v>
      </c>
      <c r="OGO17">
        <v>0</v>
      </c>
      <c r="OGP17">
        <v>0</v>
      </c>
      <c r="OGQ17">
        <v>0</v>
      </c>
      <c r="OGR17">
        <v>0</v>
      </c>
      <c r="OGS17">
        <v>0</v>
      </c>
      <c r="OGT17">
        <v>0</v>
      </c>
      <c r="OGU17">
        <v>0</v>
      </c>
      <c r="OGV17">
        <v>0</v>
      </c>
      <c r="OGW17">
        <v>0</v>
      </c>
      <c r="OGX17">
        <v>0</v>
      </c>
      <c r="OGY17">
        <v>0</v>
      </c>
      <c r="OGZ17">
        <v>0</v>
      </c>
      <c r="OHA17">
        <v>0</v>
      </c>
      <c r="OHB17">
        <v>0</v>
      </c>
      <c r="OHC17">
        <v>0</v>
      </c>
      <c r="OHD17">
        <v>0</v>
      </c>
      <c r="OHE17">
        <v>0</v>
      </c>
      <c r="OHF17">
        <v>0</v>
      </c>
      <c r="OHG17">
        <v>0</v>
      </c>
      <c r="OHH17">
        <v>0</v>
      </c>
      <c r="OHI17">
        <v>0</v>
      </c>
      <c r="OHJ17">
        <v>0</v>
      </c>
      <c r="OHK17">
        <v>0</v>
      </c>
      <c r="OHL17">
        <v>0</v>
      </c>
      <c r="OHM17">
        <v>0</v>
      </c>
      <c r="OHN17">
        <v>0</v>
      </c>
      <c r="OHO17">
        <v>0</v>
      </c>
      <c r="OHP17">
        <v>0</v>
      </c>
      <c r="OHQ17">
        <v>0</v>
      </c>
      <c r="OHR17">
        <v>0</v>
      </c>
      <c r="OHS17">
        <v>0</v>
      </c>
      <c r="OHT17">
        <v>0</v>
      </c>
      <c r="OHU17">
        <v>0</v>
      </c>
      <c r="OHV17">
        <v>0</v>
      </c>
      <c r="OHW17">
        <v>0</v>
      </c>
      <c r="OHX17">
        <v>0</v>
      </c>
      <c r="OHY17">
        <v>0</v>
      </c>
      <c r="OHZ17">
        <v>0</v>
      </c>
      <c r="OIA17">
        <v>0</v>
      </c>
      <c r="OIB17">
        <v>0</v>
      </c>
      <c r="OIC17">
        <v>0</v>
      </c>
      <c r="OID17">
        <v>0</v>
      </c>
      <c r="OIE17">
        <v>0</v>
      </c>
      <c r="OIF17">
        <v>0</v>
      </c>
      <c r="OIG17">
        <v>0</v>
      </c>
      <c r="OIH17">
        <v>0</v>
      </c>
      <c r="OII17">
        <v>0</v>
      </c>
      <c r="OIJ17">
        <v>0</v>
      </c>
      <c r="OIK17">
        <v>0</v>
      </c>
      <c r="OIL17">
        <v>0</v>
      </c>
      <c r="OIM17">
        <v>0</v>
      </c>
      <c r="OIN17">
        <v>0</v>
      </c>
      <c r="OIO17">
        <v>0</v>
      </c>
      <c r="OIP17">
        <v>0</v>
      </c>
      <c r="OIQ17">
        <v>0</v>
      </c>
      <c r="OIR17">
        <v>0</v>
      </c>
      <c r="OIS17">
        <v>0</v>
      </c>
      <c r="OIT17">
        <v>0</v>
      </c>
      <c r="OIU17">
        <v>0</v>
      </c>
      <c r="OIV17">
        <v>0</v>
      </c>
      <c r="OIW17">
        <v>0</v>
      </c>
      <c r="OIX17">
        <v>0</v>
      </c>
      <c r="OIY17">
        <v>0</v>
      </c>
      <c r="OIZ17">
        <v>0</v>
      </c>
      <c r="OJA17">
        <v>0</v>
      </c>
      <c r="OJB17">
        <v>0</v>
      </c>
      <c r="OJC17">
        <v>0</v>
      </c>
      <c r="OJD17">
        <v>0</v>
      </c>
      <c r="OJE17">
        <v>0</v>
      </c>
      <c r="OJF17">
        <v>0</v>
      </c>
      <c r="OJG17">
        <v>0</v>
      </c>
      <c r="OJH17">
        <v>0</v>
      </c>
      <c r="OJI17">
        <v>0</v>
      </c>
      <c r="OJJ17">
        <v>0</v>
      </c>
      <c r="OJK17">
        <v>0</v>
      </c>
      <c r="OJL17">
        <v>0</v>
      </c>
      <c r="OJM17">
        <v>0</v>
      </c>
      <c r="OJN17">
        <v>0</v>
      </c>
      <c r="OJO17">
        <v>0</v>
      </c>
      <c r="OJP17">
        <v>0</v>
      </c>
      <c r="OJQ17">
        <v>0</v>
      </c>
      <c r="OJR17">
        <v>0</v>
      </c>
      <c r="OJS17">
        <v>0</v>
      </c>
      <c r="OJT17">
        <v>0</v>
      </c>
      <c r="OJU17">
        <v>0</v>
      </c>
      <c r="OJV17">
        <v>0</v>
      </c>
      <c r="OJW17">
        <v>0</v>
      </c>
      <c r="OJX17">
        <v>0</v>
      </c>
      <c r="OJY17">
        <v>0</v>
      </c>
      <c r="OJZ17">
        <v>0</v>
      </c>
      <c r="OKA17">
        <v>0</v>
      </c>
      <c r="OKB17">
        <v>0</v>
      </c>
      <c r="OKC17">
        <v>0</v>
      </c>
      <c r="OKD17">
        <v>0</v>
      </c>
      <c r="OKE17">
        <v>0</v>
      </c>
      <c r="OKF17">
        <v>0</v>
      </c>
      <c r="OKG17">
        <v>0</v>
      </c>
      <c r="OKH17">
        <v>0</v>
      </c>
      <c r="OKI17">
        <v>0</v>
      </c>
      <c r="OKJ17">
        <v>0</v>
      </c>
      <c r="OKK17">
        <v>0</v>
      </c>
      <c r="OKL17">
        <v>0</v>
      </c>
      <c r="OKM17">
        <v>0</v>
      </c>
      <c r="OKN17">
        <v>0</v>
      </c>
      <c r="OKO17">
        <v>0</v>
      </c>
      <c r="OKP17">
        <v>0</v>
      </c>
      <c r="OKQ17">
        <v>0</v>
      </c>
      <c r="OKR17">
        <v>0</v>
      </c>
      <c r="OKS17">
        <v>0</v>
      </c>
      <c r="OKT17">
        <v>0</v>
      </c>
      <c r="OKU17">
        <v>0</v>
      </c>
      <c r="OKV17">
        <v>0</v>
      </c>
      <c r="OKW17">
        <v>0</v>
      </c>
      <c r="OKX17">
        <v>0</v>
      </c>
      <c r="OKY17">
        <v>0</v>
      </c>
      <c r="OKZ17">
        <v>0</v>
      </c>
      <c r="OLA17">
        <v>0</v>
      </c>
      <c r="OLB17">
        <v>0</v>
      </c>
      <c r="OLC17">
        <v>0</v>
      </c>
      <c r="OLD17">
        <v>0</v>
      </c>
      <c r="OLE17">
        <v>0</v>
      </c>
      <c r="OLF17">
        <v>0</v>
      </c>
      <c r="OLG17">
        <v>0</v>
      </c>
      <c r="OLH17">
        <v>0</v>
      </c>
      <c r="OLI17">
        <v>0</v>
      </c>
      <c r="OLJ17">
        <v>0</v>
      </c>
      <c r="OLK17">
        <v>0</v>
      </c>
      <c r="OLL17">
        <v>0</v>
      </c>
      <c r="OLM17">
        <v>0</v>
      </c>
      <c r="OLN17">
        <v>0</v>
      </c>
      <c r="OLO17">
        <v>0</v>
      </c>
      <c r="OLP17">
        <v>0</v>
      </c>
      <c r="OLQ17">
        <v>0</v>
      </c>
      <c r="OLR17">
        <v>0</v>
      </c>
      <c r="OLS17">
        <v>0</v>
      </c>
      <c r="OLT17">
        <v>0</v>
      </c>
      <c r="OLU17">
        <v>0</v>
      </c>
      <c r="OLV17">
        <v>0</v>
      </c>
      <c r="OLW17">
        <v>0</v>
      </c>
      <c r="OLX17">
        <v>0</v>
      </c>
      <c r="OLY17">
        <v>0</v>
      </c>
      <c r="OLZ17">
        <v>0</v>
      </c>
      <c r="OMA17">
        <v>0</v>
      </c>
      <c r="OMB17">
        <v>0</v>
      </c>
      <c r="OMC17">
        <v>0</v>
      </c>
      <c r="OMD17">
        <v>0</v>
      </c>
      <c r="OME17">
        <v>0</v>
      </c>
      <c r="OMF17">
        <v>0</v>
      </c>
      <c r="OMG17">
        <v>0</v>
      </c>
      <c r="OMH17">
        <v>0</v>
      </c>
      <c r="OMI17">
        <v>0</v>
      </c>
      <c r="OMJ17">
        <v>0</v>
      </c>
      <c r="OMK17">
        <v>0</v>
      </c>
      <c r="OML17">
        <v>0</v>
      </c>
      <c r="OMM17">
        <v>0</v>
      </c>
      <c r="OMN17">
        <v>0</v>
      </c>
      <c r="OMO17">
        <v>0</v>
      </c>
      <c r="OMP17">
        <v>0</v>
      </c>
      <c r="OMQ17">
        <v>0</v>
      </c>
      <c r="OMR17">
        <v>0</v>
      </c>
      <c r="OMS17">
        <v>0</v>
      </c>
      <c r="OMT17">
        <v>0</v>
      </c>
      <c r="OMU17">
        <v>0</v>
      </c>
      <c r="OMV17">
        <v>0</v>
      </c>
      <c r="OMW17">
        <v>0</v>
      </c>
      <c r="OMX17">
        <v>0</v>
      </c>
      <c r="OMY17">
        <v>0</v>
      </c>
      <c r="OMZ17">
        <v>0</v>
      </c>
      <c r="ONA17">
        <v>0</v>
      </c>
      <c r="ONB17">
        <v>0</v>
      </c>
      <c r="ONC17">
        <v>0</v>
      </c>
      <c r="OND17">
        <v>0</v>
      </c>
      <c r="ONE17">
        <v>0</v>
      </c>
      <c r="ONF17">
        <v>0</v>
      </c>
      <c r="ONG17">
        <v>0</v>
      </c>
      <c r="ONH17">
        <v>0</v>
      </c>
      <c r="ONI17">
        <v>0</v>
      </c>
      <c r="ONJ17">
        <v>0</v>
      </c>
      <c r="ONK17">
        <v>0</v>
      </c>
      <c r="ONL17">
        <v>0</v>
      </c>
      <c r="ONM17">
        <v>0</v>
      </c>
      <c r="ONN17">
        <v>0</v>
      </c>
      <c r="ONO17">
        <v>0</v>
      </c>
      <c r="ONP17">
        <v>0</v>
      </c>
      <c r="ONQ17">
        <v>0</v>
      </c>
      <c r="ONR17">
        <v>0</v>
      </c>
      <c r="ONS17">
        <v>0</v>
      </c>
      <c r="ONT17">
        <v>0</v>
      </c>
      <c r="ONU17">
        <v>0</v>
      </c>
      <c r="ONV17">
        <v>0</v>
      </c>
      <c r="ONW17">
        <v>0</v>
      </c>
      <c r="ONX17">
        <v>0</v>
      </c>
      <c r="ONY17">
        <v>0</v>
      </c>
      <c r="ONZ17">
        <v>0</v>
      </c>
      <c r="OOA17">
        <v>0</v>
      </c>
      <c r="OOB17">
        <v>0</v>
      </c>
      <c r="OOC17">
        <v>0</v>
      </c>
      <c r="OOD17">
        <v>0</v>
      </c>
      <c r="OOE17">
        <v>0</v>
      </c>
      <c r="OOF17">
        <v>0</v>
      </c>
      <c r="OOG17">
        <v>0</v>
      </c>
      <c r="OOH17">
        <v>0</v>
      </c>
      <c r="OOI17">
        <v>0</v>
      </c>
      <c r="OOJ17">
        <v>0</v>
      </c>
      <c r="OOK17">
        <v>0</v>
      </c>
      <c r="OOL17">
        <v>0</v>
      </c>
      <c r="OOM17">
        <v>0</v>
      </c>
      <c r="OON17">
        <v>0</v>
      </c>
      <c r="OOO17">
        <v>0</v>
      </c>
      <c r="OOP17">
        <v>0</v>
      </c>
      <c r="OOQ17">
        <v>0</v>
      </c>
      <c r="OOR17">
        <v>0</v>
      </c>
      <c r="OOS17">
        <v>0</v>
      </c>
      <c r="OOT17">
        <v>0</v>
      </c>
      <c r="OOU17">
        <v>0</v>
      </c>
      <c r="OOV17">
        <v>0</v>
      </c>
      <c r="OOW17">
        <v>0</v>
      </c>
      <c r="OOX17">
        <v>0</v>
      </c>
      <c r="OOY17">
        <v>0</v>
      </c>
      <c r="OOZ17">
        <v>0</v>
      </c>
      <c r="OPA17">
        <v>0</v>
      </c>
      <c r="OPB17">
        <v>0</v>
      </c>
      <c r="OPC17">
        <v>0</v>
      </c>
      <c r="OPD17">
        <v>0</v>
      </c>
      <c r="OPE17">
        <v>0</v>
      </c>
      <c r="OPF17">
        <v>0</v>
      </c>
      <c r="OPG17">
        <v>0</v>
      </c>
      <c r="OPH17">
        <v>0</v>
      </c>
      <c r="OPI17">
        <v>0</v>
      </c>
      <c r="OPJ17">
        <v>0</v>
      </c>
      <c r="OPK17">
        <v>0</v>
      </c>
      <c r="OPL17">
        <v>0</v>
      </c>
      <c r="OPM17">
        <v>0</v>
      </c>
      <c r="OPN17">
        <v>0</v>
      </c>
      <c r="OPO17">
        <v>0</v>
      </c>
      <c r="OPP17">
        <v>0</v>
      </c>
      <c r="OPQ17">
        <v>0</v>
      </c>
      <c r="OPR17">
        <v>0</v>
      </c>
      <c r="OPS17">
        <v>0</v>
      </c>
      <c r="OPT17">
        <v>0</v>
      </c>
      <c r="OPU17">
        <v>0</v>
      </c>
      <c r="OPV17">
        <v>0</v>
      </c>
      <c r="OPW17">
        <v>0</v>
      </c>
      <c r="OPX17">
        <v>0</v>
      </c>
      <c r="OPY17">
        <v>0</v>
      </c>
      <c r="OPZ17">
        <v>0</v>
      </c>
      <c r="OQA17">
        <v>0</v>
      </c>
      <c r="OQB17">
        <v>0</v>
      </c>
      <c r="OQC17">
        <v>0</v>
      </c>
      <c r="OQD17">
        <v>0</v>
      </c>
      <c r="OQE17">
        <v>0</v>
      </c>
      <c r="OQF17">
        <v>0</v>
      </c>
      <c r="OQG17">
        <v>0</v>
      </c>
      <c r="OQH17">
        <v>0</v>
      </c>
      <c r="OQI17">
        <v>0</v>
      </c>
      <c r="OQJ17">
        <v>0</v>
      </c>
      <c r="OQK17">
        <v>0</v>
      </c>
      <c r="OQL17">
        <v>0</v>
      </c>
      <c r="OQM17">
        <v>0</v>
      </c>
      <c r="OQN17">
        <v>0</v>
      </c>
      <c r="OQO17">
        <v>0</v>
      </c>
      <c r="OQP17">
        <v>0</v>
      </c>
      <c r="OQQ17">
        <v>0</v>
      </c>
      <c r="OQR17">
        <v>0</v>
      </c>
      <c r="OQS17">
        <v>0</v>
      </c>
      <c r="OQT17">
        <v>0</v>
      </c>
      <c r="OQU17">
        <v>0</v>
      </c>
      <c r="OQV17">
        <v>0</v>
      </c>
      <c r="OQW17">
        <v>0</v>
      </c>
      <c r="OQX17">
        <v>0</v>
      </c>
      <c r="OQY17">
        <v>0</v>
      </c>
      <c r="OQZ17">
        <v>0</v>
      </c>
      <c r="ORA17">
        <v>0</v>
      </c>
      <c r="ORB17">
        <v>0</v>
      </c>
      <c r="ORC17">
        <v>0</v>
      </c>
      <c r="ORD17">
        <v>0</v>
      </c>
      <c r="ORE17">
        <v>0</v>
      </c>
      <c r="ORF17">
        <v>0</v>
      </c>
      <c r="ORG17">
        <v>0</v>
      </c>
      <c r="ORH17">
        <v>0</v>
      </c>
      <c r="ORI17">
        <v>0</v>
      </c>
      <c r="ORJ17">
        <v>0</v>
      </c>
      <c r="ORK17">
        <v>0</v>
      </c>
      <c r="ORL17">
        <v>0</v>
      </c>
      <c r="ORM17">
        <v>0</v>
      </c>
      <c r="ORN17">
        <v>0</v>
      </c>
      <c r="ORO17">
        <v>0</v>
      </c>
      <c r="ORP17">
        <v>0</v>
      </c>
      <c r="ORQ17">
        <v>0</v>
      </c>
      <c r="ORR17">
        <v>0</v>
      </c>
      <c r="ORS17">
        <v>0</v>
      </c>
      <c r="ORT17">
        <v>0</v>
      </c>
      <c r="ORU17">
        <v>0</v>
      </c>
      <c r="ORV17">
        <v>0</v>
      </c>
      <c r="ORW17">
        <v>0</v>
      </c>
      <c r="ORX17">
        <v>0</v>
      </c>
      <c r="ORY17">
        <v>0</v>
      </c>
      <c r="ORZ17">
        <v>0</v>
      </c>
      <c r="OSA17">
        <v>0</v>
      </c>
      <c r="OSB17">
        <v>0</v>
      </c>
      <c r="OSC17">
        <v>0</v>
      </c>
      <c r="OSD17">
        <v>0</v>
      </c>
      <c r="OSE17">
        <v>0</v>
      </c>
      <c r="OSF17">
        <v>0</v>
      </c>
      <c r="OSG17">
        <v>0</v>
      </c>
      <c r="OSH17">
        <v>0</v>
      </c>
      <c r="OSI17">
        <v>0</v>
      </c>
      <c r="OSJ17">
        <v>0</v>
      </c>
      <c r="OSK17">
        <v>0</v>
      </c>
      <c r="OSL17">
        <v>0</v>
      </c>
      <c r="OSM17">
        <v>0</v>
      </c>
      <c r="OSN17">
        <v>0</v>
      </c>
      <c r="OSO17">
        <v>0</v>
      </c>
      <c r="OSP17">
        <v>0</v>
      </c>
      <c r="OSQ17">
        <v>0</v>
      </c>
      <c r="OSR17">
        <v>0</v>
      </c>
      <c r="OSS17">
        <v>0</v>
      </c>
      <c r="OST17">
        <v>0</v>
      </c>
      <c r="OSU17">
        <v>0</v>
      </c>
      <c r="OSV17">
        <v>0</v>
      </c>
      <c r="OSW17">
        <v>0</v>
      </c>
      <c r="OSX17">
        <v>0</v>
      </c>
      <c r="OSY17">
        <v>0</v>
      </c>
      <c r="OSZ17">
        <v>0</v>
      </c>
      <c r="OTA17">
        <v>0</v>
      </c>
      <c r="OTB17">
        <v>0</v>
      </c>
      <c r="OTC17">
        <v>0</v>
      </c>
      <c r="OTD17">
        <v>0</v>
      </c>
      <c r="OTE17">
        <v>0</v>
      </c>
      <c r="OTF17">
        <v>0</v>
      </c>
      <c r="OTG17">
        <v>0</v>
      </c>
      <c r="OTH17">
        <v>0</v>
      </c>
      <c r="OTI17">
        <v>0</v>
      </c>
      <c r="OTJ17">
        <v>0</v>
      </c>
      <c r="OTK17">
        <v>0</v>
      </c>
      <c r="OTL17">
        <v>0</v>
      </c>
      <c r="OTM17">
        <v>0</v>
      </c>
      <c r="OTN17">
        <v>0</v>
      </c>
      <c r="OTO17">
        <v>0</v>
      </c>
      <c r="OTP17">
        <v>0</v>
      </c>
      <c r="OTQ17">
        <v>0</v>
      </c>
      <c r="OTR17">
        <v>0</v>
      </c>
      <c r="OTS17">
        <v>0</v>
      </c>
      <c r="OTT17">
        <v>0</v>
      </c>
      <c r="OTU17">
        <v>0</v>
      </c>
      <c r="OTV17">
        <v>0</v>
      </c>
      <c r="OTW17">
        <v>0</v>
      </c>
      <c r="OTX17">
        <v>0</v>
      </c>
      <c r="OTY17">
        <v>0</v>
      </c>
      <c r="OTZ17">
        <v>0</v>
      </c>
      <c r="OUA17">
        <v>0</v>
      </c>
      <c r="OUB17">
        <v>0</v>
      </c>
      <c r="OUC17">
        <v>0</v>
      </c>
      <c r="OUD17">
        <v>0</v>
      </c>
      <c r="OUE17">
        <v>0</v>
      </c>
      <c r="OUF17">
        <v>0</v>
      </c>
      <c r="OUG17">
        <v>0</v>
      </c>
      <c r="OUH17">
        <v>0</v>
      </c>
      <c r="OUI17">
        <v>0</v>
      </c>
      <c r="OUJ17">
        <v>0</v>
      </c>
      <c r="OUK17">
        <v>0</v>
      </c>
      <c r="OUL17">
        <v>0</v>
      </c>
      <c r="OUM17">
        <v>0</v>
      </c>
      <c r="OUN17">
        <v>0</v>
      </c>
      <c r="OUO17">
        <v>0</v>
      </c>
      <c r="OUP17">
        <v>0</v>
      </c>
      <c r="OUQ17">
        <v>0</v>
      </c>
      <c r="OUR17">
        <v>0</v>
      </c>
      <c r="OUS17">
        <v>0</v>
      </c>
      <c r="OUT17">
        <v>0</v>
      </c>
      <c r="OUU17">
        <v>0</v>
      </c>
      <c r="OUV17">
        <v>0</v>
      </c>
      <c r="OUW17">
        <v>0</v>
      </c>
      <c r="OUX17">
        <v>0</v>
      </c>
      <c r="OUY17">
        <v>0</v>
      </c>
      <c r="OUZ17">
        <v>0</v>
      </c>
      <c r="OVA17">
        <v>0</v>
      </c>
      <c r="OVB17">
        <v>0</v>
      </c>
      <c r="OVC17">
        <v>0</v>
      </c>
      <c r="OVD17">
        <v>0</v>
      </c>
      <c r="OVE17">
        <v>0</v>
      </c>
      <c r="OVF17">
        <v>0</v>
      </c>
      <c r="OVG17">
        <v>0</v>
      </c>
      <c r="OVH17">
        <v>0</v>
      </c>
      <c r="OVI17">
        <v>0</v>
      </c>
      <c r="OVJ17">
        <v>0</v>
      </c>
      <c r="OVK17">
        <v>0</v>
      </c>
      <c r="OVL17">
        <v>0</v>
      </c>
      <c r="OVM17">
        <v>0</v>
      </c>
      <c r="OVN17">
        <v>0</v>
      </c>
      <c r="OVO17">
        <v>0</v>
      </c>
      <c r="OVP17">
        <v>0</v>
      </c>
      <c r="OVQ17">
        <v>0</v>
      </c>
      <c r="OVR17">
        <v>0</v>
      </c>
      <c r="OVS17">
        <v>0</v>
      </c>
      <c r="OVT17">
        <v>0</v>
      </c>
      <c r="OVU17">
        <v>0</v>
      </c>
      <c r="OVV17">
        <v>0</v>
      </c>
      <c r="OVW17">
        <v>0</v>
      </c>
      <c r="OVX17">
        <v>0</v>
      </c>
      <c r="OVY17">
        <v>0</v>
      </c>
      <c r="OVZ17">
        <v>0</v>
      </c>
      <c r="OWA17">
        <v>0</v>
      </c>
      <c r="OWB17">
        <v>0</v>
      </c>
      <c r="OWC17">
        <v>0</v>
      </c>
      <c r="OWD17">
        <v>0</v>
      </c>
      <c r="OWE17">
        <v>0</v>
      </c>
      <c r="OWF17">
        <v>0</v>
      </c>
      <c r="OWG17">
        <v>0</v>
      </c>
      <c r="OWH17">
        <v>0</v>
      </c>
      <c r="OWI17">
        <v>0</v>
      </c>
      <c r="OWJ17">
        <v>0</v>
      </c>
      <c r="OWK17">
        <v>0</v>
      </c>
      <c r="OWL17">
        <v>0</v>
      </c>
      <c r="OWM17">
        <v>0</v>
      </c>
      <c r="OWN17">
        <v>0</v>
      </c>
      <c r="OWO17">
        <v>0</v>
      </c>
      <c r="OWP17">
        <v>0</v>
      </c>
      <c r="OWQ17">
        <v>0</v>
      </c>
      <c r="OWR17">
        <v>0</v>
      </c>
      <c r="OWS17">
        <v>0</v>
      </c>
      <c r="OWT17">
        <v>0</v>
      </c>
      <c r="OWU17">
        <v>0</v>
      </c>
      <c r="OWV17">
        <v>0</v>
      </c>
      <c r="OWW17">
        <v>0</v>
      </c>
      <c r="OWX17">
        <v>0</v>
      </c>
      <c r="OWY17">
        <v>0</v>
      </c>
      <c r="OWZ17">
        <v>0</v>
      </c>
      <c r="OXA17">
        <v>0</v>
      </c>
      <c r="OXB17">
        <v>0</v>
      </c>
      <c r="OXC17">
        <v>0</v>
      </c>
      <c r="OXD17">
        <v>0</v>
      </c>
      <c r="OXE17">
        <v>0</v>
      </c>
      <c r="OXF17">
        <v>0</v>
      </c>
      <c r="OXG17">
        <v>0</v>
      </c>
      <c r="OXH17">
        <v>0</v>
      </c>
      <c r="OXI17">
        <v>0</v>
      </c>
      <c r="OXJ17">
        <v>0</v>
      </c>
      <c r="OXK17">
        <v>0</v>
      </c>
      <c r="OXL17">
        <v>0</v>
      </c>
      <c r="OXM17">
        <v>0</v>
      </c>
      <c r="OXN17">
        <v>0</v>
      </c>
      <c r="OXO17">
        <v>0</v>
      </c>
      <c r="OXP17">
        <v>0</v>
      </c>
      <c r="OXQ17">
        <v>0</v>
      </c>
      <c r="OXR17">
        <v>0</v>
      </c>
      <c r="OXS17">
        <v>0</v>
      </c>
      <c r="OXT17">
        <v>0</v>
      </c>
      <c r="OXU17">
        <v>0</v>
      </c>
      <c r="OXV17">
        <v>0</v>
      </c>
      <c r="OXW17">
        <v>0</v>
      </c>
      <c r="OXX17">
        <v>0</v>
      </c>
      <c r="OXY17">
        <v>0</v>
      </c>
      <c r="OXZ17">
        <v>0</v>
      </c>
      <c r="OYA17">
        <v>0</v>
      </c>
      <c r="OYB17">
        <v>0</v>
      </c>
      <c r="OYC17">
        <v>0</v>
      </c>
      <c r="OYD17">
        <v>0</v>
      </c>
      <c r="OYE17">
        <v>0</v>
      </c>
      <c r="OYF17">
        <v>0</v>
      </c>
      <c r="OYG17">
        <v>0</v>
      </c>
      <c r="OYH17">
        <v>0</v>
      </c>
      <c r="OYI17">
        <v>0</v>
      </c>
      <c r="OYJ17">
        <v>0</v>
      </c>
      <c r="OYK17">
        <v>0</v>
      </c>
      <c r="OYL17">
        <v>0</v>
      </c>
      <c r="OYM17">
        <v>0</v>
      </c>
      <c r="OYN17">
        <v>0</v>
      </c>
      <c r="OYO17">
        <v>0</v>
      </c>
      <c r="OYP17">
        <v>0</v>
      </c>
      <c r="OYQ17">
        <v>0</v>
      </c>
      <c r="OYR17">
        <v>0</v>
      </c>
      <c r="OYS17">
        <v>0</v>
      </c>
      <c r="OYT17">
        <v>0</v>
      </c>
      <c r="OYU17">
        <v>0</v>
      </c>
      <c r="OYV17">
        <v>0</v>
      </c>
      <c r="OYW17">
        <v>0</v>
      </c>
      <c r="OYX17">
        <v>0</v>
      </c>
      <c r="OYY17">
        <v>0</v>
      </c>
      <c r="OYZ17">
        <v>0</v>
      </c>
      <c r="OZA17">
        <v>0</v>
      </c>
      <c r="OZB17">
        <v>0</v>
      </c>
      <c r="OZC17">
        <v>0</v>
      </c>
      <c r="OZD17">
        <v>0</v>
      </c>
      <c r="OZE17">
        <v>0</v>
      </c>
      <c r="OZF17">
        <v>0</v>
      </c>
      <c r="OZG17">
        <v>0</v>
      </c>
      <c r="OZH17">
        <v>0</v>
      </c>
      <c r="OZI17">
        <v>0</v>
      </c>
      <c r="OZJ17">
        <v>0</v>
      </c>
      <c r="OZK17">
        <v>0</v>
      </c>
      <c r="OZL17">
        <v>0</v>
      </c>
      <c r="OZM17">
        <v>0</v>
      </c>
      <c r="OZN17">
        <v>0</v>
      </c>
      <c r="OZO17">
        <v>0</v>
      </c>
      <c r="OZP17">
        <v>0</v>
      </c>
      <c r="OZQ17">
        <v>0</v>
      </c>
      <c r="OZR17">
        <v>0</v>
      </c>
      <c r="OZS17">
        <v>0</v>
      </c>
      <c r="OZT17">
        <v>0</v>
      </c>
      <c r="OZU17">
        <v>0</v>
      </c>
      <c r="OZV17">
        <v>0</v>
      </c>
      <c r="OZW17">
        <v>0</v>
      </c>
      <c r="OZX17">
        <v>0</v>
      </c>
      <c r="OZY17">
        <v>0</v>
      </c>
      <c r="OZZ17">
        <v>0</v>
      </c>
      <c r="PAA17">
        <v>0</v>
      </c>
      <c r="PAB17">
        <v>0</v>
      </c>
      <c r="PAC17">
        <v>0</v>
      </c>
      <c r="PAD17">
        <v>0</v>
      </c>
      <c r="PAE17">
        <v>0</v>
      </c>
      <c r="PAF17">
        <v>0</v>
      </c>
      <c r="PAG17">
        <v>0</v>
      </c>
      <c r="PAH17">
        <v>0</v>
      </c>
      <c r="PAI17">
        <v>0</v>
      </c>
      <c r="PAJ17">
        <v>0</v>
      </c>
      <c r="PAK17">
        <v>0</v>
      </c>
      <c r="PAL17">
        <v>0</v>
      </c>
      <c r="PAM17">
        <v>0</v>
      </c>
      <c r="PAN17">
        <v>0</v>
      </c>
      <c r="PAO17">
        <v>0</v>
      </c>
      <c r="PAP17">
        <v>0</v>
      </c>
      <c r="PAQ17">
        <v>0</v>
      </c>
      <c r="PAR17">
        <v>0</v>
      </c>
      <c r="PAS17">
        <v>0</v>
      </c>
      <c r="PAT17">
        <v>0</v>
      </c>
      <c r="PAU17">
        <v>0</v>
      </c>
      <c r="PAV17">
        <v>0</v>
      </c>
      <c r="PAW17">
        <v>0</v>
      </c>
      <c r="PAX17">
        <v>0</v>
      </c>
      <c r="PAY17">
        <v>0</v>
      </c>
      <c r="PAZ17">
        <v>0</v>
      </c>
      <c r="PBA17">
        <v>0</v>
      </c>
      <c r="PBB17">
        <v>0</v>
      </c>
      <c r="PBC17">
        <v>0</v>
      </c>
      <c r="PBD17">
        <v>0</v>
      </c>
      <c r="PBE17">
        <v>0</v>
      </c>
      <c r="PBF17">
        <v>0</v>
      </c>
      <c r="PBG17">
        <v>0</v>
      </c>
      <c r="PBH17">
        <v>0</v>
      </c>
      <c r="PBI17">
        <v>0</v>
      </c>
      <c r="PBJ17">
        <v>0</v>
      </c>
      <c r="PBK17">
        <v>0</v>
      </c>
      <c r="PBL17">
        <v>0</v>
      </c>
      <c r="PBM17">
        <v>0</v>
      </c>
      <c r="PBN17">
        <v>0</v>
      </c>
      <c r="PBO17">
        <v>0</v>
      </c>
      <c r="PBP17">
        <v>0</v>
      </c>
      <c r="PBQ17">
        <v>0</v>
      </c>
      <c r="PBR17">
        <v>0</v>
      </c>
      <c r="PBS17">
        <v>0</v>
      </c>
      <c r="PBT17">
        <v>0</v>
      </c>
      <c r="PBU17">
        <v>0</v>
      </c>
      <c r="PBV17">
        <v>0</v>
      </c>
      <c r="PBW17">
        <v>0</v>
      </c>
      <c r="PBX17">
        <v>0</v>
      </c>
      <c r="PBY17">
        <v>0</v>
      </c>
      <c r="PBZ17">
        <v>0</v>
      </c>
      <c r="PCA17">
        <v>0</v>
      </c>
      <c r="PCB17">
        <v>0</v>
      </c>
      <c r="PCC17">
        <v>0</v>
      </c>
      <c r="PCD17">
        <v>0</v>
      </c>
      <c r="PCE17">
        <v>0</v>
      </c>
      <c r="PCF17">
        <v>0</v>
      </c>
      <c r="PCG17">
        <v>0</v>
      </c>
      <c r="PCH17">
        <v>0</v>
      </c>
      <c r="PCI17">
        <v>0</v>
      </c>
      <c r="PCJ17">
        <v>0</v>
      </c>
      <c r="PCK17">
        <v>0</v>
      </c>
      <c r="PCL17">
        <v>0</v>
      </c>
      <c r="PCM17">
        <v>0</v>
      </c>
      <c r="PCN17">
        <v>0</v>
      </c>
      <c r="PCO17">
        <v>0</v>
      </c>
      <c r="PCP17">
        <v>0</v>
      </c>
      <c r="PCQ17">
        <v>0</v>
      </c>
      <c r="PCR17">
        <v>0</v>
      </c>
      <c r="PCS17">
        <v>0</v>
      </c>
      <c r="PCT17">
        <v>0</v>
      </c>
      <c r="PCU17">
        <v>0</v>
      </c>
      <c r="PCV17">
        <v>0</v>
      </c>
      <c r="PCW17">
        <v>0</v>
      </c>
      <c r="PCX17">
        <v>0</v>
      </c>
      <c r="PCY17">
        <v>0</v>
      </c>
      <c r="PCZ17">
        <v>0</v>
      </c>
      <c r="PDA17">
        <v>0</v>
      </c>
      <c r="PDB17">
        <v>0</v>
      </c>
      <c r="PDC17">
        <v>0</v>
      </c>
      <c r="PDD17">
        <v>0</v>
      </c>
      <c r="PDE17">
        <v>0</v>
      </c>
      <c r="PDF17">
        <v>0</v>
      </c>
      <c r="PDG17">
        <v>0</v>
      </c>
      <c r="PDH17">
        <v>0</v>
      </c>
      <c r="PDI17">
        <v>0</v>
      </c>
      <c r="PDJ17">
        <v>0</v>
      </c>
      <c r="PDK17">
        <v>0</v>
      </c>
      <c r="PDL17">
        <v>0</v>
      </c>
      <c r="PDM17">
        <v>0</v>
      </c>
      <c r="PDN17">
        <v>0</v>
      </c>
      <c r="PDO17">
        <v>0</v>
      </c>
      <c r="PDP17">
        <v>0</v>
      </c>
      <c r="PDQ17">
        <v>0</v>
      </c>
      <c r="PDR17">
        <v>0</v>
      </c>
      <c r="PDS17">
        <v>0</v>
      </c>
      <c r="PDT17">
        <v>0</v>
      </c>
      <c r="PDU17">
        <v>0</v>
      </c>
      <c r="PDV17">
        <v>0</v>
      </c>
      <c r="PDW17">
        <v>0</v>
      </c>
      <c r="PDX17">
        <v>0</v>
      </c>
      <c r="PDY17">
        <v>0</v>
      </c>
      <c r="PDZ17">
        <v>0</v>
      </c>
      <c r="PEA17">
        <v>0</v>
      </c>
      <c r="PEB17">
        <v>0</v>
      </c>
      <c r="PEC17">
        <v>0</v>
      </c>
      <c r="PED17">
        <v>0</v>
      </c>
      <c r="PEE17">
        <v>0</v>
      </c>
      <c r="PEF17">
        <v>0</v>
      </c>
      <c r="PEG17">
        <v>0</v>
      </c>
      <c r="PEH17">
        <v>0</v>
      </c>
      <c r="PEI17">
        <v>0</v>
      </c>
      <c r="PEJ17">
        <v>0</v>
      </c>
      <c r="PEK17">
        <v>0</v>
      </c>
      <c r="PEL17">
        <v>0</v>
      </c>
      <c r="PEM17">
        <v>0</v>
      </c>
      <c r="PEN17">
        <v>0</v>
      </c>
      <c r="PEO17">
        <v>0</v>
      </c>
      <c r="PEP17">
        <v>0</v>
      </c>
      <c r="PEQ17">
        <v>0</v>
      </c>
      <c r="PER17">
        <v>0</v>
      </c>
      <c r="PES17">
        <v>0</v>
      </c>
      <c r="PET17">
        <v>0</v>
      </c>
      <c r="PEU17">
        <v>0</v>
      </c>
      <c r="PEV17">
        <v>0</v>
      </c>
      <c r="PEW17">
        <v>0</v>
      </c>
      <c r="PEX17">
        <v>0</v>
      </c>
      <c r="PEY17">
        <v>0</v>
      </c>
      <c r="PEZ17">
        <v>0</v>
      </c>
      <c r="PFA17">
        <v>0</v>
      </c>
      <c r="PFB17">
        <v>0</v>
      </c>
      <c r="PFC17">
        <v>0</v>
      </c>
      <c r="PFD17">
        <v>0</v>
      </c>
      <c r="PFE17">
        <v>0</v>
      </c>
      <c r="PFF17">
        <v>0</v>
      </c>
      <c r="PFG17">
        <v>0</v>
      </c>
      <c r="PFH17">
        <v>0</v>
      </c>
      <c r="PFI17">
        <v>0</v>
      </c>
      <c r="PFJ17">
        <v>0</v>
      </c>
      <c r="PFK17">
        <v>0</v>
      </c>
      <c r="PFL17">
        <v>0</v>
      </c>
      <c r="PFM17">
        <v>0</v>
      </c>
      <c r="PFN17">
        <v>0</v>
      </c>
      <c r="PFO17">
        <v>0</v>
      </c>
      <c r="PFP17">
        <v>0</v>
      </c>
      <c r="PFQ17">
        <v>0</v>
      </c>
      <c r="PFR17">
        <v>0</v>
      </c>
      <c r="PFS17">
        <v>0</v>
      </c>
      <c r="PFT17">
        <v>0</v>
      </c>
      <c r="PFU17">
        <v>0</v>
      </c>
      <c r="PFV17">
        <v>0</v>
      </c>
      <c r="PFW17">
        <v>0</v>
      </c>
      <c r="PFX17">
        <v>0</v>
      </c>
      <c r="PFY17">
        <v>0</v>
      </c>
      <c r="PFZ17">
        <v>0</v>
      </c>
      <c r="PGA17">
        <v>0</v>
      </c>
      <c r="PGB17">
        <v>0</v>
      </c>
      <c r="PGC17">
        <v>0</v>
      </c>
      <c r="PGD17">
        <v>0</v>
      </c>
      <c r="PGE17">
        <v>0</v>
      </c>
      <c r="PGF17">
        <v>0</v>
      </c>
      <c r="PGG17">
        <v>0</v>
      </c>
      <c r="PGH17">
        <v>0</v>
      </c>
      <c r="PGI17">
        <v>0</v>
      </c>
      <c r="PGJ17">
        <v>0</v>
      </c>
      <c r="PGK17">
        <v>0</v>
      </c>
      <c r="PGL17">
        <v>0</v>
      </c>
      <c r="PGM17">
        <v>0</v>
      </c>
      <c r="PGN17">
        <v>0</v>
      </c>
      <c r="PGO17">
        <v>0</v>
      </c>
      <c r="PGP17">
        <v>0</v>
      </c>
      <c r="PGQ17">
        <v>0</v>
      </c>
      <c r="PGR17">
        <v>0</v>
      </c>
      <c r="PGS17">
        <v>0</v>
      </c>
      <c r="PGT17">
        <v>0</v>
      </c>
      <c r="PGU17">
        <v>0</v>
      </c>
      <c r="PGV17">
        <v>0</v>
      </c>
      <c r="PGW17">
        <v>0</v>
      </c>
      <c r="PGX17">
        <v>0</v>
      </c>
      <c r="PGY17">
        <v>0</v>
      </c>
      <c r="PGZ17">
        <v>0</v>
      </c>
      <c r="PHA17">
        <v>0</v>
      </c>
      <c r="PHB17">
        <v>0</v>
      </c>
      <c r="PHC17">
        <v>0</v>
      </c>
      <c r="PHD17">
        <v>0</v>
      </c>
      <c r="PHE17">
        <v>0</v>
      </c>
      <c r="PHF17">
        <v>0</v>
      </c>
      <c r="PHG17">
        <v>0</v>
      </c>
      <c r="PHH17">
        <v>0</v>
      </c>
      <c r="PHI17">
        <v>0</v>
      </c>
      <c r="PHJ17">
        <v>0</v>
      </c>
      <c r="PHK17">
        <v>0</v>
      </c>
      <c r="PHL17">
        <v>0</v>
      </c>
      <c r="PHM17">
        <v>0</v>
      </c>
      <c r="PHN17">
        <v>0</v>
      </c>
      <c r="PHO17">
        <v>0</v>
      </c>
      <c r="PHP17">
        <v>0</v>
      </c>
      <c r="PHQ17">
        <v>0</v>
      </c>
      <c r="PHR17">
        <v>0</v>
      </c>
      <c r="PHS17">
        <v>0</v>
      </c>
      <c r="PHT17">
        <v>0</v>
      </c>
      <c r="PHU17">
        <v>0</v>
      </c>
      <c r="PHV17">
        <v>0</v>
      </c>
      <c r="PHW17">
        <v>0</v>
      </c>
      <c r="PHX17">
        <v>0</v>
      </c>
      <c r="PHY17">
        <v>0</v>
      </c>
      <c r="PHZ17">
        <v>0</v>
      </c>
      <c r="PIA17">
        <v>0</v>
      </c>
      <c r="PIB17">
        <v>0</v>
      </c>
      <c r="PIC17">
        <v>0</v>
      </c>
      <c r="PID17">
        <v>0</v>
      </c>
      <c r="PIE17">
        <v>0</v>
      </c>
      <c r="PIF17">
        <v>0</v>
      </c>
      <c r="PIG17">
        <v>0</v>
      </c>
      <c r="PIH17">
        <v>0</v>
      </c>
      <c r="PII17">
        <v>0</v>
      </c>
      <c r="PIJ17">
        <v>0</v>
      </c>
      <c r="PIK17">
        <v>0</v>
      </c>
      <c r="PIL17">
        <v>0</v>
      </c>
      <c r="PIM17">
        <v>0</v>
      </c>
      <c r="PIN17">
        <v>0</v>
      </c>
      <c r="PIO17">
        <v>0</v>
      </c>
      <c r="PIP17">
        <v>0</v>
      </c>
      <c r="PIQ17">
        <v>0</v>
      </c>
      <c r="PIR17">
        <v>0</v>
      </c>
      <c r="PIS17">
        <v>0</v>
      </c>
      <c r="PIT17">
        <v>0</v>
      </c>
      <c r="PIU17">
        <v>0</v>
      </c>
      <c r="PIV17">
        <v>0</v>
      </c>
      <c r="PIW17">
        <v>0</v>
      </c>
      <c r="PIX17">
        <v>0</v>
      </c>
      <c r="PIY17">
        <v>0</v>
      </c>
      <c r="PIZ17">
        <v>0</v>
      </c>
      <c r="PJA17">
        <v>0</v>
      </c>
      <c r="PJB17">
        <v>0</v>
      </c>
      <c r="PJC17">
        <v>0</v>
      </c>
      <c r="PJD17">
        <v>0</v>
      </c>
      <c r="PJE17">
        <v>0</v>
      </c>
      <c r="PJF17">
        <v>0</v>
      </c>
      <c r="PJG17">
        <v>0</v>
      </c>
      <c r="PJH17">
        <v>0</v>
      </c>
      <c r="PJI17">
        <v>0</v>
      </c>
      <c r="PJJ17">
        <v>0</v>
      </c>
      <c r="PJK17">
        <v>0</v>
      </c>
      <c r="PJL17">
        <v>0</v>
      </c>
      <c r="PJM17">
        <v>0</v>
      </c>
      <c r="PJN17">
        <v>0</v>
      </c>
      <c r="PJO17">
        <v>0</v>
      </c>
      <c r="PJP17">
        <v>0</v>
      </c>
      <c r="PJQ17">
        <v>0</v>
      </c>
      <c r="PJR17">
        <v>0</v>
      </c>
      <c r="PJS17">
        <v>0</v>
      </c>
      <c r="PJT17">
        <v>0</v>
      </c>
      <c r="PJU17">
        <v>0</v>
      </c>
      <c r="PJV17">
        <v>0</v>
      </c>
      <c r="PJW17">
        <v>0</v>
      </c>
      <c r="PJX17">
        <v>0</v>
      </c>
      <c r="PJY17">
        <v>0</v>
      </c>
      <c r="PJZ17">
        <v>0</v>
      </c>
      <c r="PKA17">
        <v>0</v>
      </c>
      <c r="PKB17">
        <v>0</v>
      </c>
      <c r="PKC17">
        <v>0</v>
      </c>
      <c r="PKD17">
        <v>0</v>
      </c>
      <c r="PKE17">
        <v>0</v>
      </c>
      <c r="PKF17">
        <v>0</v>
      </c>
      <c r="PKG17">
        <v>0</v>
      </c>
      <c r="PKH17">
        <v>0</v>
      </c>
      <c r="PKI17">
        <v>0</v>
      </c>
      <c r="PKJ17">
        <v>0</v>
      </c>
      <c r="PKK17">
        <v>0</v>
      </c>
      <c r="PKL17">
        <v>0</v>
      </c>
      <c r="PKM17">
        <v>0</v>
      </c>
      <c r="PKN17">
        <v>0</v>
      </c>
      <c r="PKO17">
        <v>0</v>
      </c>
      <c r="PKP17">
        <v>0</v>
      </c>
      <c r="PKQ17">
        <v>0</v>
      </c>
      <c r="PKR17">
        <v>0</v>
      </c>
      <c r="PKS17">
        <v>0</v>
      </c>
      <c r="PKT17">
        <v>0</v>
      </c>
      <c r="PKU17">
        <v>0</v>
      </c>
      <c r="PKV17">
        <v>0</v>
      </c>
      <c r="PKW17">
        <v>0</v>
      </c>
      <c r="PKX17">
        <v>0</v>
      </c>
      <c r="PKY17">
        <v>0</v>
      </c>
      <c r="PKZ17">
        <v>0</v>
      </c>
      <c r="PLA17">
        <v>0</v>
      </c>
      <c r="PLB17">
        <v>0</v>
      </c>
      <c r="PLC17">
        <v>0</v>
      </c>
      <c r="PLD17">
        <v>0</v>
      </c>
      <c r="PLE17">
        <v>0</v>
      </c>
      <c r="PLF17">
        <v>0</v>
      </c>
      <c r="PLG17">
        <v>0</v>
      </c>
      <c r="PLH17">
        <v>0</v>
      </c>
      <c r="PLI17">
        <v>0</v>
      </c>
      <c r="PLJ17">
        <v>0</v>
      </c>
      <c r="PLK17">
        <v>0</v>
      </c>
      <c r="PLL17">
        <v>0</v>
      </c>
      <c r="PLM17">
        <v>0</v>
      </c>
      <c r="PLN17">
        <v>0</v>
      </c>
      <c r="PLO17">
        <v>0</v>
      </c>
      <c r="PLP17">
        <v>0</v>
      </c>
      <c r="PLQ17">
        <v>0</v>
      </c>
      <c r="PLR17">
        <v>0</v>
      </c>
      <c r="PLS17">
        <v>0</v>
      </c>
      <c r="PLT17">
        <v>0</v>
      </c>
      <c r="PLU17">
        <v>0</v>
      </c>
      <c r="PLV17">
        <v>0</v>
      </c>
      <c r="PLW17">
        <v>0</v>
      </c>
      <c r="PLX17">
        <v>0</v>
      </c>
      <c r="PLY17">
        <v>0</v>
      </c>
      <c r="PLZ17">
        <v>0</v>
      </c>
      <c r="PMA17">
        <v>0</v>
      </c>
      <c r="PMB17">
        <v>0</v>
      </c>
      <c r="PMC17">
        <v>0</v>
      </c>
      <c r="PMD17">
        <v>0</v>
      </c>
      <c r="PME17">
        <v>0</v>
      </c>
      <c r="PMF17">
        <v>0</v>
      </c>
      <c r="PMG17">
        <v>0</v>
      </c>
      <c r="PMH17">
        <v>0</v>
      </c>
      <c r="PMI17">
        <v>0</v>
      </c>
      <c r="PMJ17">
        <v>0</v>
      </c>
      <c r="PMK17">
        <v>0</v>
      </c>
      <c r="PML17">
        <v>0</v>
      </c>
      <c r="PMM17">
        <v>0</v>
      </c>
      <c r="PMN17">
        <v>0</v>
      </c>
      <c r="PMO17">
        <v>0</v>
      </c>
      <c r="PMP17">
        <v>0</v>
      </c>
      <c r="PMQ17">
        <v>0</v>
      </c>
      <c r="PMR17">
        <v>0</v>
      </c>
      <c r="PMS17">
        <v>0</v>
      </c>
      <c r="PMT17">
        <v>0</v>
      </c>
      <c r="PMU17">
        <v>0</v>
      </c>
      <c r="PMV17">
        <v>0</v>
      </c>
      <c r="PMW17">
        <v>0</v>
      </c>
      <c r="PMX17">
        <v>0</v>
      </c>
      <c r="PMY17">
        <v>0</v>
      </c>
      <c r="PMZ17">
        <v>0</v>
      </c>
      <c r="PNA17">
        <v>0</v>
      </c>
      <c r="PNB17">
        <v>0</v>
      </c>
      <c r="PNC17">
        <v>0</v>
      </c>
      <c r="PND17">
        <v>0</v>
      </c>
      <c r="PNE17">
        <v>0</v>
      </c>
      <c r="PNF17">
        <v>0</v>
      </c>
      <c r="PNG17">
        <v>0</v>
      </c>
      <c r="PNH17">
        <v>0</v>
      </c>
      <c r="PNI17">
        <v>0</v>
      </c>
      <c r="PNJ17">
        <v>0</v>
      </c>
      <c r="PNK17">
        <v>0</v>
      </c>
      <c r="PNL17">
        <v>0</v>
      </c>
      <c r="PNM17">
        <v>0</v>
      </c>
      <c r="PNN17">
        <v>0</v>
      </c>
      <c r="PNO17">
        <v>0</v>
      </c>
      <c r="PNP17">
        <v>0</v>
      </c>
      <c r="PNQ17">
        <v>0</v>
      </c>
      <c r="PNR17">
        <v>0</v>
      </c>
      <c r="PNS17">
        <v>0</v>
      </c>
      <c r="PNT17">
        <v>0</v>
      </c>
      <c r="PNU17">
        <v>0</v>
      </c>
      <c r="PNV17">
        <v>0</v>
      </c>
      <c r="PNW17">
        <v>0</v>
      </c>
      <c r="PNX17">
        <v>0</v>
      </c>
      <c r="PNY17">
        <v>0</v>
      </c>
      <c r="PNZ17">
        <v>0</v>
      </c>
      <c r="POA17">
        <v>0</v>
      </c>
      <c r="POB17">
        <v>0</v>
      </c>
      <c r="POC17">
        <v>0</v>
      </c>
      <c r="POD17">
        <v>0</v>
      </c>
      <c r="POE17">
        <v>0</v>
      </c>
      <c r="POF17">
        <v>0</v>
      </c>
      <c r="POG17">
        <v>0</v>
      </c>
      <c r="POH17">
        <v>0</v>
      </c>
      <c r="POI17">
        <v>0</v>
      </c>
      <c r="POJ17">
        <v>0</v>
      </c>
      <c r="POK17">
        <v>0</v>
      </c>
      <c r="POL17">
        <v>0</v>
      </c>
      <c r="POM17">
        <v>0</v>
      </c>
      <c r="PON17">
        <v>0</v>
      </c>
      <c r="POO17">
        <v>0</v>
      </c>
      <c r="POP17">
        <v>0</v>
      </c>
      <c r="POQ17">
        <v>0</v>
      </c>
      <c r="POR17">
        <v>0</v>
      </c>
      <c r="POS17">
        <v>0</v>
      </c>
      <c r="POT17">
        <v>0</v>
      </c>
      <c r="POU17">
        <v>0</v>
      </c>
      <c r="POV17">
        <v>0</v>
      </c>
      <c r="POW17">
        <v>0</v>
      </c>
      <c r="POX17">
        <v>0</v>
      </c>
      <c r="POY17">
        <v>0</v>
      </c>
      <c r="POZ17">
        <v>0</v>
      </c>
      <c r="PPA17">
        <v>0</v>
      </c>
      <c r="PPB17">
        <v>0</v>
      </c>
      <c r="PPC17">
        <v>0</v>
      </c>
      <c r="PPD17">
        <v>0</v>
      </c>
      <c r="PPE17">
        <v>0</v>
      </c>
      <c r="PPF17">
        <v>0</v>
      </c>
      <c r="PPG17">
        <v>0</v>
      </c>
      <c r="PPH17">
        <v>0</v>
      </c>
      <c r="PPI17">
        <v>0</v>
      </c>
      <c r="PPJ17">
        <v>0</v>
      </c>
      <c r="PPK17">
        <v>0</v>
      </c>
      <c r="PPL17">
        <v>0</v>
      </c>
      <c r="PPM17">
        <v>0</v>
      </c>
      <c r="PPN17">
        <v>0</v>
      </c>
      <c r="PPO17">
        <v>0</v>
      </c>
      <c r="PPP17">
        <v>0</v>
      </c>
      <c r="PPQ17">
        <v>0</v>
      </c>
      <c r="PPR17">
        <v>0</v>
      </c>
      <c r="PPS17">
        <v>0</v>
      </c>
      <c r="PPT17">
        <v>0</v>
      </c>
      <c r="PPU17">
        <v>0</v>
      </c>
      <c r="PPV17">
        <v>0</v>
      </c>
      <c r="PPW17">
        <v>0</v>
      </c>
      <c r="PPX17">
        <v>0</v>
      </c>
      <c r="PPY17">
        <v>0</v>
      </c>
      <c r="PPZ17">
        <v>0</v>
      </c>
      <c r="PQA17">
        <v>0</v>
      </c>
      <c r="PQB17">
        <v>0</v>
      </c>
      <c r="PQC17">
        <v>0</v>
      </c>
      <c r="PQD17">
        <v>0</v>
      </c>
      <c r="PQE17">
        <v>0</v>
      </c>
      <c r="PQF17">
        <v>0</v>
      </c>
      <c r="PQG17">
        <v>0</v>
      </c>
      <c r="PQH17">
        <v>0</v>
      </c>
      <c r="PQI17">
        <v>0</v>
      </c>
      <c r="PQJ17">
        <v>0</v>
      </c>
      <c r="PQK17">
        <v>0</v>
      </c>
      <c r="PQL17">
        <v>0</v>
      </c>
      <c r="PQM17">
        <v>0</v>
      </c>
      <c r="PQN17">
        <v>0</v>
      </c>
      <c r="PQO17">
        <v>0</v>
      </c>
      <c r="PQP17">
        <v>0</v>
      </c>
      <c r="PQQ17">
        <v>0</v>
      </c>
      <c r="PQR17">
        <v>0</v>
      </c>
      <c r="PQS17">
        <v>0</v>
      </c>
      <c r="PQT17">
        <v>0</v>
      </c>
      <c r="PQU17">
        <v>0</v>
      </c>
      <c r="PQV17">
        <v>0</v>
      </c>
      <c r="PQW17">
        <v>0</v>
      </c>
      <c r="PQX17">
        <v>0</v>
      </c>
      <c r="PQY17">
        <v>0</v>
      </c>
      <c r="PQZ17">
        <v>0</v>
      </c>
      <c r="PRA17">
        <v>0</v>
      </c>
      <c r="PRB17">
        <v>0</v>
      </c>
      <c r="PRC17">
        <v>0</v>
      </c>
      <c r="PRD17">
        <v>0</v>
      </c>
      <c r="PRE17">
        <v>0</v>
      </c>
      <c r="PRF17">
        <v>0</v>
      </c>
      <c r="PRG17">
        <v>0</v>
      </c>
      <c r="PRH17">
        <v>0</v>
      </c>
      <c r="PRI17">
        <v>0</v>
      </c>
      <c r="PRJ17">
        <v>0</v>
      </c>
      <c r="PRK17">
        <v>0</v>
      </c>
      <c r="PRL17">
        <v>0</v>
      </c>
      <c r="PRM17">
        <v>0</v>
      </c>
      <c r="PRN17">
        <v>0</v>
      </c>
      <c r="PRO17">
        <v>0</v>
      </c>
      <c r="PRP17">
        <v>0</v>
      </c>
      <c r="PRQ17">
        <v>0</v>
      </c>
      <c r="PRR17">
        <v>0</v>
      </c>
      <c r="PRS17">
        <v>0</v>
      </c>
      <c r="PRT17">
        <v>0</v>
      </c>
      <c r="PRU17">
        <v>0</v>
      </c>
      <c r="PRV17">
        <v>0</v>
      </c>
      <c r="PRW17">
        <v>0</v>
      </c>
      <c r="PRX17">
        <v>0</v>
      </c>
      <c r="PRY17">
        <v>0</v>
      </c>
      <c r="PRZ17">
        <v>0</v>
      </c>
      <c r="PSA17">
        <v>0</v>
      </c>
      <c r="PSB17">
        <v>0</v>
      </c>
      <c r="PSC17">
        <v>0</v>
      </c>
      <c r="PSD17">
        <v>0</v>
      </c>
      <c r="PSE17">
        <v>0</v>
      </c>
      <c r="PSF17">
        <v>0</v>
      </c>
      <c r="PSG17">
        <v>0</v>
      </c>
      <c r="PSH17">
        <v>0</v>
      </c>
      <c r="PSI17">
        <v>0</v>
      </c>
      <c r="PSJ17">
        <v>0</v>
      </c>
      <c r="PSK17">
        <v>0</v>
      </c>
      <c r="PSL17">
        <v>0</v>
      </c>
      <c r="PSM17">
        <v>0</v>
      </c>
      <c r="PSN17">
        <v>0</v>
      </c>
      <c r="PSO17">
        <v>0</v>
      </c>
      <c r="PSP17">
        <v>0</v>
      </c>
      <c r="PSQ17">
        <v>0</v>
      </c>
      <c r="PSR17">
        <v>0</v>
      </c>
      <c r="PSS17">
        <v>0</v>
      </c>
      <c r="PST17">
        <v>0</v>
      </c>
      <c r="PSU17">
        <v>0</v>
      </c>
      <c r="PSV17">
        <v>0</v>
      </c>
      <c r="PSW17">
        <v>0</v>
      </c>
      <c r="PSX17">
        <v>0</v>
      </c>
      <c r="PSY17">
        <v>0</v>
      </c>
      <c r="PSZ17">
        <v>0</v>
      </c>
      <c r="PTA17">
        <v>0</v>
      </c>
      <c r="PTB17">
        <v>0</v>
      </c>
      <c r="PTC17">
        <v>0</v>
      </c>
      <c r="PTD17">
        <v>0</v>
      </c>
      <c r="PTE17">
        <v>0</v>
      </c>
      <c r="PTF17">
        <v>0</v>
      </c>
      <c r="PTG17">
        <v>0</v>
      </c>
      <c r="PTH17">
        <v>0</v>
      </c>
      <c r="PTI17">
        <v>0</v>
      </c>
      <c r="PTJ17">
        <v>0</v>
      </c>
      <c r="PTK17">
        <v>0</v>
      </c>
      <c r="PTL17">
        <v>0</v>
      </c>
      <c r="PTM17">
        <v>0</v>
      </c>
      <c r="PTN17">
        <v>0</v>
      </c>
      <c r="PTO17">
        <v>0</v>
      </c>
      <c r="PTP17">
        <v>0</v>
      </c>
      <c r="PTQ17">
        <v>0</v>
      </c>
      <c r="PTR17">
        <v>0</v>
      </c>
      <c r="PTS17">
        <v>0</v>
      </c>
      <c r="PTT17">
        <v>0</v>
      </c>
      <c r="PTU17">
        <v>0</v>
      </c>
      <c r="PTV17">
        <v>0</v>
      </c>
      <c r="PTW17">
        <v>0</v>
      </c>
      <c r="PTX17">
        <v>0</v>
      </c>
      <c r="PTY17">
        <v>0</v>
      </c>
      <c r="PTZ17">
        <v>0</v>
      </c>
      <c r="PUA17">
        <v>0</v>
      </c>
      <c r="PUB17">
        <v>0</v>
      </c>
      <c r="PUC17">
        <v>0</v>
      </c>
      <c r="PUD17">
        <v>0</v>
      </c>
      <c r="PUE17">
        <v>0</v>
      </c>
      <c r="PUF17">
        <v>0</v>
      </c>
      <c r="PUG17">
        <v>0</v>
      </c>
      <c r="PUH17">
        <v>0</v>
      </c>
      <c r="PUI17">
        <v>0</v>
      </c>
      <c r="PUJ17">
        <v>0</v>
      </c>
      <c r="PUK17">
        <v>0</v>
      </c>
      <c r="PUL17">
        <v>0</v>
      </c>
      <c r="PUM17">
        <v>0</v>
      </c>
      <c r="PUN17">
        <v>0</v>
      </c>
      <c r="PUO17">
        <v>0</v>
      </c>
      <c r="PUP17">
        <v>0</v>
      </c>
      <c r="PUQ17">
        <v>0</v>
      </c>
      <c r="PUR17">
        <v>0</v>
      </c>
      <c r="PUS17">
        <v>0</v>
      </c>
      <c r="PUT17">
        <v>0</v>
      </c>
      <c r="PUU17">
        <v>0</v>
      </c>
      <c r="PUV17">
        <v>0</v>
      </c>
      <c r="PUW17">
        <v>0</v>
      </c>
      <c r="PUX17">
        <v>0</v>
      </c>
      <c r="PUY17">
        <v>0</v>
      </c>
      <c r="PUZ17">
        <v>0</v>
      </c>
      <c r="PVA17">
        <v>0</v>
      </c>
      <c r="PVB17">
        <v>0</v>
      </c>
      <c r="PVC17">
        <v>0</v>
      </c>
      <c r="PVD17">
        <v>0</v>
      </c>
      <c r="PVE17">
        <v>0</v>
      </c>
      <c r="PVF17">
        <v>0</v>
      </c>
      <c r="PVG17">
        <v>0</v>
      </c>
      <c r="PVH17">
        <v>0</v>
      </c>
      <c r="PVI17">
        <v>0</v>
      </c>
      <c r="PVJ17">
        <v>0</v>
      </c>
      <c r="PVK17">
        <v>0</v>
      </c>
      <c r="PVL17">
        <v>0</v>
      </c>
      <c r="PVM17">
        <v>0</v>
      </c>
      <c r="PVN17">
        <v>0</v>
      </c>
      <c r="PVO17">
        <v>0</v>
      </c>
      <c r="PVP17">
        <v>0</v>
      </c>
      <c r="PVQ17">
        <v>0</v>
      </c>
      <c r="PVR17">
        <v>0</v>
      </c>
      <c r="PVS17">
        <v>0</v>
      </c>
      <c r="PVT17">
        <v>0</v>
      </c>
      <c r="PVU17">
        <v>0</v>
      </c>
      <c r="PVV17">
        <v>0</v>
      </c>
      <c r="PVW17">
        <v>0</v>
      </c>
      <c r="PVX17">
        <v>0</v>
      </c>
      <c r="PVY17">
        <v>0</v>
      </c>
      <c r="PVZ17">
        <v>0</v>
      </c>
      <c r="PWA17">
        <v>0</v>
      </c>
      <c r="PWB17">
        <v>0</v>
      </c>
      <c r="PWC17">
        <v>0</v>
      </c>
      <c r="PWD17">
        <v>0</v>
      </c>
      <c r="PWE17">
        <v>0</v>
      </c>
      <c r="PWF17">
        <v>0</v>
      </c>
      <c r="PWG17">
        <v>0</v>
      </c>
      <c r="PWH17">
        <v>0</v>
      </c>
      <c r="PWI17">
        <v>0</v>
      </c>
      <c r="PWJ17">
        <v>0</v>
      </c>
      <c r="PWK17">
        <v>0</v>
      </c>
      <c r="PWL17">
        <v>0</v>
      </c>
      <c r="PWM17">
        <v>0</v>
      </c>
      <c r="PWN17">
        <v>0</v>
      </c>
      <c r="PWO17">
        <v>0</v>
      </c>
      <c r="PWP17">
        <v>0</v>
      </c>
      <c r="PWQ17">
        <v>0</v>
      </c>
      <c r="PWR17">
        <v>0</v>
      </c>
      <c r="PWS17">
        <v>0</v>
      </c>
      <c r="PWT17">
        <v>0</v>
      </c>
      <c r="PWU17">
        <v>0</v>
      </c>
      <c r="PWV17">
        <v>0</v>
      </c>
      <c r="PWW17">
        <v>0</v>
      </c>
      <c r="PWX17">
        <v>0</v>
      </c>
      <c r="PWY17">
        <v>0</v>
      </c>
      <c r="PWZ17">
        <v>0</v>
      </c>
      <c r="PXA17">
        <v>0</v>
      </c>
      <c r="PXB17">
        <v>0</v>
      </c>
      <c r="PXC17">
        <v>0</v>
      </c>
      <c r="PXD17">
        <v>0</v>
      </c>
      <c r="PXE17">
        <v>0</v>
      </c>
      <c r="PXF17">
        <v>0</v>
      </c>
      <c r="PXG17">
        <v>0</v>
      </c>
      <c r="PXH17">
        <v>0</v>
      </c>
      <c r="PXI17">
        <v>0</v>
      </c>
      <c r="PXJ17">
        <v>0</v>
      </c>
      <c r="PXK17">
        <v>0</v>
      </c>
      <c r="PXL17">
        <v>0</v>
      </c>
      <c r="PXM17">
        <v>0</v>
      </c>
      <c r="PXN17">
        <v>0</v>
      </c>
      <c r="PXO17">
        <v>0</v>
      </c>
      <c r="PXP17">
        <v>0</v>
      </c>
      <c r="PXQ17">
        <v>0</v>
      </c>
      <c r="PXR17">
        <v>0</v>
      </c>
      <c r="PXS17">
        <v>0</v>
      </c>
      <c r="PXT17">
        <v>0</v>
      </c>
      <c r="PXU17">
        <v>0</v>
      </c>
      <c r="PXV17">
        <v>0</v>
      </c>
      <c r="PXW17">
        <v>0</v>
      </c>
      <c r="PXX17">
        <v>0</v>
      </c>
      <c r="PXY17">
        <v>0</v>
      </c>
      <c r="PXZ17">
        <v>0</v>
      </c>
      <c r="PYA17">
        <v>0</v>
      </c>
      <c r="PYB17">
        <v>0</v>
      </c>
      <c r="PYC17">
        <v>0</v>
      </c>
      <c r="PYD17">
        <v>0</v>
      </c>
      <c r="PYE17">
        <v>0</v>
      </c>
      <c r="PYF17">
        <v>0</v>
      </c>
      <c r="PYG17">
        <v>0</v>
      </c>
      <c r="PYH17">
        <v>0</v>
      </c>
      <c r="PYI17">
        <v>0</v>
      </c>
      <c r="PYJ17">
        <v>0</v>
      </c>
      <c r="PYK17">
        <v>0</v>
      </c>
      <c r="PYL17">
        <v>0</v>
      </c>
      <c r="PYM17">
        <v>0</v>
      </c>
      <c r="PYN17">
        <v>0</v>
      </c>
      <c r="PYO17">
        <v>0</v>
      </c>
      <c r="PYP17">
        <v>0</v>
      </c>
      <c r="PYQ17">
        <v>0</v>
      </c>
      <c r="PYR17">
        <v>0</v>
      </c>
      <c r="PYS17">
        <v>0</v>
      </c>
      <c r="PYT17">
        <v>0</v>
      </c>
      <c r="PYU17">
        <v>0</v>
      </c>
      <c r="PYV17">
        <v>0</v>
      </c>
      <c r="PYW17">
        <v>0</v>
      </c>
      <c r="PYX17">
        <v>0</v>
      </c>
      <c r="PYY17">
        <v>0</v>
      </c>
      <c r="PYZ17">
        <v>0</v>
      </c>
      <c r="PZA17">
        <v>0</v>
      </c>
      <c r="PZB17">
        <v>0</v>
      </c>
      <c r="PZC17">
        <v>0</v>
      </c>
      <c r="PZD17">
        <v>0</v>
      </c>
      <c r="PZE17">
        <v>0</v>
      </c>
      <c r="PZF17">
        <v>0</v>
      </c>
      <c r="PZG17">
        <v>0</v>
      </c>
      <c r="PZH17">
        <v>0</v>
      </c>
      <c r="PZI17">
        <v>0</v>
      </c>
      <c r="PZJ17">
        <v>0</v>
      </c>
      <c r="PZK17">
        <v>0</v>
      </c>
      <c r="PZL17">
        <v>0</v>
      </c>
      <c r="PZM17">
        <v>0</v>
      </c>
      <c r="PZN17">
        <v>0</v>
      </c>
      <c r="PZO17">
        <v>0</v>
      </c>
      <c r="PZP17">
        <v>0</v>
      </c>
      <c r="PZQ17">
        <v>0</v>
      </c>
      <c r="PZR17">
        <v>0</v>
      </c>
      <c r="PZS17">
        <v>0</v>
      </c>
      <c r="PZT17">
        <v>0</v>
      </c>
      <c r="PZU17">
        <v>0</v>
      </c>
      <c r="PZV17">
        <v>0</v>
      </c>
      <c r="PZW17">
        <v>0</v>
      </c>
      <c r="PZX17">
        <v>0</v>
      </c>
      <c r="PZY17">
        <v>0</v>
      </c>
      <c r="PZZ17">
        <v>0</v>
      </c>
      <c r="QAA17">
        <v>0</v>
      </c>
      <c r="QAB17">
        <v>0</v>
      </c>
      <c r="QAC17">
        <v>0</v>
      </c>
      <c r="QAD17">
        <v>0</v>
      </c>
      <c r="QAE17">
        <v>0</v>
      </c>
      <c r="QAF17">
        <v>0</v>
      </c>
      <c r="QAG17">
        <v>0</v>
      </c>
      <c r="QAH17">
        <v>0</v>
      </c>
      <c r="QAI17">
        <v>0</v>
      </c>
      <c r="QAJ17">
        <v>0</v>
      </c>
      <c r="QAK17">
        <v>0</v>
      </c>
      <c r="QAL17">
        <v>0</v>
      </c>
      <c r="QAM17">
        <v>0</v>
      </c>
      <c r="QAN17">
        <v>0</v>
      </c>
      <c r="QAO17">
        <v>0</v>
      </c>
      <c r="QAP17">
        <v>0</v>
      </c>
      <c r="QAQ17">
        <v>0</v>
      </c>
      <c r="QAR17">
        <v>0</v>
      </c>
      <c r="QAS17">
        <v>0</v>
      </c>
      <c r="QAT17">
        <v>0</v>
      </c>
      <c r="QAU17">
        <v>0</v>
      </c>
      <c r="QAV17">
        <v>0</v>
      </c>
      <c r="QAW17">
        <v>0</v>
      </c>
      <c r="QAX17">
        <v>0</v>
      </c>
      <c r="QAY17">
        <v>0</v>
      </c>
      <c r="QAZ17">
        <v>0</v>
      </c>
      <c r="QBA17">
        <v>0</v>
      </c>
      <c r="QBB17">
        <v>0</v>
      </c>
      <c r="QBC17">
        <v>0</v>
      </c>
      <c r="QBD17">
        <v>0</v>
      </c>
      <c r="QBE17">
        <v>0</v>
      </c>
      <c r="QBF17">
        <v>0</v>
      </c>
      <c r="QBG17">
        <v>0</v>
      </c>
      <c r="QBH17">
        <v>0</v>
      </c>
      <c r="QBI17">
        <v>0</v>
      </c>
      <c r="QBJ17">
        <v>0</v>
      </c>
      <c r="QBK17">
        <v>0</v>
      </c>
      <c r="QBL17">
        <v>0</v>
      </c>
      <c r="QBM17">
        <v>0</v>
      </c>
      <c r="QBN17">
        <v>0</v>
      </c>
      <c r="QBO17">
        <v>0</v>
      </c>
      <c r="QBP17">
        <v>0</v>
      </c>
      <c r="QBQ17">
        <v>0</v>
      </c>
      <c r="QBR17">
        <v>0</v>
      </c>
      <c r="QBS17">
        <v>0</v>
      </c>
      <c r="QBT17">
        <v>0</v>
      </c>
      <c r="QBU17">
        <v>0</v>
      </c>
      <c r="QBV17">
        <v>0</v>
      </c>
      <c r="QBW17">
        <v>0</v>
      </c>
      <c r="QBX17">
        <v>0</v>
      </c>
      <c r="QBY17">
        <v>0</v>
      </c>
      <c r="QBZ17">
        <v>0</v>
      </c>
      <c r="QCA17">
        <v>0</v>
      </c>
      <c r="QCB17">
        <v>0</v>
      </c>
      <c r="QCC17">
        <v>0</v>
      </c>
      <c r="QCD17">
        <v>0</v>
      </c>
      <c r="QCE17">
        <v>0</v>
      </c>
      <c r="QCF17">
        <v>0</v>
      </c>
      <c r="QCG17">
        <v>0</v>
      </c>
      <c r="QCH17">
        <v>0</v>
      </c>
      <c r="QCI17">
        <v>0</v>
      </c>
      <c r="QCJ17">
        <v>0</v>
      </c>
      <c r="QCK17">
        <v>0</v>
      </c>
      <c r="QCL17">
        <v>0</v>
      </c>
      <c r="QCM17">
        <v>0</v>
      </c>
      <c r="QCN17">
        <v>0</v>
      </c>
      <c r="QCO17">
        <v>0</v>
      </c>
      <c r="QCP17">
        <v>0</v>
      </c>
      <c r="QCQ17">
        <v>0</v>
      </c>
      <c r="QCR17">
        <v>0</v>
      </c>
      <c r="QCS17">
        <v>0</v>
      </c>
      <c r="QCT17">
        <v>0</v>
      </c>
      <c r="QCU17">
        <v>0</v>
      </c>
      <c r="QCV17">
        <v>0</v>
      </c>
      <c r="QCW17">
        <v>0</v>
      </c>
      <c r="QCX17">
        <v>0</v>
      </c>
      <c r="QCY17">
        <v>0</v>
      </c>
      <c r="QCZ17">
        <v>0</v>
      </c>
      <c r="QDA17">
        <v>0</v>
      </c>
      <c r="QDB17">
        <v>0</v>
      </c>
      <c r="QDC17">
        <v>0</v>
      </c>
      <c r="QDD17">
        <v>0</v>
      </c>
      <c r="QDE17">
        <v>0</v>
      </c>
      <c r="QDF17">
        <v>0</v>
      </c>
      <c r="QDG17">
        <v>0</v>
      </c>
      <c r="QDH17">
        <v>0</v>
      </c>
      <c r="QDI17">
        <v>0</v>
      </c>
      <c r="QDJ17">
        <v>0</v>
      </c>
      <c r="QDK17">
        <v>0</v>
      </c>
      <c r="QDL17">
        <v>0</v>
      </c>
      <c r="QDM17">
        <v>0</v>
      </c>
      <c r="QDN17">
        <v>0</v>
      </c>
      <c r="QDO17">
        <v>0</v>
      </c>
      <c r="QDP17">
        <v>0</v>
      </c>
      <c r="QDQ17">
        <v>0</v>
      </c>
      <c r="QDR17">
        <v>0</v>
      </c>
      <c r="QDS17">
        <v>0</v>
      </c>
      <c r="QDT17">
        <v>0</v>
      </c>
      <c r="QDU17">
        <v>0</v>
      </c>
      <c r="QDV17">
        <v>0</v>
      </c>
      <c r="QDW17">
        <v>0</v>
      </c>
      <c r="QDX17">
        <v>0</v>
      </c>
      <c r="QDY17">
        <v>0</v>
      </c>
      <c r="QDZ17">
        <v>0</v>
      </c>
      <c r="QEA17">
        <v>0</v>
      </c>
      <c r="QEB17">
        <v>0</v>
      </c>
      <c r="QEC17">
        <v>0</v>
      </c>
      <c r="QED17">
        <v>0</v>
      </c>
      <c r="QEE17">
        <v>0</v>
      </c>
      <c r="QEF17">
        <v>0</v>
      </c>
      <c r="QEG17">
        <v>0</v>
      </c>
      <c r="QEH17">
        <v>0</v>
      </c>
      <c r="QEI17">
        <v>0</v>
      </c>
      <c r="QEJ17">
        <v>0</v>
      </c>
      <c r="QEK17">
        <v>0</v>
      </c>
      <c r="QEL17">
        <v>0</v>
      </c>
      <c r="QEM17">
        <v>0</v>
      </c>
      <c r="QEN17">
        <v>0</v>
      </c>
      <c r="QEO17">
        <v>0</v>
      </c>
      <c r="QEP17">
        <v>0</v>
      </c>
      <c r="QEQ17">
        <v>0</v>
      </c>
      <c r="QER17">
        <v>0</v>
      </c>
      <c r="QES17">
        <v>0</v>
      </c>
      <c r="QET17">
        <v>0</v>
      </c>
      <c r="QEU17">
        <v>0</v>
      </c>
      <c r="QEV17">
        <v>0</v>
      </c>
      <c r="QEW17">
        <v>0</v>
      </c>
      <c r="QEX17">
        <v>0</v>
      </c>
      <c r="QEY17">
        <v>0</v>
      </c>
      <c r="QEZ17">
        <v>0</v>
      </c>
      <c r="QFA17">
        <v>0</v>
      </c>
      <c r="QFB17">
        <v>0</v>
      </c>
      <c r="QFC17">
        <v>0</v>
      </c>
      <c r="QFD17">
        <v>0</v>
      </c>
      <c r="QFE17">
        <v>0</v>
      </c>
      <c r="QFF17">
        <v>0</v>
      </c>
      <c r="QFG17">
        <v>0</v>
      </c>
      <c r="QFH17">
        <v>0</v>
      </c>
      <c r="QFI17">
        <v>0</v>
      </c>
      <c r="QFJ17">
        <v>0</v>
      </c>
      <c r="QFK17">
        <v>0</v>
      </c>
      <c r="QFL17">
        <v>0</v>
      </c>
      <c r="QFM17">
        <v>0</v>
      </c>
      <c r="QFN17">
        <v>0</v>
      </c>
      <c r="QFO17">
        <v>0</v>
      </c>
      <c r="QFP17">
        <v>0</v>
      </c>
      <c r="QFQ17">
        <v>0</v>
      </c>
      <c r="QFR17">
        <v>0</v>
      </c>
      <c r="QFS17">
        <v>0</v>
      </c>
      <c r="QFT17">
        <v>0</v>
      </c>
      <c r="QFU17">
        <v>0</v>
      </c>
      <c r="QFV17">
        <v>0</v>
      </c>
      <c r="QFW17">
        <v>0</v>
      </c>
      <c r="QFX17">
        <v>0</v>
      </c>
      <c r="QFY17">
        <v>0</v>
      </c>
      <c r="QFZ17">
        <v>0</v>
      </c>
      <c r="QGA17">
        <v>0</v>
      </c>
      <c r="QGB17">
        <v>0</v>
      </c>
      <c r="QGC17">
        <v>0</v>
      </c>
      <c r="QGD17">
        <v>0</v>
      </c>
      <c r="QGE17">
        <v>0</v>
      </c>
      <c r="QGF17">
        <v>0</v>
      </c>
      <c r="QGG17">
        <v>0</v>
      </c>
      <c r="QGH17">
        <v>0</v>
      </c>
      <c r="QGI17">
        <v>0</v>
      </c>
      <c r="QGJ17">
        <v>0</v>
      </c>
      <c r="QGK17">
        <v>0</v>
      </c>
      <c r="QGL17">
        <v>0</v>
      </c>
      <c r="QGM17">
        <v>0</v>
      </c>
      <c r="QGN17">
        <v>0</v>
      </c>
      <c r="QGO17">
        <v>0</v>
      </c>
      <c r="QGP17">
        <v>0</v>
      </c>
      <c r="QGQ17">
        <v>0</v>
      </c>
      <c r="QGR17">
        <v>0</v>
      </c>
      <c r="QGS17">
        <v>0</v>
      </c>
      <c r="QGT17">
        <v>0</v>
      </c>
      <c r="QGU17">
        <v>0</v>
      </c>
      <c r="QGV17">
        <v>0</v>
      </c>
      <c r="QGW17">
        <v>0</v>
      </c>
      <c r="QGX17">
        <v>0</v>
      </c>
      <c r="QGY17">
        <v>0</v>
      </c>
      <c r="QGZ17">
        <v>0</v>
      </c>
      <c r="QHA17">
        <v>0</v>
      </c>
      <c r="QHB17">
        <v>0</v>
      </c>
      <c r="QHC17">
        <v>0</v>
      </c>
      <c r="QHD17">
        <v>0</v>
      </c>
      <c r="QHE17">
        <v>0</v>
      </c>
      <c r="QHF17">
        <v>0</v>
      </c>
      <c r="QHG17">
        <v>0</v>
      </c>
      <c r="QHH17">
        <v>0</v>
      </c>
      <c r="QHI17">
        <v>0</v>
      </c>
      <c r="QHJ17">
        <v>0</v>
      </c>
      <c r="QHK17">
        <v>0</v>
      </c>
      <c r="QHL17">
        <v>0</v>
      </c>
      <c r="QHM17">
        <v>0</v>
      </c>
      <c r="QHN17">
        <v>0</v>
      </c>
      <c r="QHO17">
        <v>0</v>
      </c>
      <c r="QHP17">
        <v>0</v>
      </c>
      <c r="QHQ17">
        <v>0</v>
      </c>
      <c r="QHR17">
        <v>0</v>
      </c>
      <c r="QHS17">
        <v>0</v>
      </c>
      <c r="QHT17">
        <v>0</v>
      </c>
      <c r="QHU17">
        <v>0</v>
      </c>
      <c r="QHV17">
        <v>0</v>
      </c>
      <c r="QHW17">
        <v>0</v>
      </c>
      <c r="QHX17">
        <v>0</v>
      </c>
      <c r="QHY17">
        <v>0</v>
      </c>
      <c r="QHZ17">
        <v>0</v>
      </c>
      <c r="QIA17">
        <v>0</v>
      </c>
      <c r="QIB17">
        <v>0</v>
      </c>
      <c r="QIC17">
        <v>0</v>
      </c>
      <c r="QID17">
        <v>0</v>
      </c>
      <c r="QIE17">
        <v>0</v>
      </c>
      <c r="QIF17">
        <v>0</v>
      </c>
      <c r="QIG17">
        <v>0</v>
      </c>
      <c r="QIH17">
        <v>0</v>
      </c>
      <c r="QII17">
        <v>0</v>
      </c>
      <c r="QIJ17">
        <v>0</v>
      </c>
      <c r="QIK17">
        <v>0</v>
      </c>
      <c r="QIL17">
        <v>0</v>
      </c>
      <c r="QIM17">
        <v>0</v>
      </c>
      <c r="QIN17">
        <v>0</v>
      </c>
      <c r="QIO17">
        <v>0</v>
      </c>
      <c r="QIP17">
        <v>0</v>
      </c>
      <c r="QIQ17">
        <v>0</v>
      </c>
      <c r="QIR17">
        <v>0</v>
      </c>
      <c r="QIS17">
        <v>0</v>
      </c>
      <c r="QIT17">
        <v>0</v>
      </c>
      <c r="QIU17">
        <v>0</v>
      </c>
      <c r="QIV17">
        <v>0</v>
      </c>
      <c r="QIW17">
        <v>0</v>
      </c>
      <c r="QIX17">
        <v>0</v>
      </c>
      <c r="QIY17">
        <v>0</v>
      </c>
      <c r="QIZ17">
        <v>0</v>
      </c>
      <c r="QJA17">
        <v>0</v>
      </c>
      <c r="QJB17">
        <v>0</v>
      </c>
      <c r="QJC17">
        <v>0</v>
      </c>
      <c r="QJD17">
        <v>0</v>
      </c>
      <c r="QJE17">
        <v>0</v>
      </c>
      <c r="QJF17">
        <v>0</v>
      </c>
      <c r="QJG17">
        <v>0</v>
      </c>
      <c r="QJH17">
        <v>0</v>
      </c>
      <c r="QJI17">
        <v>0</v>
      </c>
      <c r="QJJ17">
        <v>0</v>
      </c>
      <c r="QJK17">
        <v>0</v>
      </c>
      <c r="QJL17">
        <v>0</v>
      </c>
      <c r="QJM17">
        <v>0</v>
      </c>
      <c r="QJN17">
        <v>0</v>
      </c>
      <c r="QJO17">
        <v>0</v>
      </c>
      <c r="QJP17">
        <v>0</v>
      </c>
      <c r="QJQ17">
        <v>0</v>
      </c>
      <c r="QJR17">
        <v>0</v>
      </c>
      <c r="QJS17">
        <v>0</v>
      </c>
      <c r="QJT17">
        <v>0</v>
      </c>
      <c r="QJU17">
        <v>0</v>
      </c>
      <c r="QJV17">
        <v>0</v>
      </c>
      <c r="QJW17">
        <v>0</v>
      </c>
      <c r="QJX17">
        <v>0</v>
      </c>
      <c r="QJY17">
        <v>0</v>
      </c>
      <c r="QJZ17">
        <v>0</v>
      </c>
      <c r="QKA17">
        <v>0</v>
      </c>
      <c r="QKB17">
        <v>0</v>
      </c>
      <c r="QKC17">
        <v>0</v>
      </c>
      <c r="QKD17">
        <v>0</v>
      </c>
      <c r="QKE17">
        <v>0</v>
      </c>
      <c r="QKF17">
        <v>0</v>
      </c>
      <c r="QKG17">
        <v>0</v>
      </c>
      <c r="QKH17">
        <v>0</v>
      </c>
      <c r="QKI17">
        <v>0</v>
      </c>
      <c r="QKJ17">
        <v>0</v>
      </c>
      <c r="QKK17">
        <v>0</v>
      </c>
      <c r="QKL17">
        <v>0</v>
      </c>
      <c r="QKM17">
        <v>0</v>
      </c>
      <c r="QKN17">
        <v>0</v>
      </c>
      <c r="QKO17">
        <v>0</v>
      </c>
      <c r="QKP17">
        <v>0</v>
      </c>
      <c r="QKQ17">
        <v>0</v>
      </c>
      <c r="QKR17">
        <v>0</v>
      </c>
      <c r="QKS17">
        <v>0</v>
      </c>
      <c r="QKT17">
        <v>0</v>
      </c>
      <c r="QKU17">
        <v>0</v>
      </c>
      <c r="QKV17">
        <v>0</v>
      </c>
      <c r="QKW17">
        <v>0</v>
      </c>
      <c r="QKX17">
        <v>0</v>
      </c>
      <c r="QKY17">
        <v>0</v>
      </c>
      <c r="QKZ17">
        <v>0</v>
      </c>
      <c r="QLA17">
        <v>0</v>
      </c>
      <c r="QLB17">
        <v>0</v>
      </c>
      <c r="QLC17">
        <v>0</v>
      </c>
      <c r="QLD17">
        <v>0</v>
      </c>
      <c r="QLE17">
        <v>0</v>
      </c>
      <c r="QLF17">
        <v>0</v>
      </c>
      <c r="QLG17">
        <v>0</v>
      </c>
      <c r="QLH17">
        <v>0</v>
      </c>
      <c r="QLI17">
        <v>0</v>
      </c>
      <c r="QLJ17">
        <v>0</v>
      </c>
      <c r="QLK17">
        <v>0</v>
      </c>
      <c r="QLL17">
        <v>0</v>
      </c>
      <c r="QLM17">
        <v>0</v>
      </c>
      <c r="QLN17">
        <v>0</v>
      </c>
      <c r="QLO17">
        <v>0</v>
      </c>
      <c r="QLP17">
        <v>0</v>
      </c>
      <c r="QLQ17">
        <v>0</v>
      </c>
      <c r="QLR17">
        <v>0</v>
      </c>
      <c r="QLS17">
        <v>0</v>
      </c>
      <c r="QLT17">
        <v>0</v>
      </c>
      <c r="QLU17">
        <v>0</v>
      </c>
      <c r="QLV17">
        <v>0</v>
      </c>
      <c r="QLW17">
        <v>0</v>
      </c>
      <c r="QLX17">
        <v>0</v>
      </c>
      <c r="QLY17">
        <v>0</v>
      </c>
      <c r="QLZ17">
        <v>0</v>
      </c>
      <c r="QMA17">
        <v>0</v>
      </c>
      <c r="QMB17">
        <v>0</v>
      </c>
      <c r="QMC17">
        <v>0</v>
      </c>
      <c r="QMD17">
        <v>0</v>
      </c>
      <c r="QME17">
        <v>0</v>
      </c>
      <c r="QMF17">
        <v>0</v>
      </c>
      <c r="QMG17">
        <v>0</v>
      </c>
      <c r="QMH17">
        <v>0</v>
      </c>
      <c r="QMI17">
        <v>0</v>
      </c>
      <c r="QMJ17">
        <v>0</v>
      </c>
      <c r="QMK17">
        <v>0</v>
      </c>
      <c r="QML17">
        <v>0</v>
      </c>
      <c r="QMM17">
        <v>0</v>
      </c>
      <c r="QMN17">
        <v>0</v>
      </c>
      <c r="QMO17">
        <v>0</v>
      </c>
      <c r="QMP17">
        <v>0</v>
      </c>
      <c r="QMQ17">
        <v>0</v>
      </c>
      <c r="QMR17">
        <v>0</v>
      </c>
      <c r="QMS17">
        <v>0</v>
      </c>
      <c r="QMT17">
        <v>0</v>
      </c>
      <c r="QMU17">
        <v>0</v>
      </c>
      <c r="QMV17">
        <v>0</v>
      </c>
      <c r="QMW17">
        <v>0</v>
      </c>
      <c r="QMX17">
        <v>0</v>
      </c>
      <c r="QMY17">
        <v>0</v>
      </c>
      <c r="QMZ17">
        <v>0</v>
      </c>
      <c r="QNA17">
        <v>0</v>
      </c>
      <c r="QNB17">
        <v>0</v>
      </c>
      <c r="QNC17">
        <v>0</v>
      </c>
      <c r="QND17">
        <v>0</v>
      </c>
      <c r="QNE17">
        <v>0</v>
      </c>
      <c r="QNF17">
        <v>0</v>
      </c>
      <c r="QNG17">
        <v>0</v>
      </c>
      <c r="QNH17">
        <v>0</v>
      </c>
      <c r="QNI17">
        <v>0</v>
      </c>
      <c r="QNJ17">
        <v>0</v>
      </c>
      <c r="QNK17">
        <v>0</v>
      </c>
      <c r="QNL17">
        <v>0</v>
      </c>
      <c r="QNM17">
        <v>0</v>
      </c>
      <c r="QNN17">
        <v>0</v>
      </c>
      <c r="QNO17">
        <v>0</v>
      </c>
      <c r="QNP17">
        <v>0</v>
      </c>
      <c r="QNQ17">
        <v>0</v>
      </c>
      <c r="QNR17">
        <v>0</v>
      </c>
      <c r="QNS17">
        <v>0</v>
      </c>
      <c r="QNT17">
        <v>0</v>
      </c>
      <c r="QNU17">
        <v>0</v>
      </c>
      <c r="QNV17">
        <v>0</v>
      </c>
      <c r="QNW17">
        <v>0</v>
      </c>
      <c r="QNX17">
        <v>0</v>
      </c>
      <c r="QNY17">
        <v>0</v>
      </c>
      <c r="QNZ17">
        <v>0</v>
      </c>
      <c r="QOA17">
        <v>0</v>
      </c>
      <c r="QOB17">
        <v>0</v>
      </c>
      <c r="QOC17">
        <v>0</v>
      </c>
      <c r="QOD17">
        <v>0</v>
      </c>
      <c r="QOE17">
        <v>0</v>
      </c>
      <c r="QOF17">
        <v>0</v>
      </c>
      <c r="QOG17">
        <v>0</v>
      </c>
      <c r="QOH17">
        <v>0</v>
      </c>
      <c r="QOI17">
        <v>0</v>
      </c>
      <c r="QOJ17">
        <v>0</v>
      </c>
      <c r="QOK17">
        <v>0</v>
      </c>
      <c r="QOL17">
        <v>0</v>
      </c>
      <c r="QOM17">
        <v>0</v>
      </c>
      <c r="QON17">
        <v>0</v>
      </c>
      <c r="QOO17">
        <v>0</v>
      </c>
      <c r="QOP17">
        <v>0</v>
      </c>
      <c r="QOQ17">
        <v>0</v>
      </c>
      <c r="QOR17">
        <v>0</v>
      </c>
      <c r="QOS17">
        <v>0</v>
      </c>
      <c r="QOT17">
        <v>0</v>
      </c>
      <c r="QOU17">
        <v>0</v>
      </c>
      <c r="QOV17">
        <v>0</v>
      </c>
      <c r="QOW17">
        <v>0</v>
      </c>
      <c r="QOX17">
        <v>0</v>
      </c>
      <c r="QOY17">
        <v>0</v>
      </c>
      <c r="QOZ17">
        <v>0</v>
      </c>
      <c r="QPA17">
        <v>0</v>
      </c>
      <c r="QPB17">
        <v>0</v>
      </c>
      <c r="QPC17">
        <v>0</v>
      </c>
      <c r="QPD17">
        <v>0</v>
      </c>
      <c r="QPE17">
        <v>0</v>
      </c>
      <c r="QPF17">
        <v>0</v>
      </c>
      <c r="QPG17">
        <v>0</v>
      </c>
      <c r="QPH17">
        <v>0</v>
      </c>
      <c r="QPI17">
        <v>0</v>
      </c>
      <c r="QPJ17">
        <v>0</v>
      </c>
      <c r="QPK17">
        <v>0</v>
      </c>
      <c r="QPL17">
        <v>0</v>
      </c>
      <c r="QPM17">
        <v>0</v>
      </c>
      <c r="QPN17">
        <v>0</v>
      </c>
      <c r="QPO17">
        <v>0</v>
      </c>
      <c r="QPP17">
        <v>0</v>
      </c>
      <c r="QPQ17">
        <v>0</v>
      </c>
      <c r="QPR17">
        <v>0</v>
      </c>
      <c r="QPS17">
        <v>0</v>
      </c>
      <c r="QPT17">
        <v>0</v>
      </c>
      <c r="QPU17">
        <v>0</v>
      </c>
      <c r="QPV17">
        <v>0</v>
      </c>
      <c r="QPW17">
        <v>0</v>
      </c>
      <c r="QPX17">
        <v>0</v>
      </c>
      <c r="QPY17">
        <v>0</v>
      </c>
      <c r="QPZ17">
        <v>0</v>
      </c>
      <c r="QQA17">
        <v>0</v>
      </c>
      <c r="QQB17">
        <v>0</v>
      </c>
      <c r="QQC17">
        <v>0</v>
      </c>
      <c r="QQD17">
        <v>0</v>
      </c>
      <c r="QQE17">
        <v>0</v>
      </c>
      <c r="QQF17">
        <v>0</v>
      </c>
      <c r="QQG17">
        <v>0</v>
      </c>
      <c r="QQH17">
        <v>0</v>
      </c>
      <c r="QQI17">
        <v>0</v>
      </c>
      <c r="QQJ17">
        <v>0</v>
      </c>
      <c r="QQK17">
        <v>0</v>
      </c>
      <c r="QQL17">
        <v>0</v>
      </c>
      <c r="QQM17">
        <v>0</v>
      </c>
      <c r="QQN17">
        <v>0</v>
      </c>
      <c r="QQO17">
        <v>0</v>
      </c>
      <c r="QQP17">
        <v>0</v>
      </c>
      <c r="QQQ17">
        <v>0</v>
      </c>
      <c r="QQR17">
        <v>0</v>
      </c>
      <c r="QQS17">
        <v>0</v>
      </c>
      <c r="QQT17">
        <v>0</v>
      </c>
      <c r="QQU17">
        <v>0</v>
      </c>
      <c r="QQV17">
        <v>0</v>
      </c>
      <c r="QQW17">
        <v>0</v>
      </c>
      <c r="QQX17">
        <v>0</v>
      </c>
      <c r="QQY17">
        <v>0</v>
      </c>
      <c r="QQZ17">
        <v>0</v>
      </c>
      <c r="QRA17">
        <v>0</v>
      </c>
      <c r="QRB17">
        <v>0</v>
      </c>
      <c r="QRC17">
        <v>0</v>
      </c>
      <c r="QRD17">
        <v>0</v>
      </c>
      <c r="QRE17">
        <v>0</v>
      </c>
      <c r="QRF17">
        <v>0</v>
      </c>
      <c r="QRG17">
        <v>0</v>
      </c>
      <c r="QRH17">
        <v>0</v>
      </c>
      <c r="QRI17">
        <v>0</v>
      </c>
      <c r="QRJ17">
        <v>0</v>
      </c>
      <c r="QRK17">
        <v>0</v>
      </c>
      <c r="QRL17">
        <v>0</v>
      </c>
      <c r="QRM17">
        <v>0</v>
      </c>
      <c r="QRN17">
        <v>0</v>
      </c>
      <c r="QRO17">
        <v>0</v>
      </c>
      <c r="QRP17">
        <v>0</v>
      </c>
      <c r="QRQ17">
        <v>0</v>
      </c>
      <c r="QRR17">
        <v>0</v>
      </c>
      <c r="QRS17">
        <v>0</v>
      </c>
      <c r="QRT17">
        <v>0</v>
      </c>
      <c r="QRU17">
        <v>0</v>
      </c>
      <c r="QRV17">
        <v>0</v>
      </c>
      <c r="QRW17">
        <v>0</v>
      </c>
      <c r="QRX17">
        <v>0</v>
      </c>
      <c r="QRY17">
        <v>0</v>
      </c>
      <c r="QRZ17">
        <v>0</v>
      </c>
      <c r="QSA17">
        <v>0</v>
      </c>
      <c r="QSB17">
        <v>0</v>
      </c>
      <c r="QSC17">
        <v>0</v>
      </c>
      <c r="QSD17">
        <v>0</v>
      </c>
      <c r="QSE17">
        <v>0</v>
      </c>
      <c r="QSF17">
        <v>0</v>
      </c>
      <c r="QSG17">
        <v>0</v>
      </c>
      <c r="QSH17">
        <v>0</v>
      </c>
      <c r="QSI17">
        <v>0</v>
      </c>
      <c r="QSJ17">
        <v>0</v>
      </c>
      <c r="QSK17">
        <v>0</v>
      </c>
      <c r="QSL17">
        <v>0</v>
      </c>
      <c r="QSM17">
        <v>0</v>
      </c>
      <c r="QSN17">
        <v>0</v>
      </c>
      <c r="QSO17">
        <v>0</v>
      </c>
      <c r="QSP17">
        <v>0</v>
      </c>
      <c r="QSQ17">
        <v>0</v>
      </c>
      <c r="QSR17">
        <v>0</v>
      </c>
      <c r="QSS17">
        <v>0</v>
      </c>
      <c r="QST17">
        <v>0</v>
      </c>
      <c r="QSU17">
        <v>0</v>
      </c>
      <c r="QSV17">
        <v>0</v>
      </c>
      <c r="QSW17">
        <v>0</v>
      </c>
      <c r="QSX17">
        <v>0</v>
      </c>
      <c r="QSY17">
        <v>0</v>
      </c>
      <c r="QSZ17">
        <v>0</v>
      </c>
      <c r="QTA17">
        <v>0</v>
      </c>
      <c r="QTB17">
        <v>0</v>
      </c>
      <c r="QTC17">
        <v>0</v>
      </c>
      <c r="QTD17">
        <v>0</v>
      </c>
      <c r="QTE17">
        <v>0</v>
      </c>
      <c r="QTF17">
        <v>0</v>
      </c>
      <c r="QTG17">
        <v>0</v>
      </c>
      <c r="QTH17">
        <v>0</v>
      </c>
      <c r="QTI17">
        <v>0</v>
      </c>
      <c r="QTJ17">
        <v>0</v>
      </c>
      <c r="QTK17">
        <v>0</v>
      </c>
      <c r="QTL17">
        <v>0</v>
      </c>
      <c r="QTM17">
        <v>0</v>
      </c>
      <c r="QTN17">
        <v>0</v>
      </c>
      <c r="QTO17">
        <v>0</v>
      </c>
      <c r="QTP17">
        <v>0</v>
      </c>
      <c r="QTQ17">
        <v>0</v>
      </c>
      <c r="QTR17">
        <v>0</v>
      </c>
      <c r="QTS17">
        <v>0</v>
      </c>
      <c r="QTT17">
        <v>0</v>
      </c>
      <c r="QTU17">
        <v>0</v>
      </c>
      <c r="QTV17">
        <v>0</v>
      </c>
      <c r="QTW17">
        <v>0</v>
      </c>
      <c r="QTX17">
        <v>0</v>
      </c>
      <c r="QTY17">
        <v>0</v>
      </c>
      <c r="QTZ17">
        <v>0</v>
      </c>
      <c r="QUA17">
        <v>0</v>
      </c>
      <c r="QUB17">
        <v>0</v>
      </c>
      <c r="QUC17">
        <v>0</v>
      </c>
      <c r="QUD17">
        <v>0</v>
      </c>
      <c r="QUE17">
        <v>0</v>
      </c>
      <c r="QUF17">
        <v>0</v>
      </c>
      <c r="QUG17">
        <v>0</v>
      </c>
      <c r="QUH17">
        <v>0</v>
      </c>
      <c r="QUI17">
        <v>0</v>
      </c>
      <c r="QUJ17">
        <v>0</v>
      </c>
      <c r="QUK17">
        <v>0</v>
      </c>
      <c r="QUL17">
        <v>0</v>
      </c>
      <c r="QUM17">
        <v>0</v>
      </c>
      <c r="QUN17">
        <v>0</v>
      </c>
      <c r="QUO17">
        <v>0</v>
      </c>
      <c r="QUP17">
        <v>0</v>
      </c>
      <c r="QUQ17">
        <v>0</v>
      </c>
      <c r="QUR17">
        <v>0</v>
      </c>
      <c r="QUS17">
        <v>0</v>
      </c>
      <c r="QUT17">
        <v>0</v>
      </c>
      <c r="QUU17">
        <v>0</v>
      </c>
      <c r="QUV17">
        <v>0</v>
      </c>
      <c r="QUW17">
        <v>0</v>
      </c>
      <c r="QUX17">
        <v>0</v>
      </c>
      <c r="QUY17">
        <v>0</v>
      </c>
      <c r="QUZ17">
        <v>0</v>
      </c>
      <c r="QVA17">
        <v>0</v>
      </c>
      <c r="QVB17">
        <v>0</v>
      </c>
      <c r="QVC17">
        <v>0</v>
      </c>
      <c r="QVD17">
        <v>0</v>
      </c>
      <c r="QVE17">
        <v>0</v>
      </c>
      <c r="QVF17">
        <v>0</v>
      </c>
      <c r="QVG17">
        <v>0</v>
      </c>
      <c r="QVH17">
        <v>0</v>
      </c>
      <c r="QVI17">
        <v>0</v>
      </c>
      <c r="QVJ17">
        <v>0</v>
      </c>
      <c r="QVK17">
        <v>0</v>
      </c>
      <c r="QVL17">
        <v>0</v>
      </c>
      <c r="QVM17">
        <v>0</v>
      </c>
      <c r="QVN17">
        <v>0</v>
      </c>
      <c r="QVO17">
        <v>0</v>
      </c>
      <c r="QVP17">
        <v>0</v>
      </c>
      <c r="QVQ17">
        <v>0</v>
      </c>
      <c r="QVR17">
        <v>0</v>
      </c>
      <c r="QVS17">
        <v>0</v>
      </c>
      <c r="QVT17">
        <v>0</v>
      </c>
      <c r="QVU17">
        <v>0</v>
      </c>
      <c r="QVV17">
        <v>0</v>
      </c>
      <c r="QVW17">
        <v>0</v>
      </c>
      <c r="QVX17">
        <v>0</v>
      </c>
      <c r="QVY17">
        <v>0</v>
      </c>
      <c r="QVZ17">
        <v>0</v>
      </c>
      <c r="QWA17">
        <v>0</v>
      </c>
      <c r="QWB17">
        <v>0</v>
      </c>
      <c r="QWC17">
        <v>0</v>
      </c>
      <c r="QWD17">
        <v>0</v>
      </c>
      <c r="QWE17">
        <v>0</v>
      </c>
      <c r="QWF17">
        <v>0</v>
      </c>
      <c r="QWG17">
        <v>0</v>
      </c>
      <c r="QWH17">
        <v>0</v>
      </c>
      <c r="QWI17">
        <v>0</v>
      </c>
      <c r="QWJ17">
        <v>0</v>
      </c>
      <c r="QWK17">
        <v>0</v>
      </c>
      <c r="QWL17">
        <v>0</v>
      </c>
      <c r="QWM17">
        <v>0</v>
      </c>
      <c r="QWN17">
        <v>0</v>
      </c>
      <c r="QWO17">
        <v>0</v>
      </c>
      <c r="QWP17">
        <v>0</v>
      </c>
      <c r="QWQ17">
        <v>0</v>
      </c>
      <c r="QWR17">
        <v>0</v>
      </c>
      <c r="QWS17">
        <v>0</v>
      </c>
      <c r="QWT17">
        <v>0</v>
      </c>
      <c r="QWU17">
        <v>0</v>
      </c>
      <c r="QWV17">
        <v>0</v>
      </c>
      <c r="QWW17">
        <v>0</v>
      </c>
      <c r="QWX17">
        <v>0</v>
      </c>
      <c r="QWY17">
        <v>0</v>
      </c>
      <c r="QWZ17">
        <v>0</v>
      </c>
      <c r="QXA17">
        <v>0</v>
      </c>
      <c r="QXB17">
        <v>0</v>
      </c>
      <c r="QXC17">
        <v>0</v>
      </c>
      <c r="QXD17">
        <v>0</v>
      </c>
      <c r="QXE17">
        <v>0</v>
      </c>
      <c r="QXF17">
        <v>0</v>
      </c>
      <c r="QXG17">
        <v>0</v>
      </c>
      <c r="QXH17">
        <v>0</v>
      </c>
      <c r="QXI17">
        <v>0</v>
      </c>
      <c r="QXJ17">
        <v>0</v>
      </c>
      <c r="QXK17">
        <v>0</v>
      </c>
      <c r="QXL17">
        <v>0</v>
      </c>
      <c r="QXM17">
        <v>0</v>
      </c>
      <c r="QXN17">
        <v>0</v>
      </c>
      <c r="QXO17">
        <v>0</v>
      </c>
      <c r="QXP17">
        <v>0</v>
      </c>
      <c r="QXQ17">
        <v>0</v>
      </c>
      <c r="QXR17">
        <v>0</v>
      </c>
      <c r="QXS17">
        <v>0</v>
      </c>
      <c r="QXT17">
        <v>0</v>
      </c>
      <c r="QXU17">
        <v>0</v>
      </c>
      <c r="QXV17">
        <v>0</v>
      </c>
      <c r="QXW17">
        <v>0</v>
      </c>
      <c r="QXX17">
        <v>0</v>
      </c>
      <c r="QXY17">
        <v>0</v>
      </c>
      <c r="QXZ17">
        <v>0</v>
      </c>
      <c r="QYA17">
        <v>0</v>
      </c>
      <c r="QYB17">
        <v>0</v>
      </c>
      <c r="QYC17">
        <v>0</v>
      </c>
      <c r="QYD17">
        <v>0</v>
      </c>
      <c r="QYE17">
        <v>0</v>
      </c>
      <c r="QYF17">
        <v>0</v>
      </c>
      <c r="QYG17">
        <v>0</v>
      </c>
      <c r="QYH17">
        <v>0</v>
      </c>
      <c r="QYI17">
        <v>0</v>
      </c>
      <c r="QYJ17">
        <v>0</v>
      </c>
      <c r="QYK17">
        <v>0</v>
      </c>
      <c r="QYL17">
        <v>0</v>
      </c>
      <c r="QYM17">
        <v>0</v>
      </c>
      <c r="QYN17">
        <v>0</v>
      </c>
      <c r="QYO17">
        <v>0</v>
      </c>
      <c r="QYP17">
        <v>0</v>
      </c>
      <c r="QYQ17">
        <v>0</v>
      </c>
      <c r="QYR17">
        <v>0</v>
      </c>
      <c r="QYS17">
        <v>0</v>
      </c>
      <c r="QYT17">
        <v>0</v>
      </c>
      <c r="QYU17">
        <v>0</v>
      </c>
      <c r="QYV17">
        <v>0</v>
      </c>
      <c r="QYW17">
        <v>0</v>
      </c>
      <c r="QYX17">
        <v>0</v>
      </c>
      <c r="QYY17">
        <v>0</v>
      </c>
      <c r="QYZ17">
        <v>0</v>
      </c>
      <c r="QZA17">
        <v>0</v>
      </c>
      <c r="QZB17">
        <v>0</v>
      </c>
      <c r="QZC17">
        <v>0</v>
      </c>
      <c r="QZD17">
        <v>0</v>
      </c>
      <c r="QZE17">
        <v>0</v>
      </c>
      <c r="QZF17">
        <v>0</v>
      </c>
      <c r="QZG17">
        <v>0</v>
      </c>
      <c r="QZH17">
        <v>0</v>
      </c>
      <c r="QZI17">
        <v>0</v>
      </c>
      <c r="QZJ17">
        <v>0</v>
      </c>
      <c r="QZK17">
        <v>0</v>
      </c>
      <c r="QZL17">
        <v>0</v>
      </c>
      <c r="QZM17">
        <v>0</v>
      </c>
      <c r="QZN17">
        <v>0</v>
      </c>
      <c r="QZO17">
        <v>0</v>
      </c>
      <c r="QZP17">
        <v>0</v>
      </c>
      <c r="QZQ17">
        <v>0</v>
      </c>
      <c r="QZR17">
        <v>0</v>
      </c>
      <c r="QZS17">
        <v>0</v>
      </c>
      <c r="QZT17">
        <v>0</v>
      </c>
      <c r="QZU17">
        <v>0</v>
      </c>
      <c r="QZV17">
        <v>0</v>
      </c>
      <c r="QZW17">
        <v>0</v>
      </c>
      <c r="QZX17">
        <v>0</v>
      </c>
      <c r="QZY17">
        <v>0</v>
      </c>
      <c r="QZZ17">
        <v>0</v>
      </c>
      <c r="RAA17">
        <v>0</v>
      </c>
      <c r="RAB17">
        <v>0</v>
      </c>
      <c r="RAC17">
        <v>0</v>
      </c>
      <c r="RAD17">
        <v>0</v>
      </c>
      <c r="RAE17">
        <v>0</v>
      </c>
      <c r="RAF17">
        <v>0</v>
      </c>
      <c r="RAG17">
        <v>0</v>
      </c>
      <c r="RAH17">
        <v>0</v>
      </c>
      <c r="RAI17">
        <v>0</v>
      </c>
      <c r="RAJ17">
        <v>0</v>
      </c>
      <c r="RAK17">
        <v>0</v>
      </c>
      <c r="RAL17">
        <v>0</v>
      </c>
      <c r="RAM17">
        <v>0</v>
      </c>
      <c r="RAN17">
        <v>0</v>
      </c>
      <c r="RAO17">
        <v>0</v>
      </c>
      <c r="RAP17">
        <v>0</v>
      </c>
      <c r="RAQ17">
        <v>0</v>
      </c>
      <c r="RAR17">
        <v>0</v>
      </c>
      <c r="RAS17">
        <v>0</v>
      </c>
      <c r="RAT17">
        <v>0</v>
      </c>
      <c r="RAU17">
        <v>0</v>
      </c>
      <c r="RAV17">
        <v>0</v>
      </c>
      <c r="RAW17">
        <v>0</v>
      </c>
      <c r="RAX17">
        <v>0</v>
      </c>
      <c r="RAY17">
        <v>0</v>
      </c>
      <c r="RAZ17">
        <v>0</v>
      </c>
      <c r="RBA17">
        <v>0</v>
      </c>
      <c r="RBB17">
        <v>0</v>
      </c>
      <c r="RBC17">
        <v>0</v>
      </c>
      <c r="RBD17">
        <v>0</v>
      </c>
      <c r="RBE17">
        <v>0</v>
      </c>
      <c r="RBF17">
        <v>0</v>
      </c>
      <c r="RBG17">
        <v>0</v>
      </c>
      <c r="RBH17">
        <v>0</v>
      </c>
      <c r="RBI17">
        <v>0</v>
      </c>
      <c r="RBJ17">
        <v>0</v>
      </c>
      <c r="RBK17">
        <v>0</v>
      </c>
      <c r="RBL17">
        <v>0</v>
      </c>
      <c r="RBM17">
        <v>0</v>
      </c>
      <c r="RBN17">
        <v>0</v>
      </c>
      <c r="RBO17">
        <v>0</v>
      </c>
      <c r="RBP17">
        <v>0</v>
      </c>
      <c r="RBQ17">
        <v>0</v>
      </c>
      <c r="RBR17">
        <v>0</v>
      </c>
      <c r="RBS17">
        <v>0</v>
      </c>
      <c r="RBT17">
        <v>0</v>
      </c>
      <c r="RBU17">
        <v>0</v>
      </c>
      <c r="RBV17">
        <v>0</v>
      </c>
      <c r="RBW17">
        <v>0</v>
      </c>
      <c r="RBX17">
        <v>0</v>
      </c>
      <c r="RBY17">
        <v>0</v>
      </c>
      <c r="RBZ17">
        <v>0</v>
      </c>
      <c r="RCA17">
        <v>0</v>
      </c>
      <c r="RCB17">
        <v>0</v>
      </c>
      <c r="RCC17">
        <v>0</v>
      </c>
      <c r="RCD17">
        <v>0</v>
      </c>
      <c r="RCE17">
        <v>0</v>
      </c>
      <c r="RCF17">
        <v>0</v>
      </c>
      <c r="RCG17">
        <v>0</v>
      </c>
      <c r="RCH17">
        <v>0</v>
      </c>
      <c r="RCI17">
        <v>0</v>
      </c>
      <c r="RCJ17">
        <v>0</v>
      </c>
      <c r="RCK17">
        <v>0</v>
      </c>
      <c r="RCL17">
        <v>0</v>
      </c>
      <c r="RCM17">
        <v>0</v>
      </c>
      <c r="RCN17">
        <v>0</v>
      </c>
      <c r="RCO17">
        <v>0</v>
      </c>
      <c r="RCP17">
        <v>0</v>
      </c>
      <c r="RCQ17">
        <v>0</v>
      </c>
      <c r="RCR17">
        <v>0</v>
      </c>
      <c r="RCS17">
        <v>0</v>
      </c>
      <c r="RCT17">
        <v>0</v>
      </c>
      <c r="RCU17">
        <v>0</v>
      </c>
      <c r="RCV17">
        <v>0</v>
      </c>
      <c r="RCW17">
        <v>0</v>
      </c>
      <c r="RCX17">
        <v>0</v>
      </c>
      <c r="RCY17">
        <v>0</v>
      </c>
      <c r="RCZ17">
        <v>0</v>
      </c>
      <c r="RDA17">
        <v>0</v>
      </c>
      <c r="RDB17">
        <v>0</v>
      </c>
      <c r="RDC17">
        <v>0</v>
      </c>
      <c r="RDD17">
        <v>0</v>
      </c>
      <c r="RDE17">
        <v>0</v>
      </c>
      <c r="RDF17">
        <v>0</v>
      </c>
      <c r="RDG17">
        <v>0</v>
      </c>
      <c r="RDH17">
        <v>0</v>
      </c>
      <c r="RDI17">
        <v>0</v>
      </c>
      <c r="RDJ17">
        <v>0</v>
      </c>
      <c r="RDK17">
        <v>0</v>
      </c>
      <c r="RDL17">
        <v>0</v>
      </c>
      <c r="RDM17">
        <v>0</v>
      </c>
      <c r="RDN17">
        <v>0</v>
      </c>
      <c r="RDO17">
        <v>0</v>
      </c>
      <c r="RDP17">
        <v>0</v>
      </c>
      <c r="RDQ17">
        <v>0</v>
      </c>
      <c r="RDR17">
        <v>0</v>
      </c>
      <c r="RDS17">
        <v>0</v>
      </c>
      <c r="RDT17">
        <v>0</v>
      </c>
      <c r="RDU17">
        <v>0</v>
      </c>
      <c r="RDV17">
        <v>0</v>
      </c>
      <c r="RDW17">
        <v>0</v>
      </c>
      <c r="RDX17">
        <v>0</v>
      </c>
      <c r="RDY17">
        <v>0</v>
      </c>
      <c r="RDZ17">
        <v>0</v>
      </c>
      <c r="REA17">
        <v>0</v>
      </c>
      <c r="REB17">
        <v>0</v>
      </c>
      <c r="REC17">
        <v>0</v>
      </c>
      <c r="RED17">
        <v>0</v>
      </c>
      <c r="REE17">
        <v>0</v>
      </c>
      <c r="REF17">
        <v>0</v>
      </c>
      <c r="REG17">
        <v>0</v>
      </c>
      <c r="REH17">
        <v>0</v>
      </c>
      <c r="REI17">
        <v>0</v>
      </c>
      <c r="REJ17">
        <v>0</v>
      </c>
      <c r="REK17">
        <v>0</v>
      </c>
      <c r="REL17">
        <v>0</v>
      </c>
      <c r="REM17">
        <v>0</v>
      </c>
      <c r="REN17">
        <v>0</v>
      </c>
      <c r="REO17">
        <v>0</v>
      </c>
      <c r="REP17">
        <v>0</v>
      </c>
      <c r="REQ17">
        <v>0</v>
      </c>
      <c r="RER17">
        <v>0</v>
      </c>
      <c r="RES17">
        <v>0</v>
      </c>
      <c r="RET17">
        <v>0</v>
      </c>
      <c r="REU17">
        <v>0</v>
      </c>
      <c r="REV17">
        <v>0</v>
      </c>
      <c r="REW17">
        <v>0</v>
      </c>
      <c r="REX17">
        <v>0</v>
      </c>
      <c r="REY17">
        <v>0</v>
      </c>
      <c r="REZ17">
        <v>0</v>
      </c>
      <c r="RFA17">
        <v>0</v>
      </c>
      <c r="RFB17">
        <v>0</v>
      </c>
      <c r="RFC17">
        <v>0</v>
      </c>
      <c r="RFD17">
        <v>0</v>
      </c>
      <c r="RFE17">
        <v>0</v>
      </c>
      <c r="RFF17">
        <v>0</v>
      </c>
      <c r="RFG17">
        <v>0</v>
      </c>
      <c r="RFH17">
        <v>0</v>
      </c>
      <c r="RFI17">
        <v>0</v>
      </c>
      <c r="RFJ17">
        <v>0</v>
      </c>
      <c r="RFK17">
        <v>0</v>
      </c>
      <c r="RFL17">
        <v>0</v>
      </c>
      <c r="RFM17">
        <v>0</v>
      </c>
      <c r="RFN17">
        <v>0</v>
      </c>
      <c r="RFO17">
        <v>0</v>
      </c>
      <c r="RFP17">
        <v>0</v>
      </c>
      <c r="RFQ17">
        <v>0</v>
      </c>
      <c r="RFR17">
        <v>0</v>
      </c>
      <c r="RFS17">
        <v>0</v>
      </c>
      <c r="RFT17">
        <v>0</v>
      </c>
      <c r="RFU17">
        <v>0</v>
      </c>
      <c r="RFV17">
        <v>0</v>
      </c>
      <c r="RFW17">
        <v>0</v>
      </c>
      <c r="RFX17">
        <v>0</v>
      </c>
      <c r="RFY17">
        <v>0</v>
      </c>
      <c r="RFZ17">
        <v>0</v>
      </c>
      <c r="RGA17">
        <v>0</v>
      </c>
      <c r="RGB17">
        <v>0</v>
      </c>
      <c r="RGC17">
        <v>0</v>
      </c>
      <c r="RGD17">
        <v>0</v>
      </c>
      <c r="RGE17">
        <v>0</v>
      </c>
      <c r="RGF17">
        <v>0</v>
      </c>
      <c r="RGG17">
        <v>0</v>
      </c>
      <c r="RGH17">
        <v>0</v>
      </c>
      <c r="RGI17">
        <v>0</v>
      </c>
      <c r="RGJ17">
        <v>0</v>
      </c>
      <c r="RGK17">
        <v>0</v>
      </c>
      <c r="RGL17">
        <v>0</v>
      </c>
      <c r="RGM17">
        <v>0</v>
      </c>
      <c r="RGN17">
        <v>0</v>
      </c>
      <c r="RGO17">
        <v>0</v>
      </c>
      <c r="RGP17">
        <v>0</v>
      </c>
      <c r="RGQ17">
        <v>0</v>
      </c>
      <c r="RGR17">
        <v>0</v>
      </c>
      <c r="RGS17">
        <v>0</v>
      </c>
      <c r="RGT17">
        <v>0</v>
      </c>
      <c r="RGU17">
        <v>0</v>
      </c>
      <c r="RGV17">
        <v>0</v>
      </c>
      <c r="RGW17">
        <v>0</v>
      </c>
      <c r="RGX17">
        <v>0</v>
      </c>
      <c r="RGY17">
        <v>0</v>
      </c>
      <c r="RGZ17">
        <v>0</v>
      </c>
      <c r="RHA17">
        <v>0</v>
      </c>
      <c r="RHB17">
        <v>0</v>
      </c>
      <c r="RHC17">
        <v>0</v>
      </c>
      <c r="RHD17">
        <v>0</v>
      </c>
      <c r="RHE17">
        <v>0</v>
      </c>
      <c r="RHF17">
        <v>0</v>
      </c>
      <c r="RHG17">
        <v>0</v>
      </c>
      <c r="RHH17">
        <v>0</v>
      </c>
      <c r="RHI17">
        <v>0</v>
      </c>
      <c r="RHJ17">
        <v>0</v>
      </c>
      <c r="RHK17">
        <v>0</v>
      </c>
      <c r="RHL17">
        <v>0</v>
      </c>
      <c r="RHM17">
        <v>0</v>
      </c>
      <c r="RHN17">
        <v>0</v>
      </c>
      <c r="RHO17">
        <v>0</v>
      </c>
      <c r="RHP17">
        <v>0</v>
      </c>
      <c r="RHQ17">
        <v>0</v>
      </c>
      <c r="RHR17">
        <v>0</v>
      </c>
      <c r="RHS17">
        <v>0</v>
      </c>
      <c r="RHT17">
        <v>0</v>
      </c>
      <c r="RHU17">
        <v>0</v>
      </c>
      <c r="RHV17">
        <v>0</v>
      </c>
      <c r="RHW17">
        <v>0</v>
      </c>
      <c r="RHX17">
        <v>0</v>
      </c>
      <c r="RHY17">
        <v>0</v>
      </c>
      <c r="RHZ17">
        <v>0</v>
      </c>
      <c r="RIA17">
        <v>0</v>
      </c>
      <c r="RIB17">
        <v>0</v>
      </c>
      <c r="RIC17">
        <v>0</v>
      </c>
      <c r="RID17">
        <v>0</v>
      </c>
      <c r="RIE17">
        <v>0</v>
      </c>
      <c r="RIF17">
        <v>0</v>
      </c>
      <c r="RIG17">
        <v>0</v>
      </c>
      <c r="RIH17">
        <v>0</v>
      </c>
      <c r="RII17">
        <v>0</v>
      </c>
      <c r="RIJ17">
        <v>0</v>
      </c>
      <c r="RIK17">
        <v>0</v>
      </c>
      <c r="RIL17">
        <v>0</v>
      </c>
      <c r="RIM17">
        <v>0</v>
      </c>
      <c r="RIN17">
        <v>0</v>
      </c>
      <c r="RIO17">
        <v>0</v>
      </c>
      <c r="RIP17">
        <v>0</v>
      </c>
      <c r="RIQ17">
        <v>0</v>
      </c>
      <c r="RIR17">
        <v>0</v>
      </c>
      <c r="RIS17">
        <v>0</v>
      </c>
      <c r="RIT17">
        <v>0</v>
      </c>
      <c r="RIU17">
        <v>0</v>
      </c>
      <c r="RIV17">
        <v>0</v>
      </c>
      <c r="RIW17">
        <v>0</v>
      </c>
      <c r="RIX17">
        <v>0</v>
      </c>
      <c r="RIY17">
        <v>0</v>
      </c>
      <c r="RIZ17">
        <v>0</v>
      </c>
      <c r="RJA17">
        <v>0</v>
      </c>
      <c r="RJB17">
        <v>0</v>
      </c>
      <c r="RJC17">
        <v>0</v>
      </c>
      <c r="RJD17">
        <v>0</v>
      </c>
      <c r="RJE17">
        <v>0</v>
      </c>
      <c r="RJF17">
        <v>0</v>
      </c>
      <c r="RJG17">
        <v>0</v>
      </c>
      <c r="RJH17">
        <v>0</v>
      </c>
      <c r="RJI17">
        <v>0</v>
      </c>
      <c r="RJJ17">
        <v>0</v>
      </c>
      <c r="RJK17">
        <v>0</v>
      </c>
      <c r="RJL17">
        <v>0</v>
      </c>
      <c r="RJM17">
        <v>0</v>
      </c>
      <c r="RJN17">
        <v>0</v>
      </c>
      <c r="RJO17">
        <v>0</v>
      </c>
      <c r="RJP17">
        <v>0</v>
      </c>
      <c r="RJQ17">
        <v>0</v>
      </c>
      <c r="RJR17">
        <v>0</v>
      </c>
      <c r="RJS17">
        <v>0</v>
      </c>
      <c r="RJT17">
        <v>0</v>
      </c>
      <c r="RJU17">
        <v>0</v>
      </c>
      <c r="RJV17">
        <v>0</v>
      </c>
      <c r="RJW17">
        <v>0</v>
      </c>
      <c r="RJX17">
        <v>0</v>
      </c>
      <c r="RJY17">
        <v>0</v>
      </c>
      <c r="RJZ17">
        <v>0</v>
      </c>
      <c r="RKA17">
        <v>0</v>
      </c>
      <c r="RKB17">
        <v>0</v>
      </c>
      <c r="RKC17">
        <v>0</v>
      </c>
      <c r="RKD17">
        <v>0</v>
      </c>
      <c r="RKE17">
        <v>0</v>
      </c>
      <c r="RKF17">
        <v>0</v>
      </c>
      <c r="RKG17">
        <v>0</v>
      </c>
      <c r="RKH17">
        <v>0</v>
      </c>
      <c r="RKI17">
        <v>0</v>
      </c>
      <c r="RKJ17">
        <v>0</v>
      </c>
      <c r="RKK17">
        <v>0</v>
      </c>
      <c r="RKL17">
        <v>0</v>
      </c>
      <c r="RKM17">
        <v>0</v>
      </c>
      <c r="RKN17">
        <v>0</v>
      </c>
      <c r="RKO17">
        <v>0</v>
      </c>
      <c r="RKP17">
        <v>0</v>
      </c>
      <c r="RKQ17">
        <v>0</v>
      </c>
      <c r="RKR17">
        <v>0</v>
      </c>
      <c r="RKS17">
        <v>0</v>
      </c>
      <c r="RKT17">
        <v>0</v>
      </c>
      <c r="RKU17">
        <v>0</v>
      </c>
      <c r="RKV17">
        <v>0</v>
      </c>
      <c r="RKW17">
        <v>0</v>
      </c>
      <c r="RKX17">
        <v>0</v>
      </c>
      <c r="RKY17">
        <v>0</v>
      </c>
      <c r="RKZ17">
        <v>0</v>
      </c>
      <c r="RLA17">
        <v>0</v>
      </c>
      <c r="RLB17">
        <v>0</v>
      </c>
      <c r="RLC17">
        <v>0</v>
      </c>
      <c r="RLD17">
        <v>0</v>
      </c>
      <c r="RLE17">
        <v>0</v>
      </c>
      <c r="RLF17">
        <v>0</v>
      </c>
      <c r="RLG17">
        <v>0</v>
      </c>
      <c r="RLH17">
        <v>0</v>
      </c>
      <c r="RLI17">
        <v>0</v>
      </c>
      <c r="RLJ17">
        <v>0</v>
      </c>
      <c r="RLK17">
        <v>0</v>
      </c>
      <c r="RLL17">
        <v>0</v>
      </c>
      <c r="RLM17">
        <v>0</v>
      </c>
      <c r="RLN17">
        <v>0</v>
      </c>
      <c r="RLO17">
        <v>0</v>
      </c>
      <c r="RLP17">
        <v>0</v>
      </c>
      <c r="RLQ17">
        <v>0</v>
      </c>
      <c r="RLR17">
        <v>0</v>
      </c>
      <c r="RLS17">
        <v>0</v>
      </c>
      <c r="RLT17">
        <v>0</v>
      </c>
      <c r="RLU17">
        <v>0</v>
      </c>
      <c r="RLV17">
        <v>0</v>
      </c>
      <c r="RLW17">
        <v>0</v>
      </c>
      <c r="RLX17">
        <v>0</v>
      </c>
      <c r="RLY17">
        <v>0</v>
      </c>
      <c r="RLZ17">
        <v>0</v>
      </c>
      <c r="RMA17">
        <v>0</v>
      </c>
      <c r="RMB17">
        <v>0</v>
      </c>
      <c r="RMC17">
        <v>0</v>
      </c>
      <c r="RMD17">
        <v>0</v>
      </c>
      <c r="RME17">
        <v>0</v>
      </c>
      <c r="RMF17">
        <v>0</v>
      </c>
      <c r="RMG17">
        <v>0</v>
      </c>
      <c r="RMH17">
        <v>0</v>
      </c>
      <c r="RMI17">
        <v>0</v>
      </c>
      <c r="RMJ17">
        <v>0</v>
      </c>
      <c r="RMK17">
        <v>0</v>
      </c>
      <c r="RML17">
        <v>0</v>
      </c>
      <c r="RMM17">
        <v>0</v>
      </c>
      <c r="RMN17">
        <v>0</v>
      </c>
      <c r="RMO17">
        <v>0</v>
      </c>
      <c r="RMP17">
        <v>0</v>
      </c>
      <c r="RMQ17">
        <v>0</v>
      </c>
      <c r="RMR17">
        <v>0</v>
      </c>
      <c r="RMS17">
        <v>0</v>
      </c>
      <c r="RMT17">
        <v>0</v>
      </c>
      <c r="RMU17">
        <v>0</v>
      </c>
      <c r="RMV17">
        <v>0</v>
      </c>
      <c r="RMW17">
        <v>0</v>
      </c>
      <c r="RMX17">
        <v>0</v>
      </c>
      <c r="RMY17">
        <v>0</v>
      </c>
      <c r="RMZ17">
        <v>0</v>
      </c>
      <c r="RNA17">
        <v>0</v>
      </c>
      <c r="RNB17">
        <v>0</v>
      </c>
      <c r="RNC17">
        <v>0</v>
      </c>
      <c r="RND17">
        <v>0</v>
      </c>
      <c r="RNE17">
        <v>0</v>
      </c>
      <c r="RNF17">
        <v>0</v>
      </c>
      <c r="RNG17">
        <v>0</v>
      </c>
      <c r="RNH17">
        <v>0</v>
      </c>
      <c r="RNI17">
        <v>0</v>
      </c>
      <c r="RNJ17">
        <v>0</v>
      </c>
      <c r="RNK17">
        <v>0</v>
      </c>
      <c r="RNL17">
        <v>0</v>
      </c>
      <c r="RNM17">
        <v>0</v>
      </c>
      <c r="RNN17">
        <v>0</v>
      </c>
      <c r="RNO17">
        <v>0</v>
      </c>
      <c r="RNP17">
        <v>0</v>
      </c>
      <c r="RNQ17">
        <v>0</v>
      </c>
      <c r="RNR17">
        <v>0</v>
      </c>
      <c r="RNS17">
        <v>0</v>
      </c>
      <c r="RNT17">
        <v>0</v>
      </c>
      <c r="RNU17">
        <v>0</v>
      </c>
      <c r="RNV17">
        <v>0</v>
      </c>
      <c r="RNW17">
        <v>0</v>
      </c>
      <c r="RNX17">
        <v>0</v>
      </c>
      <c r="RNY17">
        <v>0</v>
      </c>
      <c r="RNZ17">
        <v>0</v>
      </c>
      <c r="ROA17">
        <v>0</v>
      </c>
      <c r="ROB17">
        <v>0</v>
      </c>
      <c r="ROC17">
        <v>0</v>
      </c>
      <c r="ROD17">
        <v>0</v>
      </c>
      <c r="ROE17">
        <v>0</v>
      </c>
      <c r="ROF17">
        <v>0</v>
      </c>
      <c r="ROG17">
        <v>0</v>
      </c>
      <c r="ROH17">
        <v>0</v>
      </c>
      <c r="ROI17">
        <v>0</v>
      </c>
      <c r="ROJ17">
        <v>0</v>
      </c>
      <c r="ROK17">
        <v>0</v>
      </c>
      <c r="ROL17">
        <v>0</v>
      </c>
      <c r="ROM17">
        <v>0</v>
      </c>
      <c r="RON17">
        <v>0</v>
      </c>
      <c r="ROO17">
        <v>0</v>
      </c>
      <c r="ROP17">
        <v>0</v>
      </c>
      <c r="ROQ17">
        <v>0</v>
      </c>
      <c r="ROR17">
        <v>0</v>
      </c>
      <c r="ROS17">
        <v>0</v>
      </c>
      <c r="ROT17">
        <v>0</v>
      </c>
      <c r="ROU17">
        <v>0</v>
      </c>
      <c r="ROV17">
        <v>0</v>
      </c>
      <c r="ROW17">
        <v>0</v>
      </c>
      <c r="ROX17">
        <v>0</v>
      </c>
      <c r="ROY17">
        <v>0</v>
      </c>
      <c r="ROZ17">
        <v>0</v>
      </c>
      <c r="RPA17">
        <v>0</v>
      </c>
      <c r="RPB17">
        <v>0</v>
      </c>
      <c r="RPC17">
        <v>0</v>
      </c>
      <c r="RPD17">
        <v>0</v>
      </c>
      <c r="RPE17">
        <v>0</v>
      </c>
      <c r="RPF17">
        <v>0</v>
      </c>
      <c r="RPG17">
        <v>0</v>
      </c>
      <c r="RPH17">
        <v>0</v>
      </c>
      <c r="RPI17">
        <v>0</v>
      </c>
      <c r="RPJ17">
        <v>0</v>
      </c>
      <c r="RPK17">
        <v>0</v>
      </c>
      <c r="RPL17">
        <v>0</v>
      </c>
      <c r="RPM17">
        <v>0</v>
      </c>
      <c r="RPN17">
        <v>0</v>
      </c>
      <c r="RPO17">
        <v>0</v>
      </c>
      <c r="RPP17">
        <v>0</v>
      </c>
      <c r="RPQ17">
        <v>0</v>
      </c>
      <c r="RPR17">
        <v>0</v>
      </c>
      <c r="RPS17">
        <v>0</v>
      </c>
      <c r="RPT17">
        <v>0</v>
      </c>
      <c r="RPU17">
        <v>0</v>
      </c>
      <c r="RPV17">
        <v>0</v>
      </c>
      <c r="RPW17">
        <v>0</v>
      </c>
      <c r="RPX17">
        <v>0</v>
      </c>
      <c r="RPY17">
        <v>0</v>
      </c>
      <c r="RPZ17">
        <v>0</v>
      </c>
      <c r="RQA17">
        <v>0</v>
      </c>
      <c r="RQB17">
        <v>0</v>
      </c>
      <c r="RQC17">
        <v>0</v>
      </c>
      <c r="RQD17">
        <v>0</v>
      </c>
      <c r="RQE17">
        <v>0</v>
      </c>
      <c r="RQF17">
        <v>0</v>
      </c>
      <c r="RQG17">
        <v>0</v>
      </c>
      <c r="RQH17">
        <v>0</v>
      </c>
      <c r="RQI17">
        <v>0</v>
      </c>
      <c r="RQJ17">
        <v>0</v>
      </c>
      <c r="RQK17">
        <v>0</v>
      </c>
      <c r="RQL17">
        <v>0</v>
      </c>
      <c r="RQM17">
        <v>0</v>
      </c>
      <c r="RQN17">
        <v>0</v>
      </c>
      <c r="RQO17">
        <v>0</v>
      </c>
      <c r="RQP17">
        <v>0</v>
      </c>
      <c r="RQQ17">
        <v>0</v>
      </c>
      <c r="RQR17">
        <v>0</v>
      </c>
      <c r="RQS17">
        <v>0</v>
      </c>
      <c r="RQT17">
        <v>0</v>
      </c>
      <c r="RQU17">
        <v>0</v>
      </c>
      <c r="RQV17">
        <v>0</v>
      </c>
      <c r="RQW17">
        <v>0</v>
      </c>
      <c r="RQX17">
        <v>0</v>
      </c>
      <c r="RQY17">
        <v>0</v>
      </c>
      <c r="RQZ17">
        <v>0</v>
      </c>
      <c r="RRA17">
        <v>0</v>
      </c>
      <c r="RRB17">
        <v>0</v>
      </c>
      <c r="RRC17">
        <v>0</v>
      </c>
      <c r="RRD17">
        <v>0</v>
      </c>
      <c r="RRE17">
        <v>0</v>
      </c>
      <c r="RRF17">
        <v>0</v>
      </c>
      <c r="RRG17">
        <v>0</v>
      </c>
      <c r="RRH17">
        <v>0</v>
      </c>
      <c r="RRI17">
        <v>0</v>
      </c>
      <c r="RRJ17">
        <v>0</v>
      </c>
      <c r="RRK17">
        <v>0</v>
      </c>
      <c r="RRL17">
        <v>0</v>
      </c>
      <c r="RRM17">
        <v>0</v>
      </c>
      <c r="RRN17">
        <v>0</v>
      </c>
      <c r="RRO17">
        <v>0</v>
      </c>
      <c r="RRP17">
        <v>0</v>
      </c>
      <c r="RRQ17">
        <v>0</v>
      </c>
      <c r="RRR17">
        <v>0</v>
      </c>
      <c r="RRS17">
        <v>0</v>
      </c>
      <c r="RRT17">
        <v>0</v>
      </c>
      <c r="RRU17">
        <v>0</v>
      </c>
      <c r="RRV17">
        <v>0</v>
      </c>
      <c r="RRW17">
        <v>0</v>
      </c>
      <c r="RRX17">
        <v>0</v>
      </c>
      <c r="RRY17">
        <v>0</v>
      </c>
      <c r="RRZ17">
        <v>0</v>
      </c>
      <c r="RSA17">
        <v>0</v>
      </c>
      <c r="RSB17">
        <v>0</v>
      </c>
      <c r="RSC17">
        <v>0</v>
      </c>
      <c r="RSD17">
        <v>0</v>
      </c>
      <c r="RSE17">
        <v>0</v>
      </c>
      <c r="RSF17">
        <v>0</v>
      </c>
      <c r="RSG17">
        <v>0</v>
      </c>
      <c r="RSH17">
        <v>0</v>
      </c>
      <c r="RSI17">
        <v>0</v>
      </c>
      <c r="RSJ17">
        <v>0</v>
      </c>
      <c r="RSK17">
        <v>0</v>
      </c>
      <c r="RSL17">
        <v>0</v>
      </c>
      <c r="RSM17">
        <v>0</v>
      </c>
      <c r="RSN17">
        <v>0</v>
      </c>
      <c r="RSO17">
        <v>0</v>
      </c>
      <c r="RSP17">
        <v>0</v>
      </c>
      <c r="RSQ17">
        <v>0</v>
      </c>
      <c r="RSR17">
        <v>0</v>
      </c>
      <c r="RSS17">
        <v>0</v>
      </c>
      <c r="RST17">
        <v>0</v>
      </c>
      <c r="RSU17">
        <v>0</v>
      </c>
      <c r="RSV17">
        <v>0</v>
      </c>
      <c r="RSW17">
        <v>0</v>
      </c>
      <c r="RSX17">
        <v>0</v>
      </c>
      <c r="RSY17">
        <v>0</v>
      </c>
      <c r="RSZ17">
        <v>0</v>
      </c>
      <c r="RTA17">
        <v>0</v>
      </c>
      <c r="RTB17">
        <v>0</v>
      </c>
      <c r="RTC17">
        <v>0</v>
      </c>
      <c r="RTD17">
        <v>0</v>
      </c>
      <c r="RTE17">
        <v>0</v>
      </c>
      <c r="RTF17">
        <v>0</v>
      </c>
      <c r="RTG17">
        <v>0</v>
      </c>
      <c r="RTH17">
        <v>0</v>
      </c>
      <c r="RTI17">
        <v>0</v>
      </c>
      <c r="RTJ17">
        <v>0</v>
      </c>
      <c r="RTK17">
        <v>0</v>
      </c>
      <c r="RTL17">
        <v>0</v>
      </c>
      <c r="RTM17">
        <v>0</v>
      </c>
      <c r="RTN17">
        <v>0</v>
      </c>
      <c r="RTO17">
        <v>0</v>
      </c>
      <c r="RTP17">
        <v>0</v>
      </c>
      <c r="RTQ17">
        <v>0</v>
      </c>
      <c r="RTR17">
        <v>0</v>
      </c>
      <c r="RTS17">
        <v>0</v>
      </c>
      <c r="RTT17">
        <v>0</v>
      </c>
      <c r="RTU17">
        <v>0</v>
      </c>
      <c r="RTV17">
        <v>0</v>
      </c>
      <c r="RTW17">
        <v>0</v>
      </c>
      <c r="RTX17">
        <v>0</v>
      </c>
      <c r="RTY17">
        <v>0</v>
      </c>
      <c r="RTZ17">
        <v>0</v>
      </c>
      <c r="RUA17">
        <v>0</v>
      </c>
      <c r="RUB17">
        <v>0</v>
      </c>
      <c r="RUC17">
        <v>0</v>
      </c>
      <c r="RUD17">
        <v>0</v>
      </c>
      <c r="RUE17">
        <v>0</v>
      </c>
      <c r="RUF17">
        <v>0</v>
      </c>
      <c r="RUG17">
        <v>0</v>
      </c>
      <c r="RUH17">
        <v>0</v>
      </c>
      <c r="RUI17">
        <v>0</v>
      </c>
      <c r="RUJ17">
        <v>0</v>
      </c>
      <c r="RUK17">
        <v>0</v>
      </c>
      <c r="RUL17">
        <v>0</v>
      </c>
      <c r="RUM17">
        <v>0</v>
      </c>
      <c r="RUN17">
        <v>0</v>
      </c>
      <c r="RUO17">
        <v>0</v>
      </c>
      <c r="RUP17">
        <v>0</v>
      </c>
      <c r="RUQ17">
        <v>0</v>
      </c>
      <c r="RUR17">
        <v>0</v>
      </c>
      <c r="RUS17">
        <v>0</v>
      </c>
      <c r="RUT17">
        <v>0</v>
      </c>
      <c r="RUU17">
        <v>0</v>
      </c>
      <c r="RUV17">
        <v>0</v>
      </c>
      <c r="RUW17">
        <v>0</v>
      </c>
      <c r="RUX17">
        <v>0</v>
      </c>
      <c r="RUY17">
        <v>0</v>
      </c>
      <c r="RUZ17">
        <v>0</v>
      </c>
      <c r="RVA17">
        <v>0</v>
      </c>
      <c r="RVB17">
        <v>0</v>
      </c>
      <c r="RVC17">
        <v>0</v>
      </c>
      <c r="RVD17">
        <v>0</v>
      </c>
      <c r="RVE17">
        <v>0</v>
      </c>
      <c r="RVF17">
        <v>0</v>
      </c>
      <c r="RVG17">
        <v>0</v>
      </c>
      <c r="RVH17">
        <v>0</v>
      </c>
      <c r="RVI17">
        <v>0</v>
      </c>
      <c r="RVJ17">
        <v>0</v>
      </c>
      <c r="RVK17">
        <v>0</v>
      </c>
      <c r="RVL17">
        <v>0</v>
      </c>
      <c r="RVM17">
        <v>0</v>
      </c>
      <c r="RVN17">
        <v>0</v>
      </c>
      <c r="RVO17">
        <v>0</v>
      </c>
      <c r="RVP17">
        <v>0</v>
      </c>
      <c r="RVQ17">
        <v>0</v>
      </c>
      <c r="RVR17">
        <v>0</v>
      </c>
      <c r="RVS17">
        <v>0</v>
      </c>
      <c r="RVT17">
        <v>0</v>
      </c>
      <c r="RVU17">
        <v>0</v>
      </c>
      <c r="RVV17">
        <v>0</v>
      </c>
      <c r="RVW17">
        <v>0</v>
      </c>
      <c r="RVX17">
        <v>0</v>
      </c>
      <c r="RVY17">
        <v>0</v>
      </c>
      <c r="RVZ17">
        <v>0</v>
      </c>
      <c r="RWA17">
        <v>0</v>
      </c>
      <c r="RWB17">
        <v>0</v>
      </c>
      <c r="RWC17">
        <v>0</v>
      </c>
      <c r="RWD17">
        <v>0</v>
      </c>
      <c r="RWE17">
        <v>0</v>
      </c>
      <c r="RWF17">
        <v>0</v>
      </c>
      <c r="RWG17">
        <v>0</v>
      </c>
      <c r="RWH17">
        <v>0</v>
      </c>
      <c r="RWI17">
        <v>0</v>
      </c>
      <c r="RWJ17">
        <v>0</v>
      </c>
      <c r="RWK17">
        <v>0</v>
      </c>
      <c r="RWL17">
        <v>0</v>
      </c>
      <c r="RWM17">
        <v>0</v>
      </c>
      <c r="RWN17">
        <v>0</v>
      </c>
      <c r="RWO17">
        <v>0</v>
      </c>
      <c r="RWP17">
        <v>0</v>
      </c>
      <c r="RWQ17">
        <v>0</v>
      </c>
      <c r="RWR17">
        <v>0</v>
      </c>
      <c r="RWS17">
        <v>0</v>
      </c>
      <c r="RWT17">
        <v>0</v>
      </c>
      <c r="RWU17">
        <v>0</v>
      </c>
      <c r="RWV17">
        <v>0</v>
      </c>
      <c r="RWW17">
        <v>0</v>
      </c>
      <c r="RWX17">
        <v>0</v>
      </c>
      <c r="RWY17">
        <v>0</v>
      </c>
      <c r="RWZ17">
        <v>0</v>
      </c>
      <c r="RXA17">
        <v>0</v>
      </c>
      <c r="RXB17">
        <v>0</v>
      </c>
      <c r="RXC17">
        <v>0</v>
      </c>
      <c r="RXD17">
        <v>0</v>
      </c>
      <c r="RXE17">
        <v>0</v>
      </c>
      <c r="RXF17">
        <v>0</v>
      </c>
      <c r="RXG17">
        <v>0</v>
      </c>
      <c r="RXH17">
        <v>0</v>
      </c>
      <c r="RXI17">
        <v>0</v>
      </c>
      <c r="RXJ17">
        <v>0</v>
      </c>
      <c r="RXK17">
        <v>0</v>
      </c>
      <c r="RXL17">
        <v>0</v>
      </c>
      <c r="RXM17">
        <v>0</v>
      </c>
      <c r="RXN17">
        <v>0</v>
      </c>
      <c r="RXO17">
        <v>0</v>
      </c>
      <c r="RXP17">
        <v>0</v>
      </c>
      <c r="RXQ17">
        <v>0</v>
      </c>
      <c r="RXR17">
        <v>0</v>
      </c>
      <c r="RXS17">
        <v>0</v>
      </c>
      <c r="RXT17">
        <v>0</v>
      </c>
      <c r="RXU17">
        <v>0</v>
      </c>
      <c r="RXV17">
        <v>0</v>
      </c>
      <c r="RXW17">
        <v>0</v>
      </c>
      <c r="RXX17">
        <v>0</v>
      </c>
      <c r="RXY17">
        <v>0</v>
      </c>
      <c r="RXZ17">
        <v>0</v>
      </c>
      <c r="RYA17">
        <v>0</v>
      </c>
      <c r="RYB17">
        <v>0</v>
      </c>
      <c r="RYC17">
        <v>0</v>
      </c>
      <c r="RYD17">
        <v>0</v>
      </c>
      <c r="RYE17">
        <v>0</v>
      </c>
      <c r="RYF17">
        <v>0</v>
      </c>
      <c r="RYG17">
        <v>0</v>
      </c>
      <c r="RYH17">
        <v>0</v>
      </c>
      <c r="RYI17">
        <v>0</v>
      </c>
      <c r="RYJ17">
        <v>0</v>
      </c>
      <c r="RYK17">
        <v>0</v>
      </c>
      <c r="RYL17">
        <v>0</v>
      </c>
      <c r="RYM17">
        <v>0</v>
      </c>
      <c r="RYN17">
        <v>0</v>
      </c>
      <c r="RYO17">
        <v>0</v>
      </c>
      <c r="RYP17">
        <v>0</v>
      </c>
      <c r="RYQ17">
        <v>0</v>
      </c>
      <c r="RYR17">
        <v>0</v>
      </c>
      <c r="RYS17">
        <v>0</v>
      </c>
      <c r="RYT17">
        <v>0</v>
      </c>
      <c r="RYU17">
        <v>0</v>
      </c>
      <c r="RYV17">
        <v>0</v>
      </c>
      <c r="RYW17">
        <v>0</v>
      </c>
      <c r="RYX17">
        <v>0</v>
      </c>
      <c r="RYY17">
        <v>0</v>
      </c>
      <c r="RYZ17">
        <v>0</v>
      </c>
      <c r="RZA17">
        <v>0</v>
      </c>
      <c r="RZB17">
        <v>0</v>
      </c>
      <c r="RZC17">
        <v>0</v>
      </c>
      <c r="RZD17">
        <v>0</v>
      </c>
      <c r="RZE17">
        <v>0</v>
      </c>
      <c r="RZF17">
        <v>0</v>
      </c>
      <c r="RZG17">
        <v>0</v>
      </c>
      <c r="RZH17">
        <v>0</v>
      </c>
      <c r="RZI17">
        <v>0</v>
      </c>
      <c r="RZJ17">
        <v>0</v>
      </c>
      <c r="RZK17">
        <v>0</v>
      </c>
      <c r="RZL17">
        <v>0</v>
      </c>
      <c r="RZM17">
        <v>0</v>
      </c>
      <c r="RZN17">
        <v>0</v>
      </c>
      <c r="RZO17">
        <v>0</v>
      </c>
      <c r="RZP17">
        <v>0</v>
      </c>
      <c r="RZQ17">
        <v>0</v>
      </c>
      <c r="RZR17">
        <v>0</v>
      </c>
      <c r="RZS17">
        <v>0</v>
      </c>
      <c r="RZT17">
        <v>0</v>
      </c>
      <c r="RZU17">
        <v>0</v>
      </c>
      <c r="RZV17">
        <v>0</v>
      </c>
      <c r="RZW17">
        <v>0</v>
      </c>
      <c r="RZX17">
        <v>0</v>
      </c>
      <c r="RZY17">
        <v>0</v>
      </c>
      <c r="RZZ17">
        <v>0</v>
      </c>
      <c r="SAA17">
        <v>0</v>
      </c>
      <c r="SAB17">
        <v>0</v>
      </c>
      <c r="SAC17">
        <v>0</v>
      </c>
      <c r="SAD17">
        <v>0</v>
      </c>
      <c r="SAE17">
        <v>0</v>
      </c>
      <c r="SAF17">
        <v>0</v>
      </c>
      <c r="SAG17">
        <v>0</v>
      </c>
      <c r="SAH17">
        <v>0</v>
      </c>
      <c r="SAI17">
        <v>0</v>
      </c>
      <c r="SAJ17">
        <v>0</v>
      </c>
      <c r="SAK17">
        <v>0</v>
      </c>
      <c r="SAL17">
        <v>0</v>
      </c>
      <c r="SAM17">
        <v>0</v>
      </c>
      <c r="SAN17">
        <v>0</v>
      </c>
      <c r="SAO17">
        <v>0</v>
      </c>
      <c r="SAP17">
        <v>0</v>
      </c>
      <c r="SAQ17">
        <v>0</v>
      </c>
      <c r="SAR17">
        <v>0</v>
      </c>
      <c r="SAS17">
        <v>0</v>
      </c>
      <c r="SAT17">
        <v>0</v>
      </c>
      <c r="SAU17">
        <v>0</v>
      </c>
      <c r="SAV17">
        <v>0</v>
      </c>
      <c r="SAW17">
        <v>0</v>
      </c>
      <c r="SAX17">
        <v>0</v>
      </c>
      <c r="SAY17">
        <v>0</v>
      </c>
      <c r="SAZ17">
        <v>0</v>
      </c>
      <c r="SBA17">
        <v>0</v>
      </c>
      <c r="SBB17">
        <v>0</v>
      </c>
      <c r="SBC17">
        <v>0</v>
      </c>
      <c r="SBD17">
        <v>0</v>
      </c>
      <c r="SBE17">
        <v>0</v>
      </c>
      <c r="SBF17">
        <v>0</v>
      </c>
      <c r="SBG17">
        <v>0</v>
      </c>
      <c r="SBH17">
        <v>0</v>
      </c>
      <c r="SBI17">
        <v>0</v>
      </c>
      <c r="SBJ17">
        <v>0</v>
      </c>
      <c r="SBK17">
        <v>0</v>
      </c>
      <c r="SBL17">
        <v>0</v>
      </c>
      <c r="SBM17">
        <v>0</v>
      </c>
      <c r="SBN17">
        <v>0</v>
      </c>
      <c r="SBO17">
        <v>0</v>
      </c>
      <c r="SBP17">
        <v>0</v>
      </c>
      <c r="SBQ17">
        <v>0</v>
      </c>
      <c r="SBR17">
        <v>0</v>
      </c>
      <c r="SBS17">
        <v>0</v>
      </c>
      <c r="SBT17">
        <v>0</v>
      </c>
      <c r="SBU17">
        <v>0</v>
      </c>
      <c r="SBV17">
        <v>0</v>
      </c>
      <c r="SBW17">
        <v>0</v>
      </c>
      <c r="SBX17">
        <v>0</v>
      </c>
      <c r="SBY17">
        <v>0</v>
      </c>
      <c r="SBZ17">
        <v>0</v>
      </c>
      <c r="SCA17">
        <v>0</v>
      </c>
      <c r="SCB17">
        <v>0</v>
      </c>
      <c r="SCC17">
        <v>0</v>
      </c>
      <c r="SCD17">
        <v>0</v>
      </c>
      <c r="SCE17">
        <v>0</v>
      </c>
      <c r="SCF17">
        <v>0</v>
      </c>
      <c r="SCG17">
        <v>0</v>
      </c>
      <c r="SCH17">
        <v>0</v>
      </c>
      <c r="SCI17">
        <v>0</v>
      </c>
      <c r="SCJ17">
        <v>0</v>
      </c>
      <c r="SCK17">
        <v>0</v>
      </c>
      <c r="SCL17">
        <v>0</v>
      </c>
      <c r="SCM17">
        <v>0</v>
      </c>
      <c r="SCN17">
        <v>0</v>
      </c>
      <c r="SCO17">
        <v>0</v>
      </c>
      <c r="SCP17">
        <v>0</v>
      </c>
      <c r="SCQ17">
        <v>0</v>
      </c>
      <c r="SCR17">
        <v>0</v>
      </c>
      <c r="SCS17">
        <v>0</v>
      </c>
      <c r="SCT17">
        <v>0</v>
      </c>
      <c r="SCU17">
        <v>0</v>
      </c>
      <c r="SCV17">
        <v>0</v>
      </c>
      <c r="SCW17">
        <v>0</v>
      </c>
      <c r="SCX17">
        <v>0</v>
      </c>
      <c r="SCY17">
        <v>0</v>
      </c>
      <c r="SCZ17">
        <v>0</v>
      </c>
      <c r="SDA17">
        <v>0</v>
      </c>
      <c r="SDB17">
        <v>0</v>
      </c>
      <c r="SDC17">
        <v>0</v>
      </c>
      <c r="SDD17">
        <v>0</v>
      </c>
      <c r="SDE17">
        <v>0</v>
      </c>
      <c r="SDF17">
        <v>0</v>
      </c>
      <c r="SDG17">
        <v>0</v>
      </c>
      <c r="SDH17">
        <v>0</v>
      </c>
      <c r="SDI17">
        <v>0</v>
      </c>
      <c r="SDJ17">
        <v>0</v>
      </c>
      <c r="SDK17">
        <v>0</v>
      </c>
      <c r="SDL17">
        <v>0</v>
      </c>
      <c r="SDM17">
        <v>0</v>
      </c>
      <c r="SDN17">
        <v>0</v>
      </c>
      <c r="SDO17">
        <v>0</v>
      </c>
      <c r="SDP17">
        <v>0</v>
      </c>
      <c r="SDQ17">
        <v>0</v>
      </c>
      <c r="SDR17">
        <v>0</v>
      </c>
      <c r="SDS17">
        <v>0</v>
      </c>
      <c r="SDT17">
        <v>0</v>
      </c>
      <c r="SDU17">
        <v>0</v>
      </c>
      <c r="SDV17">
        <v>0</v>
      </c>
      <c r="SDW17">
        <v>0</v>
      </c>
      <c r="SDX17">
        <v>0</v>
      </c>
      <c r="SDY17">
        <v>0</v>
      </c>
      <c r="SDZ17">
        <v>0</v>
      </c>
      <c r="SEA17">
        <v>0</v>
      </c>
      <c r="SEB17">
        <v>0</v>
      </c>
      <c r="SEC17">
        <v>0</v>
      </c>
      <c r="SED17">
        <v>0</v>
      </c>
      <c r="SEE17">
        <v>0</v>
      </c>
      <c r="SEF17">
        <v>0</v>
      </c>
      <c r="SEG17">
        <v>0</v>
      </c>
      <c r="SEH17">
        <v>0</v>
      </c>
      <c r="SEI17">
        <v>0</v>
      </c>
      <c r="SEJ17">
        <v>0</v>
      </c>
      <c r="SEK17">
        <v>0</v>
      </c>
      <c r="SEL17">
        <v>0</v>
      </c>
      <c r="SEM17">
        <v>0</v>
      </c>
      <c r="SEN17">
        <v>0</v>
      </c>
      <c r="SEO17">
        <v>0</v>
      </c>
      <c r="SEP17">
        <v>0</v>
      </c>
      <c r="SEQ17">
        <v>0</v>
      </c>
      <c r="SER17">
        <v>0</v>
      </c>
      <c r="SES17">
        <v>0</v>
      </c>
      <c r="SET17">
        <v>0</v>
      </c>
      <c r="SEU17">
        <v>0</v>
      </c>
      <c r="SEV17">
        <v>0</v>
      </c>
      <c r="SEW17">
        <v>0</v>
      </c>
      <c r="SEX17">
        <v>0</v>
      </c>
      <c r="SEY17">
        <v>0</v>
      </c>
      <c r="SEZ17">
        <v>0</v>
      </c>
      <c r="SFA17">
        <v>0</v>
      </c>
      <c r="SFB17">
        <v>0</v>
      </c>
      <c r="SFC17">
        <v>0</v>
      </c>
      <c r="SFD17">
        <v>0</v>
      </c>
      <c r="SFE17">
        <v>0</v>
      </c>
      <c r="SFF17">
        <v>0</v>
      </c>
      <c r="SFG17">
        <v>0</v>
      </c>
      <c r="SFH17">
        <v>0</v>
      </c>
      <c r="SFI17">
        <v>0</v>
      </c>
      <c r="SFJ17">
        <v>0</v>
      </c>
      <c r="SFK17">
        <v>0</v>
      </c>
      <c r="SFL17">
        <v>0</v>
      </c>
      <c r="SFM17">
        <v>0</v>
      </c>
      <c r="SFN17">
        <v>0</v>
      </c>
      <c r="SFO17">
        <v>0</v>
      </c>
      <c r="SFP17">
        <v>0</v>
      </c>
      <c r="SFQ17">
        <v>0</v>
      </c>
      <c r="SFR17">
        <v>0</v>
      </c>
      <c r="SFS17">
        <v>0</v>
      </c>
      <c r="SFT17">
        <v>0</v>
      </c>
      <c r="SFU17">
        <v>0</v>
      </c>
      <c r="SFV17">
        <v>0</v>
      </c>
      <c r="SFW17">
        <v>0</v>
      </c>
      <c r="SFX17">
        <v>0</v>
      </c>
      <c r="SFY17">
        <v>0</v>
      </c>
      <c r="SFZ17">
        <v>0</v>
      </c>
      <c r="SGA17">
        <v>0</v>
      </c>
      <c r="SGB17">
        <v>0</v>
      </c>
      <c r="SGC17">
        <v>0</v>
      </c>
      <c r="SGD17">
        <v>0</v>
      </c>
      <c r="SGE17">
        <v>0</v>
      </c>
      <c r="SGF17">
        <v>0</v>
      </c>
      <c r="SGG17">
        <v>0</v>
      </c>
      <c r="SGH17">
        <v>0</v>
      </c>
      <c r="SGI17">
        <v>0</v>
      </c>
      <c r="SGJ17">
        <v>0</v>
      </c>
      <c r="SGK17">
        <v>0</v>
      </c>
      <c r="SGL17">
        <v>0</v>
      </c>
      <c r="SGM17">
        <v>0</v>
      </c>
      <c r="SGN17">
        <v>0</v>
      </c>
      <c r="SGO17">
        <v>0</v>
      </c>
      <c r="SGP17">
        <v>0</v>
      </c>
      <c r="SGQ17">
        <v>0</v>
      </c>
      <c r="SGR17">
        <v>0</v>
      </c>
      <c r="SGS17">
        <v>0</v>
      </c>
      <c r="SGT17">
        <v>0</v>
      </c>
      <c r="SGU17">
        <v>0</v>
      </c>
      <c r="SGV17">
        <v>0</v>
      </c>
      <c r="SGW17">
        <v>0</v>
      </c>
      <c r="SGX17">
        <v>0</v>
      </c>
      <c r="SGY17">
        <v>0</v>
      </c>
      <c r="SGZ17">
        <v>0</v>
      </c>
      <c r="SHA17">
        <v>0</v>
      </c>
      <c r="SHB17">
        <v>0</v>
      </c>
      <c r="SHC17">
        <v>0</v>
      </c>
      <c r="SHD17">
        <v>0</v>
      </c>
      <c r="SHE17">
        <v>0</v>
      </c>
      <c r="SHF17">
        <v>0</v>
      </c>
      <c r="SHG17">
        <v>0</v>
      </c>
      <c r="SHH17">
        <v>0</v>
      </c>
      <c r="SHI17">
        <v>0</v>
      </c>
      <c r="SHJ17">
        <v>0</v>
      </c>
      <c r="SHK17">
        <v>0</v>
      </c>
      <c r="SHL17">
        <v>0</v>
      </c>
      <c r="SHM17">
        <v>0</v>
      </c>
      <c r="SHN17">
        <v>0</v>
      </c>
      <c r="SHO17">
        <v>0</v>
      </c>
      <c r="SHP17">
        <v>0</v>
      </c>
      <c r="SHQ17">
        <v>0</v>
      </c>
      <c r="SHR17">
        <v>0</v>
      </c>
      <c r="SHS17">
        <v>0</v>
      </c>
      <c r="SHT17">
        <v>0</v>
      </c>
      <c r="SHU17">
        <v>0</v>
      </c>
      <c r="SHV17">
        <v>0</v>
      </c>
      <c r="SHW17">
        <v>0</v>
      </c>
      <c r="SHX17">
        <v>0</v>
      </c>
      <c r="SHY17">
        <v>0</v>
      </c>
      <c r="SHZ17">
        <v>0</v>
      </c>
      <c r="SIA17">
        <v>0</v>
      </c>
      <c r="SIB17">
        <v>0</v>
      </c>
      <c r="SIC17">
        <v>0</v>
      </c>
      <c r="SID17">
        <v>0</v>
      </c>
      <c r="SIE17">
        <v>0</v>
      </c>
      <c r="SIF17">
        <v>0</v>
      </c>
      <c r="SIG17">
        <v>0</v>
      </c>
      <c r="SIH17">
        <v>0</v>
      </c>
      <c r="SII17">
        <v>0</v>
      </c>
      <c r="SIJ17">
        <v>0</v>
      </c>
      <c r="SIK17">
        <v>0</v>
      </c>
      <c r="SIL17">
        <v>0</v>
      </c>
      <c r="SIM17">
        <v>0</v>
      </c>
      <c r="SIN17">
        <v>0</v>
      </c>
      <c r="SIO17">
        <v>0</v>
      </c>
      <c r="SIP17">
        <v>0</v>
      </c>
      <c r="SIQ17">
        <v>0</v>
      </c>
      <c r="SIR17">
        <v>0</v>
      </c>
      <c r="SIS17">
        <v>0</v>
      </c>
      <c r="SIT17">
        <v>0</v>
      </c>
      <c r="SIU17">
        <v>0</v>
      </c>
      <c r="SIV17">
        <v>0</v>
      </c>
      <c r="SIW17">
        <v>0</v>
      </c>
      <c r="SIX17">
        <v>0</v>
      </c>
      <c r="SIY17">
        <v>0</v>
      </c>
      <c r="SIZ17">
        <v>0</v>
      </c>
      <c r="SJA17">
        <v>0</v>
      </c>
      <c r="SJB17">
        <v>0</v>
      </c>
      <c r="SJC17">
        <v>0</v>
      </c>
      <c r="SJD17">
        <v>0</v>
      </c>
      <c r="SJE17">
        <v>0</v>
      </c>
      <c r="SJF17">
        <v>0</v>
      </c>
      <c r="SJG17">
        <v>0</v>
      </c>
      <c r="SJH17">
        <v>0</v>
      </c>
      <c r="SJI17">
        <v>0</v>
      </c>
      <c r="SJJ17">
        <v>0</v>
      </c>
      <c r="SJK17">
        <v>0</v>
      </c>
      <c r="SJL17">
        <v>0</v>
      </c>
      <c r="SJM17">
        <v>0</v>
      </c>
      <c r="SJN17">
        <v>0</v>
      </c>
      <c r="SJO17">
        <v>0</v>
      </c>
      <c r="SJP17">
        <v>0</v>
      </c>
      <c r="SJQ17">
        <v>0</v>
      </c>
      <c r="SJR17">
        <v>0</v>
      </c>
      <c r="SJS17">
        <v>0</v>
      </c>
      <c r="SJT17">
        <v>0</v>
      </c>
      <c r="SJU17">
        <v>0</v>
      </c>
      <c r="SJV17">
        <v>0</v>
      </c>
      <c r="SJW17">
        <v>0</v>
      </c>
      <c r="SJX17">
        <v>0</v>
      </c>
      <c r="SJY17">
        <v>0</v>
      </c>
      <c r="SJZ17">
        <v>0</v>
      </c>
      <c r="SKA17">
        <v>0</v>
      </c>
      <c r="SKB17">
        <v>0</v>
      </c>
      <c r="SKC17">
        <v>0</v>
      </c>
      <c r="SKD17">
        <v>0</v>
      </c>
      <c r="SKE17">
        <v>0</v>
      </c>
      <c r="SKF17">
        <v>0</v>
      </c>
      <c r="SKG17">
        <v>0</v>
      </c>
      <c r="SKH17">
        <v>0</v>
      </c>
      <c r="SKI17">
        <v>0</v>
      </c>
      <c r="SKJ17">
        <v>0</v>
      </c>
      <c r="SKK17">
        <v>0</v>
      </c>
      <c r="SKL17">
        <v>0</v>
      </c>
      <c r="SKM17">
        <v>0</v>
      </c>
      <c r="SKN17">
        <v>0</v>
      </c>
      <c r="SKO17">
        <v>0</v>
      </c>
      <c r="SKP17">
        <v>0</v>
      </c>
      <c r="SKQ17">
        <v>0</v>
      </c>
      <c r="SKR17">
        <v>0</v>
      </c>
      <c r="SKS17">
        <v>0</v>
      </c>
      <c r="SKT17">
        <v>0</v>
      </c>
      <c r="SKU17">
        <v>0</v>
      </c>
      <c r="SKV17">
        <v>0</v>
      </c>
      <c r="SKW17">
        <v>0</v>
      </c>
      <c r="SKX17">
        <v>0</v>
      </c>
      <c r="SKY17">
        <v>0</v>
      </c>
      <c r="SKZ17">
        <v>0</v>
      </c>
      <c r="SLA17">
        <v>0</v>
      </c>
      <c r="SLB17">
        <v>0</v>
      </c>
      <c r="SLC17">
        <v>0</v>
      </c>
      <c r="SLD17">
        <v>0</v>
      </c>
      <c r="SLE17">
        <v>0</v>
      </c>
      <c r="SLF17">
        <v>0</v>
      </c>
      <c r="SLG17">
        <v>0</v>
      </c>
      <c r="SLH17">
        <v>0</v>
      </c>
      <c r="SLI17">
        <v>0</v>
      </c>
      <c r="SLJ17">
        <v>0</v>
      </c>
      <c r="SLK17">
        <v>0</v>
      </c>
      <c r="SLL17">
        <v>0</v>
      </c>
      <c r="SLM17">
        <v>0</v>
      </c>
      <c r="SLN17">
        <v>0</v>
      </c>
      <c r="SLO17">
        <v>0</v>
      </c>
      <c r="SLP17">
        <v>0</v>
      </c>
      <c r="SLQ17">
        <v>0</v>
      </c>
      <c r="SLR17">
        <v>0</v>
      </c>
      <c r="SLS17">
        <v>0</v>
      </c>
      <c r="SLT17">
        <v>0</v>
      </c>
      <c r="SLU17">
        <v>0</v>
      </c>
      <c r="SLV17">
        <v>0</v>
      </c>
      <c r="SLW17">
        <v>0</v>
      </c>
      <c r="SLX17">
        <v>0</v>
      </c>
      <c r="SLY17">
        <v>0</v>
      </c>
      <c r="SLZ17">
        <v>0</v>
      </c>
      <c r="SMA17">
        <v>0</v>
      </c>
      <c r="SMB17">
        <v>0</v>
      </c>
      <c r="SMC17">
        <v>0</v>
      </c>
      <c r="SMD17">
        <v>0</v>
      </c>
      <c r="SME17">
        <v>0</v>
      </c>
      <c r="SMF17">
        <v>0</v>
      </c>
      <c r="SMG17">
        <v>0</v>
      </c>
      <c r="SMH17">
        <v>0</v>
      </c>
      <c r="SMI17">
        <v>0</v>
      </c>
      <c r="SMJ17">
        <v>0</v>
      </c>
      <c r="SMK17">
        <v>0</v>
      </c>
      <c r="SML17">
        <v>0</v>
      </c>
      <c r="SMM17">
        <v>0</v>
      </c>
      <c r="SMN17">
        <v>0</v>
      </c>
      <c r="SMO17">
        <v>0</v>
      </c>
      <c r="SMP17">
        <v>0</v>
      </c>
      <c r="SMQ17">
        <v>0</v>
      </c>
      <c r="SMR17">
        <v>0</v>
      </c>
      <c r="SMS17">
        <v>0</v>
      </c>
      <c r="SMT17">
        <v>0</v>
      </c>
      <c r="SMU17">
        <v>0</v>
      </c>
      <c r="SMV17">
        <v>0</v>
      </c>
      <c r="SMW17">
        <v>0</v>
      </c>
      <c r="SMX17">
        <v>0</v>
      </c>
      <c r="SMY17">
        <v>0</v>
      </c>
      <c r="SMZ17">
        <v>0</v>
      </c>
      <c r="SNA17">
        <v>0</v>
      </c>
      <c r="SNB17">
        <v>0</v>
      </c>
      <c r="SNC17">
        <v>0</v>
      </c>
      <c r="SND17">
        <v>0</v>
      </c>
      <c r="SNE17">
        <v>0</v>
      </c>
      <c r="SNF17">
        <v>0</v>
      </c>
      <c r="SNG17">
        <v>0</v>
      </c>
      <c r="SNH17">
        <v>0</v>
      </c>
      <c r="SNI17">
        <v>0</v>
      </c>
      <c r="SNJ17">
        <v>0</v>
      </c>
      <c r="SNK17">
        <v>0</v>
      </c>
      <c r="SNL17">
        <v>0</v>
      </c>
      <c r="SNM17">
        <v>0</v>
      </c>
      <c r="SNN17">
        <v>0</v>
      </c>
      <c r="SNO17">
        <v>0</v>
      </c>
      <c r="SNP17">
        <v>0</v>
      </c>
      <c r="SNQ17">
        <v>0</v>
      </c>
      <c r="SNR17">
        <v>0</v>
      </c>
      <c r="SNS17">
        <v>0</v>
      </c>
      <c r="SNT17">
        <v>0</v>
      </c>
      <c r="SNU17">
        <v>0</v>
      </c>
      <c r="SNV17">
        <v>0</v>
      </c>
      <c r="SNW17">
        <v>0</v>
      </c>
      <c r="SNX17">
        <v>0</v>
      </c>
      <c r="SNY17">
        <v>0</v>
      </c>
      <c r="SNZ17">
        <v>0</v>
      </c>
      <c r="SOA17">
        <v>0</v>
      </c>
      <c r="SOB17">
        <v>0</v>
      </c>
      <c r="SOC17">
        <v>0</v>
      </c>
      <c r="SOD17">
        <v>0</v>
      </c>
      <c r="SOE17">
        <v>0</v>
      </c>
      <c r="SOF17">
        <v>0</v>
      </c>
      <c r="SOG17">
        <v>0</v>
      </c>
      <c r="SOH17">
        <v>0</v>
      </c>
      <c r="SOI17">
        <v>0</v>
      </c>
      <c r="SOJ17">
        <v>0</v>
      </c>
      <c r="SOK17">
        <v>0</v>
      </c>
      <c r="SOL17">
        <v>0</v>
      </c>
      <c r="SOM17">
        <v>0</v>
      </c>
      <c r="SON17">
        <v>0</v>
      </c>
      <c r="SOO17">
        <v>0</v>
      </c>
      <c r="SOP17">
        <v>0</v>
      </c>
      <c r="SOQ17">
        <v>0</v>
      </c>
      <c r="SOR17">
        <v>0</v>
      </c>
      <c r="SOS17">
        <v>0</v>
      </c>
      <c r="SOT17">
        <v>0</v>
      </c>
      <c r="SOU17">
        <v>0</v>
      </c>
      <c r="SOV17">
        <v>0</v>
      </c>
      <c r="SOW17">
        <v>0</v>
      </c>
      <c r="SOX17">
        <v>0</v>
      </c>
      <c r="SOY17">
        <v>0</v>
      </c>
      <c r="SOZ17">
        <v>0</v>
      </c>
      <c r="SPA17">
        <v>0</v>
      </c>
      <c r="SPB17">
        <v>0</v>
      </c>
      <c r="SPC17">
        <v>0</v>
      </c>
      <c r="SPD17">
        <v>0</v>
      </c>
      <c r="SPE17">
        <v>0</v>
      </c>
      <c r="SPF17">
        <v>0</v>
      </c>
      <c r="SPG17">
        <v>0</v>
      </c>
      <c r="SPH17">
        <v>0</v>
      </c>
      <c r="SPI17">
        <v>0</v>
      </c>
      <c r="SPJ17">
        <v>0</v>
      </c>
      <c r="SPK17">
        <v>0</v>
      </c>
      <c r="SPL17">
        <v>0</v>
      </c>
      <c r="SPM17">
        <v>0</v>
      </c>
      <c r="SPN17">
        <v>0</v>
      </c>
      <c r="SPO17">
        <v>0</v>
      </c>
      <c r="SPP17">
        <v>0</v>
      </c>
      <c r="SPQ17">
        <v>0</v>
      </c>
      <c r="SPR17">
        <v>0</v>
      </c>
      <c r="SPS17">
        <v>0</v>
      </c>
      <c r="SPT17">
        <v>0</v>
      </c>
      <c r="SPU17">
        <v>0</v>
      </c>
      <c r="SPV17">
        <v>0</v>
      </c>
      <c r="SPW17">
        <v>0</v>
      </c>
      <c r="SPX17">
        <v>0</v>
      </c>
      <c r="SPY17">
        <v>0</v>
      </c>
      <c r="SPZ17">
        <v>0</v>
      </c>
      <c r="SQA17">
        <v>0</v>
      </c>
      <c r="SQB17">
        <v>0</v>
      </c>
      <c r="SQC17">
        <v>0</v>
      </c>
      <c r="SQD17">
        <v>0</v>
      </c>
      <c r="SQE17">
        <v>0</v>
      </c>
      <c r="SQF17">
        <v>0</v>
      </c>
      <c r="SQG17">
        <v>0</v>
      </c>
      <c r="SQH17">
        <v>0</v>
      </c>
      <c r="SQI17">
        <v>0</v>
      </c>
      <c r="SQJ17">
        <v>0</v>
      </c>
      <c r="SQK17">
        <v>0</v>
      </c>
      <c r="SQL17">
        <v>0</v>
      </c>
      <c r="SQM17">
        <v>0</v>
      </c>
      <c r="SQN17">
        <v>0</v>
      </c>
      <c r="SQO17">
        <v>0</v>
      </c>
      <c r="SQP17">
        <v>0</v>
      </c>
      <c r="SQQ17">
        <v>0</v>
      </c>
      <c r="SQR17">
        <v>0</v>
      </c>
      <c r="SQS17">
        <v>0</v>
      </c>
      <c r="SQT17">
        <v>0</v>
      </c>
      <c r="SQU17">
        <v>0</v>
      </c>
      <c r="SQV17">
        <v>0</v>
      </c>
      <c r="SQW17">
        <v>0</v>
      </c>
      <c r="SQX17">
        <v>0</v>
      </c>
      <c r="SQY17">
        <v>0</v>
      </c>
      <c r="SQZ17">
        <v>0</v>
      </c>
      <c r="SRA17">
        <v>0</v>
      </c>
      <c r="SRB17">
        <v>0</v>
      </c>
      <c r="SRC17">
        <v>0</v>
      </c>
      <c r="SRD17">
        <v>0</v>
      </c>
      <c r="SRE17">
        <v>0</v>
      </c>
      <c r="SRF17">
        <v>0</v>
      </c>
      <c r="SRG17">
        <v>0</v>
      </c>
      <c r="SRH17">
        <v>0</v>
      </c>
      <c r="SRI17">
        <v>0</v>
      </c>
      <c r="SRJ17">
        <v>0</v>
      </c>
      <c r="SRK17">
        <v>0</v>
      </c>
      <c r="SRL17">
        <v>0</v>
      </c>
      <c r="SRM17">
        <v>0</v>
      </c>
      <c r="SRN17">
        <v>0</v>
      </c>
      <c r="SRO17">
        <v>0</v>
      </c>
      <c r="SRP17">
        <v>0</v>
      </c>
      <c r="SRQ17">
        <v>0</v>
      </c>
      <c r="SRR17">
        <v>0</v>
      </c>
      <c r="SRS17">
        <v>0</v>
      </c>
      <c r="SRT17">
        <v>0</v>
      </c>
      <c r="SRU17">
        <v>0</v>
      </c>
      <c r="SRV17">
        <v>0</v>
      </c>
      <c r="SRW17">
        <v>0</v>
      </c>
      <c r="SRX17">
        <v>0</v>
      </c>
      <c r="SRY17">
        <v>0</v>
      </c>
      <c r="SRZ17">
        <v>0</v>
      </c>
      <c r="SSA17">
        <v>0</v>
      </c>
      <c r="SSB17">
        <v>0</v>
      </c>
      <c r="SSC17">
        <v>0</v>
      </c>
      <c r="SSD17">
        <v>0</v>
      </c>
      <c r="SSE17">
        <v>0</v>
      </c>
      <c r="SSF17">
        <v>0</v>
      </c>
      <c r="SSG17">
        <v>0</v>
      </c>
      <c r="SSH17">
        <v>0</v>
      </c>
      <c r="SSI17">
        <v>0</v>
      </c>
      <c r="SSJ17">
        <v>0</v>
      </c>
      <c r="SSK17">
        <v>0</v>
      </c>
      <c r="SSL17">
        <v>0</v>
      </c>
      <c r="SSM17">
        <v>0</v>
      </c>
      <c r="SSN17">
        <v>0</v>
      </c>
      <c r="SSO17">
        <v>0</v>
      </c>
      <c r="SSP17">
        <v>0</v>
      </c>
      <c r="SSQ17">
        <v>0</v>
      </c>
      <c r="SSR17">
        <v>0</v>
      </c>
      <c r="SSS17">
        <v>0</v>
      </c>
      <c r="SST17">
        <v>0</v>
      </c>
      <c r="SSU17">
        <v>0</v>
      </c>
      <c r="SSV17">
        <v>0</v>
      </c>
      <c r="SSW17">
        <v>0</v>
      </c>
      <c r="SSX17">
        <v>0</v>
      </c>
      <c r="SSY17">
        <v>0</v>
      </c>
      <c r="SSZ17">
        <v>0</v>
      </c>
      <c r="STA17">
        <v>0</v>
      </c>
      <c r="STB17">
        <v>0</v>
      </c>
      <c r="STC17">
        <v>0</v>
      </c>
      <c r="STD17">
        <v>0</v>
      </c>
      <c r="STE17">
        <v>0</v>
      </c>
      <c r="STF17">
        <v>0</v>
      </c>
      <c r="STG17">
        <v>0</v>
      </c>
      <c r="STH17">
        <v>0</v>
      </c>
      <c r="STI17">
        <v>0</v>
      </c>
      <c r="STJ17">
        <v>0</v>
      </c>
      <c r="STK17">
        <v>0</v>
      </c>
      <c r="STL17">
        <v>0</v>
      </c>
      <c r="STM17">
        <v>0</v>
      </c>
      <c r="STN17">
        <v>0</v>
      </c>
      <c r="STO17">
        <v>0</v>
      </c>
      <c r="STP17">
        <v>0</v>
      </c>
      <c r="STQ17">
        <v>0</v>
      </c>
      <c r="STR17">
        <v>0</v>
      </c>
      <c r="STS17">
        <v>0</v>
      </c>
      <c r="STT17">
        <v>0</v>
      </c>
      <c r="STU17">
        <v>0</v>
      </c>
      <c r="STV17">
        <v>0</v>
      </c>
      <c r="STW17">
        <v>0</v>
      </c>
      <c r="STX17">
        <v>0</v>
      </c>
      <c r="STY17">
        <v>0</v>
      </c>
      <c r="STZ17">
        <v>0</v>
      </c>
      <c r="SUA17">
        <v>0</v>
      </c>
      <c r="SUB17">
        <v>0</v>
      </c>
      <c r="SUC17">
        <v>0</v>
      </c>
      <c r="SUD17">
        <v>0</v>
      </c>
      <c r="SUE17">
        <v>0</v>
      </c>
      <c r="SUF17">
        <v>0</v>
      </c>
      <c r="SUG17">
        <v>0</v>
      </c>
      <c r="SUH17">
        <v>0</v>
      </c>
      <c r="SUI17">
        <v>0</v>
      </c>
      <c r="SUJ17">
        <v>0</v>
      </c>
      <c r="SUK17">
        <v>0</v>
      </c>
      <c r="SUL17">
        <v>0</v>
      </c>
      <c r="SUM17">
        <v>0</v>
      </c>
      <c r="SUN17">
        <v>0</v>
      </c>
      <c r="SUO17">
        <v>0</v>
      </c>
      <c r="SUP17">
        <v>0</v>
      </c>
      <c r="SUQ17">
        <v>0</v>
      </c>
      <c r="SUR17">
        <v>0</v>
      </c>
      <c r="SUS17">
        <v>0</v>
      </c>
      <c r="SUT17">
        <v>0</v>
      </c>
      <c r="SUU17">
        <v>0</v>
      </c>
      <c r="SUV17">
        <v>0</v>
      </c>
      <c r="SUW17">
        <v>0</v>
      </c>
      <c r="SUX17">
        <v>0</v>
      </c>
      <c r="SUY17">
        <v>0</v>
      </c>
      <c r="SUZ17">
        <v>0</v>
      </c>
      <c r="SVA17">
        <v>0</v>
      </c>
      <c r="SVB17">
        <v>0</v>
      </c>
      <c r="SVC17">
        <v>0</v>
      </c>
      <c r="SVD17">
        <v>0</v>
      </c>
      <c r="SVE17">
        <v>0</v>
      </c>
      <c r="SVF17">
        <v>0</v>
      </c>
      <c r="SVG17">
        <v>0</v>
      </c>
      <c r="SVH17">
        <v>0</v>
      </c>
      <c r="SVI17">
        <v>0</v>
      </c>
      <c r="SVJ17">
        <v>0</v>
      </c>
      <c r="SVK17">
        <v>0</v>
      </c>
      <c r="SVL17">
        <v>0</v>
      </c>
      <c r="SVM17">
        <v>0</v>
      </c>
      <c r="SVN17">
        <v>0</v>
      </c>
      <c r="SVO17">
        <v>0</v>
      </c>
      <c r="SVP17">
        <v>0</v>
      </c>
      <c r="SVQ17">
        <v>0</v>
      </c>
      <c r="SVR17">
        <v>0</v>
      </c>
      <c r="SVS17">
        <v>0</v>
      </c>
      <c r="SVT17">
        <v>0</v>
      </c>
      <c r="SVU17">
        <v>0</v>
      </c>
      <c r="SVV17">
        <v>0</v>
      </c>
      <c r="SVW17">
        <v>0</v>
      </c>
      <c r="SVX17">
        <v>0</v>
      </c>
      <c r="SVY17">
        <v>0</v>
      </c>
      <c r="SVZ17">
        <v>0</v>
      </c>
      <c r="SWA17">
        <v>0</v>
      </c>
      <c r="SWB17">
        <v>0</v>
      </c>
      <c r="SWC17">
        <v>0</v>
      </c>
      <c r="SWD17">
        <v>0</v>
      </c>
      <c r="SWE17">
        <v>0</v>
      </c>
      <c r="SWF17">
        <v>0</v>
      </c>
      <c r="SWG17">
        <v>0</v>
      </c>
      <c r="SWH17">
        <v>0</v>
      </c>
      <c r="SWI17">
        <v>0</v>
      </c>
      <c r="SWJ17">
        <v>0</v>
      </c>
      <c r="SWK17">
        <v>0</v>
      </c>
      <c r="SWL17">
        <v>0</v>
      </c>
      <c r="SWM17">
        <v>0</v>
      </c>
      <c r="SWN17">
        <v>0</v>
      </c>
      <c r="SWO17">
        <v>0</v>
      </c>
      <c r="SWP17">
        <v>0</v>
      </c>
      <c r="SWQ17">
        <v>0</v>
      </c>
      <c r="SWR17">
        <v>0</v>
      </c>
      <c r="SWS17">
        <v>0</v>
      </c>
      <c r="SWT17">
        <v>0</v>
      </c>
      <c r="SWU17">
        <v>0</v>
      </c>
      <c r="SWV17">
        <v>0</v>
      </c>
      <c r="SWW17">
        <v>0</v>
      </c>
      <c r="SWX17">
        <v>0</v>
      </c>
      <c r="SWY17">
        <v>0</v>
      </c>
      <c r="SWZ17">
        <v>0</v>
      </c>
      <c r="SXA17">
        <v>0</v>
      </c>
      <c r="SXB17">
        <v>0</v>
      </c>
      <c r="SXC17">
        <v>0</v>
      </c>
      <c r="SXD17">
        <v>0</v>
      </c>
      <c r="SXE17">
        <v>0</v>
      </c>
      <c r="SXF17">
        <v>0</v>
      </c>
      <c r="SXG17">
        <v>0</v>
      </c>
      <c r="SXH17">
        <v>0</v>
      </c>
      <c r="SXI17">
        <v>0</v>
      </c>
      <c r="SXJ17">
        <v>0</v>
      </c>
      <c r="SXK17">
        <v>0</v>
      </c>
      <c r="SXL17">
        <v>0</v>
      </c>
      <c r="SXM17">
        <v>0</v>
      </c>
      <c r="SXN17">
        <v>0</v>
      </c>
      <c r="SXO17">
        <v>0</v>
      </c>
      <c r="SXP17">
        <v>0</v>
      </c>
      <c r="SXQ17">
        <v>0</v>
      </c>
      <c r="SXR17">
        <v>0</v>
      </c>
      <c r="SXS17">
        <v>0</v>
      </c>
      <c r="SXT17">
        <v>0</v>
      </c>
      <c r="SXU17">
        <v>0</v>
      </c>
      <c r="SXV17">
        <v>0</v>
      </c>
      <c r="SXW17">
        <v>0</v>
      </c>
      <c r="SXX17">
        <v>0</v>
      </c>
      <c r="SXY17">
        <v>0</v>
      </c>
      <c r="SXZ17">
        <v>0</v>
      </c>
      <c r="SYA17">
        <v>0</v>
      </c>
      <c r="SYB17">
        <v>0</v>
      </c>
      <c r="SYC17">
        <v>0</v>
      </c>
      <c r="SYD17">
        <v>0</v>
      </c>
      <c r="SYE17">
        <v>0</v>
      </c>
      <c r="SYF17">
        <v>0</v>
      </c>
      <c r="SYG17">
        <v>0</v>
      </c>
      <c r="SYH17">
        <v>0</v>
      </c>
      <c r="SYI17">
        <v>0</v>
      </c>
      <c r="SYJ17">
        <v>0</v>
      </c>
      <c r="SYK17">
        <v>0</v>
      </c>
      <c r="SYL17">
        <v>0</v>
      </c>
      <c r="SYM17">
        <v>0</v>
      </c>
      <c r="SYN17">
        <v>0</v>
      </c>
      <c r="SYO17">
        <v>0</v>
      </c>
      <c r="SYP17">
        <v>0</v>
      </c>
      <c r="SYQ17">
        <v>0</v>
      </c>
      <c r="SYR17">
        <v>0</v>
      </c>
      <c r="SYS17">
        <v>0</v>
      </c>
      <c r="SYT17">
        <v>0</v>
      </c>
      <c r="SYU17">
        <v>0</v>
      </c>
      <c r="SYV17">
        <v>0</v>
      </c>
      <c r="SYW17">
        <v>0</v>
      </c>
      <c r="SYX17">
        <v>0</v>
      </c>
      <c r="SYY17">
        <v>0</v>
      </c>
      <c r="SYZ17">
        <v>0</v>
      </c>
      <c r="SZA17">
        <v>0</v>
      </c>
      <c r="SZB17">
        <v>0</v>
      </c>
      <c r="SZC17">
        <v>0</v>
      </c>
      <c r="SZD17">
        <v>0</v>
      </c>
      <c r="SZE17">
        <v>0</v>
      </c>
      <c r="SZF17">
        <v>0</v>
      </c>
      <c r="SZG17">
        <v>0</v>
      </c>
      <c r="SZH17">
        <v>0</v>
      </c>
      <c r="SZI17">
        <v>0</v>
      </c>
      <c r="SZJ17">
        <v>0</v>
      </c>
      <c r="SZK17">
        <v>0</v>
      </c>
      <c r="SZL17">
        <v>0</v>
      </c>
      <c r="SZM17">
        <v>0</v>
      </c>
      <c r="SZN17">
        <v>0</v>
      </c>
      <c r="SZO17">
        <v>0</v>
      </c>
      <c r="SZP17">
        <v>0</v>
      </c>
      <c r="SZQ17">
        <v>0</v>
      </c>
      <c r="SZR17">
        <v>0</v>
      </c>
      <c r="SZS17">
        <v>0</v>
      </c>
      <c r="SZT17">
        <v>0</v>
      </c>
      <c r="SZU17">
        <v>0</v>
      </c>
      <c r="SZV17">
        <v>0</v>
      </c>
      <c r="SZW17">
        <v>0</v>
      </c>
      <c r="SZX17">
        <v>0</v>
      </c>
      <c r="SZY17">
        <v>0</v>
      </c>
      <c r="SZZ17">
        <v>0</v>
      </c>
      <c r="TAA17">
        <v>0</v>
      </c>
      <c r="TAB17">
        <v>0</v>
      </c>
      <c r="TAC17">
        <v>0</v>
      </c>
      <c r="TAD17">
        <v>0</v>
      </c>
      <c r="TAE17">
        <v>0</v>
      </c>
      <c r="TAF17">
        <v>0</v>
      </c>
      <c r="TAG17">
        <v>0</v>
      </c>
      <c r="TAH17">
        <v>0</v>
      </c>
      <c r="TAI17">
        <v>0</v>
      </c>
      <c r="TAJ17">
        <v>0</v>
      </c>
      <c r="TAK17">
        <v>0</v>
      </c>
      <c r="TAL17">
        <v>0</v>
      </c>
      <c r="TAM17">
        <v>0</v>
      </c>
      <c r="TAN17">
        <v>0</v>
      </c>
      <c r="TAO17">
        <v>0</v>
      </c>
      <c r="TAP17">
        <v>0</v>
      </c>
      <c r="TAQ17">
        <v>0</v>
      </c>
      <c r="TAR17">
        <v>0</v>
      </c>
      <c r="TAS17">
        <v>0</v>
      </c>
      <c r="TAT17">
        <v>0</v>
      </c>
      <c r="TAU17">
        <v>0</v>
      </c>
      <c r="TAV17">
        <v>0</v>
      </c>
      <c r="TAW17">
        <v>0</v>
      </c>
      <c r="TAX17">
        <v>0</v>
      </c>
      <c r="TAY17">
        <v>0</v>
      </c>
      <c r="TAZ17">
        <v>0</v>
      </c>
      <c r="TBA17">
        <v>0</v>
      </c>
      <c r="TBB17">
        <v>0</v>
      </c>
      <c r="TBC17">
        <v>0</v>
      </c>
      <c r="TBD17">
        <v>0</v>
      </c>
      <c r="TBE17">
        <v>0</v>
      </c>
      <c r="TBF17">
        <v>0</v>
      </c>
      <c r="TBG17">
        <v>0</v>
      </c>
      <c r="TBH17">
        <v>0</v>
      </c>
      <c r="TBI17">
        <v>0</v>
      </c>
      <c r="TBJ17">
        <v>0</v>
      </c>
      <c r="TBK17">
        <v>0</v>
      </c>
      <c r="TBL17">
        <v>0</v>
      </c>
      <c r="TBM17">
        <v>0</v>
      </c>
      <c r="TBN17">
        <v>0</v>
      </c>
      <c r="TBO17">
        <v>0</v>
      </c>
      <c r="TBP17">
        <v>0</v>
      </c>
      <c r="TBQ17">
        <v>0</v>
      </c>
      <c r="TBR17">
        <v>0</v>
      </c>
      <c r="TBS17">
        <v>0</v>
      </c>
      <c r="TBT17">
        <v>0</v>
      </c>
      <c r="TBU17">
        <v>0</v>
      </c>
      <c r="TBV17">
        <v>0</v>
      </c>
      <c r="TBW17">
        <v>0</v>
      </c>
      <c r="TBX17">
        <v>0</v>
      </c>
      <c r="TBY17">
        <v>0</v>
      </c>
      <c r="TBZ17">
        <v>0</v>
      </c>
      <c r="TCA17">
        <v>0</v>
      </c>
      <c r="TCB17">
        <v>0</v>
      </c>
      <c r="TCC17">
        <v>0</v>
      </c>
      <c r="TCD17">
        <v>0</v>
      </c>
      <c r="TCE17">
        <v>0</v>
      </c>
      <c r="TCF17">
        <v>0</v>
      </c>
      <c r="TCG17">
        <v>0</v>
      </c>
      <c r="TCH17">
        <v>0</v>
      </c>
      <c r="TCI17">
        <v>0</v>
      </c>
      <c r="TCJ17">
        <v>0</v>
      </c>
      <c r="TCK17">
        <v>0</v>
      </c>
      <c r="TCL17">
        <v>0</v>
      </c>
      <c r="TCM17">
        <v>0</v>
      </c>
      <c r="TCN17">
        <v>0</v>
      </c>
      <c r="TCO17">
        <v>0</v>
      </c>
      <c r="TCP17">
        <v>0</v>
      </c>
      <c r="TCQ17">
        <v>0</v>
      </c>
      <c r="TCR17">
        <v>0</v>
      </c>
      <c r="TCS17">
        <v>0</v>
      </c>
      <c r="TCT17">
        <v>0</v>
      </c>
      <c r="TCU17">
        <v>0</v>
      </c>
      <c r="TCV17">
        <v>0</v>
      </c>
      <c r="TCW17">
        <v>0</v>
      </c>
      <c r="TCX17">
        <v>0</v>
      </c>
      <c r="TCY17">
        <v>0</v>
      </c>
      <c r="TCZ17">
        <v>0</v>
      </c>
      <c r="TDA17">
        <v>0</v>
      </c>
      <c r="TDB17">
        <v>0</v>
      </c>
      <c r="TDC17">
        <v>0</v>
      </c>
      <c r="TDD17">
        <v>0</v>
      </c>
      <c r="TDE17">
        <v>0</v>
      </c>
      <c r="TDF17">
        <v>0</v>
      </c>
      <c r="TDG17">
        <v>0</v>
      </c>
      <c r="TDH17">
        <v>0</v>
      </c>
      <c r="TDI17">
        <v>0</v>
      </c>
      <c r="TDJ17">
        <v>0</v>
      </c>
      <c r="TDK17">
        <v>0</v>
      </c>
      <c r="TDL17">
        <v>0</v>
      </c>
      <c r="TDM17">
        <v>0</v>
      </c>
      <c r="TDN17">
        <v>0</v>
      </c>
      <c r="TDO17">
        <v>0</v>
      </c>
      <c r="TDP17">
        <v>0</v>
      </c>
      <c r="TDQ17">
        <v>0</v>
      </c>
      <c r="TDR17">
        <v>0</v>
      </c>
      <c r="TDS17">
        <v>0</v>
      </c>
      <c r="TDT17">
        <v>0</v>
      </c>
      <c r="TDU17">
        <v>0</v>
      </c>
      <c r="TDV17">
        <v>0</v>
      </c>
      <c r="TDW17">
        <v>0</v>
      </c>
      <c r="TDX17">
        <v>0</v>
      </c>
      <c r="TDY17">
        <v>0</v>
      </c>
      <c r="TDZ17">
        <v>0</v>
      </c>
      <c r="TEA17">
        <v>0</v>
      </c>
      <c r="TEB17">
        <v>0</v>
      </c>
      <c r="TEC17">
        <v>0</v>
      </c>
      <c r="TED17">
        <v>0</v>
      </c>
      <c r="TEE17">
        <v>0</v>
      </c>
      <c r="TEF17">
        <v>0</v>
      </c>
      <c r="TEG17">
        <v>0</v>
      </c>
      <c r="TEH17">
        <v>0</v>
      </c>
      <c r="TEI17">
        <v>0</v>
      </c>
      <c r="TEJ17">
        <v>0</v>
      </c>
      <c r="TEK17">
        <v>0</v>
      </c>
      <c r="TEL17">
        <v>0</v>
      </c>
      <c r="TEM17">
        <v>0</v>
      </c>
      <c r="TEN17">
        <v>0</v>
      </c>
      <c r="TEO17">
        <v>0</v>
      </c>
      <c r="TEP17">
        <v>0</v>
      </c>
      <c r="TEQ17">
        <v>0</v>
      </c>
      <c r="TER17">
        <v>0</v>
      </c>
      <c r="TES17">
        <v>0</v>
      </c>
      <c r="TET17">
        <v>0</v>
      </c>
      <c r="TEU17">
        <v>0</v>
      </c>
      <c r="TEV17">
        <v>0</v>
      </c>
      <c r="TEW17">
        <v>0</v>
      </c>
      <c r="TEX17">
        <v>0</v>
      </c>
      <c r="TEY17">
        <v>0</v>
      </c>
      <c r="TEZ17">
        <v>0</v>
      </c>
      <c r="TFA17">
        <v>0</v>
      </c>
      <c r="TFB17">
        <v>0</v>
      </c>
      <c r="TFC17">
        <v>0</v>
      </c>
      <c r="TFD17">
        <v>0</v>
      </c>
      <c r="TFE17">
        <v>0</v>
      </c>
      <c r="TFF17">
        <v>0</v>
      </c>
      <c r="TFG17">
        <v>0</v>
      </c>
      <c r="TFH17">
        <v>0</v>
      </c>
      <c r="TFI17">
        <v>0</v>
      </c>
      <c r="TFJ17">
        <v>0</v>
      </c>
      <c r="TFK17">
        <v>0</v>
      </c>
      <c r="TFL17">
        <v>0</v>
      </c>
      <c r="TFM17">
        <v>0</v>
      </c>
      <c r="TFN17">
        <v>0</v>
      </c>
      <c r="TFO17">
        <v>0</v>
      </c>
      <c r="TFP17">
        <v>0</v>
      </c>
      <c r="TFQ17">
        <v>0</v>
      </c>
      <c r="TFR17">
        <v>0</v>
      </c>
      <c r="TFS17">
        <v>0</v>
      </c>
      <c r="TFT17">
        <v>0</v>
      </c>
      <c r="TFU17">
        <v>0</v>
      </c>
      <c r="TFV17">
        <v>0</v>
      </c>
      <c r="TFW17">
        <v>0</v>
      </c>
      <c r="TFX17">
        <v>0</v>
      </c>
      <c r="TFY17">
        <v>0</v>
      </c>
      <c r="TFZ17">
        <v>0</v>
      </c>
      <c r="TGA17">
        <v>0</v>
      </c>
      <c r="TGB17">
        <v>0</v>
      </c>
      <c r="TGC17">
        <v>0</v>
      </c>
      <c r="TGD17">
        <v>0</v>
      </c>
      <c r="TGE17">
        <v>0</v>
      </c>
      <c r="TGF17">
        <v>0</v>
      </c>
      <c r="TGG17">
        <v>0</v>
      </c>
      <c r="TGH17">
        <v>0</v>
      </c>
      <c r="TGI17">
        <v>0</v>
      </c>
      <c r="TGJ17">
        <v>0</v>
      </c>
      <c r="TGK17">
        <v>0</v>
      </c>
      <c r="TGL17">
        <v>0</v>
      </c>
      <c r="TGM17">
        <v>0</v>
      </c>
      <c r="TGN17">
        <v>0</v>
      </c>
      <c r="TGO17">
        <v>0</v>
      </c>
      <c r="TGP17">
        <v>0</v>
      </c>
      <c r="TGQ17">
        <v>0</v>
      </c>
      <c r="TGR17">
        <v>0</v>
      </c>
      <c r="TGS17">
        <v>0</v>
      </c>
      <c r="TGT17">
        <v>0</v>
      </c>
      <c r="TGU17">
        <v>0</v>
      </c>
      <c r="TGV17">
        <v>0</v>
      </c>
      <c r="TGW17">
        <v>0</v>
      </c>
      <c r="TGX17">
        <v>0</v>
      </c>
      <c r="TGY17">
        <v>0</v>
      </c>
      <c r="TGZ17">
        <v>0</v>
      </c>
      <c r="THA17">
        <v>0</v>
      </c>
      <c r="THB17">
        <v>0</v>
      </c>
      <c r="THC17">
        <v>0</v>
      </c>
      <c r="THD17">
        <v>0</v>
      </c>
      <c r="THE17">
        <v>0</v>
      </c>
      <c r="THF17">
        <v>0</v>
      </c>
      <c r="THG17">
        <v>0</v>
      </c>
      <c r="THH17">
        <v>0</v>
      </c>
      <c r="THI17">
        <v>0</v>
      </c>
      <c r="THJ17">
        <v>0</v>
      </c>
      <c r="THK17">
        <v>0</v>
      </c>
      <c r="THL17">
        <v>0</v>
      </c>
      <c r="THM17">
        <v>0</v>
      </c>
      <c r="THN17">
        <v>0</v>
      </c>
      <c r="THO17">
        <v>0</v>
      </c>
      <c r="THP17">
        <v>0</v>
      </c>
      <c r="THQ17">
        <v>0</v>
      </c>
      <c r="THR17">
        <v>0</v>
      </c>
      <c r="THS17">
        <v>0</v>
      </c>
      <c r="THT17">
        <v>0</v>
      </c>
      <c r="THU17">
        <v>0</v>
      </c>
      <c r="THV17">
        <v>0</v>
      </c>
      <c r="THW17">
        <v>0</v>
      </c>
      <c r="THX17">
        <v>0</v>
      </c>
      <c r="THY17">
        <v>0</v>
      </c>
      <c r="THZ17">
        <v>0</v>
      </c>
      <c r="TIA17">
        <v>0</v>
      </c>
      <c r="TIB17">
        <v>0</v>
      </c>
      <c r="TIC17">
        <v>0</v>
      </c>
      <c r="TID17">
        <v>0</v>
      </c>
      <c r="TIE17">
        <v>0</v>
      </c>
      <c r="TIF17">
        <v>0</v>
      </c>
      <c r="TIG17">
        <v>0</v>
      </c>
      <c r="TIH17">
        <v>0</v>
      </c>
      <c r="TII17">
        <v>0</v>
      </c>
      <c r="TIJ17">
        <v>0</v>
      </c>
      <c r="TIK17">
        <v>0</v>
      </c>
      <c r="TIL17">
        <v>0</v>
      </c>
      <c r="TIM17">
        <v>0</v>
      </c>
      <c r="TIN17">
        <v>0</v>
      </c>
      <c r="TIO17">
        <v>0</v>
      </c>
      <c r="TIP17">
        <v>0</v>
      </c>
      <c r="TIQ17">
        <v>0</v>
      </c>
      <c r="TIR17">
        <v>0</v>
      </c>
      <c r="TIS17">
        <v>0</v>
      </c>
      <c r="TIT17">
        <v>0</v>
      </c>
      <c r="TIU17">
        <v>0</v>
      </c>
      <c r="TIV17">
        <v>0</v>
      </c>
      <c r="TIW17">
        <v>0</v>
      </c>
      <c r="TIX17">
        <v>0</v>
      </c>
      <c r="TIY17">
        <v>0</v>
      </c>
      <c r="TIZ17">
        <v>0</v>
      </c>
      <c r="TJA17">
        <v>0</v>
      </c>
      <c r="TJB17">
        <v>0</v>
      </c>
      <c r="TJC17">
        <v>0</v>
      </c>
      <c r="TJD17">
        <v>0</v>
      </c>
      <c r="TJE17">
        <v>0</v>
      </c>
      <c r="TJF17">
        <v>0</v>
      </c>
      <c r="TJG17">
        <v>0</v>
      </c>
      <c r="TJH17">
        <v>0</v>
      </c>
      <c r="TJI17">
        <v>0</v>
      </c>
      <c r="TJJ17">
        <v>0</v>
      </c>
      <c r="TJK17">
        <v>0</v>
      </c>
      <c r="TJL17">
        <v>0</v>
      </c>
      <c r="TJM17">
        <v>0</v>
      </c>
      <c r="TJN17">
        <v>0</v>
      </c>
      <c r="TJO17">
        <v>0</v>
      </c>
      <c r="TJP17">
        <v>0</v>
      </c>
      <c r="TJQ17">
        <v>0</v>
      </c>
      <c r="TJR17">
        <v>0</v>
      </c>
      <c r="TJS17">
        <v>0</v>
      </c>
      <c r="TJT17">
        <v>0</v>
      </c>
      <c r="TJU17">
        <v>0</v>
      </c>
      <c r="TJV17">
        <v>0</v>
      </c>
      <c r="TJW17">
        <v>0</v>
      </c>
      <c r="TJX17">
        <v>0</v>
      </c>
      <c r="TJY17">
        <v>0</v>
      </c>
      <c r="TJZ17">
        <v>0</v>
      </c>
      <c r="TKA17">
        <v>0</v>
      </c>
      <c r="TKB17">
        <v>0</v>
      </c>
      <c r="TKC17">
        <v>0</v>
      </c>
      <c r="TKD17">
        <v>0</v>
      </c>
      <c r="TKE17">
        <v>0</v>
      </c>
      <c r="TKF17">
        <v>0</v>
      </c>
      <c r="TKG17">
        <v>0</v>
      </c>
      <c r="TKH17">
        <v>0</v>
      </c>
      <c r="TKI17">
        <v>0</v>
      </c>
      <c r="TKJ17">
        <v>0</v>
      </c>
      <c r="TKK17">
        <v>0</v>
      </c>
      <c r="TKL17">
        <v>0</v>
      </c>
      <c r="TKM17">
        <v>0</v>
      </c>
      <c r="TKN17">
        <v>0</v>
      </c>
      <c r="TKO17">
        <v>0</v>
      </c>
      <c r="TKP17">
        <v>0</v>
      </c>
      <c r="TKQ17">
        <v>0</v>
      </c>
      <c r="TKR17">
        <v>0</v>
      </c>
      <c r="TKS17">
        <v>0</v>
      </c>
      <c r="TKT17">
        <v>0</v>
      </c>
      <c r="TKU17">
        <v>0</v>
      </c>
      <c r="TKV17">
        <v>0</v>
      </c>
      <c r="TKW17">
        <v>0</v>
      </c>
      <c r="TKX17">
        <v>0</v>
      </c>
      <c r="TKY17">
        <v>0</v>
      </c>
      <c r="TKZ17">
        <v>0</v>
      </c>
      <c r="TLA17">
        <v>0</v>
      </c>
      <c r="TLB17">
        <v>0</v>
      </c>
      <c r="TLC17">
        <v>0</v>
      </c>
      <c r="TLD17">
        <v>0</v>
      </c>
      <c r="TLE17">
        <v>0</v>
      </c>
      <c r="TLF17">
        <v>0</v>
      </c>
      <c r="TLG17">
        <v>0</v>
      </c>
      <c r="TLH17">
        <v>0</v>
      </c>
      <c r="TLI17">
        <v>0</v>
      </c>
      <c r="TLJ17">
        <v>0</v>
      </c>
      <c r="TLK17">
        <v>0</v>
      </c>
      <c r="TLL17">
        <v>0</v>
      </c>
      <c r="TLM17">
        <v>0</v>
      </c>
      <c r="TLN17">
        <v>0</v>
      </c>
      <c r="TLO17">
        <v>0</v>
      </c>
      <c r="TLP17">
        <v>0</v>
      </c>
      <c r="TLQ17">
        <v>0</v>
      </c>
      <c r="TLR17">
        <v>0</v>
      </c>
      <c r="TLS17">
        <v>0</v>
      </c>
      <c r="TLT17">
        <v>0</v>
      </c>
      <c r="TLU17">
        <v>0</v>
      </c>
      <c r="TLV17">
        <v>0</v>
      </c>
      <c r="TLW17">
        <v>0</v>
      </c>
      <c r="TLX17">
        <v>0</v>
      </c>
      <c r="TLY17">
        <v>0</v>
      </c>
      <c r="TLZ17">
        <v>0</v>
      </c>
      <c r="TMA17">
        <v>0</v>
      </c>
      <c r="TMB17">
        <v>0</v>
      </c>
      <c r="TMC17">
        <v>0</v>
      </c>
      <c r="TMD17">
        <v>0</v>
      </c>
      <c r="TME17">
        <v>0</v>
      </c>
      <c r="TMF17">
        <v>0</v>
      </c>
      <c r="TMG17">
        <v>0</v>
      </c>
      <c r="TMH17">
        <v>0</v>
      </c>
      <c r="TMI17">
        <v>0</v>
      </c>
      <c r="TMJ17">
        <v>0</v>
      </c>
      <c r="TMK17">
        <v>0</v>
      </c>
      <c r="TML17">
        <v>0</v>
      </c>
      <c r="TMM17">
        <v>0</v>
      </c>
      <c r="TMN17">
        <v>0</v>
      </c>
      <c r="TMO17">
        <v>0</v>
      </c>
      <c r="TMP17">
        <v>0</v>
      </c>
      <c r="TMQ17">
        <v>0</v>
      </c>
      <c r="TMR17">
        <v>0</v>
      </c>
      <c r="TMS17">
        <v>0</v>
      </c>
      <c r="TMT17">
        <v>0</v>
      </c>
      <c r="TMU17">
        <v>0</v>
      </c>
      <c r="TMV17">
        <v>0</v>
      </c>
      <c r="TMW17">
        <v>0</v>
      </c>
      <c r="TMX17">
        <v>0</v>
      </c>
      <c r="TMY17">
        <v>0</v>
      </c>
      <c r="TMZ17">
        <v>0</v>
      </c>
      <c r="TNA17">
        <v>0</v>
      </c>
      <c r="TNB17">
        <v>0</v>
      </c>
      <c r="TNC17">
        <v>0</v>
      </c>
      <c r="TND17">
        <v>0</v>
      </c>
      <c r="TNE17">
        <v>0</v>
      </c>
      <c r="TNF17">
        <v>0</v>
      </c>
      <c r="TNG17">
        <v>0</v>
      </c>
      <c r="TNH17">
        <v>0</v>
      </c>
      <c r="TNI17">
        <v>0</v>
      </c>
      <c r="TNJ17">
        <v>0</v>
      </c>
      <c r="TNK17">
        <v>0</v>
      </c>
      <c r="TNL17">
        <v>0</v>
      </c>
      <c r="TNM17">
        <v>0</v>
      </c>
      <c r="TNN17">
        <v>0</v>
      </c>
      <c r="TNO17">
        <v>0</v>
      </c>
      <c r="TNP17">
        <v>0</v>
      </c>
      <c r="TNQ17">
        <v>0</v>
      </c>
      <c r="TNR17">
        <v>0</v>
      </c>
      <c r="TNS17">
        <v>0</v>
      </c>
      <c r="TNT17">
        <v>0</v>
      </c>
      <c r="TNU17">
        <v>0</v>
      </c>
      <c r="TNV17">
        <v>0</v>
      </c>
      <c r="TNW17">
        <v>0</v>
      </c>
      <c r="TNX17">
        <v>0</v>
      </c>
      <c r="TNY17">
        <v>0</v>
      </c>
      <c r="TNZ17">
        <v>0</v>
      </c>
      <c r="TOA17">
        <v>0</v>
      </c>
      <c r="TOB17">
        <v>0</v>
      </c>
      <c r="TOC17">
        <v>0</v>
      </c>
      <c r="TOD17">
        <v>0</v>
      </c>
      <c r="TOE17">
        <v>0</v>
      </c>
      <c r="TOF17">
        <v>0</v>
      </c>
      <c r="TOG17">
        <v>0</v>
      </c>
      <c r="TOH17">
        <v>0</v>
      </c>
      <c r="TOI17">
        <v>0</v>
      </c>
      <c r="TOJ17">
        <v>0</v>
      </c>
      <c r="TOK17">
        <v>0</v>
      </c>
      <c r="TOL17">
        <v>0</v>
      </c>
      <c r="TOM17">
        <v>0</v>
      </c>
      <c r="TON17">
        <v>0</v>
      </c>
      <c r="TOO17">
        <v>0</v>
      </c>
      <c r="TOP17">
        <v>0</v>
      </c>
      <c r="TOQ17">
        <v>0</v>
      </c>
      <c r="TOR17">
        <v>0</v>
      </c>
      <c r="TOS17">
        <v>0</v>
      </c>
      <c r="TOT17">
        <v>0</v>
      </c>
      <c r="TOU17">
        <v>0</v>
      </c>
      <c r="TOV17">
        <v>0</v>
      </c>
      <c r="TOW17">
        <v>0</v>
      </c>
      <c r="TOX17">
        <v>0</v>
      </c>
      <c r="TOY17">
        <v>0</v>
      </c>
      <c r="TOZ17">
        <v>0</v>
      </c>
      <c r="TPA17">
        <v>0</v>
      </c>
      <c r="TPB17">
        <v>0</v>
      </c>
      <c r="TPC17">
        <v>0</v>
      </c>
      <c r="TPD17">
        <v>0</v>
      </c>
      <c r="TPE17">
        <v>0</v>
      </c>
      <c r="TPF17">
        <v>0</v>
      </c>
      <c r="TPG17">
        <v>0</v>
      </c>
      <c r="TPH17">
        <v>0</v>
      </c>
      <c r="TPI17">
        <v>0</v>
      </c>
      <c r="TPJ17">
        <v>0</v>
      </c>
      <c r="TPK17">
        <v>0</v>
      </c>
      <c r="TPL17">
        <v>0</v>
      </c>
      <c r="TPM17">
        <v>0</v>
      </c>
      <c r="TPN17">
        <v>0</v>
      </c>
      <c r="TPO17">
        <v>0</v>
      </c>
      <c r="TPP17">
        <v>0</v>
      </c>
      <c r="TPQ17">
        <v>0</v>
      </c>
      <c r="TPR17">
        <v>0</v>
      </c>
      <c r="TPS17">
        <v>0</v>
      </c>
      <c r="TPT17">
        <v>0</v>
      </c>
      <c r="TPU17">
        <v>0</v>
      </c>
      <c r="TPV17">
        <v>0</v>
      </c>
      <c r="TPW17">
        <v>0</v>
      </c>
      <c r="TPX17">
        <v>0</v>
      </c>
      <c r="TPY17">
        <v>0</v>
      </c>
      <c r="TPZ17">
        <v>0</v>
      </c>
      <c r="TQA17">
        <v>0</v>
      </c>
      <c r="TQB17">
        <v>0</v>
      </c>
      <c r="TQC17">
        <v>0</v>
      </c>
      <c r="TQD17">
        <v>0</v>
      </c>
      <c r="TQE17">
        <v>0</v>
      </c>
      <c r="TQF17">
        <v>0</v>
      </c>
      <c r="TQG17">
        <v>0</v>
      </c>
      <c r="TQH17">
        <v>0</v>
      </c>
      <c r="TQI17">
        <v>0</v>
      </c>
      <c r="TQJ17">
        <v>0</v>
      </c>
      <c r="TQK17">
        <v>0</v>
      </c>
      <c r="TQL17">
        <v>0</v>
      </c>
      <c r="TQM17">
        <v>0</v>
      </c>
      <c r="TQN17">
        <v>0</v>
      </c>
      <c r="TQO17">
        <v>0</v>
      </c>
      <c r="TQP17">
        <v>0</v>
      </c>
      <c r="TQQ17">
        <v>0</v>
      </c>
      <c r="TQR17">
        <v>0</v>
      </c>
      <c r="TQS17">
        <v>0</v>
      </c>
      <c r="TQT17">
        <v>0</v>
      </c>
      <c r="TQU17">
        <v>0</v>
      </c>
      <c r="TQV17">
        <v>0</v>
      </c>
      <c r="TQW17">
        <v>0</v>
      </c>
      <c r="TQX17">
        <v>0</v>
      </c>
      <c r="TQY17">
        <v>0</v>
      </c>
      <c r="TQZ17">
        <v>0</v>
      </c>
      <c r="TRA17">
        <v>0</v>
      </c>
      <c r="TRB17">
        <v>0</v>
      </c>
      <c r="TRC17">
        <v>0</v>
      </c>
      <c r="TRD17">
        <v>0</v>
      </c>
      <c r="TRE17">
        <v>0</v>
      </c>
      <c r="TRF17">
        <v>0</v>
      </c>
      <c r="TRG17">
        <v>0</v>
      </c>
      <c r="TRH17">
        <v>0</v>
      </c>
      <c r="TRI17">
        <v>0</v>
      </c>
      <c r="TRJ17">
        <v>0</v>
      </c>
      <c r="TRK17">
        <v>0</v>
      </c>
      <c r="TRL17">
        <v>0</v>
      </c>
      <c r="TRM17">
        <v>0</v>
      </c>
      <c r="TRN17">
        <v>0</v>
      </c>
      <c r="TRO17">
        <v>0</v>
      </c>
      <c r="TRP17">
        <v>0</v>
      </c>
      <c r="TRQ17">
        <v>0</v>
      </c>
      <c r="TRR17">
        <v>0</v>
      </c>
      <c r="TRS17">
        <v>0</v>
      </c>
      <c r="TRT17">
        <v>0</v>
      </c>
      <c r="TRU17">
        <v>0</v>
      </c>
      <c r="TRV17">
        <v>0</v>
      </c>
      <c r="TRW17">
        <v>0</v>
      </c>
      <c r="TRX17">
        <v>0</v>
      </c>
      <c r="TRY17">
        <v>0</v>
      </c>
      <c r="TRZ17">
        <v>0</v>
      </c>
      <c r="TSA17">
        <v>0</v>
      </c>
      <c r="TSB17">
        <v>0</v>
      </c>
      <c r="TSC17">
        <v>0</v>
      </c>
      <c r="TSD17">
        <v>0</v>
      </c>
      <c r="TSE17">
        <v>0</v>
      </c>
      <c r="TSF17">
        <v>0</v>
      </c>
      <c r="TSG17">
        <v>0</v>
      </c>
      <c r="TSH17">
        <v>0</v>
      </c>
      <c r="TSI17">
        <v>0</v>
      </c>
      <c r="TSJ17">
        <v>0</v>
      </c>
      <c r="TSK17">
        <v>0</v>
      </c>
      <c r="TSL17">
        <v>0</v>
      </c>
      <c r="TSM17">
        <v>0</v>
      </c>
      <c r="TSN17">
        <v>0</v>
      </c>
      <c r="TSO17">
        <v>0</v>
      </c>
      <c r="TSP17">
        <v>0</v>
      </c>
      <c r="TSQ17">
        <v>0</v>
      </c>
      <c r="TSR17">
        <v>0</v>
      </c>
      <c r="TSS17">
        <v>0</v>
      </c>
      <c r="TST17">
        <v>0</v>
      </c>
      <c r="TSU17">
        <v>0</v>
      </c>
      <c r="TSV17">
        <v>0</v>
      </c>
      <c r="TSW17">
        <v>0</v>
      </c>
      <c r="TSX17">
        <v>0</v>
      </c>
      <c r="TSY17">
        <v>0</v>
      </c>
      <c r="TSZ17">
        <v>0</v>
      </c>
      <c r="TTA17">
        <v>0</v>
      </c>
      <c r="TTB17">
        <v>0</v>
      </c>
      <c r="TTC17">
        <v>0</v>
      </c>
      <c r="TTD17">
        <v>0</v>
      </c>
      <c r="TTE17">
        <v>0</v>
      </c>
      <c r="TTF17">
        <v>0</v>
      </c>
      <c r="TTG17">
        <v>0</v>
      </c>
      <c r="TTH17">
        <v>0</v>
      </c>
      <c r="TTI17">
        <v>0</v>
      </c>
      <c r="TTJ17">
        <v>0</v>
      </c>
      <c r="TTK17">
        <v>0</v>
      </c>
      <c r="TTL17">
        <v>0</v>
      </c>
      <c r="TTM17">
        <v>0</v>
      </c>
      <c r="TTN17">
        <v>0</v>
      </c>
      <c r="TTO17">
        <v>0</v>
      </c>
      <c r="TTP17">
        <v>0</v>
      </c>
      <c r="TTQ17">
        <v>0</v>
      </c>
      <c r="TTR17">
        <v>0</v>
      </c>
      <c r="TTS17">
        <v>0</v>
      </c>
      <c r="TTT17">
        <v>0</v>
      </c>
      <c r="TTU17">
        <v>0</v>
      </c>
      <c r="TTV17">
        <v>0</v>
      </c>
      <c r="TTW17">
        <v>0</v>
      </c>
      <c r="TTX17">
        <v>0</v>
      </c>
      <c r="TTY17">
        <v>0</v>
      </c>
      <c r="TTZ17">
        <v>0</v>
      </c>
      <c r="TUA17">
        <v>0</v>
      </c>
      <c r="TUB17">
        <v>0</v>
      </c>
      <c r="TUC17">
        <v>0</v>
      </c>
      <c r="TUD17">
        <v>0</v>
      </c>
      <c r="TUE17">
        <v>0</v>
      </c>
      <c r="TUF17">
        <v>0</v>
      </c>
      <c r="TUG17">
        <v>0</v>
      </c>
      <c r="TUH17">
        <v>0</v>
      </c>
      <c r="TUI17">
        <v>0</v>
      </c>
      <c r="TUJ17">
        <v>0</v>
      </c>
      <c r="TUK17">
        <v>0</v>
      </c>
      <c r="TUL17">
        <v>0</v>
      </c>
      <c r="TUM17">
        <v>0</v>
      </c>
      <c r="TUN17">
        <v>0</v>
      </c>
      <c r="TUO17">
        <v>0</v>
      </c>
      <c r="TUP17">
        <v>0</v>
      </c>
      <c r="TUQ17">
        <v>0</v>
      </c>
      <c r="TUR17">
        <v>0</v>
      </c>
      <c r="TUS17">
        <v>0</v>
      </c>
      <c r="TUT17">
        <v>0</v>
      </c>
      <c r="TUU17">
        <v>0</v>
      </c>
      <c r="TUV17">
        <v>0</v>
      </c>
      <c r="TUW17">
        <v>0</v>
      </c>
      <c r="TUX17">
        <v>0</v>
      </c>
      <c r="TUY17">
        <v>0</v>
      </c>
      <c r="TUZ17">
        <v>0</v>
      </c>
      <c r="TVA17">
        <v>0</v>
      </c>
      <c r="TVB17">
        <v>0</v>
      </c>
      <c r="TVC17">
        <v>0</v>
      </c>
      <c r="TVD17">
        <v>0</v>
      </c>
      <c r="TVE17">
        <v>0</v>
      </c>
      <c r="TVF17">
        <v>0</v>
      </c>
      <c r="TVG17">
        <v>0</v>
      </c>
      <c r="TVH17">
        <v>0</v>
      </c>
      <c r="TVI17">
        <v>0</v>
      </c>
      <c r="TVJ17">
        <v>0</v>
      </c>
      <c r="TVK17">
        <v>0</v>
      </c>
      <c r="TVL17">
        <v>0</v>
      </c>
      <c r="TVM17">
        <v>0</v>
      </c>
      <c r="TVN17">
        <v>0</v>
      </c>
      <c r="TVO17">
        <v>0</v>
      </c>
      <c r="TVP17">
        <v>0</v>
      </c>
      <c r="TVQ17">
        <v>0</v>
      </c>
      <c r="TVR17">
        <v>0</v>
      </c>
      <c r="TVS17">
        <v>0</v>
      </c>
      <c r="TVT17">
        <v>0</v>
      </c>
      <c r="TVU17">
        <v>0</v>
      </c>
      <c r="TVV17">
        <v>0</v>
      </c>
      <c r="TVW17">
        <v>0</v>
      </c>
      <c r="TVX17">
        <v>0</v>
      </c>
      <c r="TVY17">
        <v>0</v>
      </c>
      <c r="TVZ17">
        <v>0</v>
      </c>
      <c r="TWA17">
        <v>0</v>
      </c>
      <c r="TWB17">
        <v>0</v>
      </c>
      <c r="TWC17">
        <v>0</v>
      </c>
      <c r="TWD17">
        <v>0</v>
      </c>
      <c r="TWE17">
        <v>0</v>
      </c>
      <c r="TWF17">
        <v>0</v>
      </c>
      <c r="TWG17">
        <v>0</v>
      </c>
      <c r="TWH17">
        <v>0</v>
      </c>
      <c r="TWI17">
        <v>0</v>
      </c>
      <c r="TWJ17">
        <v>0</v>
      </c>
      <c r="TWK17">
        <v>0</v>
      </c>
      <c r="TWL17">
        <v>0</v>
      </c>
      <c r="TWM17">
        <v>0</v>
      </c>
      <c r="TWN17">
        <v>0</v>
      </c>
      <c r="TWO17">
        <v>0</v>
      </c>
      <c r="TWP17">
        <v>0</v>
      </c>
      <c r="TWQ17">
        <v>0</v>
      </c>
      <c r="TWR17">
        <v>0</v>
      </c>
      <c r="TWS17">
        <v>0</v>
      </c>
      <c r="TWT17">
        <v>0</v>
      </c>
      <c r="TWU17">
        <v>0</v>
      </c>
      <c r="TWV17">
        <v>0</v>
      </c>
      <c r="TWW17">
        <v>0</v>
      </c>
      <c r="TWX17">
        <v>0</v>
      </c>
      <c r="TWY17">
        <v>0</v>
      </c>
      <c r="TWZ17">
        <v>0</v>
      </c>
      <c r="TXA17">
        <v>0</v>
      </c>
      <c r="TXB17">
        <v>0</v>
      </c>
      <c r="TXC17">
        <v>0</v>
      </c>
      <c r="TXD17">
        <v>0</v>
      </c>
      <c r="TXE17">
        <v>0</v>
      </c>
      <c r="TXF17">
        <v>0</v>
      </c>
      <c r="TXG17">
        <v>0</v>
      </c>
      <c r="TXH17">
        <v>0</v>
      </c>
      <c r="TXI17">
        <v>0</v>
      </c>
      <c r="TXJ17">
        <v>0</v>
      </c>
      <c r="TXK17">
        <v>0</v>
      </c>
      <c r="TXL17">
        <v>0</v>
      </c>
      <c r="TXM17">
        <v>0</v>
      </c>
      <c r="TXN17">
        <v>0</v>
      </c>
      <c r="TXO17">
        <v>0</v>
      </c>
      <c r="TXP17">
        <v>0</v>
      </c>
      <c r="TXQ17">
        <v>0</v>
      </c>
      <c r="TXR17">
        <v>0</v>
      </c>
      <c r="TXS17">
        <v>0</v>
      </c>
      <c r="TXT17">
        <v>0</v>
      </c>
      <c r="TXU17">
        <v>0</v>
      </c>
      <c r="TXV17">
        <v>0</v>
      </c>
      <c r="TXW17">
        <v>0</v>
      </c>
      <c r="TXX17">
        <v>0</v>
      </c>
      <c r="TXY17">
        <v>0</v>
      </c>
      <c r="TXZ17">
        <v>0</v>
      </c>
      <c r="TYA17">
        <v>0</v>
      </c>
      <c r="TYB17">
        <v>0</v>
      </c>
      <c r="TYC17">
        <v>0</v>
      </c>
      <c r="TYD17">
        <v>0</v>
      </c>
      <c r="TYE17">
        <v>0</v>
      </c>
      <c r="TYF17">
        <v>0</v>
      </c>
      <c r="TYG17">
        <v>0</v>
      </c>
      <c r="TYH17">
        <v>0</v>
      </c>
      <c r="TYI17">
        <v>0</v>
      </c>
      <c r="TYJ17">
        <v>0</v>
      </c>
      <c r="TYK17">
        <v>0</v>
      </c>
      <c r="TYL17">
        <v>0</v>
      </c>
      <c r="TYM17">
        <v>0</v>
      </c>
      <c r="TYN17">
        <v>0</v>
      </c>
      <c r="TYO17">
        <v>0</v>
      </c>
      <c r="TYP17">
        <v>0</v>
      </c>
      <c r="TYQ17">
        <v>0</v>
      </c>
      <c r="TYR17">
        <v>0</v>
      </c>
      <c r="TYS17">
        <v>0</v>
      </c>
      <c r="TYT17">
        <v>0</v>
      </c>
      <c r="TYU17">
        <v>0</v>
      </c>
      <c r="TYV17">
        <v>0</v>
      </c>
      <c r="TYW17">
        <v>0</v>
      </c>
      <c r="TYX17">
        <v>0</v>
      </c>
      <c r="TYY17">
        <v>0</v>
      </c>
      <c r="TYZ17">
        <v>0</v>
      </c>
      <c r="TZA17">
        <v>0</v>
      </c>
      <c r="TZB17">
        <v>0</v>
      </c>
      <c r="TZC17">
        <v>0</v>
      </c>
      <c r="TZD17">
        <v>0</v>
      </c>
      <c r="TZE17">
        <v>0</v>
      </c>
      <c r="TZF17">
        <v>0</v>
      </c>
      <c r="TZG17">
        <v>0</v>
      </c>
      <c r="TZH17">
        <v>0</v>
      </c>
      <c r="TZI17">
        <v>0</v>
      </c>
      <c r="TZJ17">
        <v>0</v>
      </c>
      <c r="TZK17">
        <v>0</v>
      </c>
      <c r="TZL17">
        <v>0</v>
      </c>
      <c r="TZM17">
        <v>0</v>
      </c>
      <c r="TZN17">
        <v>0</v>
      </c>
      <c r="TZO17">
        <v>0</v>
      </c>
      <c r="TZP17">
        <v>0</v>
      </c>
      <c r="TZQ17">
        <v>0</v>
      </c>
      <c r="TZR17">
        <v>0</v>
      </c>
      <c r="TZS17">
        <v>0</v>
      </c>
      <c r="TZT17">
        <v>0</v>
      </c>
      <c r="TZU17">
        <v>0</v>
      </c>
      <c r="TZV17">
        <v>0</v>
      </c>
      <c r="TZW17">
        <v>0</v>
      </c>
      <c r="TZX17">
        <v>0</v>
      </c>
      <c r="TZY17">
        <v>0</v>
      </c>
      <c r="TZZ17">
        <v>0</v>
      </c>
      <c r="UAA17">
        <v>0</v>
      </c>
      <c r="UAB17">
        <v>0</v>
      </c>
      <c r="UAC17">
        <v>0</v>
      </c>
      <c r="UAD17">
        <v>0</v>
      </c>
      <c r="UAE17">
        <v>0</v>
      </c>
      <c r="UAF17">
        <v>0</v>
      </c>
      <c r="UAG17">
        <v>0</v>
      </c>
      <c r="UAH17">
        <v>0</v>
      </c>
      <c r="UAI17">
        <v>0</v>
      </c>
      <c r="UAJ17">
        <v>0</v>
      </c>
      <c r="UAK17">
        <v>0</v>
      </c>
      <c r="UAL17">
        <v>0</v>
      </c>
      <c r="UAM17">
        <v>0</v>
      </c>
      <c r="UAN17">
        <v>0</v>
      </c>
      <c r="UAO17">
        <v>0</v>
      </c>
      <c r="UAP17">
        <v>0</v>
      </c>
      <c r="UAQ17">
        <v>0</v>
      </c>
      <c r="UAR17">
        <v>0</v>
      </c>
      <c r="UAS17">
        <v>0</v>
      </c>
      <c r="UAT17">
        <v>0</v>
      </c>
      <c r="UAU17">
        <v>0</v>
      </c>
      <c r="UAV17">
        <v>0</v>
      </c>
      <c r="UAW17">
        <v>0</v>
      </c>
      <c r="UAX17">
        <v>0</v>
      </c>
      <c r="UAY17">
        <v>0</v>
      </c>
      <c r="UAZ17">
        <v>0</v>
      </c>
      <c r="UBA17">
        <v>0</v>
      </c>
      <c r="UBB17">
        <v>0</v>
      </c>
      <c r="UBC17">
        <v>0</v>
      </c>
      <c r="UBD17">
        <v>0</v>
      </c>
      <c r="UBE17">
        <v>0</v>
      </c>
      <c r="UBF17">
        <v>0</v>
      </c>
      <c r="UBG17">
        <v>0</v>
      </c>
      <c r="UBH17">
        <v>0</v>
      </c>
      <c r="UBI17">
        <v>0</v>
      </c>
      <c r="UBJ17">
        <v>0</v>
      </c>
      <c r="UBK17">
        <v>0</v>
      </c>
      <c r="UBL17">
        <v>0</v>
      </c>
      <c r="UBM17">
        <v>0</v>
      </c>
      <c r="UBN17">
        <v>0</v>
      </c>
      <c r="UBO17">
        <v>0</v>
      </c>
      <c r="UBP17">
        <v>0</v>
      </c>
      <c r="UBQ17">
        <v>0</v>
      </c>
      <c r="UBR17">
        <v>0</v>
      </c>
      <c r="UBS17">
        <v>0</v>
      </c>
      <c r="UBT17">
        <v>0</v>
      </c>
      <c r="UBU17">
        <v>0</v>
      </c>
      <c r="UBV17">
        <v>0</v>
      </c>
      <c r="UBW17">
        <v>0</v>
      </c>
      <c r="UBX17">
        <v>0</v>
      </c>
      <c r="UBY17">
        <v>0</v>
      </c>
      <c r="UBZ17">
        <v>0</v>
      </c>
      <c r="UCA17">
        <v>0</v>
      </c>
      <c r="UCB17">
        <v>0</v>
      </c>
      <c r="UCC17">
        <v>0</v>
      </c>
      <c r="UCD17">
        <v>0</v>
      </c>
      <c r="UCE17">
        <v>0</v>
      </c>
      <c r="UCF17">
        <v>0</v>
      </c>
      <c r="UCG17">
        <v>0</v>
      </c>
      <c r="UCH17">
        <v>0</v>
      </c>
      <c r="UCI17">
        <v>0</v>
      </c>
      <c r="UCJ17">
        <v>0</v>
      </c>
      <c r="UCK17">
        <v>0</v>
      </c>
      <c r="UCL17">
        <v>0</v>
      </c>
      <c r="UCM17">
        <v>0</v>
      </c>
      <c r="UCN17">
        <v>0</v>
      </c>
      <c r="UCO17">
        <v>0</v>
      </c>
      <c r="UCP17">
        <v>0</v>
      </c>
      <c r="UCQ17">
        <v>0</v>
      </c>
      <c r="UCR17">
        <v>0</v>
      </c>
      <c r="UCS17">
        <v>0</v>
      </c>
      <c r="UCT17">
        <v>0</v>
      </c>
      <c r="UCU17">
        <v>0</v>
      </c>
      <c r="UCV17">
        <v>0</v>
      </c>
      <c r="UCW17">
        <v>0</v>
      </c>
      <c r="UCX17">
        <v>0</v>
      </c>
      <c r="UCY17">
        <v>0</v>
      </c>
      <c r="UCZ17">
        <v>0</v>
      </c>
      <c r="UDA17">
        <v>0</v>
      </c>
      <c r="UDB17">
        <v>0</v>
      </c>
      <c r="UDC17">
        <v>0</v>
      </c>
      <c r="UDD17">
        <v>0</v>
      </c>
      <c r="UDE17">
        <v>0</v>
      </c>
      <c r="UDF17">
        <v>0</v>
      </c>
      <c r="UDG17">
        <v>0</v>
      </c>
      <c r="UDH17">
        <v>0</v>
      </c>
      <c r="UDI17">
        <v>0</v>
      </c>
      <c r="UDJ17">
        <v>0</v>
      </c>
      <c r="UDK17">
        <v>0</v>
      </c>
      <c r="UDL17">
        <v>0</v>
      </c>
      <c r="UDM17">
        <v>0</v>
      </c>
      <c r="UDN17">
        <v>0</v>
      </c>
      <c r="UDO17">
        <v>0</v>
      </c>
      <c r="UDP17">
        <v>0</v>
      </c>
      <c r="UDQ17">
        <v>0</v>
      </c>
      <c r="UDR17">
        <v>0</v>
      </c>
      <c r="UDS17">
        <v>0</v>
      </c>
      <c r="UDT17">
        <v>0</v>
      </c>
      <c r="UDU17">
        <v>0</v>
      </c>
      <c r="UDV17">
        <v>0</v>
      </c>
      <c r="UDW17">
        <v>0</v>
      </c>
      <c r="UDX17">
        <v>0</v>
      </c>
      <c r="UDY17">
        <v>0</v>
      </c>
      <c r="UDZ17">
        <v>0</v>
      </c>
      <c r="UEA17">
        <v>0</v>
      </c>
      <c r="UEB17">
        <v>0</v>
      </c>
      <c r="UEC17">
        <v>0</v>
      </c>
      <c r="UED17">
        <v>0</v>
      </c>
      <c r="UEE17">
        <v>0</v>
      </c>
      <c r="UEF17">
        <v>0</v>
      </c>
      <c r="UEG17">
        <v>0</v>
      </c>
      <c r="UEH17">
        <v>0</v>
      </c>
      <c r="UEI17">
        <v>0</v>
      </c>
      <c r="UEJ17">
        <v>0</v>
      </c>
      <c r="UEK17">
        <v>0</v>
      </c>
      <c r="UEL17">
        <v>0</v>
      </c>
      <c r="UEM17">
        <v>0</v>
      </c>
      <c r="UEN17">
        <v>0</v>
      </c>
      <c r="UEO17">
        <v>0</v>
      </c>
      <c r="UEP17">
        <v>0</v>
      </c>
      <c r="UEQ17">
        <v>0</v>
      </c>
      <c r="UER17">
        <v>0</v>
      </c>
      <c r="UES17">
        <v>0</v>
      </c>
      <c r="UET17">
        <v>0</v>
      </c>
      <c r="UEU17">
        <v>0</v>
      </c>
      <c r="UEV17">
        <v>0</v>
      </c>
      <c r="UEW17">
        <v>0</v>
      </c>
      <c r="UEX17">
        <v>0</v>
      </c>
      <c r="UEY17">
        <v>0</v>
      </c>
      <c r="UEZ17">
        <v>0</v>
      </c>
      <c r="UFA17">
        <v>0</v>
      </c>
      <c r="UFB17">
        <v>0</v>
      </c>
      <c r="UFC17">
        <v>0</v>
      </c>
      <c r="UFD17">
        <v>0</v>
      </c>
      <c r="UFE17">
        <v>0</v>
      </c>
      <c r="UFF17">
        <v>0</v>
      </c>
      <c r="UFG17">
        <v>0</v>
      </c>
      <c r="UFH17">
        <v>0</v>
      </c>
      <c r="UFI17">
        <v>0</v>
      </c>
      <c r="UFJ17">
        <v>0</v>
      </c>
      <c r="UFK17">
        <v>0</v>
      </c>
      <c r="UFL17">
        <v>0</v>
      </c>
      <c r="UFM17">
        <v>0</v>
      </c>
      <c r="UFN17">
        <v>0</v>
      </c>
      <c r="UFO17">
        <v>0</v>
      </c>
      <c r="UFP17">
        <v>0</v>
      </c>
      <c r="UFQ17">
        <v>0</v>
      </c>
      <c r="UFR17">
        <v>0</v>
      </c>
      <c r="UFS17">
        <v>0</v>
      </c>
      <c r="UFT17">
        <v>0</v>
      </c>
      <c r="UFU17">
        <v>0</v>
      </c>
      <c r="UFV17">
        <v>0</v>
      </c>
      <c r="UFW17">
        <v>0</v>
      </c>
      <c r="UFX17">
        <v>0</v>
      </c>
      <c r="UFY17">
        <v>0</v>
      </c>
      <c r="UFZ17">
        <v>0</v>
      </c>
      <c r="UGA17">
        <v>0</v>
      </c>
      <c r="UGB17">
        <v>0</v>
      </c>
      <c r="UGC17">
        <v>0</v>
      </c>
      <c r="UGD17">
        <v>0</v>
      </c>
      <c r="UGE17">
        <v>0</v>
      </c>
      <c r="UGF17">
        <v>0</v>
      </c>
      <c r="UGG17">
        <v>0</v>
      </c>
      <c r="UGH17">
        <v>0</v>
      </c>
      <c r="UGI17">
        <v>0</v>
      </c>
      <c r="UGJ17">
        <v>0</v>
      </c>
      <c r="UGK17">
        <v>0</v>
      </c>
      <c r="UGL17">
        <v>0</v>
      </c>
      <c r="UGM17">
        <v>0</v>
      </c>
      <c r="UGN17">
        <v>0</v>
      </c>
      <c r="UGO17">
        <v>0</v>
      </c>
      <c r="UGP17">
        <v>0</v>
      </c>
      <c r="UGQ17">
        <v>0</v>
      </c>
      <c r="UGR17">
        <v>0</v>
      </c>
      <c r="UGS17">
        <v>0</v>
      </c>
      <c r="UGT17">
        <v>0</v>
      </c>
      <c r="UGU17">
        <v>0</v>
      </c>
      <c r="UGV17">
        <v>0</v>
      </c>
      <c r="UGW17">
        <v>0</v>
      </c>
      <c r="UGX17">
        <v>0</v>
      </c>
      <c r="UGY17">
        <v>0</v>
      </c>
      <c r="UGZ17">
        <v>0</v>
      </c>
      <c r="UHA17">
        <v>0</v>
      </c>
      <c r="UHB17">
        <v>0</v>
      </c>
      <c r="UHC17">
        <v>0</v>
      </c>
      <c r="UHD17">
        <v>0</v>
      </c>
      <c r="UHE17">
        <v>0</v>
      </c>
      <c r="UHF17">
        <v>0</v>
      </c>
      <c r="UHG17">
        <v>0</v>
      </c>
      <c r="UHH17">
        <v>0</v>
      </c>
      <c r="UHI17">
        <v>0</v>
      </c>
      <c r="UHJ17">
        <v>0</v>
      </c>
      <c r="UHK17">
        <v>0</v>
      </c>
      <c r="UHL17">
        <v>0</v>
      </c>
      <c r="UHM17">
        <v>0</v>
      </c>
      <c r="UHN17">
        <v>0</v>
      </c>
      <c r="UHO17">
        <v>0</v>
      </c>
      <c r="UHP17">
        <v>0</v>
      </c>
      <c r="UHQ17">
        <v>0</v>
      </c>
      <c r="UHR17">
        <v>0</v>
      </c>
      <c r="UHS17">
        <v>0</v>
      </c>
      <c r="UHT17">
        <v>0</v>
      </c>
      <c r="UHU17">
        <v>0</v>
      </c>
      <c r="UHV17">
        <v>0</v>
      </c>
      <c r="UHW17">
        <v>0</v>
      </c>
      <c r="UHX17">
        <v>0</v>
      </c>
      <c r="UHY17">
        <v>0</v>
      </c>
      <c r="UHZ17">
        <v>0</v>
      </c>
      <c r="UIA17">
        <v>0</v>
      </c>
      <c r="UIB17">
        <v>0</v>
      </c>
      <c r="UIC17">
        <v>0</v>
      </c>
      <c r="UID17">
        <v>0</v>
      </c>
      <c r="UIE17">
        <v>0</v>
      </c>
      <c r="UIF17">
        <v>0</v>
      </c>
      <c r="UIG17">
        <v>0</v>
      </c>
      <c r="UIH17">
        <v>0</v>
      </c>
      <c r="UII17">
        <v>0</v>
      </c>
      <c r="UIJ17">
        <v>0</v>
      </c>
      <c r="UIK17">
        <v>0</v>
      </c>
      <c r="UIL17">
        <v>0</v>
      </c>
      <c r="UIM17">
        <v>0</v>
      </c>
      <c r="UIN17">
        <v>0</v>
      </c>
      <c r="UIO17">
        <v>0</v>
      </c>
      <c r="UIP17">
        <v>0</v>
      </c>
      <c r="UIQ17">
        <v>0</v>
      </c>
      <c r="UIR17">
        <v>0</v>
      </c>
      <c r="UIS17">
        <v>0</v>
      </c>
      <c r="UIT17">
        <v>0</v>
      </c>
      <c r="UIU17">
        <v>0</v>
      </c>
      <c r="UIV17">
        <v>0</v>
      </c>
      <c r="UIW17">
        <v>0</v>
      </c>
      <c r="UIX17">
        <v>0</v>
      </c>
      <c r="UIY17">
        <v>0</v>
      </c>
      <c r="UIZ17">
        <v>0</v>
      </c>
      <c r="UJA17">
        <v>0</v>
      </c>
      <c r="UJB17">
        <v>0</v>
      </c>
      <c r="UJC17">
        <v>0</v>
      </c>
      <c r="UJD17">
        <v>0</v>
      </c>
      <c r="UJE17">
        <v>0</v>
      </c>
      <c r="UJF17">
        <v>0</v>
      </c>
      <c r="UJG17">
        <v>0</v>
      </c>
      <c r="UJH17">
        <v>0</v>
      </c>
      <c r="UJI17">
        <v>0</v>
      </c>
      <c r="UJJ17">
        <v>0</v>
      </c>
      <c r="UJK17">
        <v>0</v>
      </c>
      <c r="UJL17">
        <v>0</v>
      </c>
      <c r="UJM17">
        <v>0</v>
      </c>
      <c r="UJN17">
        <v>0</v>
      </c>
      <c r="UJO17">
        <v>0</v>
      </c>
      <c r="UJP17">
        <v>0</v>
      </c>
      <c r="UJQ17">
        <v>0</v>
      </c>
      <c r="UJR17">
        <v>0</v>
      </c>
      <c r="UJS17">
        <v>0</v>
      </c>
      <c r="UJT17">
        <v>0</v>
      </c>
      <c r="UJU17">
        <v>0</v>
      </c>
      <c r="UJV17">
        <v>0</v>
      </c>
      <c r="UJW17">
        <v>0</v>
      </c>
      <c r="UJX17">
        <v>0</v>
      </c>
      <c r="UJY17">
        <v>0</v>
      </c>
      <c r="UJZ17">
        <v>0</v>
      </c>
      <c r="UKA17">
        <v>0</v>
      </c>
      <c r="UKB17">
        <v>0</v>
      </c>
      <c r="UKC17">
        <v>0</v>
      </c>
      <c r="UKD17">
        <v>0</v>
      </c>
      <c r="UKE17">
        <v>0</v>
      </c>
      <c r="UKF17">
        <v>0</v>
      </c>
      <c r="UKG17">
        <v>0</v>
      </c>
      <c r="UKH17">
        <v>0</v>
      </c>
      <c r="UKI17">
        <v>0</v>
      </c>
      <c r="UKJ17">
        <v>0</v>
      </c>
      <c r="UKK17">
        <v>0</v>
      </c>
      <c r="UKL17">
        <v>0</v>
      </c>
      <c r="UKM17">
        <v>0</v>
      </c>
      <c r="UKN17">
        <v>0</v>
      </c>
      <c r="UKO17">
        <v>0</v>
      </c>
      <c r="UKP17">
        <v>0</v>
      </c>
      <c r="UKQ17">
        <v>0</v>
      </c>
      <c r="UKR17">
        <v>0</v>
      </c>
      <c r="UKS17">
        <v>0</v>
      </c>
      <c r="UKT17">
        <v>0</v>
      </c>
      <c r="UKU17">
        <v>0</v>
      </c>
      <c r="UKV17">
        <v>0</v>
      </c>
      <c r="UKW17">
        <v>0</v>
      </c>
      <c r="UKX17">
        <v>0</v>
      </c>
      <c r="UKY17">
        <v>0</v>
      </c>
      <c r="UKZ17">
        <v>0</v>
      </c>
      <c r="ULA17">
        <v>0</v>
      </c>
      <c r="ULB17">
        <v>0</v>
      </c>
      <c r="ULC17">
        <v>0</v>
      </c>
      <c r="ULD17">
        <v>0</v>
      </c>
      <c r="ULE17">
        <v>0</v>
      </c>
      <c r="ULF17">
        <v>0</v>
      </c>
      <c r="ULG17">
        <v>0</v>
      </c>
      <c r="ULH17">
        <v>0</v>
      </c>
      <c r="ULI17">
        <v>0</v>
      </c>
      <c r="ULJ17">
        <v>0</v>
      </c>
      <c r="ULK17">
        <v>0</v>
      </c>
      <c r="ULL17">
        <v>0</v>
      </c>
      <c r="ULM17">
        <v>0</v>
      </c>
      <c r="ULN17">
        <v>0</v>
      </c>
      <c r="ULO17">
        <v>0</v>
      </c>
      <c r="ULP17">
        <v>0</v>
      </c>
      <c r="ULQ17">
        <v>0</v>
      </c>
      <c r="ULR17">
        <v>0</v>
      </c>
      <c r="ULS17">
        <v>0</v>
      </c>
      <c r="ULT17">
        <v>0</v>
      </c>
      <c r="ULU17">
        <v>0</v>
      </c>
      <c r="ULV17">
        <v>0</v>
      </c>
      <c r="ULW17">
        <v>0</v>
      </c>
      <c r="ULX17">
        <v>0</v>
      </c>
      <c r="ULY17">
        <v>0</v>
      </c>
      <c r="ULZ17">
        <v>0</v>
      </c>
      <c r="UMA17">
        <v>0</v>
      </c>
      <c r="UMB17">
        <v>0</v>
      </c>
      <c r="UMC17">
        <v>0</v>
      </c>
      <c r="UMD17">
        <v>0</v>
      </c>
      <c r="UME17">
        <v>0</v>
      </c>
      <c r="UMF17">
        <v>0</v>
      </c>
      <c r="UMG17">
        <v>0</v>
      </c>
      <c r="UMH17">
        <v>0</v>
      </c>
      <c r="UMI17">
        <v>0</v>
      </c>
      <c r="UMJ17">
        <v>0</v>
      </c>
      <c r="UMK17">
        <v>0</v>
      </c>
      <c r="UML17">
        <v>0</v>
      </c>
      <c r="UMM17">
        <v>0</v>
      </c>
      <c r="UMN17">
        <v>0</v>
      </c>
      <c r="UMO17">
        <v>0</v>
      </c>
      <c r="UMP17">
        <v>0</v>
      </c>
      <c r="UMQ17">
        <v>0</v>
      </c>
      <c r="UMR17">
        <v>0</v>
      </c>
      <c r="UMS17">
        <v>0</v>
      </c>
      <c r="UMT17">
        <v>0</v>
      </c>
      <c r="UMU17">
        <v>0</v>
      </c>
      <c r="UMV17">
        <v>0</v>
      </c>
      <c r="UMW17">
        <v>0</v>
      </c>
      <c r="UMX17">
        <v>0</v>
      </c>
      <c r="UMY17">
        <v>0</v>
      </c>
      <c r="UMZ17">
        <v>0</v>
      </c>
      <c r="UNA17">
        <v>0</v>
      </c>
      <c r="UNB17">
        <v>0</v>
      </c>
      <c r="UNC17">
        <v>0</v>
      </c>
      <c r="UND17">
        <v>0</v>
      </c>
      <c r="UNE17">
        <v>0</v>
      </c>
      <c r="UNF17">
        <v>0</v>
      </c>
      <c r="UNG17">
        <v>0</v>
      </c>
      <c r="UNH17">
        <v>0</v>
      </c>
      <c r="UNI17">
        <v>0</v>
      </c>
      <c r="UNJ17">
        <v>0</v>
      </c>
      <c r="UNK17">
        <v>0</v>
      </c>
      <c r="UNL17">
        <v>0</v>
      </c>
      <c r="UNM17">
        <v>0</v>
      </c>
      <c r="UNN17">
        <v>0</v>
      </c>
      <c r="UNO17">
        <v>0</v>
      </c>
      <c r="UNP17">
        <v>0</v>
      </c>
      <c r="UNQ17">
        <v>0</v>
      </c>
      <c r="UNR17">
        <v>0</v>
      </c>
      <c r="UNS17">
        <v>0</v>
      </c>
      <c r="UNT17">
        <v>0</v>
      </c>
      <c r="UNU17">
        <v>0</v>
      </c>
      <c r="UNV17">
        <v>0</v>
      </c>
      <c r="UNW17">
        <v>0</v>
      </c>
      <c r="UNX17">
        <v>0</v>
      </c>
      <c r="UNY17">
        <v>0</v>
      </c>
      <c r="UNZ17">
        <v>0</v>
      </c>
      <c r="UOA17">
        <v>0</v>
      </c>
      <c r="UOB17">
        <v>0</v>
      </c>
      <c r="UOC17">
        <v>0</v>
      </c>
      <c r="UOD17">
        <v>0</v>
      </c>
      <c r="UOE17">
        <v>0</v>
      </c>
      <c r="UOF17">
        <v>0</v>
      </c>
      <c r="UOG17">
        <v>0</v>
      </c>
      <c r="UOH17">
        <v>0</v>
      </c>
      <c r="UOI17">
        <v>0</v>
      </c>
      <c r="UOJ17">
        <v>0</v>
      </c>
      <c r="UOK17">
        <v>0</v>
      </c>
      <c r="UOL17">
        <v>0</v>
      </c>
      <c r="UOM17">
        <v>0</v>
      </c>
      <c r="UON17">
        <v>0</v>
      </c>
      <c r="UOO17">
        <v>0</v>
      </c>
      <c r="UOP17">
        <v>0</v>
      </c>
      <c r="UOQ17">
        <v>0</v>
      </c>
      <c r="UOR17">
        <v>0</v>
      </c>
      <c r="UOS17">
        <v>0</v>
      </c>
      <c r="UOT17">
        <v>0</v>
      </c>
      <c r="UOU17">
        <v>0</v>
      </c>
      <c r="UOV17">
        <v>0</v>
      </c>
      <c r="UOW17">
        <v>0</v>
      </c>
      <c r="UOX17">
        <v>0</v>
      </c>
      <c r="UOY17">
        <v>0</v>
      </c>
      <c r="UOZ17">
        <v>0</v>
      </c>
      <c r="UPA17">
        <v>0</v>
      </c>
      <c r="UPB17">
        <v>0</v>
      </c>
      <c r="UPC17">
        <v>0</v>
      </c>
      <c r="UPD17">
        <v>0</v>
      </c>
      <c r="UPE17">
        <v>0</v>
      </c>
      <c r="UPF17">
        <v>0</v>
      </c>
      <c r="UPG17">
        <v>0</v>
      </c>
      <c r="UPH17">
        <v>0</v>
      </c>
      <c r="UPI17">
        <v>0</v>
      </c>
      <c r="UPJ17">
        <v>0</v>
      </c>
      <c r="UPK17">
        <v>0</v>
      </c>
      <c r="UPL17">
        <v>0</v>
      </c>
      <c r="UPM17">
        <v>0</v>
      </c>
      <c r="UPN17">
        <v>0</v>
      </c>
      <c r="UPO17">
        <v>0</v>
      </c>
      <c r="UPP17">
        <v>0</v>
      </c>
      <c r="UPQ17">
        <v>0</v>
      </c>
      <c r="UPR17">
        <v>0</v>
      </c>
      <c r="UPS17">
        <v>0</v>
      </c>
      <c r="UPT17">
        <v>0</v>
      </c>
      <c r="UPU17">
        <v>0</v>
      </c>
      <c r="UPV17">
        <v>0</v>
      </c>
      <c r="UPW17">
        <v>0</v>
      </c>
      <c r="UPX17">
        <v>0</v>
      </c>
      <c r="UPY17">
        <v>0</v>
      </c>
      <c r="UPZ17">
        <v>0</v>
      </c>
      <c r="UQA17">
        <v>0</v>
      </c>
      <c r="UQB17">
        <v>0</v>
      </c>
      <c r="UQC17">
        <v>0</v>
      </c>
      <c r="UQD17">
        <v>0</v>
      </c>
      <c r="UQE17">
        <v>0</v>
      </c>
      <c r="UQF17">
        <v>0</v>
      </c>
      <c r="UQG17">
        <v>0</v>
      </c>
      <c r="UQH17">
        <v>0</v>
      </c>
      <c r="UQI17">
        <v>0</v>
      </c>
      <c r="UQJ17">
        <v>0</v>
      </c>
      <c r="UQK17">
        <v>0</v>
      </c>
      <c r="UQL17">
        <v>0</v>
      </c>
      <c r="UQM17">
        <v>0</v>
      </c>
      <c r="UQN17">
        <v>0</v>
      </c>
      <c r="UQO17">
        <v>0</v>
      </c>
      <c r="UQP17">
        <v>0</v>
      </c>
      <c r="UQQ17">
        <v>0</v>
      </c>
      <c r="UQR17">
        <v>0</v>
      </c>
      <c r="UQS17">
        <v>0</v>
      </c>
      <c r="UQT17">
        <v>0</v>
      </c>
      <c r="UQU17">
        <v>0</v>
      </c>
      <c r="UQV17">
        <v>0</v>
      </c>
      <c r="UQW17">
        <v>0</v>
      </c>
      <c r="UQX17">
        <v>0</v>
      </c>
      <c r="UQY17">
        <v>0</v>
      </c>
      <c r="UQZ17">
        <v>0</v>
      </c>
      <c r="URA17">
        <v>0</v>
      </c>
      <c r="URB17">
        <v>0</v>
      </c>
      <c r="URC17">
        <v>0</v>
      </c>
      <c r="URD17">
        <v>0</v>
      </c>
      <c r="URE17">
        <v>0</v>
      </c>
      <c r="URF17">
        <v>0</v>
      </c>
      <c r="URG17">
        <v>0</v>
      </c>
      <c r="URH17">
        <v>0</v>
      </c>
      <c r="URI17">
        <v>0</v>
      </c>
      <c r="URJ17">
        <v>0</v>
      </c>
      <c r="URK17">
        <v>0</v>
      </c>
      <c r="URL17">
        <v>0</v>
      </c>
      <c r="URM17">
        <v>0</v>
      </c>
      <c r="URN17">
        <v>0</v>
      </c>
      <c r="URO17">
        <v>0</v>
      </c>
      <c r="URP17">
        <v>0</v>
      </c>
      <c r="URQ17">
        <v>0</v>
      </c>
      <c r="URR17">
        <v>0</v>
      </c>
      <c r="URS17">
        <v>0</v>
      </c>
      <c r="URT17">
        <v>0</v>
      </c>
      <c r="URU17">
        <v>0</v>
      </c>
      <c r="URV17">
        <v>0</v>
      </c>
      <c r="URW17">
        <v>0</v>
      </c>
      <c r="URX17">
        <v>0</v>
      </c>
      <c r="URY17">
        <v>0</v>
      </c>
      <c r="URZ17">
        <v>0</v>
      </c>
      <c r="USA17">
        <v>0</v>
      </c>
      <c r="USB17">
        <v>0</v>
      </c>
      <c r="USC17">
        <v>0</v>
      </c>
      <c r="USD17">
        <v>0</v>
      </c>
      <c r="USE17">
        <v>0</v>
      </c>
      <c r="USF17">
        <v>0</v>
      </c>
      <c r="USG17">
        <v>0</v>
      </c>
      <c r="USH17">
        <v>0</v>
      </c>
      <c r="USI17">
        <v>0</v>
      </c>
      <c r="USJ17">
        <v>0</v>
      </c>
      <c r="USK17">
        <v>0</v>
      </c>
      <c r="USL17">
        <v>0</v>
      </c>
      <c r="USM17">
        <v>0</v>
      </c>
      <c r="USN17">
        <v>0</v>
      </c>
      <c r="USO17">
        <v>0</v>
      </c>
      <c r="USP17">
        <v>0</v>
      </c>
      <c r="USQ17">
        <v>0</v>
      </c>
      <c r="USR17">
        <v>0</v>
      </c>
      <c r="USS17">
        <v>0</v>
      </c>
      <c r="UST17">
        <v>0</v>
      </c>
      <c r="USU17">
        <v>0</v>
      </c>
      <c r="USV17">
        <v>0</v>
      </c>
      <c r="USW17">
        <v>0</v>
      </c>
      <c r="USX17">
        <v>0</v>
      </c>
      <c r="USY17">
        <v>0</v>
      </c>
      <c r="USZ17">
        <v>0</v>
      </c>
      <c r="UTA17">
        <v>0</v>
      </c>
      <c r="UTB17">
        <v>0</v>
      </c>
      <c r="UTC17">
        <v>0</v>
      </c>
      <c r="UTD17">
        <v>0</v>
      </c>
      <c r="UTE17">
        <v>0</v>
      </c>
      <c r="UTF17">
        <v>0</v>
      </c>
      <c r="UTG17">
        <v>0</v>
      </c>
      <c r="UTH17">
        <v>0</v>
      </c>
      <c r="UTI17">
        <v>0</v>
      </c>
      <c r="UTJ17">
        <v>0</v>
      </c>
      <c r="UTK17">
        <v>0</v>
      </c>
      <c r="UTL17">
        <v>0</v>
      </c>
      <c r="UTM17">
        <v>0</v>
      </c>
      <c r="UTN17">
        <v>0</v>
      </c>
      <c r="UTO17">
        <v>0</v>
      </c>
      <c r="UTP17">
        <v>0</v>
      </c>
      <c r="UTQ17">
        <v>0</v>
      </c>
      <c r="UTR17">
        <v>0</v>
      </c>
      <c r="UTS17">
        <v>0</v>
      </c>
      <c r="UTT17">
        <v>0</v>
      </c>
      <c r="UTU17">
        <v>0</v>
      </c>
      <c r="UTV17">
        <v>0</v>
      </c>
      <c r="UTW17">
        <v>0</v>
      </c>
      <c r="UTX17">
        <v>0</v>
      </c>
      <c r="UTY17">
        <v>0</v>
      </c>
      <c r="UTZ17">
        <v>0</v>
      </c>
      <c r="UUA17">
        <v>0</v>
      </c>
      <c r="UUB17">
        <v>0</v>
      </c>
      <c r="UUC17">
        <v>0</v>
      </c>
      <c r="UUD17">
        <v>0</v>
      </c>
      <c r="UUE17">
        <v>0</v>
      </c>
      <c r="UUF17">
        <v>0</v>
      </c>
      <c r="UUG17">
        <v>0</v>
      </c>
      <c r="UUH17">
        <v>0</v>
      </c>
      <c r="UUI17">
        <v>0</v>
      </c>
      <c r="UUJ17">
        <v>0</v>
      </c>
      <c r="UUK17">
        <v>0</v>
      </c>
      <c r="UUL17">
        <v>0</v>
      </c>
      <c r="UUM17">
        <v>0</v>
      </c>
      <c r="UUN17">
        <v>0</v>
      </c>
      <c r="UUO17">
        <v>0</v>
      </c>
      <c r="UUP17">
        <v>0</v>
      </c>
      <c r="UUQ17">
        <v>0</v>
      </c>
      <c r="UUR17">
        <v>0</v>
      </c>
      <c r="UUS17">
        <v>0</v>
      </c>
      <c r="UUT17">
        <v>0</v>
      </c>
      <c r="UUU17">
        <v>0</v>
      </c>
      <c r="UUV17">
        <v>0</v>
      </c>
      <c r="UUW17">
        <v>0</v>
      </c>
      <c r="UUX17">
        <v>0</v>
      </c>
      <c r="UUY17">
        <v>0</v>
      </c>
      <c r="UUZ17">
        <v>0</v>
      </c>
      <c r="UVA17">
        <v>0</v>
      </c>
      <c r="UVB17">
        <v>0</v>
      </c>
      <c r="UVC17">
        <v>0</v>
      </c>
      <c r="UVD17">
        <v>0</v>
      </c>
      <c r="UVE17">
        <v>0</v>
      </c>
      <c r="UVF17">
        <v>0</v>
      </c>
      <c r="UVG17">
        <v>0</v>
      </c>
      <c r="UVH17">
        <v>0</v>
      </c>
      <c r="UVI17">
        <v>0</v>
      </c>
      <c r="UVJ17">
        <v>0</v>
      </c>
      <c r="UVK17">
        <v>0</v>
      </c>
      <c r="UVL17">
        <v>0</v>
      </c>
      <c r="UVM17">
        <v>0</v>
      </c>
      <c r="UVN17">
        <v>0</v>
      </c>
      <c r="UVO17">
        <v>0</v>
      </c>
      <c r="UVP17">
        <v>0</v>
      </c>
      <c r="UVQ17">
        <v>0</v>
      </c>
      <c r="UVR17">
        <v>0</v>
      </c>
      <c r="UVS17">
        <v>0</v>
      </c>
      <c r="UVT17">
        <v>0</v>
      </c>
      <c r="UVU17">
        <v>0</v>
      </c>
      <c r="UVV17">
        <v>0</v>
      </c>
      <c r="UVW17">
        <v>0</v>
      </c>
      <c r="UVX17">
        <v>0</v>
      </c>
      <c r="UVY17">
        <v>0</v>
      </c>
      <c r="UVZ17">
        <v>0</v>
      </c>
      <c r="UWA17">
        <v>0</v>
      </c>
      <c r="UWB17">
        <v>0</v>
      </c>
      <c r="UWC17">
        <v>0</v>
      </c>
      <c r="UWD17">
        <v>0</v>
      </c>
      <c r="UWE17">
        <v>0</v>
      </c>
      <c r="UWF17">
        <v>0</v>
      </c>
      <c r="UWG17">
        <v>0</v>
      </c>
      <c r="UWH17">
        <v>0</v>
      </c>
      <c r="UWI17">
        <v>0</v>
      </c>
      <c r="UWJ17">
        <v>0</v>
      </c>
      <c r="UWK17">
        <v>0</v>
      </c>
      <c r="UWL17">
        <v>0</v>
      </c>
      <c r="UWM17">
        <v>0</v>
      </c>
      <c r="UWN17">
        <v>0</v>
      </c>
      <c r="UWO17">
        <v>0</v>
      </c>
      <c r="UWP17">
        <v>0</v>
      </c>
      <c r="UWQ17">
        <v>0</v>
      </c>
      <c r="UWR17">
        <v>0</v>
      </c>
      <c r="UWS17">
        <v>0</v>
      </c>
      <c r="UWT17">
        <v>0</v>
      </c>
      <c r="UWU17">
        <v>0</v>
      </c>
      <c r="UWV17">
        <v>0</v>
      </c>
      <c r="UWW17">
        <v>0</v>
      </c>
      <c r="UWX17">
        <v>0</v>
      </c>
      <c r="UWY17">
        <v>0</v>
      </c>
      <c r="UWZ17">
        <v>0</v>
      </c>
      <c r="UXA17">
        <v>0</v>
      </c>
      <c r="UXB17">
        <v>0</v>
      </c>
      <c r="UXC17">
        <v>0</v>
      </c>
      <c r="UXD17">
        <v>0</v>
      </c>
      <c r="UXE17">
        <v>0</v>
      </c>
      <c r="UXF17">
        <v>0</v>
      </c>
      <c r="UXG17">
        <v>0</v>
      </c>
      <c r="UXH17">
        <v>0</v>
      </c>
      <c r="UXI17">
        <v>0</v>
      </c>
      <c r="UXJ17">
        <v>0</v>
      </c>
      <c r="UXK17">
        <v>0</v>
      </c>
      <c r="UXL17">
        <v>0</v>
      </c>
      <c r="UXM17">
        <v>0</v>
      </c>
      <c r="UXN17">
        <v>0</v>
      </c>
      <c r="UXO17">
        <v>0</v>
      </c>
      <c r="UXP17">
        <v>0</v>
      </c>
      <c r="UXQ17">
        <v>0</v>
      </c>
      <c r="UXR17">
        <v>0</v>
      </c>
      <c r="UXS17">
        <v>0</v>
      </c>
      <c r="UXT17">
        <v>0</v>
      </c>
      <c r="UXU17">
        <v>0</v>
      </c>
      <c r="UXV17">
        <v>0</v>
      </c>
      <c r="UXW17">
        <v>0</v>
      </c>
      <c r="UXX17">
        <v>0</v>
      </c>
      <c r="UXY17">
        <v>0</v>
      </c>
      <c r="UXZ17">
        <v>0</v>
      </c>
      <c r="UYA17">
        <v>0</v>
      </c>
      <c r="UYB17">
        <v>0</v>
      </c>
      <c r="UYC17">
        <v>0</v>
      </c>
      <c r="UYD17">
        <v>0</v>
      </c>
      <c r="UYE17">
        <v>0</v>
      </c>
      <c r="UYF17">
        <v>0</v>
      </c>
      <c r="UYG17">
        <v>0</v>
      </c>
      <c r="UYH17">
        <v>0</v>
      </c>
      <c r="UYI17">
        <v>0</v>
      </c>
      <c r="UYJ17">
        <v>0</v>
      </c>
      <c r="UYK17">
        <v>0</v>
      </c>
      <c r="UYL17">
        <v>0</v>
      </c>
      <c r="UYM17">
        <v>0</v>
      </c>
      <c r="UYN17">
        <v>0</v>
      </c>
      <c r="UYO17">
        <v>0</v>
      </c>
      <c r="UYP17">
        <v>0</v>
      </c>
      <c r="UYQ17">
        <v>0</v>
      </c>
      <c r="UYR17">
        <v>0</v>
      </c>
      <c r="UYS17">
        <v>0</v>
      </c>
      <c r="UYT17">
        <v>0</v>
      </c>
      <c r="UYU17">
        <v>0</v>
      </c>
      <c r="UYV17">
        <v>0</v>
      </c>
      <c r="UYW17">
        <v>0</v>
      </c>
      <c r="UYX17">
        <v>0</v>
      </c>
      <c r="UYY17">
        <v>0</v>
      </c>
      <c r="UYZ17">
        <v>0</v>
      </c>
      <c r="UZA17">
        <v>0</v>
      </c>
      <c r="UZB17">
        <v>0</v>
      </c>
      <c r="UZC17">
        <v>0</v>
      </c>
      <c r="UZD17">
        <v>0</v>
      </c>
      <c r="UZE17">
        <v>0</v>
      </c>
      <c r="UZF17">
        <v>0</v>
      </c>
      <c r="UZG17">
        <v>0</v>
      </c>
      <c r="UZH17">
        <v>0</v>
      </c>
      <c r="UZI17">
        <v>0</v>
      </c>
      <c r="UZJ17">
        <v>0</v>
      </c>
      <c r="UZK17">
        <v>0</v>
      </c>
      <c r="UZL17">
        <v>0</v>
      </c>
      <c r="UZM17">
        <v>0</v>
      </c>
      <c r="UZN17">
        <v>0</v>
      </c>
      <c r="UZO17">
        <v>0</v>
      </c>
      <c r="UZP17">
        <v>0</v>
      </c>
      <c r="UZQ17">
        <v>0</v>
      </c>
      <c r="UZR17">
        <v>0</v>
      </c>
      <c r="UZS17">
        <v>0</v>
      </c>
      <c r="UZT17">
        <v>0</v>
      </c>
      <c r="UZU17">
        <v>0</v>
      </c>
      <c r="UZV17">
        <v>0</v>
      </c>
      <c r="UZW17">
        <v>0</v>
      </c>
      <c r="UZX17">
        <v>0</v>
      </c>
      <c r="UZY17">
        <v>0</v>
      </c>
      <c r="UZZ17">
        <v>0</v>
      </c>
      <c r="VAA17">
        <v>0</v>
      </c>
      <c r="VAB17">
        <v>0</v>
      </c>
      <c r="VAC17">
        <v>0</v>
      </c>
      <c r="VAD17">
        <v>0</v>
      </c>
      <c r="VAE17">
        <v>0</v>
      </c>
      <c r="VAF17">
        <v>0</v>
      </c>
      <c r="VAG17">
        <v>0</v>
      </c>
      <c r="VAH17">
        <v>0</v>
      </c>
      <c r="VAI17">
        <v>0</v>
      </c>
      <c r="VAJ17">
        <v>0</v>
      </c>
      <c r="VAK17">
        <v>0</v>
      </c>
      <c r="VAL17">
        <v>0</v>
      </c>
      <c r="VAM17">
        <v>0</v>
      </c>
      <c r="VAN17">
        <v>0</v>
      </c>
      <c r="VAO17">
        <v>0</v>
      </c>
      <c r="VAP17">
        <v>0</v>
      </c>
      <c r="VAQ17">
        <v>0</v>
      </c>
      <c r="VAR17">
        <v>0</v>
      </c>
      <c r="VAS17">
        <v>0</v>
      </c>
      <c r="VAT17">
        <v>0</v>
      </c>
      <c r="VAU17">
        <v>0</v>
      </c>
      <c r="VAV17">
        <v>0</v>
      </c>
      <c r="VAW17">
        <v>0</v>
      </c>
      <c r="VAX17">
        <v>0</v>
      </c>
      <c r="VAY17">
        <v>0</v>
      </c>
      <c r="VAZ17">
        <v>0</v>
      </c>
      <c r="VBA17">
        <v>0</v>
      </c>
      <c r="VBB17">
        <v>0</v>
      </c>
      <c r="VBC17">
        <v>0</v>
      </c>
      <c r="VBD17">
        <v>0</v>
      </c>
      <c r="VBE17">
        <v>0</v>
      </c>
      <c r="VBF17">
        <v>0</v>
      </c>
      <c r="VBG17">
        <v>0</v>
      </c>
      <c r="VBH17">
        <v>0</v>
      </c>
      <c r="VBI17">
        <v>0</v>
      </c>
      <c r="VBJ17">
        <v>0</v>
      </c>
      <c r="VBK17">
        <v>0</v>
      </c>
      <c r="VBL17">
        <v>0</v>
      </c>
      <c r="VBM17">
        <v>0</v>
      </c>
      <c r="VBN17">
        <v>0</v>
      </c>
      <c r="VBO17">
        <v>0</v>
      </c>
      <c r="VBP17">
        <v>0</v>
      </c>
      <c r="VBQ17">
        <v>0</v>
      </c>
      <c r="VBR17">
        <v>0</v>
      </c>
      <c r="VBS17">
        <v>0</v>
      </c>
      <c r="VBT17">
        <v>0</v>
      </c>
      <c r="VBU17">
        <v>0</v>
      </c>
      <c r="VBV17">
        <v>0</v>
      </c>
      <c r="VBW17">
        <v>0</v>
      </c>
      <c r="VBX17">
        <v>0</v>
      </c>
      <c r="VBY17">
        <v>0</v>
      </c>
      <c r="VBZ17">
        <v>0</v>
      </c>
      <c r="VCA17">
        <v>0</v>
      </c>
      <c r="VCB17">
        <v>0</v>
      </c>
      <c r="VCC17">
        <v>0</v>
      </c>
      <c r="VCD17">
        <v>0</v>
      </c>
      <c r="VCE17">
        <v>0</v>
      </c>
      <c r="VCF17">
        <v>0</v>
      </c>
      <c r="VCG17">
        <v>0</v>
      </c>
      <c r="VCH17">
        <v>0</v>
      </c>
      <c r="VCI17">
        <v>0</v>
      </c>
      <c r="VCJ17">
        <v>0</v>
      </c>
      <c r="VCK17">
        <v>0</v>
      </c>
      <c r="VCL17">
        <v>0</v>
      </c>
      <c r="VCM17">
        <v>0</v>
      </c>
      <c r="VCN17">
        <v>0</v>
      </c>
      <c r="VCO17">
        <v>0</v>
      </c>
      <c r="VCP17">
        <v>0</v>
      </c>
      <c r="VCQ17">
        <v>0</v>
      </c>
      <c r="VCR17">
        <v>0</v>
      </c>
      <c r="VCS17">
        <v>0</v>
      </c>
      <c r="VCT17">
        <v>0</v>
      </c>
      <c r="VCU17">
        <v>0</v>
      </c>
      <c r="VCV17">
        <v>0</v>
      </c>
      <c r="VCW17">
        <v>0</v>
      </c>
      <c r="VCX17">
        <v>0</v>
      </c>
      <c r="VCY17">
        <v>0</v>
      </c>
      <c r="VCZ17">
        <v>0</v>
      </c>
      <c r="VDA17">
        <v>0</v>
      </c>
      <c r="VDB17">
        <v>0</v>
      </c>
      <c r="VDC17">
        <v>0</v>
      </c>
      <c r="VDD17">
        <v>0</v>
      </c>
      <c r="VDE17">
        <v>0</v>
      </c>
      <c r="VDF17">
        <v>0</v>
      </c>
      <c r="VDG17">
        <v>0</v>
      </c>
      <c r="VDH17">
        <v>0</v>
      </c>
      <c r="VDI17">
        <v>0</v>
      </c>
      <c r="VDJ17">
        <v>0</v>
      </c>
      <c r="VDK17">
        <v>0</v>
      </c>
      <c r="VDL17">
        <v>0</v>
      </c>
      <c r="VDM17">
        <v>0</v>
      </c>
      <c r="VDN17">
        <v>0</v>
      </c>
      <c r="VDO17">
        <v>0</v>
      </c>
      <c r="VDP17">
        <v>0</v>
      </c>
      <c r="VDQ17">
        <v>0</v>
      </c>
      <c r="VDR17">
        <v>0</v>
      </c>
      <c r="VDS17">
        <v>0</v>
      </c>
      <c r="VDT17">
        <v>0</v>
      </c>
      <c r="VDU17">
        <v>0</v>
      </c>
      <c r="VDV17">
        <v>0</v>
      </c>
      <c r="VDW17">
        <v>0</v>
      </c>
      <c r="VDX17">
        <v>0</v>
      </c>
      <c r="VDY17">
        <v>0</v>
      </c>
      <c r="VDZ17">
        <v>0</v>
      </c>
      <c r="VEA17">
        <v>0</v>
      </c>
      <c r="VEB17">
        <v>0</v>
      </c>
      <c r="VEC17">
        <v>0</v>
      </c>
      <c r="VED17">
        <v>0</v>
      </c>
      <c r="VEE17">
        <v>0</v>
      </c>
      <c r="VEF17">
        <v>0</v>
      </c>
      <c r="VEG17">
        <v>0</v>
      </c>
      <c r="VEH17">
        <v>0</v>
      </c>
      <c r="VEI17">
        <v>0</v>
      </c>
      <c r="VEJ17">
        <v>0</v>
      </c>
      <c r="VEK17">
        <v>0</v>
      </c>
      <c r="VEL17">
        <v>0</v>
      </c>
      <c r="VEM17">
        <v>0</v>
      </c>
      <c r="VEN17">
        <v>0</v>
      </c>
      <c r="VEO17">
        <v>0</v>
      </c>
      <c r="VEP17">
        <v>0</v>
      </c>
      <c r="VEQ17">
        <v>0</v>
      </c>
      <c r="VER17">
        <v>0</v>
      </c>
      <c r="VES17">
        <v>0</v>
      </c>
      <c r="VET17">
        <v>0</v>
      </c>
      <c r="VEU17">
        <v>0</v>
      </c>
      <c r="VEV17">
        <v>0</v>
      </c>
      <c r="VEW17">
        <v>0</v>
      </c>
      <c r="VEX17">
        <v>0</v>
      </c>
      <c r="VEY17">
        <v>0</v>
      </c>
      <c r="VEZ17">
        <v>0</v>
      </c>
      <c r="VFA17">
        <v>0</v>
      </c>
      <c r="VFB17">
        <v>0</v>
      </c>
      <c r="VFC17">
        <v>0</v>
      </c>
      <c r="VFD17">
        <v>0</v>
      </c>
      <c r="VFE17">
        <v>0</v>
      </c>
      <c r="VFF17">
        <v>0</v>
      </c>
      <c r="VFG17">
        <v>0</v>
      </c>
      <c r="VFH17">
        <v>0</v>
      </c>
      <c r="VFI17">
        <v>0</v>
      </c>
      <c r="VFJ17">
        <v>0</v>
      </c>
      <c r="VFK17">
        <v>0</v>
      </c>
      <c r="VFL17">
        <v>0</v>
      </c>
      <c r="VFM17">
        <v>0</v>
      </c>
      <c r="VFN17">
        <v>0</v>
      </c>
      <c r="VFO17">
        <v>0</v>
      </c>
      <c r="VFP17">
        <v>0</v>
      </c>
      <c r="VFQ17">
        <v>0</v>
      </c>
      <c r="VFR17">
        <v>0</v>
      </c>
      <c r="VFS17">
        <v>0</v>
      </c>
      <c r="VFT17">
        <v>0</v>
      </c>
      <c r="VFU17">
        <v>0</v>
      </c>
      <c r="VFV17">
        <v>0</v>
      </c>
      <c r="VFW17">
        <v>0</v>
      </c>
      <c r="VFX17">
        <v>0</v>
      </c>
      <c r="VFY17">
        <v>0</v>
      </c>
      <c r="VFZ17">
        <v>0</v>
      </c>
      <c r="VGA17">
        <v>0</v>
      </c>
      <c r="VGB17">
        <v>0</v>
      </c>
      <c r="VGC17">
        <v>0</v>
      </c>
      <c r="VGD17">
        <v>0</v>
      </c>
      <c r="VGE17">
        <v>0</v>
      </c>
      <c r="VGF17">
        <v>0</v>
      </c>
      <c r="VGG17">
        <v>0</v>
      </c>
      <c r="VGH17">
        <v>0</v>
      </c>
      <c r="VGI17">
        <v>0</v>
      </c>
      <c r="VGJ17">
        <v>0</v>
      </c>
      <c r="VGK17">
        <v>0</v>
      </c>
      <c r="VGL17">
        <v>0</v>
      </c>
      <c r="VGM17">
        <v>0</v>
      </c>
      <c r="VGN17">
        <v>0</v>
      </c>
      <c r="VGO17">
        <v>0</v>
      </c>
      <c r="VGP17">
        <v>0</v>
      </c>
      <c r="VGQ17">
        <v>0</v>
      </c>
      <c r="VGR17">
        <v>0</v>
      </c>
      <c r="VGS17">
        <v>0</v>
      </c>
      <c r="VGT17">
        <v>0</v>
      </c>
      <c r="VGU17">
        <v>0</v>
      </c>
      <c r="VGV17">
        <v>0</v>
      </c>
      <c r="VGW17">
        <v>0</v>
      </c>
      <c r="VGX17">
        <v>0</v>
      </c>
      <c r="VGY17">
        <v>0</v>
      </c>
      <c r="VGZ17">
        <v>0</v>
      </c>
      <c r="VHA17">
        <v>0</v>
      </c>
      <c r="VHB17">
        <v>0</v>
      </c>
      <c r="VHC17">
        <v>0</v>
      </c>
      <c r="VHD17">
        <v>0</v>
      </c>
      <c r="VHE17">
        <v>0</v>
      </c>
      <c r="VHF17">
        <v>0</v>
      </c>
      <c r="VHG17">
        <v>0</v>
      </c>
      <c r="VHH17">
        <v>0</v>
      </c>
      <c r="VHI17">
        <v>0</v>
      </c>
      <c r="VHJ17">
        <v>0</v>
      </c>
      <c r="VHK17">
        <v>0</v>
      </c>
      <c r="VHL17">
        <v>0</v>
      </c>
      <c r="VHM17">
        <v>0</v>
      </c>
      <c r="VHN17">
        <v>0</v>
      </c>
      <c r="VHO17">
        <v>0</v>
      </c>
      <c r="VHP17">
        <v>0</v>
      </c>
      <c r="VHQ17">
        <v>0</v>
      </c>
      <c r="VHR17">
        <v>0</v>
      </c>
      <c r="VHS17">
        <v>0</v>
      </c>
      <c r="VHT17">
        <v>0</v>
      </c>
      <c r="VHU17">
        <v>0</v>
      </c>
      <c r="VHV17">
        <v>0</v>
      </c>
      <c r="VHW17">
        <v>0</v>
      </c>
      <c r="VHX17">
        <v>0</v>
      </c>
      <c r="VHY17">
        <v>0</v>
      </c>
      <c r="VHZ17">
        <v>0</v>
      </c>
      <c r="VIA17">
        <v>0</v>
      </c>
      <c r="VIB17">
        <v>0</v>
      </c>
      <c r="VIC17">
        <v>0</v>
      </c>
      <c r="VID17">
        <v>0</v>
      </c>
      <c r="VIE17">
        <v>0</v>
      </c>
      <c r="VIF17">
        <v>0</v>
      </c>
      <c r="VIG17">
        <v>0</v>
      </c>
      <c r="VIH17">
        <v>0</v>
      </c>
      <c r="VII17">
        <v>0</v>
      </c>
      <c r="VIJ17">
        <v>0</v>
      </c>
      <c r="VIK17">
        <v>0</v>
      </c>
      <c r="VIL17">
        <v>0</v>
      </c>
      <c r="VIM17">
        <v>0</v>
      </c>
      <c r="VIN17">
        <v>0</v>
      </c>
      <c r="VIO17">
        <v>0</v>
      </c>
      <c r="VIP17">
        <v>0</v>
      </c>
      <c r="VIQ17">
        <v>0</v>
      </c>
      <c r="VIR17">
        <v>0</v>
      </c>
      <c r="VIS17">
        <v>0</v>
      </c>
      <c r="VIT17">
        <v>0</v>
      </c>
      <c r="VIU17">
        <v>0</v>
      </c>
      <c r="VIV17">
        <v>0</v>
      </c>
      <c r="VIW17">
        <v>0</v>
      </c>
      <c r="VIX17">
        <v>0</v>
      </c>
      <c r="VIY17">
        <v>0</v>
      </c>
      <c r="VIZ17">
        <v>0</v>
      </c>
      <c r="VJA17">
        <v>0</v>
      </c>
      <c r="VJB17">
        <v>0</v>
      </c>
      <c r="VJC17">
        <v>0</v>
      </c>
      <c r="VJD17">
        <v>0</v>
      </c>
      <c r="VJE17">
        <v>0</v>
      </c>
      <c r="VJF17">
        <v>0</v>
      </c>
      <c r="VJG17">
        <v>0</v>
      </c>
      <c r="VJH17">
        <v>0</v>
      </c>
      <c r="VJI17">
        <v>0</v>
      </c>
      <c r="VJJ17">
        <v>0</v>
      </c>
      <c r="VJK17">
        <v>0</v>
      </c>
      <c r="VJL17">
        <v>0</v>
      </c>
      <c r="VJM17">
        <v>0</v>
      </c>
      <c r="VJN17">
        <v>0</v>
      </c>
      <c r="VJO17">
        <v>0</v>
      </c>
      <c r="VJP17">
        <v>0</v>
      </c>
      <c r="VJQ17">
        <v>0</v>
      </c>
      <c r="VJR17">
        <v>0</v>
      </c>
      <c r="VJS17">
        <v>0</v>
      </c>
      <c r="VJT17">
        <v>0</v>
      </c>
      <c r="VJU17">
        <v>0</v>
      </c>
      <c r="VJV17">
        <v>0</v>
      </c>
      <c r="VJW17">
        <v>0</v>
      </c>
      <c r="VJX17">
        <v>0</v>
      </c>
      <c r="VJY17">
        <v>0</v>
      </c>
      <c r="VJZ17">
        <v>0</v>
      </c>
      <c r="VKA17">
        <v>0</v>
      </c>
      <c r="VKB17">
        <v>0</v>
      </c>
      <c r="VKC17">
        <v>0</v>
      </c>
      <c r="VKD17">
        <v>0</v>
      </c>
      <c r="VKE17">
        <v>0</v>
      </c>
      <c r="VKF17">
        <v>0</v>
      </c>
      <c r="VKG17">
        <v>0</v>
      </c>
      <c r="VKH17">
        <v>0</v>
      </c>
      <c r="VKI17">
        <v>0</v>
      </c>
      <c r="VKJ17">
        <v>0</v>
      </c>
      <c r="VKK17">
        <v>0</v>
      </c>
      <c r="VKL17">
        <v>0</v>
      </c>
      <c r="VKM17">
        <v>0</v>
      </c>
      <c r="VKN17">
        <v>0</v>
      </c>
      <c r="VKO17">
        <v>0</v>
      </c>
      <c r="VKP17">
        <v>0</v>
      </c>
      <c r="VKQ17">
        <v>0</v>
      </c>
      <c r="VKR17">
        <v>0</v>
      </c>
      <c r="VKS17">
        <v>0</v>
      </c>
      <c r="VKT17">
        <v>0</v>
      </c>
      <c r="VKU17">
        <v>0</v>
      </c>
      <c r="VKV17">
        <v>0</v>
      </c>
      <c r="VKW17">
        <v>0</v>
      </c>
      <c r="VKX17">
        <v>0</v>
      </c>
      <c r="VKY17">
        <v>0</v>
      </c>
      <c r="VKZ17">
        <v>0</v>
      </c>
      <c r="VLA17">
        <v>0</v>
      </c>
      <c r="VLB17">
        <v>0</v>
      </c>
      <c r="VLC17">
        <v>0</v>
      </c>
      <c r="VLD17">
        <v>0</v>
      </c>
      <c r="VLE17">
        <v>0</v>
      </c>
      <c r="VLF17">
        <v>0</v>
      </c>
      <c r="VLG17">
        <v>0</v>
      </c>
      <c r="VLH17">
        <v>0</v>
      </c>
      <c r="VLI17">
        <v>0</v>
      </c>
      <c r="VLJ17">
        <v>0</v>
      </c>
      <c r="VLK17">
        <v>0</v>
      </c>
      <c r="VLL17">
        <v>0</v>
      </c>
      <c r="VLM17">
        <v>0</v>
      </c>
      <c r="VLN17">
        <v>0</v>
      </c>
      <c r="VLO17">
        <v>0</v>
      </c>
      <c r="VLP17">
        <v>0</v>
      </c>
      <c r="VLQ17">
        <v>0</v>
      </c>
      <c r="VLR17">
        <v>0</v>
      </c>
      <c r="VLS17">
        <v>0</v>
      </c>
      <c r="VLT17">
        <v>0</v>
      </c>
      <c r="VLU17">
        <v>0</v>
      </c>
      <c r="VLV17">
        <v>0</v>
      </c>
      <c r="VLW17">
        <v>0</v>
      </c>
      <c r="VLX17">
        <v>0</v>
      </c>
      <c r="VLY17">
        <v>0</v>
      </c>
      <c r="VLZ17">
        <v>0</v>
      </c>
      <c r="VMA17">
        <v>0</v>
      </c>
      <c r="VMB17">
        <v>0</v>
      </c>
      <c r="VMC17">
        <v>0</v>
      </c>
      <c r="VMD17">
        <v>0</v>
      </c>
      <c r="VME17">
        <v>0</v>
      </c>
      <c r="VMF17">
        <v>0</v>
      </c>
      <c r="VMG17">
        <v>0</v>
      </c>
      <c r="VMH17">
        <v>0</v>
      </c>
      <c r="VMI17">
        <v>0</v>
      </c>
      <c r="VMJ17">
        <v>0</v>
      </c>
      <c r="VMK17">
        <v>0</v>
      </c>
      <c r="VML17">
        <v>0</v>
      </c>
      <c r="VMM17">
        <v>0</v>
      </c>
      <c r="VMN17">
        <v>0</v>
      </c>
      <c r="VMO17">
        <v>0</v>
      </c>
      <c r="VMP17">
        <v>0</v>
      </c>
      <c r="VMQ17">
        <v>0</v>
      </c>
      <c r="VMR17">
        <v>0</v>
      </c>
      <c r="VMS17">
        <v>0</v>
      </c>
      <c r="VMT17">
        <v>0</v>
      </c>
      <c r="VMU17">
        <v>0</v>
      </c>
      <c r="VMV17">
        <v>0</v>
      </c>
      <c r="VMW17">
        <v>0</v>
      </c>
      <c r="VMX17">
        <v>0</v>
      </c>
      <c r="VMY17">
        <v>0</v>
      </c>
      <c r="VMZ17">
        <v>0</v>
      </c>
      <c r="VNA17">
        <v>0</v>
      </c>
      <c r="VNB17">
        <v>0</v>
      </c>
      <c r="VNC17">
        <v>0</v>
      </c>
      <c r="VND17">
        <v>0</v>
      </c>
      <c r="VNE17">
        <v>0</v>
      </c>
      <c r="VNF17">
        <v>0</v>
      </c>
      <c r="VNG17">
        <v>0</v>
      </c>
      <c r="VNH17">
        <v>0</v>
      </c>
      <c r="VNI17">
        <v>0</v>
      </c>
      <c r="VNJ17">
        <v>0</v>
      </c>
      <c r="VNK17">
        <v>0</v>
      </c>
      <c r="VNL17">
        <v>0</v>
      </c>
      <c r="VNM17">
        <v>0</v>
      </c>
      <c r="VNN17">
        <v>0</v>
      </c>
      <c r="VNO17">
        <v>0</v>
      </c>
      <c r="VNP17">
        <v>0</v>
      </c>
      <c r="VNQ17">
        <v>0</v>
      </c>
      <c r="VNR17">
        <v>0</v>
      </c>
      <c r="VNS17">
        <v>0</v>
      </c>
      <c r="VNT17">
        <v>0</v>
      </c>
      <c r="VNU17">
        <v>0</v>
      </c>
      <c r="VNV17">
        <v>0</v>
      </c>
      <c r="VNW17">
        <v>0</v>
      </c>
      <c r="VNX17">
        <v>0</v>
      </c>
      <c r="VNY17">
        <v>0</v>
      </c>
      <c r="VNZ17">
        <v>0</v>
      </c>
      <c r="VOA17">
        <v>0</v>
      </c>
      <c r="VOB17">
        <v>0</v>
      </c>
      <c r="VOC17">
        <v>0</v>
      </c>
      <c r="VOD17">
        <v>0</v>
      </c>
      <c r="VOE17">
        <v>0</v>
      </c>
      <c r="VOF17">
        <v>0</v>
      </c>
      <c r="VOG17">
        <v>0</v>
      </c>
      <c r="VOH17">
        <v>0</v>
      </c>
      <c r="VOI17">
        <v>0</v>
      </c>
      <c r="VOJ17">
        <v>0</v>
      </c>
      <c r="VOK17">
        <v>0</v>
      </c>
      <c r="VOL17">
        <v>0</v>
      </c>
      <c r="VOM17">
        <v>0</v>
      </c>
      <c r="VON17">
        <v>0</v>
      </c>
      <c r="VOO17">
        <v>0</v>
      </c>
      <c r="VOP17">
        <v>0</v>
      </c>
      <c r="VOQ17">
        <v>0</v>
      </c>
      <c r="VOR17">
        <v>0</v>
      </c>
      <c r="VOS17">
        <v>0</v>
      </c>
      <c r="VOT17">
        <v>0</v>
      </c>
      <c r="VOU17">
        <v>0</v>
      </c>
      <c r="VOV17">
        <v>0</v>
      </c>
      <c r="VOW17">
        <v>0</v>
      </c>
      <c r="VOX17">
        <v>0</v>
      </c>
      <c r="VOY17">
        <v>0</v>
      </c>
      <c r="VOZ17">
        <v>0</v>
      </c>
      <c r="VPA17">
        <v>0</v>
      </c>
      <c r="VPB17">
        <v>0</v>
      </c>
      <c r="VPC17">
        <v>0</v>
      </c>
      <c r="VPD17">
        <v>0</v>
      </c>
      <c r="VPE17">
        <v>0</v>
      </c>
      <c r="VPF17">
        <v>0</v>
      </c>
      <c r="VPG17">
        <v>0</v>
      </c>
      <c r="VPH17">
        <v>0</v>
      </c>
      <c r="VPI17">
        <v>0</v>
      </c>
      <c r="VPJ17">
        <v>0</v>
      </c>
      <c r="VPK17">
        <v>0</v>
      </c>
      <c r="VPL17">
        <v>0</v>
      </c>
      <c r="VPM17">
        <v>0</v>
      </c>
      <c r="VPN17">
        <v>0</v>
      </c>
      <c r="VPO17">
        <v>0</v>
      </c>
      <c r="VPP17">
        <v>0</v>
      </c>
      <c r="VPQ17">
        <v>0</v>
      </c>
      <c r="VPR17">
        <v>0</v>
      </c>
      <c r="VPS17">
        <v>0</v>
      </c>
      <c r="VPT17">
        <v>0</v>
      </c>
      <c r="VPU17">
        <v>0</v>
      </c>
      <c r="VPV17">
        <v>0</v>
      </c>
      <c r="VPW17">
        <v>0</v>
      </c>
      <c r="VPX17">
        <v>0</v>
      </c>
      <c r="VPY17">
        <v>0</v>
      </c>
      <c r="VPZ17">
        <v>0</v>
      </c>
      <c r="VQA17">
        <v>0</v>
      </c>
      <c r="VQB17">
        <v>0</v>
      </c>
      <c r="VQC17">
        <v>0</v>
      </c>
      <c r="VQD17">
        <v>0</v>
      </c>
      <c r="VQE17">
        <v>0</v>
      </c>
      <c r="VQF17">
        <v>0</v>
      </c>
      <c r="VQG17">
        <v>0</v>
      </c>
      <c r="VQH17">
        <v>0</v>
      </c>
      <c r="VQI17">
        <v>0</v>
      </c>
      <c r="VQJ17">
        <v>0</v>
      </c>
      <c r="VQK17">
        <v>0</v>
      </c>
      <c r="VQL17">
        <v>0</v>
      </c>
      <c r="VQM17">
        <v>0</v>
      </c>
      <c r="VQN17">
        <v>0</v>
      </c>
      <c r="VQO17">
        <v>0</v>
      </c>
      <c r="VQP17">
        <v>0</v>
      </c>
      <c r="VQQ17">
        <v>0</v>
      </c>
      <c r="VQR17">
        <v>0</v>
      </c>
      <c r="VQS17">
        <v>0</v>
      </c>
      <c r="VQT17">
        <v>0</v>
      </c>
      <c r="VQU17">
        <v>0</v>
      </c>
      <c r="VQV17">
        <v>0</v>
      </c>
      <c r="VQW17">
        <v>0</v>
      </c>
      <c r="VQX17">
        <v>0</v>
      </c>
      <c r="VQY17">
        <v>0</v>
      </c>
      <c r="VQZ17">
        <v>0</v>
      </c>
      <c r="VRA17">
        <v>0</v>
      </c>
      <c r="VRB17">
        <v>0</v>
      </c>
      <c r="VRC17">
        <v>0</v>
      </c>
      <c r="VRD17">
        <v>0</v>
      </c>
      <c r="VRE17">
        <v>0</v>
      </c>
      <c r="VRF17">
        <v>0</v>
      </c>
      <c r="VRG17">
        <v>0</v>
      </c>
      <c r="VRH17">
        <v>0</v>
      </c>
      <c r="VRI17">
        <v>0</v>
      </c>
      <c r="VRJ17">
        <v>0</v>
      </c>
      <c r="VRK17">
        <v>0</v>
      </c>
      <c r="VRL17">
        <v>0</v>
      </c>
      <c r="VRM17">
        <v>0</v>
      </c>
      <c r="VRN17">
        <v>0</v>
      </c>
      <c r="VRO17">
        <v>0</v>
      </c>
      <c r="VRP17">
        <v>0</v>
      </c>
      <c r="VRQ17">
        <v>0</v>
      </c>
      <c r="VRR17">
        <v>0</v>
      </c>
      <c r="VRS17">
        <v>0</v>
      </c>
      <c r="VRT17">
        <v>0</v>
      </c>
      <c r="VRU17">
        <v>0</v>
      </c>
      <c r="VRV17">
        <v>0</v>
      </c>
      <c r="VRW17">
        <v>0</v>
      </c>
      <c r="VRX17">
        <v>0</v>
      </c>
      <c r="VRY17">
        <v>0</v>
      </c>
      <c r="VRZ17">
        <v>0</v>
      </c>
      <c r="VSA17">
        <v>0</v>
      </c>
      <c r="VSB17">
        <v>0</v>
      </c>
      <c r="VSC17">
        <v>0</v>
      </c>
      <c r="VSD17">
        <v>0</v>
      </c>
      <c r="VSE17">
        <v>0</v>
      </c>
      <c r="VSF17">
        <v>0</v>
      </c>
      <c r="VSG17">
        <v>0</v>
      </c>
      <c r="VSH17">
        <v>0</v>
      </c>
      <c r="VSI17">
        <v>0</v>
      </c>
      <c r="VSJ17">
        <v>0</v>
      </c>
      <c r="VSK17">
        <v>0</v>
      </c>
      <c r="VSL17">
        <v>0</v>
      </c>
      <c r="VSM17">
        <v>0</v>
      </c>
      <c r="VSN17">
        <v>0</v>
      </c>
      <c r="VSO17">
        <v>0</v>
      </c>
      <c r="VSP17">
        <v>0</v>
      </c>
      <c r="VSQ17">
        <v>0</v>
      </c>
      <c r="VSR17">
        <v>0</v>
      </c>
      <c r="VSS17">
        <v>0</v>
      </c>
      <c r="VST17">
        <v>0</v>
      </c>
      <c r="VSU17">
        <v>0</v>
      </c>
      <c r="VSV17">
        <v>0</v>
      </c>
      <c r="VSW17">
        <v>0</v>
      </c>
      <c r="VSX17">
        <v>0</v>
      </c>
      <c r="VSY17">
        <v>0</v>
      </c>
      <c r="VSZ17">
        <v>0</v>
      </c>
      <c r="VTA17">
        <v>0</v>
      </c>
      <c r="VTB17">
        <v>0</v>
      </c>
      <c r="VTC17">
        <v>0</v>
      </c>
      <c r="VTD17">
        <v>0</v>
      </c>
      <c r="VTE17">
        <v>0</v>
      </c>
      <c r="VTF17">
        <v>0</v>
      </c>
      <c r="VTG17">
        <v>0</v>
      </c>
      <c r="VTH17">
        <v>0</v>
      </c>
      <c r="VTI17">
        <v>0</v>
      </c>
      <c r="VTJ17">
        <v>0</v>
      </c>
      <c r="VTK17">
        <v>0</v>
      </c>
      <c r="VTL17">
        <v>0</v>
      </c>
      <c r="VTM17">
        <v>0</v>
      </c>
      <c r="VTN17">
        <v>0</v>
      </c>
      <c r="VTO17">
        <v>0</v>
      </c>
      <c r="VTP17">
        <v>0</v>
      </c>
      <c r="VTQ17">
        <v>0</v>
      </c>
      <c r="VTR17">
        <v>0</v>
      </c>
      <c r="VTS17">
        <v>0</v>
      </c>
      <c r="VTT17">
        <v>0</v>
      </c>
      <c r="VTU17">
        <v>0</v>
      </c>
      <c r="VTV17">
        <v>0</v>
      </c>
      <c r="VTW17">
        <v>0</v>
      </c>
      <c r="VTX17">
        <v>0</v>
      </c>
      <c r="VTY17">
        <v>0</v>
      </c>
      <c r="VTZ17">
        <v>0</v>
      </c>
      <c r="VUA17">
        <v>0</v>
      </c>
      <c r="VUB17">
        <v>0</v>
      </c>
      <c r="VUC17">
        <v>0</v>
      </c>
      <c r="VUD17">
        <v>0</v>
      </c>
      <c r="VUE17">
        <v>0</v>
      </c>
      <c r="VUF17">
        <v>0</v>
      </c>
      <c r="VUG17">
        <v>0</v>
      </c>
      <c r="VUH17">
        <v>0</v>
      </c>
      <c r="VUI17">
        <v>0</v>
      </c>
      <c r="VUJ17">
        <v>0</v>
      </c>
      <c r="VUK17">
        <v>0</v>
      </c>
      <c r="VUL17">
        <v>0</v>
      </c>
      <c r="VUM17">
        <v>0</v>
      </c>
      <c r="VUN17">
        <v>0</v>
      </c>
      <c r="VUO17">
        <v>0</v>
      </c>
      <c r="VUP17">
        <v>0</v>
      </c>
      <c r="VUQ17">
        <v>0</v>
      </c>
      <c r="VUR17">
        <v>0</v>
      </c>
      <c r="VUS17">
        <v>0</v>
      </c>
      <c r="VUT17">
        <v>0</v>
      </c>
      <c r="VUU17">
        <v>0</v>
      </c>
      <c r="VUV17">
        <v>0</v>
      </c>
      <c r="VUW17">
        <v>0</v>
      </c>
      <c r="VUX17">
        <v>0</v>
      </c>
      <c r="VUY17">
        <v>0</v>
      </c>
      <c r="VUZ17">
        <v>0</v>
      </c>
      <c r="VVA17">
        <v>0</v>
      </c>
      <c r="VVB17">
        <v>0</v>
      </c>
      <c r="VVC17">
        <v>0</v>
      </c>
      <c r="VVD17">
        <v>0</v>
      </c>
      <c r="VVE17">
        <v>0</v>
      </c>
      <c r="VVF17">
        <v>0</v>
      </c>
      <c r="VVG17">
        <v>0</v>
      </c>
      <c r="VVH17">
        <v>0</v>
      </c>
      <c r="VVI17">
        <v>0</v>
      </c>
      <c r="VVJ17">
        <v>0</v>
      </c>
      <c r="VVK17">
        <v>0</v>
      </c>
      <c r="VVL17">
        <v>0</v>
      </c>
      <c r="VVM17">
        <v>0</v>
      </c>
      <c r="VVN17">
        <v>0</v>
      </c>
      <c r="VVO17">
        <v>0</v>
      </c>
      <c r="VVP17">
        <v>0</v>
      </c>
      <c r="VVQ17">
        <v>0</v>
      </c>
      <c r="VVR17">
        <v>0</v>
      </c>
      <c r="VVS17">
        <v>0</v>
      </c>
      <c r="VVT17">
        <v>0</v>
      </c>
      <c r="VVU17">
        <v>0</v>
      </c>
      <c r="VVV17">
        <v>0</v>
      </c>
      <c r="VVW17">
        <v>0</v>
      </c>
      <c r="VVX17">
        <v>0</v>
      </c>
      <c r="VVY17">
        <v>0</v>
      </c>
      <c r="VVZ17">
        <v>0</v>
      </c>
      <c r="VWA17">
        <v>0</v>
      </c>
      <c r="VWB17">
        <v>0</v>
      </c>
      <c r="VWC17">
        <v>0</v>
      </c>
      <c r="VWD17">
        <v>0</v>
      </c>
      <c r="VWE17">
        <v>0</v>
      </c>
      <c r="VWF17">
        <v>0</v>
      </c>
      <c r="VWG17">
        <v>0</v>
      </c>
      <c r="VWH17">
        <v>0</v>
      </c>
      <c r="VWI17">
        <v>0</v>
      </c>
      <c r="VWJ17">
        <v>0</v>
      </c>
      <c r="VWK17">
        <v>0</v>
      </c>
      <c r="VWL17">
        <v>0</v>
      </c>
      <c r="VWM17">
        <v>0</v>
      </c>
      <c r="VWN17">
        <v>0</v>
      </c>
      <c r="VWO17">
        <v>0</v>
      </c>
      <c r="VWP17">
        <v>0</v>
      </c>
      <c r="VWQ17">
        <v>0</v>
      </c>
      <c r="VWR17">
        <v>0</v>
      </c>
      <c r="VWS17">
        <v>0</v>
      </c>
      <c r="VWT17">
        <v>0</v>
      </c>
      <c r="VWU17">
        <v>0</v>
      </c>
      <c r="VWV17">
        <v>0</v>
      </c>
      <c r="VWW17">
        <v>0</v>
      </c>
      <c r="VWX17">
        <v>0</v>
      </c>
      <c r="VWY17">
        <v>0</v>
      </c>
      <c r="VWZ17">
        <v>0</v>
      </c>
      <c r="VXA17">
        <v>0</v>
      </c>
      <c r="VXB17">
        <v>0</v>
      </c>
      <c r="VXC17">
        <v>0</v>
      </c>
      <c r="VXD17">
        <v>0</v>
      </c>
      <c r="VXE17">
        <v>0</v>
      </c>
      <c r="VXF17">
        <v>0</v>
      </c>
      <c r="VXG17">
        <v>0</v>
      </c>
      <c r="VXH17">
        <v>0</v>
      </c>
      <c r="VXI17">
        <v>0</v>
      </c>
      <c r="VXJ17">
        <v>0</v>
      </c>
      <c r="VXK17">
        <v>0</v>
      </c>
      <c r="VXL17">
        <v>0</v>
      </c>
      <c r="VXM17">
        <v>0</v>
      </c>
      <c r="VXN17">
        <v>0</v>
      </c>
      <c r="VXO17">
        <v>0</v>
      </c>
      <c r="VXP17">
        <v>0</v>
      </c>
      <c r="VXQ17">
        <v>0</v>
      </c>
      <c r="VXR17">
        <v>0</v>
      </c>
      <c r="VXS17">
        <v>0</v>
      </c>
      <c r="VXT17">
        <v>0</v>
      </c>
      <c r="VXU17">
        <v>0</v>
      </c>
      <c r="VXV17">
        <v>0</v>
      </c>
      <c r="VXW17">
        <v>0</v>
      </c>
      <c r="VXX17">
        <v>0</v>
      </c>
      <c r="VXY17">
        <v>0</v>
      </c>
      <c r="VXZ17">
        <v>0</v>
      </c>
      <c r="VYA17">
        <v>0</v>
      </c>
      <c r="VYB17">
        <v>0</v>
      </c>
      <c r="VYC17">
        <v>0</v>
      </c>
      <c r="VYD17">
        <v>0</v>
      </c>
      <c r="VYE17">
        <v>0</v>
      </c>
      <c r="VYF17">
        <v>0</v>
      </c>
      <c r="VYG17">
        <v>0</v>
      </c>
      <c r="VYH17">
        <v>0</v>
      </c>
      <c r="VYI17">
        <v>0</v>
      </c>
      <c r="VYJ17">
        <v>0</v>
      </c>
      <c r="VYK17">
        <v>0</v>
      </c>
      <c r="VYL17">
        <v>0</v>
      </c>
      <c r="VYM17">
        <v>0</v>
      </c>
      <c r="VYN17">
        <v>0</v>
      </c>
      <c r="VYO17">
        <v>0</v>
      </c>
      <c r="VYP17">
        <v>0</v>
      </c>
      <c r="VYQ17">
        <v>0</v>
      </c>
      <c r="VYR17">
        <v>0</v>
      </c>
      <c r="VYS17">
        <v>0</v>
      </c>
      <c r="VYT17">
        <v>0</v>
      </c>
      <c r="VYU17">
        <v>0</v>
      </c>
      <c r="VYV17">
        <v>0</v>
      </c>
      <c r="VYW17">
        <v>0</v>
      </c>
      <c r="VYX17">
        <v>0</v>
      </c>
      <c r="VYY17">
        <v>0</v>
      </c>
      <c r="VYZ17">
        <v>0</v>
      </c>
      <c r="VZA17">
        <v>0</v>
      </c>
      <c r="VZB17">
        <v>0</v>
      </c>
      <c r="VZC17">
        <v>0</v>
      </c>
      <c r="VZD17">
        <v>0</v>
      </c>
      <c r="VZE17">
        <v>0</v>
      </c>
      <c r="VZF17">
        <v>0</v>
      </c>
      <c r="VZG17">
        <v>0</v>
      </c>
      <c r="VZH17">
        <v>0</v>
      </c>
      <c r="VZI17">
        <v>0</v>
      </c>
      <c r="VZJ17">
        <v>0</v>
      </c>
      <c r="VZK17">
        <v>0</v>
      </c>
      <c r="VZL17">
        <v>0</v>
      </c>
      <c r="VZM17">
        <v>0</v>
      </c>
      <c r="VZN17">
        <v>0</v>
      </c>
      <c r="VZO17">
        <v>0</v>
      </c>
      <c r="VZP17">
        <v>0</v>
      </c>
      <c r="VZQ17">
        <v>0</v>
      </c>
      <c r="VZR17">
        <v>0</v>
      </c>
      <c r="VZS17">
        <v>0</v>
      </c>
      <c r="VZT17">
        <v>0</v>
      </c>
      <c r="VZU17">
        <v>0</v>
      </c>
      <c r="VZV17">
        <v>0</v>
      </c>
      <c r="VZW17">
        <v>0</v>
      </c>
      <c r="VZX17">
        <v>0</v>
      </c>
      <c r="VZY17">
        <v>0</v>
      </c>
      <c r="VZZ17">
        <v>0</v>
      </c>
      <c r="WAA17">
        <v>0</v>
      </c>
      <c r="WAB17">
        <v>0</v>
      </c>
      <c r="WAC17">
        <v>0</v>
      </c>
      <c r="WAD17">
        <v>0</v>
      </c>
      <c r="WAE17">
        <v>0</v>
      </c>
      <c r="WAF17">
        <v>0</v>
      </c>
      <c r="WAG17">
        <v>0</v>
      </c>
      <c r="WAH17">
        <v>0</v>
      </c>
      <c r="WAI17">
        <v>0</v>
      </c>
      <c r="WAJ17">
        <v>0</v>
      </c>
      <c r="WAK17">
        <v>0</v>
      </c>
      <c r="WAL17">
        <v>0</v>
      </c>
      <c r="WAM17">
        <v>0</v>
      </c>
      <c r="WAN17">
        <v>0</v>
      </c>
      <c r="WAO17">
        <v>0</v>
      </c>
      <c r="WAP17">
        <v>0</v>
      </c>
      <c r="WAQ17">
        <v>0</v>
      </c>
      <c r="WAR17">
        <v>0</v>
      </c>
      <c r="WAS17">
        <v>0</v>
      </c>
      <c r="WAT17">
        <v>0</v>
      </c>
      <c r="WAU17">
        <v>0</v>
      </c>
      <c r="WAV17">
        <v>0</v>
      </c>
      <c r="WAW17">
        <v>0</v>
      </c>
      <c r="WAX17">
        <v>0</v>
      </c>
      <c r="WAY17">
        <v>0</v>
      </c>
      <c r="WAZ17">
        <v>0</v>
      </c>
      <c r="WBA17">
        <v>0</v>
      </c>
      <c r="WBB17">
        <v>0</v>
      </c>
      <c r="WBC17">
        <v>0</v>
      </c>
      <c r="WBD17">
        <v>0</v>
      </c>
      <c r="WBE17">
        <v>0</v>
      </c>
      <c r="WBF17">
        <v>0</v>
      </c>
      <c r="WBG17">
        <v>0</v>
      </c>
      <c r="WBH17">
        <v>0</v>
      </c>
      <c r="WBI17">
        <v>0</v>
      </c>
      <c r="WBJ17">
        <v>0</v>
      </c>
      <c r="WBK17">
        <v>0</v>
      </c>
      <c r="WBL17">
        <v>0</v>
      </c>
      <c r="WBM17">
        <v>0</v>
      </c>
      <c r="WBN17">
        <v>0</v>
      </c>
      <c r="WBO17">
        <v>0</v>
      </c>
      <c r="WBP17">
        <v>0</v>
      </c>
      <c r="WBQ17">
        <v>0</v>
      </c>
      <c r="WBR17">
        <v>0</v>
      </c>
      <c r="WBS17">
        <v>0</v>
      </c>
      <c r="WBT17">
        <v>0</v>
      </c>
      <c r="WBU17">
        <v>0</v>
      </c>
      <c r="WBV17">
        <v>0</v>
      </c>
      <c r="WBW17">
        <v>0</v>
      </c>
      <c r="WBX17">
        <v>0</v>
      </c>
      <c r="WBY17">
        <v>0</v>
      </c>
      <c r="WBZ17">
        <v>0</v>
      </c>
      <c r="WCA17">
        <v>0</v>
      </c>
      <c r="WCB17">
        <v>0</v>
      </c>
      <c r="WCC17">
        <v>0</v>
      </c>
      <c r="WCD17">
        <v>0</v>
      </c>
      <c r="WCE17">
        <v>0</v>
      </c>
      <c r="WCF17">
        <v>0</v>
      </c>
      <c r="WCG17">
        <v>0</v>
      </c>
      <c r="WCH17">
        <v>0</v>
      </c>
      <c r="WCI17">
        <v>0</v>
      </c>
      <c r="WCJ17">
        <v>0</v>
      </c>
      <c r="WCK17">
        <v>0</v>
      </c>
      <c r="WCL17">
        <v>0</v>
      </c>
      <c r="WCM17">
        <v>0</v>
      </c>
      <c r="WCN17">
        <v>0</v>
      </c>
      <c r="WCO17">
        <v>0</v>
      </c>
      <c r="WCP17">
        <v>0</v>
      </c>
      <c r="WCQ17">
        <v>0</v>
      </c>
      <c r="WCR17">
        <v>0</v>
      </c>
      <c r="WCS17">
        <v>0</v>
      </c>
      <c r="WCT17">
        <v>0</v>
      </c>
      <c r="WCU17">
        <v>0</v>
      </c>
      <c r="WCV17">
        <v>0</v>
      </c>
      <c r="WCW17">
        <v>0</v>
      </c>
      <c r="WCX17">
        <v>0</v>
      </c>
      <c r="WCY17">
        <v>0</v>
      </c>
      <c r="WCZ17">
        <v>0</v>
      </c>
      <c r="WDA17">
        <v>0</v>
      </c>
      <c r="WDB17">
        <v>0</v>
      </c>
      <c r="WDC17">
        <v>0</v>
      </c>
      <c r="WDD17">
        <v>0</v>
      </c>
      <c r="WDE17">
        <v>0</v>
      </c>
      <c r="WDF17">
        <v>0</v>
      </c>
      <c r="WDG17">
        <v>0</v>
      </c>
      <c r="WDH17">
        <v>0</v>
      </c>
      <c r="WDI17">
        <v>0</v>
      </c>
      <c r="WDJ17">
        <v>0</v>
      </c>
      <c r="WDK17">
        <v>0</v>
      </c>
      <c r="WDL17">
        <v>0</v>
      </c>
      <c r="WDM17">
        <v>0</v>
      </c>
      <c r="WDN17">
        <v>0</v>
      </c>
      <c r="WDO17">
        <v>0</v>
      </c>
      <c r="WDP17">
        <v>0</v>
      </c>
      <c r="WDQ17">
        <v>0</v>
      </c>
      <c r="WDR17">
        <v>0</v>
      </c>
      <c r="WDS17">
        <v>0</v>
      </c>
      <c r="WDT17">
        <v>0</v>
      </c>
      <c r="WDU17">
        <v>0</v>
      </c>
      <c r="WDV17">
        <v>0</v>
      </c>
      <c r="WDW17">
        <v>0</v>
      </c>
      <c r="WDX17">
        <v>0</v>
      </c>
      <c r="WDY17">
        <v>0</v>
      </c>
      <c r="WDZ17">
        <v>0</v>
      </c>
      <c r="WEA17">
        <v>0</v>
      </c>
      <c r="WEB17">
        <v>0</v>
      </c>
      <c r="WEC17">
        <v>0</v>
      </c>
      <c r="WED17">
        <v>0</v>
      </c>
      <c r="WEE17">
        <v>0</v>
      </c>
      <c r="WEF17">
        <v>0</v>
      </c>
      <c r="WEG17">
        <v>0</v>
      </c>
      <c r="WEH17">
        <v>0</v>
      </c>
      <c r="WEI17">
        <v>0</v>
      </c>
      <c r="WEJ17">
        <v>0</v>
      </c>
      <c r="WEK17">
        <v>0</v>
      </c>
      <c r="WEL17">
        <v>0</v>
      </c>
      <c r="WEM17">
        <v>0</v>
      </c>
      <c r="WEN17">
        <v>0</v>
      </c>
      <c r="WEO17">
        <v>0</v>
      </c>
      <c r="WEP17">
        <v>0</v>
      </c>
      <c r="WEQ17">
        <v>0</v>
      </c>
      <c r="WER17">
        <v>0</v>
      </c>
      <c r="WES17">
        <v>0</v>
      </c>
      <c r="WET17">
        <v>0</v>
      </c>
      <c r="WEU17">
        <v>0</v>
      </c>
      <c r="WEV17">
        <v>0</v>
      </c>
      <c r="WEW17">
        <v>0</v>
      </c>
      <c r="WEX17">
        <v>0</v>
      </c>
      <c r="WEY17">
        <v>0</v>
      </c>
      <c r="WEZ17">
        <v>0</v>
      </c>
      <c r="WFA17">
        <v>0</v>
      </c>
      <c r="WFB17">
        <v>0</v>
      </c>
      <c r="WFC17">
        <v>0</v>
      </c>
      <c r="WFD17">
        <v>0</v>
      </c>
      <c r="WFE17">
        <v>0</v>
      </c>
      <c r="WFF17">
        <v>0</v>
      </c>
      <c r="WFG17">
        <v>0</v>
      </c>
      <c r="WFH17">
        <v>0</v>
      </c>
      <c r="WFI17">
        <v>0</v>
      </c>
      <c r="WFJ17">
        <v>0</v>
      </c>
      <c r="WFK17">
        <v>0</v>
      </c>
      <c r="WFL17">
        <v>0</v>
      </c>
      <c r="WFM17">
        <v>0</v>
      </c>
      <c r="WFN17">
        <v>0</v>
      </c>
      <c r="WFO17">
        <v>0</v>
      </c>
      <c r="WFP17">
        <v>0</v>
      </c>
      <c r="WFQ17">
        <v>0</v>
      </c>
      <c r="WFR17">
        <v>0</v>
      </c>
      <c r="WFS17">
        <v>0</v>
      </c>
      <c r="WFT17">
        <v>0</v>
      </c>
      <c r="WFU17">
        <v>0</v>
      </c>
      <c r="WFV17">
        <v>0</v>
      </c>
      <c r="WFW17">
        <v>0</v>
      </c>
      <c r="WFX17">
        <v>0</v>
      </c>
      <c r="WFY17">
        <v>0</v>
      </c>
      <c r="WFZ17">
        <v>0</v>
      </c>
      <c r="WGA17">
        <v>0</v>
      </c>
      <c r="WGB17">
        <v>0</v>
      </c>
      <c r="WGC17">
        <v>0</v>
      </c>
      <c r="WGD17">
        <v>0</v>
      </c>
      <c r="WGE17">
        <v>0</v>
      </c>
      <c r="WGF17">
        <v>0</v>
      </c>
      <c r="WGG17">
        <v>0</v>
      </c>
      <c r="WGH17">
        <v>0</v>
      </c>
      <c r="WGI17">
        <v>0</v>
      </c>
      <c r="WGJ17">
        <v>0</v>
      </c>
      <c r="WGK17">
        <v>0</v>
      </c>
      <c r="WGL17">
        <v>0</v>
      </c>
      <c r="WGM17">
        <v>0</v>
      </c>
      <c r="WGN17">
        <v>0</v>
      </c>
      <c r="WGO17">
        <v>0</v>
      </c>
      <c r="WGP17">
        <v>0</v>
      </c>
      <c r="WGQ17">
        <v>0</v>
      </c>
      <c r="WGR17">
        <v>0</v>
      </c>
      <c r="WGS17">
        <v>0</v>
      </c>
      <c r="WGT17">
        <v>0</v>
      </c>
      <c r="WGU17">
        <v>0</v>
      </c>
      <c r="WGV17">
        <v>0</v>
      </c>
      <c r="WGW17">
        <v>0</v>
      </c>
      <c r="WGX17">
        <v>0</v>
      </c>
      <c r="WGY17">
        <v>0</v>
      </c>
      <c r="WGZ17">
        <v>0</v>
      </c>
      <c r="WHA17">
        <v>0</v>
      </c>
      <c r="WHB17">
        <v>0</v>
      </c>
      <c r="WHC17">
        <v>0</v>
      </c>
      <c r="WHD17">
        <v>0</v>
      </c>
      <c r="WHE17">
        <v>0</v>
      </c>
      <c r="WHF17">
        <v>0</v>
      </c>
      <c r="WHG17">
        <v>0</v>
      </c>
      <c r="WHH17">
        <v>0</v>
      </c>
      <c r="WHI17">
        <v>0</v>
      </c>
      <c r="WHJ17">
        <v>0</v>
      </c>
      <c r="WHK17">
        <v>0</v>
      </c>
      <c r="WHL17">
        <v>0</v>
      </c>
      <c r="WHM17">
        <v>0</v>
      </c>
      <c r="WHN17">
        <v>0</v>
      </c>
      <c r="WHO17">
        <v>0</v>
      </c>
      <c r="WHP17">
        <v>0</v>
      </c>
      <c r="WHQ17">
        <v>0</v>
      </c>
      <c r="WHR17">
        <v>0</v>
      </c>
      <c r="WHS17">
        <v>0</v>
      </c>
      <c r="WHT17">
        <v>0</v>
      </c>
      <c r="WHU17">
        <v>0</v>
      </c>
      <c r="WHV17">
        <v>0</v>
      </c>
      <c r="WHW17">
        <v>0</v>
      </c>
      <c r="WHX17">
        <v>0</v>
      </c>
      <c r="WHY17">
        <v>0</v>
      </c>
      <c r="WHZ17">
        <v>0</v>
      </c>
      <c r="WIA17">
        <v>0</v>
      </c>
      <c r="WIB17">
        <v>0</v>
      </c>
      <c r="WIC17">
        <v>0</v>
      </c>
      <c r="WID17">
        <v>0</v>
      </c>
      <c r="WIE17">
        <v>0</v>
      </c>
      <c r="WIF17">
        <v>0</v>
      </c>
      <c r="WIG17">
        <v>0</v>
      </c>
      <c r="WIH17">
        <v>0</v>
      </c>
      <c r="WII17">
        <v>0</v>
      </c>
      <c r="WIJ17">
        <v>0</v>
      </c>
      <c r="WIK17">
        <v>0</v>
      </c>
      <c r="WIL17">
        <v>0</v>
      </c>
      <c r="WIM17">
        <v>0</v>
      </c>
      <c r="WIN17">
        <v>0</v>
      </c>
      <c r="WIO17">
        <v>0</v>
      </c>
      <c r="WIP17">
        <v>0</v>
      </c>
      <c r="WIQ17">
        <v>0</v>
      </c>
      <c r="WIR17">
        <v>0</v>
      </c>
      <c r="WIS17">
        <v>0</v>
      </c>
      <c r="WIT17">
        <v>0</v>
      </c>
      <c r="WIU17">
        <v>0</v>
      </c>
      <c r="WIV17">
        <v>0</v>
      </c>
      <c r="WIW17">
        <v>0</v>
      </c>
      <c r="WIX17">
        <v>0</v>
      </c>
      <c r="WIY17">
        <v>0</v>
      </c>
      <c r="WIZ17">
        <v>0</v>
      </c>
      <c r="WJA17">
        <v>0</v>
      </c>
      <c r="WJB17">
        <v>0</v>
      </c>
      <c r="WJC17">
        <v>0</v>
      </c>
      <c r="WJD17">
        <v>0</v>
      </c>
      <c r="WJE17">
        <v>0</v>
      </c>
      <c r="WJF17">
        <v>0</v>
      </c>
      <c r="WJG17">
        <v>0</v>
      </c>
      <c r="WJH17">
        <v>0</v>
      </c>
      <c r="WJI17">
        <v>0</v>
      </c>
      <c r="WJJ17">
        <v>0</v>
      </c>
      <c r="WJK17">
        <v>0</v>
      </c>
      <c r="WJL17">
        <v>0</v>
      </c>
      <c r="WJM17">
        <v>0</v>
      </c>
      <c r="WJN17">
        <v>0</v>
      </c>
      <c r="WJO17">
        <v>0</v>
      </c>
      <c r="WJP17">
        <v>0</v>
      </c>
      <c r="WJQ17">
        <v>0</v>
      </c>
      <c r="WJR17">
        <v>0</v>
      </c>
      <c r="WJS17">
        <v>0</v>
      </c>
      <c r="WJT17">
        <v>0</v>
      </c>
      <c r="WJU17">
        <v>0</v>
      </c>
      <c r="WJV17">
        <v>0</v>
      </c>
      <c r="WJW17">
        <v>0</v>
      </c>
      <c r="WJX17">
        <v>0</v>
      </c>
      <c r="WJY17">
        <v>0</v>
      </c>
      <c r="WJZ17">
        <v>0</v>
      </c>
      <c r="WKA17">
        <v>0</v>
      </c>
      <c r="WKB17">
        <v>0</v>
      </c>
      <c r="WKC17">
        <v>0</v>
      </c>
      <c r="WKD17">
        <v>0</v>
      </c>
      <c r="WKE17">
        <v>0</v>
      </c>
      <c r="WKF17">
        <v>0</v>
      </c>
      <c r="WKG17">
        <v>0</v>
      </c>
      <c r="WKH17">
        <v>0</v>
      </c>
      <c r="WKI17">
        <v>0</v>
      </c>
      <c r="WKJ17">
        <v>0</v>
      </c>
      <c r="WKK17">
        <v>0</v>
      </c>
      <c r="WKL17">
        <v>0</v>
      </c>
      <c r="WKM17">
        <v>0</v>
      </c>
      <c r="WKN17">
        <v>0</v>
      </c>
      <c r="WKO17">
        <v>0</v>
      </c>
      <c r="WKP17">
        <v>0</v>
      </c>
      <c r="WKQ17">
        <v>0</v>
      </c>
      <c r="WKR17">
        <v>0</v>
      </c>
      <c r="WKS17">
        <v>0</v>
      </c>
      <c r="WKT17">
        <v>0</v>
      </c>
      <c r="WKU17">
        <v>0</v>
      </c>
      <c r="WKV17">
        <v>0</v>
      </c>
      <c r="WKW17">
        <v>0</v>
      </c>
      <c r="WKX17">
        <v>0</v>
      </c>
      <c r="WKY17">
        <v>0</v>
      </c>
      <c r="WKZ17">
        <v>0</v>
      </c>
      <c r="WLA17">
        <v>0</v>
      </c>
      <c r="WLB17">
        <v>0</v>
      </c>
      <c r="WLC17">
        <v>0</v>
      </c>
      <c r="WLD17">
        <v>0</v>
      </c>
      <c r="WLE17">
        <v>0</v>
      </c>
      <c r="WLF17">
        <v>0</v>
      </c>
      <c r="WLG17">
        <v>0</v>
      </c>
      <c r="WLH17">
        <v>0</v>
      </c>
      <c r="WLI17">
        <v>0</v>
      </c>
      <c r="WLJ17">
        <v>0</v>
      </c>
      <c r="WLK17">
        <v>0</v>
      </c>
      <c r="WLL17">
        <v>0</v>
      </c>
      <c r="WLM17">
        <v>0</v>
      </c>
      <c r="WLN17">
        <v>0</v>
      </c>
      <c r="WLO17">
        <v>0</v>
      </c>
      <c r="WLP17">
        <v>0</v>
      </c>
      <c r="WLQ17">
        <v>0</v>
      </c>
      <c r="WLR17">
        <v>0</v>
      </c>
      <c r="WLS17">
        <v>0</v>
      </c>
      <c r="WLT17">
        <v>0</v>
      </c>
      <c r="WLU17">
        <v>0</v>
      </c>
      <c r="WLV17">
        <v>0</v>
      </c>
      <c r="WLW17">
        <v>0</v>
      </c>
      <c r="WLX17">
        <v>0</v>
      </c>
      <c r="WLY17">
        <v>0</v>
      </c>
      <c r="WLZ17">
        <v>0</v>
      </c>
      <c r="WMA17">
        <v>0</v>
      </c>
      <c r="WMB17">
        <v>0</v>
      </c>
      <c r="WMC17">
        <v>0</v>
      </c>
      <c r="WMD17">
        <v>0</v>
      </c>
      <c r="WME17">
        <v>0</v>
      </c>
      <c r="WMF17">
        <v>0</v>
      </c>
      <c r="WMG17">
        <v>0</v>
      </c>
      <c r="WMH17">
        <v>0</v>
      </c>
      <c r="WMI17">
        <v>0</v>
      </c>
      <c r="WMJ17">
        <v>0</v>
      </c>
      <c r="WMK17">
        <v>0</v>
      </c>
      <c r="WML17">
        <v>0</v>
      </c>
      <c r="WMM17">
        <v>0</v>
      </c>
      <c r="WMN17">
        <v>0</v>
      </c>
      <c r="WMO17">
        <v>0</v>
      </c>
      <c r="WMP17">
        <v>0</v>
      </c>
      <c r="WMQ17">
        <v>0</v>
      </c>
      <c r="WMR17">
        <v>0</v>
      </c>
      <c r="WMS17">
        <v>0</v>
      </c>
      <c r="WMT17">
        <v>0</v>
      </c>
      <c r="WMU17">
        <v>0</v>
      </c>
      <c r="WMV17">
        <v>0</v>
      </c>
      <c r="WMW17">
        <v>0</v>
      </c>
      <c r="WMX17">
        <v>0</v>
      </c>
      <c r="WMY17">
        <v>0</v>
      </c>
      <c r="WMZ17">
        <v>0</v>
      </c>
      <c r="WNA17">
        <v>0</v>
      </c>
      <c r="WNB17">
        <v>0</v>
      </c>
      <c r="WNC17">
        <v>0</v>
      </c>
      <c r="WND17">
        <v>0</v>
      </c>
      <c r="WNE17">
        <v>0</v>
      </c>
      <c r="WNF17">
        <v>0</v>
      </c>
      <c r="WNG17">
        <v>0</v>
      </c>
      <c r="WNH17">
        <v>0</v>
      </c>
      <c r="WNI17">
        <v>0</v>
      </c>
      <c r="WNJ17">
        <v>0</v>
      </c>
      <c r="WNK17">
        <v>0</v>
      </c>
      <c r="WNL17">
        <v>0</v>
      </c>
      <c r="WNM17">
        <v>0</v>
      </c>
      <c r="WNN17">
        <v>0</v>
      </c>
      <c r="WNO17">
        <v>0</v>
      </c>
      <c r="WNP17">
        <v>0</v>
      </c>
      <c r="WNQ17">
        <v>0</v>
      </c>
      <c r="WNR17">
        <v>0</v>
      </c>
      <c r="WNS17">
        <v>0</v>
      </c>
      <c r="WNT17">
        <v>0</v>
      </c>
      <c r="WNU17">
        <v>0</v>
      </c>
      <c r="WNV17">
        <v>0</v>
      </c>
      <c r="WNW17">
        <v>0</v>
      </c>
      <c r="WNX17">
        <v>0</v>
      </c>
      <c r="WNY17">
        <v>0</v>
      </c>
      <c r="WNZ17">
        <v>0</v>
      </c>
      <c r="WOA17">
        <v>0</v>
      </c>
      <c r="WOB17">
        <v>0</v>
      </c>
      <c r="WOC17">
        <v>0</v>
      </c>
      <c r="WOD17">
        <v>0</v>
      </c>
      <c r="WOE17">
        <v>0</v>
      </c>
      <c r="WOF17">
        <v>0</v>
      </c>
      <c r="WOG17">
        <v>0</v>
      </c>
      <c r="WOH17">
        <v>0</v>
      </c>
      <c r="WOI17">
        <v>0</v>
      </c>
      <c r="WOJ17">
        <v>0</v>
      </c>
      <c r="WOK17">
        <v>0</v>
      </c>
      <c r="WOL17">
        <v>0</v>
      </c>
      <c r="WOM17">
        <v>0</v>
      </c>
      <c r="WON17">
        <v>0</v>
      </c>
      <c r="WOO17">
        <v>0</v>
      </c>
      <c r="WOP17">
        <v>0</v>
      </c>
      <c r="WOQ17">
        <v>0</v>
      </c>
      <c r="WOR17">
        <v>0</v>
      </c>
      <c r="WOS17">
        <v>0</v>
      </c>
      <c r="WOT17">
        <v>0</v>
      </c>
      <c r="WOU17">
        <v>0</v>
      </c>
      <c r="WOV17">
        <v>0</v>
      </c>
      <c r="WOW17">
        <v>0</v>
      </c>
      <c r="WOX17">
        <v>0</v>
      </c>
      <c r="WOY17">
        <v>0</v>
      </c>
      <c r="WOZ17">
        <v>0</v>
      </c>
      <c r="WPA17">
        <v>0</v>
      </c>
      <c r="WPB17">
        <v>0</v>
      </c>
      <c r="WPC17">
        <v>0</v>
      </c>
      <c r="WPD17">
        <v>0</v>
      </c>
      <c r="WPE17">
        <v>0</v>
      </c>
      <c r="WPF17">
        <v>0</v>
      </c>
      <c r="WPG17">
        <v>0</v>
      </c>
      <c r="WPH17">
        <v>0</v>
      </c>
      <c r="WPI17">
        <v>0</v>
      </c>
      <c r="WPJ17">
        <v>0</v>
      </c>
      <c r="WPK17">
        <v>0</v>
      </c>
      <c r="WPL17">
        <v>0</v>
      </c>
      <c r="WPM17">
        <v>0</v>
      </c>
      <c r="WPN17">
        <v>0</v>
      </c>
      <c r="WPO17">
        <v>0</v>
      </c>
      <c r="WPP17">
        <v>0</v>
      </c>
      <c r="WPQ17">
        <v>0</v>
      </c>
      <c r="WPR17">
        <v>0</v>
      </c>
      <c r="WPS17">
        <v>0</v>
      </c>
      <c r="WPT17">
        <v>0</v>
      </c>
      <c r="WPU17">
        <v>0</v>
      </c>
      <c r="WPV17">
        <v>0</v>
      </c>
      <c r="WPW17">
        <v>0</v>
      </c>
      <c r="WPX17">
        <v>0</v>
      </c>
      <c r="WPY17">
        <v>0</v>
      </c>
      <c r="WPZ17">
        <v>0</v>
      </c>
      <c r="WQA17">
        <v>0</v>
      </c>
      <c r="WQB17">
        <v>0</v>
      </c>
      <c r="WQC17">
        <v>0</v>
      </c>
      <c r="WQD17">
        <v>0</v>
      </c>
      <c r="WQE17">
        <v>0</v>
      </c>
      <c r="WQF17">
        <v>0</v>
      </c>
      <c r="WQG17">
        <v>0</v>
      </c>
      <c r="WQH17">
        <v>0</v>
      </c>
      <c r="WQI17">
        <v>0</v>
      </c>
      <c r="WQJ17">
        <v>0</v>
      </c>
      <c r="WQK17">
        <v>0</v>
      </c>
      <c r="WQL17">
        <v>0</v>
      </c>
      <c r="WQM17">
        <v>0</v>
      </c>
      <c r="WQN17">
        <v>0</v>
      </c>
      <c r="WQO17">
        <v>0</v>
      </c>
      <c r="WQP17">
        <v>0</v>
      </c>
      <c r="WQQ17">
        <v>0</v>
      </c>
      <c r="WQR17">
        <v>0</v>
      </c>
      <c r="WQS17">
        <v>0</v>
      </c>
      <c r="WQT17">
        <v>0</v>
      </c>
      <c r="WQU17">
        <v>0</v>
      </c>
      <c r="WQV17">
        <v>0</v>
      </c>
      <c r="WQW17">
        <v>0</v>
      </c>
      <c r="WQX17">
        <v>0</v>
      </c>
      <c r="WQY17">
        <v>0</v>
      </c>
      <c r="WQZ17">
        <v>0</v>
      </c>
      <c r="WRA17">
        <v>0</v>
      </c>
      <c r="WRB17">
        <v>0</v>
      </c>
      <c r="WRC17">
        <v>0</v>
      </c>
      <c r="WRD17">
        <v>0</v>
      </c>
      <c r="WRE17">
        <v>0</v>
      </c>
      <c r="WRF17">
        <v>0</v>
      </c>
      <c r="WRG17">
        <v>0</v>
      </c>
      <c r="WRH17">
        <v>0</v>
      </c>
      <c r="WRI17">
        <v>0</v>
      </c>
      <c r="WRJ17">
        <v>0</v>
      </c>
      <c r="WRK17">
        <v>0</v>
      </c>
      <c r="WRL17">
        <v>0</v>
      </c>
      <c r="WRM17">
        <v>0</v>
      </c>
      <c r="WRN17">
        <v>0</v>
      </c>
      <c r="WRO17">
        <v>0</v>
      </c>
      <c r="WRP17">
        <v>0</v>
      </c>
      <c r="WRQ17">
        <v>0</v>
      </c>
      <c r="WRR17">
        <v>0</v>
      </c>
      <c r="WRS17">
        <v>0</v>
      </c>
      <c r="WRT17">
        <v>0</v>
      </c>
      <c r="WRU17">
        <v>0</v>
      </c>
      <c r="WRV17">
        <v>0</v>
      </c>
      <c r="WRW17">
        <v>0</v>
      </c>
      <c r="WRX17">
        <v>0</v>
      </c>
      <c r="WRY17">
        <v>0</v>
      </c>
      <c r="WRZ17">
        <v>0</v>
      </c>
      <c r="WSA17">
        <v>0</v>
      </c>
      <c r="WSB17">
        <v>0</v>
      </c>
      <c r="WSC17">
        <v>0</v>
      </c>
      <c r="WSD17">
        <v>0</v>
      </c>
      <c r="WSE17">
        <v>0</v>
      </c>
      <c r="WSF17">
        <v>0</v>
      </c>
      <c r="WSG17">
        <v>0</v>
      </c>
      <c r="WSH17">
        <v>0</v>
      </c>
      <c r="WSI17">
        <v>0</v>
      </c>
      <c r="WSJ17">
        <v>0</v>
      </c>
      <c r="WSK17">
        <v>0</v>
      </c>
      <c r="WSL17">
        <v>0</v>
      </c>
      <c r="WSM17">
        <v>0</v>
      </c>
      <c r="WSN17">
        <v>0</v>
      </c>
      <c r="WSO17">
        <v>0</v>
      </c>
      <c r="WSP17">
        <v>0</v>
      </c>
      <c r="WSQ17">
        <v>0</v>
      </c>
      <c r="WSR17">
        <v>0</v>
      </c>
      <c r="WSS17">
        <v>0</v>
      </c>
      <c r="WST17">
        <v>0</v>
      </c>
      <c r="WSU17">
        <v>0</v>
      </c>
      <c r="WSV17">
        <v>0</v>
      </c>
      <c r="WSW17">
        <v>0</v>
      </c>
      <c r="WSX17">
        <v>0</v>
      </c>
      <c r="WSY17">
        <v>0</v>
      </c>
      <c r="WSZ17">
        <v>0</v>
      </c>
      <c r="WTA17">
        <v>0</v>
      </c>
      <c r="WTB17">
        <v>0</v>
      </c>
      <c r="WTC17">
        <v>0</v>
      </c>
      <c r="WTD17">
        <v>0</v>
      </c>
      <c r="WTE17">
        <v>0</v>
      </c>
      <c r="WTF17">
        <v>0</v>
      </c>
      <c r="WTG17">
        <v>0</v>
      </c>
      <c r="WTH17">
        <v>0</v>
      </c>
      <c r="WTI17">
        <v>0</v>
      </c>
      <c r="WTJ17">
        <v>0</v>
      </c>
      <c r="WTK17">
        <v>0</v>
      </c>
      <c r="WTL17">
        <v>0</v>
      </c>
      <c r="WTM17">
        <v>0</v>
      </c>
      <c r="WTN17">
        <v>0</v>
      </c>
      <c r="WTO17">
        <v>0</v>
      </c>
      <c r="WTP17">
        <v>0</v>
      </c>
      <c r="WTQ17">
        <v>0</v>
      </c>
      <c r="WTR17">
        <v>0</v>
      </c>
      <c r="WTS17">
        <v>0</v>
      </c>
      <c r="WTT17">
        <v>0</v>
      </c>
      <c r="WTU17">
        <v>0</v>
      </c>
      <c r="WTV17">
        <v>0</v>
      </c>
      <c r="WTW17">
        <v>0</v>
      </c>
      <c r="WTX17">
        <v>0</v>
      </c>
      <c r="WTY17">
        <v>0</v>
      </c>
      <c r="WTZ17">
        <v>0</v>
      </c>
      <c r="WUA17">
        <v>0</v>
      </c>
      <c r="WUB17">
        <v>0</v>
      </c>
      <c r="WUC17">
        <v>0</v>
      </c>
      <c r="WUD17">
        <v>0</v>
      </c>
      <c r="WUE17">
        <v>0</v>
      </c>
      <c r="WUF17">
        <v>0</v>
      </c>
      <c r="WUG17">
        <v>0</v>
      </c>
      <c r="WUH17">
        <v>0</v>
      </c>
      <c r="WUI17">
        <v>0</v>
      </c>
      <c r="WUJ17">
        <v>0</v>
      </c>
      <c r="WUK17">
        <v>0</v>
      </c>
      <c r="WUL17">
        <v>0</v>
      </c>
      <c r="WUM17">
        <v>0</v>
      </c>
      <c r="WUN17">
        <v>0</v>
      </c>
      <c r="WUO17">
        <v>0</v>
      </c>
      <c r="WUP17">
        <v>0</v>
      </c>
      <c r="WUQ17">
        <v>0</v>
      </c>
      <c r="WUR17">
        <v>0</v>
      </c>
      <c r="WUS17">
        <v>0</v>
      </c>
      <c r="WUT17">
        <v>0</v>
      </c>
      <c r="WUU17">
        <v>0</v>
      </c>
      <c r="WUV17">
        <v>0</v>
      </c>
      <c r="WUW17">
        <v>0</v>
      </c>
      <c r="WUX17">
        <v>0</v>
      </c>
      <c r="WUY17">
        <v>0</v>
      </c>
      <c r="WUZ17">
        <v>0</v>
      </c>
      <c r="WVA17">
        <v>0</v>
      </c>
      <c r="WVB17">
        <v>0</v>
      </c>
      <c r="WVC17">
        <v>0</v>
      </c>
      <c r="WVD17">
        <v>0</v>
      </c>
      <c r="WVE17">
        <v>0</v>
      </c>
      <c r="WVF17">
        <v>0</v>
      </c>
      <c r="WVG17">
        <v>0</v>
      </c>
      <c r="WVH17">
        <v>0</v>
      </c>
      <c r="WVI17">
        <v>0</v>
      </c>
      <c r="WVJ17">
        <v>0</v>
      </c>
      <c r="WVK17">
        <v>0</v>
      </c>
      <c r="WVL17">
        <v>0</v>
      </c>
      <c r="WVM17">
        <v>0</v>
      </c>
      <c r="WVN17">
        <v>0</v>
      </c>
      <c r="WVO17">
        <v>0</v>
      </c>
      <c r="WVP17">
        <v>0</v>
      </c>
      <c r="WVQ17">
        <v>0</v>
      </c>
      <c r="WVR17">
        <v>0</v>
      </c>
      <c r="WVS17">
        <v>0</v>
      </c>
      <c r="WVT17">
        <v>0</v>
      </c>
      <c r="WVU17">
        <v>0</v>
      </c>
      <c r="WVV17">
        <v>0</v>
      </c>
      <c r="WVW17">
        <v>0</v>
      </c>
      <c r="WVX17">
        <v>0</v>
      </c>
      <c r="WVY17">
        <v>0</v>
      </c>
      <c r="WVZ17">
        <v>0</v>
      </c>
      <c r="WWA17">
        <v>0</v>
      </c>
      <c r="WWB17">
        <v>0</v>
      </c>
      <c r="WWC17">
        <v>0</v>
      </c>
      <c r="WWD17">
        <v>0</v>
      </c>
      <c r="WWE17">
        <v>0</v>
      </c>
      <c r="WWF17">
        <v>0</v>
      </c>
      <c r="WWG17">
        <v>0</v>
      </c>
      <c r="WWH17">
        <v>0</v>
      </c>
      <c r="WWI17">
        <v>0</v>
      </c>
      <c r="WWJ17">
        <v>0</v>
      </c>
      <c r="WWK17">
        <v>0</v>
      </c>
      <c r="WWL17">
        <v>0</v>
      </c>
      <c r="WWM17">
        <v>0</v>
      </c>
      <c r="WWN17">
        <v>0</v>
      </c>
      <c r="WWO17">
        <v>0</v>
      </c>
      <c r="WWP17">
        <v>0</v>
      </c>
      <c r="WWQ17">
        <v>0</v>
      </c>
      <c r="WWR17">
        <v>0</v>
      </c>
      <c r="WWS17">
        <v>0</v>
      </c>
      <c r="WWT17">
        <v>0</v>
      </c>
      <c r="WWU17">
        <v>0</v>
      </c>
      <c r="WWV17">
        <v>0</v>
      </c>
      <c r="WWW17">
        <v>0</v>
      </c>
      <c r="WWX17">
        <v>0</v>
      </c>
      <c r="WWY17">
        <v>0</v>
      </c>
      <c r="WWZ17">
        <v>0</v>
      </c>
      <c r="WXA17">
        <v>0</v>
      </c>
      <c r="WXB17">
        <v>0</v>
      </c>
      <c r="WXC17">
        <v>0</v>
      </c>
      <c r="WXD17">
        <v>0</v>
      </c>
      <c r="WXE17">
        <v>0</v>
      </c>
      <c r="WXF17">
        <v>0</v>
      </c>
      <c r="WXG17">
        <v>0</v>
      </c>
      <c r="WXH17">
        <v>0</v>
      </c>
      <c r="WXI17">
        <v>0</v>
      </c>
      <c r="WXJ17">
        <v>0</v>
      </c>
      <c r="WXK17">
        <v>0</v>
      </c>
      <c r="WXL17">
        <v>0</v>
      </c>
      <c r="WXM17">
        <v>0</v>
      </c>
      <c r="WXN17">
        <v>0</v>
      </c>
      <c r="WXO17">
        <v>0</v>
      </c>
      <c r="WXP17">
        <v>0</v>
      </c>
      <c r="WXQ17">
        <v>0</v>
      </c>
      <c r="WXR17">
        <v>0</v>
      </c>
      <c r="WXS17">
        <v>0</v>
      </c>
      <c r="WXT17">
        <v>0</v>
      </c>
      <c r="WXU17">
        <v>0</v>
      </c>
      <c r="WXV17">
        <v>0</v>
      </c>
      <c r="WXW17">
        <v>0</v>
      </c>
      <c r="WXX17">
        <v>0</v>
      </c>
      <c r="WXY17">
        <v>0</v>
      </c>
      <c r="WXZ17">
        <v>0</v>
      </c>
      <c r="WYA17">
        <v>0</v>
      </c>
      <c r="WYB17">
        <v>0</v>
      </c>
      <c r="WYC17">
        <v>0</v>
      </c>
      <c r="WYD17">
        <v>0</v>
      </c>
      <c r="WYE17">
        <v>0</v>
      </c>
      <c r="WYF17">
        <v>0</v>
      </c>
      <c r="WYG17">
        <v>0</v>
      </c>
      <c r="WYH17">
        <v>0</v>
      </c>
      <c r="WYI17">
        <v>0</v>
      </c>
      <c r="WYJ17">
        <v>0</v>
      </c>
      <c r="WYK17">
        <v>0</v>
      </c>
      <c r="WYL17">
        <v>0</v>
      </c>
      <c r="WYM17">
        <v>0</v>
      </c>
      <c r="WYN17">
        <v>0</v>
      </c>
      <c r="WYO17">
        <v>0</v>
      </c>
      <c r="WYP17">
        <v>0</v>
      </c>
      <c r="WYQ17">
        <v>0</v>
      </c>
      <c r="WYR17">
        <v>0</v>
      </c>
      <c r="WYS17">
        <v>0</v>
      </c>
      <c r="WYT17">
        <v>0</v>
      </c>
      <c r="WYU17">
        <v>0</v>
      </c>
      <c r="WYV17">
        <v>0</v>
      </c>
      <c r="WYW17">
        <v>0</v>
      </c>
      <c r="WYX17">
        <v>0</v>
      </c>
      <c r="WYY17">
        <v>0</v>
      </c>
      <c r="WYZ17">
        <v>0</v>
      </c>
      <c r="WZA17">
        <v>0</v>
      </c>
      <c r="WZB17">
        <v>0</v>
      </c>
      <c r="WZC17">
        <v>0</v>
      </c>
      <c r="WZD17">
        <v>0</v>
      </c>
      <c r="WZE17">
        <v>0</v>
      </c>
      <c r="WZF17">
        <v>0</v>
      </c>
      <c r="WZG17">
        <v>0</v>
      </c>
      <c r="WZH17">
        <v>0</v>
      </c>
      <c r="WZI17">
        <v>0</v>
      </c>
      <c r="WZJ17">
        <v>0</v>
      </c>
      <c r="WZK17">
        <v>0</v>
      </c>
      <c r="WZL17">
        <v>0</v>
      </c>
      <c r="WZM17">
        <v>0</v>
      </c>
      <c r="WZN17">
        <v>0</v>
      </c>
      <c r="WZO17">
        <v>0</v>
      </c>
      <c r="WZP17">
        <v>0</v>
      </c>
      <c r="WZQ17">
        <v>0</v>
      </c>
      <c r="WZR17">
        <v>0</v>
      </c>
      <c r="WZS17">
        <v>0</v>
      </c>
      <c r="WZT17">
        <v>0</v>
      </c>
      <c r="WZU17">
        <v>0</v>
      </c>
      <c r="WZV17">
        <v>0</v>
      </c>
      <c r="WZW17">
        <v>0</v>
      </c>
      <c r="WZX17">
        <v>0</v>
      </c>
      <c r="WZY17">
        <v>0</v>
      </c>
      <c r="WZZ17">
        <v>0</v>
      </c>
      <c r="XAA17">
        <v>0</v>
      </c>
      <c r="XAB17">
        <v>0</v>
      </c>
      <c r="XAC17">
        <v>0</v>
      </c>
      <c r="XAD17">
        <v>0</v>
      </c>
      <c r="XAE17">
        <v>0</v>
      </c>
      <c r="XAF17">
        <v>0</v>
      </c>
      <c r="XAG17">
        <v>0</v>
      </c>
      <c r="XAH17">
        <v>0</v>
      </c>
      <c r="XAI17">
        <v>0</v>
      </c>
      <c r="XAJ17">
        <v>0</v>
      </c>
      <c r="XAK17">
        <v>0</v>
      </c>
      <c r="XAL17">
        <v>0</v>
      </c>
      <c r="XAM17">
        <v>0</v>
      </c>
      <c r="XAN17">
        <v>0</v>
      </c>
      <c r="XAO17">
        <v>0</v>
      </c>
      <c r="XAP17">
        <v>0</v>
      </c>
      <c r="XAQ17">
        <v>0</v>
      </c>
      <c r="XAR17">
        <v>0</v>
      </c>
      <c r="XAS17">
        <v>0</v>
      </c>
      <c r="XAT17">
        <v>0</v>
      </c>
      <c r="XAU17">
        <v>0</v>
      </c>
      <c r="XAV17">
        <v>0</v>
      </c>
      <c r="XAW17">
        <v>0</v>
      </c>
      <c r="XAX17">
        <v>0</v>
      </c>
      <c r="XAY17">
        <v>0</v>
      </c>
      <c r="XAZ17">
        <v>0</v>
      </c>
      <c r="XBA17">
        <v>0</v>
      </c>
      <c r="XBB17">
        <v>0</v>
      </c>
      <c r="XBC17">
        <v>0</v>
      </c>
      <c r="XBD17">
        <v>0</v>
      </c>
      <c r="XBE17">
        <v>0</v>
      </c>
      <c r="XBF17">
        <v>0</v>
      </c>
      <c r="XBG17">
        <v>0</v>
      </c>
      <c r="XBH17">
        <v>0</v>
      </c>
      <c r="XBI17">
        <v>0</v>
      </c>
      <c r="XBJ17">
        <v>0</v>
      </c>
      <c r="XBK17">
        <v>0</v>
      </c>
      <c r="XBL17">
        <v>0</v>
      </c>
      <c r="XBM17">
        <v>0</v>
      </c>
      <c r="XBN17">
        <v>0</v>
      </c>
      <c r="XBO17">
        <v>0</v>
      </c>
      <c r="XBP17">
        <v>0</v>
      </c>
      <c r="XBQ17">
        <v>0</v>
      </c>
      <c r="XBR17">
        <v>0</v>
      </c>
      <c r="XBS17">
        <v>0</v>
      </c>
      <c r="XBT17">
        <v>0</v>
      </c>
      <c r="XBU17">
        <v>0</v>
      </c>
      <c r="XBV17">
        <v>0</v>
      </c>
      <c r="XBW17">
        <v>0</v>
      </c>
      <c r="XBX17">
        <v>0</v>
      </c>
      <c r="XBY17">
        <v>0</v>
      </c>
      <c r="XBZ17">
        <v>0</v>
      </c>
      <c r="XCA17">
        <v>0</v>
      </c>
      <c r="XCB17">
        <v>0</v>
      </c>
      <c r="XCC17">
        <v>0</v>
      </c>
      <c r="XCD17">
        <v>0</v>
      </c>
      <c r="XCE17">
        <v>0</v>
      </c>
      <c r="XCF17">
        <v>0</v>
      </c>
      <c r="XCG17">
        <v>0</v>
      </c>
      <c r="XCH17">
        <v>0</v>
      </c>
      <c r="XCI17">
        <v>0</v>
      </c>
      <c r="XCJ17">
        <v>0</v>
      </c>
      <c r="XCK17">
        <v>0</v>
      </c>
      <c r="XCL17">
        <v>0</v>
      </c>
      <c r="XCM17">
        <v>0</v>
      </c>
      <c r="XCN17">
        <v>0</v>
      </c>
      <c r="XCO17">
        <v>0</v>
      </c>
      <c r="XCP17">
        <v>0</v>
      </c>
      <c r="XCQ17">
        <v>0</v>
      </c>
      <c r="XCR17">
        <v>0</v>
      </c>
      <c r="XCS17">
        <v>0</v>
      </c>
      <c r="XCT17">
        <v>0</v>
      </c>
      <c r="XCU17">
        <v>0</v>
      </c>
      <c r="XCV17">
        <v>0</v>
      </c>
      <c r="XCW17">
        <v>0</v>
      </c>
      <c r="XCX17">
        <v>0</v>
      </c>
      <c r="XCY17">
        <v>0</v>
      </c>
      <c r="XCZ17">
        <v>0</v>
      </c>
      <c r="XDA17">
        <v>0</v>
      </c>
      <c r="XDB17">
        <v>0</v>
      </c>
      <c r="XDC17">
        <v>0</v>
      </c>
      <c r="XDD17">
        <v>0</v>
      </c>
      <c r="XDE17">
        <v>0</v>
      </c>
      <c r="XDF17">
        <v>0</v>
      </c>
      <c r="XDG17">
        <v>0</v>
      </c>
      <c r="XDH17">
        <v>0</v>
      </c>
      <c r="XDI17">
        <v>0</v>
      </c>
      <c r="XDJ17">
        <v>0</v>
      </c>
      <c r="XDK17">
        <v>0</v>
      </c>
      <c r="XDL17">
        <v>0</v>
      </c>
      <c r="XDM17">
        <v>0</v>
      </c>
      <c r="XDN17">
        <v>0</v>
      </c>
      <c r="XDO17">
        <v>0</v>
      </c>
      <c r="XDP17">
        <v>0</v>
      </c>
      <c r="XDQ17">
        <v>0</v>
      </c>
      <c r="XDR17">
        <v>0</v>
      </c>
      <c r="XDS17">
        <v>0</v>
      </c>
      <c r="XDT17">
        <v>0</v>
      </c>
      <c r="XDU17">
        <v>0</v>
      </c>
      <c r="XDV17">
        <v>0</v>
      </c>
      <c r="XDW17">
        <v>0</v>
      </c>
      <c r="XDX17">
        <v>0</v>
      </c>
      <c r="XDY17">
        <v>0</v>
      </c>
      <c r="XDZ17">
        <v>0</v>
      </c>
      <c r="XEA17">
        <v>0</v>
      </c>
      <c r="XEB17">
        <v>0</v>
      </c>
      <c r="XEC17">
        <v>0</v>
      </c>
      <c r="XED17">
        <v>0</v>
      </c>
      <c r="XEE17">
        <v>0</v>
      </c>
      <c r="XEF17">
        <v>0</v>
      </c>
      <c r="XEG17">
        <v>0</v>
      </c>
      <c r="XEH17">
        <v>0</v>
      </c>
      <c r="XEI17">
        <v>0</v>
      </c>
      <c r="XEJ17">
        <v>0</v>
      </c>
      <c r="XEK17">
        <v>0</v>
      </c>
      <c r="XEL17">
        <v>0</v>
      </c>
      <c r="XEM17">
        <v>0</v>
      </c>
      <c r="XEN17">
        <v>0</v>
      </c>
      <c r="XEO17">
        <v>0</v>
      </c>
      <c r="XEP17">
        <v>0</v>
      </c>
      <c r="XEQ17">
        <v>0</v>
      </c>
      <c r="XER17">
        <v>0</v>
      </c>
      <c r="XES17">
        <v>0</v>
      </c>
      <c r="XET17">
        <v>0</v>
      </c>
      <c r="XEU17">
        <v>0</v>
      </c>
      <c r="XEV17">
        <v>0</v>
      </c>
      <c r="XEW17">
        <v>0</v>
      </c>
      <c r="XEX17">
        <v>0</v>
      </c>
      <c r="XEY17">
        <v>0</v>
      </c>
      <c r="XEZ17">
        <v>0</v>
      </c>
      <c r="XFA17">
        <v>0</v>
      </c>
      <c r="XFB17">
        <v>0</v>
      </c>
      <c r="XFC17">
        <v>0</v>
      </c>
      <c r="XFD17">
        <v>0</v>
      </c>
    </row>
  </sheetData>
  <conditionalFormatting sqref="H2:H9 A3:G1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{122D8CBF-F0C9-485C-A1AE-EAF658E248BE}</x14:id>
        </ext>
      </extLst>
    </cfRule>
    <cfRule type="iconSet" priority="9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2D8CBF-F0C9-485C-A1AE-EAF658E24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H2:H9 A3:G10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62CAC-E3D5-488E-9D3A-45D6ADA91590}">
  <dimension ref="A3:B13"/>
  <sheetViews>
    <sheetView showGridLines="0" showRowColHeaders="0" workbookViewId="0">
      <pane xSplit="1" topLeftCell="B1" activePane="topRight" state="frozen"/>
      <selection pane="topRight" activeCell="B18" sqref="B18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3" spans="1:2" x14ac:dyDescent="0.3">
      <c r="A3" s="13" t="s">
        <v>11</v>
      </c>
      <c r="B3" s="14" t="s">
        <v>6401</v>
      </c>
    </row>
    <row r="4" spans="1:2" x14ac:dyDescent="0.3">
      <c r="A4" s="14" t="s">
        <v>2485</v>
      </c>
      <c r="B4" s="14">
        <v>4</v>
      </c>
    </row>
    <row r="5" spans="1:2" x14ac:dyDescent="0.3">
      <c r="A5" s="14" t="s">
        <v>591</v>
      </c>
      <c r="B5" s="14">
        <v>34</v>
      </c>
    </row>
    <row r="6" spans="1:2" x14ac:dyDescent="0.3">
      <c r="A6" s="14" t="s">
        <v>680</v>
      </c>
      <c r="B6" s="14">
        <v>45</v>
      </c>
    </row>
    <row r="7" spans="1:2" x14ac:dyDescent="0.3">
      <c r="A7" s="14" t="s">
        <v>198</v>
      </c>
      <c r="B7" s="14">
        <v>74</v>
      </c>
    </row>
    <row r="8" spans="1:2" x14ac:dyDescent="0.3">
      <c r="A8" s="14" t="s">
        <v>181</v>
      </c>
      <c r="B8" s="14">
        <v>145</v>
      </c>
    </row>
    <row r="9" spans="1:2" x14ac:dyDescent="0.3">
      <c r="A9" s="14" t="s">
        <v>61</v>
      </c>
      <c r="B9" s="14">
        <v>191</v>
      </c>
    </row>
    <row r="10" spans="1:2" x14ac:dyDescent="0.3">
      <c r="A10" s="14" t="s">
        <v>72</v>
      </c>
      <c r="B10" s="14">
        <v>236</v>
      </c>
    </row>
    <row r="11" spans="1:2" x14ac:dyDescent="0.3">
      <c r="A11" s="14" t="s">
        <v>66</v>
      </c>
      <c r="B11" s="14">
        <v>522</v>
      </c>
    </row>
    <row r="12" spans="1:2" x14ac:dyDescent="0.3">
      <c r="A12" s="14" t="s">
        <v>27</v>
      </c>
      <c r="B12" s="14">
        <v>869</v>
      </c>
    </row>
    <row r="13" spans="1:2" x14ac:dyDescent="0.3">
      <c r="A13" s="14" t="s">
        <v>103</v>
      </c>
      <c r="B13" s="14">
        <v>982</v>
      </c>
    </row>
  </sheetData>
  <pageMargins left="0.7" right="0.7" top="0.75" bottom="0.75" header="0.3" footer="0.3"/>
  <pageSetup scale="95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27E0-3737-492D-85E0-BF77078E48F0}">
  <dimension ref="A1:P3103"/>
  <sheetViews>
    <sheetView tabSelected="1" workbookViewId="0">
      <selection activeCell="B6" sqref="B6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49.2187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18.109375" style="2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style="9" bestFit="1" customWidth="1"/>
    <col min="14" max="14" width="15" style="12" bestFit="1" customWidth="1"/>
    <col min="15" max="15" width="55.88671875" bestFit="1" customWidth="1"/>
    <col min="16" max="16" width="150.44140625" bestFit="1" customWidth="1"/>
  </cols>
  <sheetData>
    <row r="1" spans="1:16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5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7" t="s">
        <v>23</v>
      </c>
      <c r="N1" s="10" t="s">
        <v>24</v>
      </c>
      <c r="O1" s="4" t="s">
        <v>25</v>
      </c>
      <c r="P1" s="4" t="s">
        <v>26</v>
      </c>
    </row>
    <row r="2" spans="1:16" x14ac:dyDescent="0.3">
      <c r="A2" s="3" t="s">
        <v>680</v>
      </c>
      <c r="B2" s="3" t="s">
        <v>681</v>
      </c>
      <c r="C2" s="3" t="s">
        <v>682</v>
      </c>
      <c r="D2" s="3" t="s">
        <v>126</v>
      </c>
      <c r="E2" s="3" t="s">
        <v>133</v>
      </c>
      <c r="F2" s="3" t="b">
        <v>0</v>
      </c>
      <c r="G2" s="3" t="s">
        <v>64</v>
      </c>
      <c r="H2" s="6">
        <v>44957.833379629628</v>
      </c>
      <c r="I2" s="3" t="b">
        <v>1</v>
      </c>
      <c r="J2" s="3" t="b">
        <v>0</v>
      </c>
      <c r="K2" s="3" t="s">
        <v>33</v>
      </c>
      <c r="L2" s="3" t="s">
        <v>34</v>
      </c>
      <c r="M2" s="8">
        <v>137500</v>
      </c>
      <c r="N2" s="11"/>
      <c r="O2" s="3" t="s">
        <v>683</v>
      </c>
      <c r="P2" s="3" t="s">
        <v>684</v>
      </c>
    </row>
    <row r="3" spans="1:16" x14ac:dyDescent="0.3">
      <c r="A3" s="3" t="s">
        <v>680</v>
      </c>
      <c r="B3" s="3" t="s">
        <v>968</v>
      </c>
      <c r="C3" s="3" t="s">
        <v>969</v>
      </c>
      <c r="D3" s="3" t="s">
        <v>970</v>
      </c>
      <c r="E3" s="3" t="s">
        <v>31</v>
      </c>
      <c r="F3" s="3" t="b">
        <v>0</v>
      </c>
      <c r="G3" s="3" t="s">
        <v>32</v>
      </c>
      <c r="H3" s="6">
        <v>44956.41815972222</v>
      </c>
      <c r="I3" s="3" t="b">
        <v>0</v>
      </c>
      <c r="J3" s="3" t="b">
        <v>0</v>
      </c>
      <c r="K3" s="3" t="s">
        <v>33</v>
      </c>
      <c r="L3" s="3" t="s">
        <v>48</v>
      </c>
      <c r="M3" s="8"/>
      <c r="N3" s="11">
        <v>30.42499923706055</v>
      </c>
      <c r="O3" s="3" t="s">
        <v>971</v>
      </c>
      <c r="P3" s="3" t="s">
        <v>972</v>
      </c>
    </row>
    <row r="4" spans="1:16" x14ac:dyDescent="0.3">
      <c r="A4" s="3" t="s">
        <v>680</v>
      </c>
      <c r="B4" s="3" t="s">
        <v>1620</v>
      </c>
      <c r="C4" s="3" t="s">
        <v>321</v>
      </c>
      <c r="D4" s="3" t="s">
        <v>30</v>
      </c>
      <c r="E4" s="3" t="s">
        <v>31</v>
      </c>
      <c r="F4" s="3" t="b">
        <v>0</v>
      </c>
      <c r="G4" s="3" t="s">
        <v>140</v>
      </c>
      <c r="H4" s="6">
        <v>44957.814259259263</v>
      </c>
      <c r="I4" s="3" t="b">
        <v>1</v>
      </c>
      <c r="J4" s="3" t="b">
        <v>0</v>
      </c>
      <c r="K4" s="3" t="s">
        <v>33</v>
      </c>
      <c r="L4" s="3" t="s">
        <v>48</v>
      </c>
      <c r="M4" s="8"/>
      <c r="N4" s="11">
        <v>47.5</v>
      </c>
      <c r="O4" s="3" t="s">
        <v>502</v>
      </c>
      <c r="P4" s="3" t="s">
        <v>1621</v>
      </c>
    </row>
    <row r="5" spans="1:16" x14ac:dyDescent="0.3">
      <c r="A5" s="3" t="s">
        <v>680</v>
      </c>
      <c r="B5" s="3" t="s">
        <v>1675</v>
      </c>
      <c r="C5" s="3" t="s">
        <v>969</v>
      </c>
      <c r="D5" s="3" t="s">
        <v>53</v>
      </c>
      <c r="E5" s="3" t="s">
        <v>31</v>
      </c>
      <c r="F5" s="3" t="b">
        <v>0</v>
      </c>
      <c r="G5" s="3" t="s">
        <v>32</v>
      </c>
      <c r="H5" s="6">
        <v>44928.792037037027</v>
      </c>
      <c r="I5" s="3" t="b">
        <v>0</v>
      </c>
      <c r="J5" s="3" t="b">
        <v>0</v>
      </c>
      <c r="K5" s="3" t="s">
        <v>33</v>
      </c>
      <c r="L5" s="3" t="s">
        <v>34</v>
      </c>
      <c r="M5" s="8">
        <v>87500</v>
      </c>
      <c r="N5" s="11"/>
      <c r="O5" s="3" t="s">
        <v>1676</v>
      </c>
      <c r="P5" s="3"/>
    </row>
    <row r="6" spans="1:16" x14ac:dyDescent="0.3">
      <c r="A6" s="3" t="s">
        <v>680</v>
      </c>
      <c r="B6" s="3" t="s">
        <v>1806</v>
      </c>
      <c r="C6" s="3" t="s">
        <v>1807</v>
      </c>
      <c r="D6" s="3" t="s">
        <v>1808</v>
      </c>
      <c r="E6" s="3" t="s">
        <v>31</v>
      </c>
      <c r="F6" s="3" t="b">
        <v>0</v>
      </c>
      <c r="G6" s="3" t="s">
        <v>110</v>
      </c>
      <c r="H6" s="6">
        <v>44930.956273148149</v>
      </c>
      <c r="I6" s="3" t="b">
        <v>0</v>
      </c>
      <c r="J6" s="3" t="b">
        <v>1</v>
      </c>
      <c r="K6" s="3" t="s">
        <v>110</v>
      </c>
      <c r="L6" s="3" t="s">
        <v>48</v>
      </c>
      <c r="M6" s="8"/>
      <c r="N6" s="11">
        <v>17</v>
      </c>
      <c r="O6" s="3" t="s">
        <v>1809</v>
      </c>
      <c r="P6" s="3" t="s">
        <v>405</v>
      </c>
    </row>
    <row r="7" spans="1:16" x14ac:dyDescent="0.3">
      <c r="A7" s="3" t="s">
        <v>680</v>
      </c>
      <c r="B7" s="3" t="s">
        <v>1620</v>
      </c>
      <c r="C7" s="3" t="s">
        <v>565</v>
      </c>
      <c r="D7" s="3" t="s">
        <v>30</v>
      </c>
      <c r="E7" s="3" t="s">
        <v>31</v>
      </c>
      <c r="F7" s="3" t="b">
        <v>0</v>
      </c>
      <c r="G7" s="3" t="s">
        <v>140</v>
      </c>
      <c r="H7" s="6">
        <v>44942.890381944453</v>
      </c>
      <c r="I7" s="3" t="b">
        <v>0</v>
      </c>
      <c r="J7" s="3" t="b">
        <v>0</v>
      </c>
      <c r="K7" s="3" t="s">
        <v>33</v>
      </c>
      <c r="L7" s="3" t="s">
        <v>34</v>
      </c>
      <c r="M7" s="8">
        <v>77500</v>
      </c>
      <c r="N7" s="11"/>
      <c r="O7" s="3" t="s">
        <v>624</v>
      </c>
      <c r="P7" s="3" t="s">
        <v>2105</v>
      </c>
    </row>
    <row r="8" spans="1:16" x14ac:dyDescent="0.3">
      <c r="A8" s="3" t="s">
        <v>680</v>
      </c>
      <c r="B8" s="3" t="s">
        <v>2443</v>
      </c>
      <c r="C8" s="3" t="s">
        <v>87</v>
      </c>
      <c r="D8" s="3" t="s">
        <v>53</v>
      </c>
      <c r="E8" s="3" t="s">
        <v>133</v>
      </c>
      <c r="F8" s="3" t="b">
        <v>1</v>
      </c>
      <c r="G8" s="3" t="s">
        <v>84</v>
      </c>
      <c r="H8" s="6">
        <v>44951.168321759258</v>
      </c>
      <c r="I8" s="3" t="b">
        <v>0</v>
      </c>
      <c r="J8" s="3" t="b">
        <v>1</v>
      </c>
      <c r="K8" s="3" t="s">
        <v>33</v>
      </c>
      <c r="L8" s="3" t="s">
        <v>48</v>
      </c>
      <c r="M8" s="8"/>
      <c r="N8" s="11">
        <v>36.5</v>
      </c>
      <c r="O8" s="3" t="s">
        <v>1090</v>
      </c>
      <c r="P8" s="3"/>
    </row>
    <row r="9" spans="1:16" x14ac:dyDescent="0.3">
      <c r="A9" s="3" t="s">
        <v>680</v>
      </c>
      <c r="B9" s="3" t="s">
        <v>2559</v>
      </c>
      <c r="C9" s="3" t="s">
        <v>57</v>
      </c>
      <c r="D9" s="3" t="s">
        <v>30</v>
      </c>
      <c r="E9" s="3" t="s">
        <v>31</v>
      </c>
      <c r="F9" s="3" t="b">
        <v>0</v>
      </c>
      <c r="G9" s="3" t="s">
        <v>58</v>
      </c>
      <c r="H9" s="6">
        <v>44933.334224537037</v>
      </c>
      <c r="I9" s="3" t="b">
        <v>0</v>
      </c>
      <c r="J9" s="3" t="b">
        <v>1</v>
      </c>
      <c r="K9" s="3" t="s">
        <v>33</v>
      </c>
      <c r="L9" s="3" t="s">
        <v>34</v>
      </c>
      <c r="M9" s="8">
        <v>172500</v>
      </c>
      <c r="N9" s="11"/>
      <c r="O9" s="3" t="s">
        <v>158</v>
      </c>
      <c r="P9" s="3" t="s">
        <v>2560</v>
      </c>
    </row>
    <row r="10" spans="1:16" x14ac:dyDescent="0.3">
      <c r="A10" s="3" t="s">
        <v>680</v>
      </c>
      <c r="B10" s="3" t="s">
        <v>1620</v>
      </c>
      <c r="C10" s="3" t="s">
        <v>520</v>
      </c>
      <c r="D10" s="3" t="s">
        <v>30</v>
      </c>
      <c r="E10" s="3" t="s">
        <v>31</v>
      </c>
      <c r="F10" s="3" t="b">
        <v>0</v>
      </c>
      <c r="G10" s="3" t="s">
        <v>88</v>
      </c>
      <c r="H10" s="6">
        <v>44937.054918981477</v>
      </c>
      <c r="I10" s="3" t="b">
        <v>0</v>
      </c>
      <c r="J10" s="3" t="b">
        <v>0</v>
      </c>
      <c r="K10" s="3" t="s">
        <v>33</v>
      </c>
      <c r="L10" s="3" t="s">
        <v>34</v>
      </c>
      <c r="M10" s="8">
        <v>77500</v>
      </c>
      <c r="N10" s="11"/>
      <c r="O10" s="3" t="s">
        <v>114</v>
      </c>
      <c r="P10" s="3" t="s">
        <v>2792</v>
      </c>
    </row>
    <row r="11" spans="1:16" x14ac:dyDescent="0.3">
      <c r="A11" s="3" t="s">
        <v>680</v>
      </c>
      <c r="B11" s="3" t="s">
        <v>2906</v>
      </c>
      <c r="C11" s="3" t="s">
        <v>641</v>
      </c>
      <c r="D11" s="3" t="s">
        <v>93</v>
      </c>
      <c r="E11" s="3" t="s">
        <v>31</v>
      </c>
      <c r="F11" s="3" t="b">
        <v>0</v>
      </c>
      <c r="G11" s="3" t="s">
        <v>88</v>
      </c>
      <c r="H11" s="6">
        <v>44947.337557870371</v>
      </c>
      <c r="I11" s="3" t="b">
        <v>0</v>
      </c>
      <c r="J11" s="3" t="b">
        <v>0</v>
      </c>
      <c r="K11" s="3" t="s">
        <v>33</v>
      </c>
      <c r="L11" s="3" t="s">
        <v>34</v>
      </c>
      <c r="M11" s="8">
        <v>125000</v>
      </c>
      <c r="N11" s="11"/>
      <c r="O11" s="3" t="s">
        <v>814</v>
      </c>
      <c r="P11" s="3" t="s">
        <v>374</v>
      </c>
    </row>
    <row r="12" spans="1:16" x14ac:dyDescent="0.3">
      <c r="A12" s="3" t="s">
        <v>680</v>
      </c>
      <c r="B12" s="3" t="s">
        <v>3005</v>
      </c>
      <c r="C12" s="3" t="s">
        <v>87</v>
      </c>
      <c r="D12" s="3" t="s">
        <v>293</v>
      </c>
      <c r="E12" s="3" t="s">
        <v>31</v>
      </c>
      <c r="F12" s="3" t="b">
        <v>1</v>
      </c>
      <c r="G12" s="3" t="s">
        <v>3006</v>
      </c>
      <c r="H12" s="6">
        <v>44953.692175925928</v>
      </c>
      <c r="I12" s="3" t="b">
        <v>0</v>
      </c>
      <c r="J12" s="3" t="b">
        <v>0</v>
      </c>
      <c r="K12" s="3" t="s">
        <v>3006</v>
      </c>
      <c r="L12" s="3" t="s">
        <v>34</v>
      </c>
      <c r="M12" s="8">
        <v>110000</v>
      </c>
      <c r="N12" s="11"/>
      <c r="O12" s="3" t="s">
        <v>3007</v>
      </c>
      <c r="P12" s="3" t="s">
        <v>3008</v>
      </c>
    </row>
    <row r="13" spans="1:16" x14ac:dyDescent="0.3">
      <c r="A13" s="3" t="s">
        <v>680</v>
      </c>
      <c r="B13" s="3" t="s">
        <v>3086</v>
      </c>
      <c r="C13" s="3" t="s">
        <v>641</v>
      </c>
      <c r="D13" s="3" t="s">
        <v>30</v>
      </c>
      <c r="E13" s="3" t="s">
        <v>133</v>
      </c>
      <c r="F13" s="3" t="b">
        <v>0</v>
      </c>
      <c r="G13" s="3" t="s">
        <v>88</v>
      </c>
      <c r="H13" s="6">
        <v>44952.752951388888</v>
      </c>
      <c r="I13" s="3" t="b">
        <v>0</v>
      </c>
      <c r="J13" s="3" t="b">
        <v>0</v>
      </c>
      <c r="K13" s="3" t="s">
        <v>33</v>
      </c>
      <c r="L13" s="3" t="s">
        <v>48</v>
      </c>
      <c r="M13" s="8"/>
      <c r="N13" s="11">
        <v>32.5</v>
      </c>
      <c r="O13" s="3" t="s">
        <v>3087</v>
      </c>
      <c r="P13" s="3"/>
    </row>
    <row r="14" spans="1:16" x14ac:dyDescent="0.3">
      <c r="A14" s="3" t="s">
        <v>680</v>
      </c>
      <c r="B14" s="3" t="s">
        <v>3228</v>
      </c>
      <c r="C14" s="3" t="s">
        <v>565</v>
      </c>
      <c r="D14" s="3" t="s">
        <v>30</v>
      </c>
      <c r="E14" s="3" t="s">
        <v>31</v>
      </c>
      <c r="F14" s="3" t="b">
        <v>0</v>
      </c>
      <c r="G14" s="3" t="s">
        <v>140</v>
      </c>
      <c r="H14" s="6">
        <v>44930.065636574072</v>
      </c>
      <c r="I14" s="3" t="b">
        <v>0</v>
      </c>
      <c r="J14" s="3" t="b">
        <v>0</v>
      </c>
      <c r="K14" s="3" t="s">
        <v>33</v>
      </c>
      <c r="L14" s="3" t="s">
        <v>34</v>
      </c>
      <c r="M14" s="8">
        <v>97500</v>
      </c>
      <c r="N14" s="11"/>
      <c r="O14" s="3" t="s">
        <v>114</v>
      </c>
      <c r="P14" s="3" t="s">
        <v>3229</v>
      </c>
    </row>
    <row r="15" spans="1:16" x14ac:dyDescent="0.3">
      <c r="A15" s="3" t="s">
        <v>680</v>
      </c>
      <c r="B15" s="3" t="s">
        <v>3405</v>
      </c>
      <c r="C15" s="3" t="s">
        <v>739</v>
      </c>
      <c r="D15" s="3" t="s">
        <v>41</v>
      </c>
      <c r="E15" s="3" t="s">
        <v>31</v>
      </c>
      <c r="F15" s="3" t="b">
        <v>0</v>
      </c>
      <c r="G15" s="3" t="s">
        <v>740</v>
      </c>
      <c r="H15" s="6">
        <v>44951.586157407408</v>
      </c>
      <c r="I15" s="3" t="b">
        <v>0</v>
      </c>
      <c r="J15" s="3" t="b">
        <v>0</v>
      </c>
      <c r="K15" s="3" t="s">
        <v>740</v>
      </c>
      <c r="L15" s="3" t="s">
        <v>34</v>
      </c>
      <c r="M15" s="8">
        <v>63000</v>
      </c>
      <c r="N15" s="11"/>
      <c r="O15" s="3" t="s">
        <v>3406</v>
      </c>
      <c r="P15" s="3" t="s">
        <v>873</v>
      </c>
    </row>
    <row r="16" spans="1:16" x14ac:dyDescent="0.3">
      <c r="A16" s="3" t="s">
        <v>680</v>
      </c>
      <c r="B16" s="3" t="s">
        <v>3477</v>
      </c>
      <c r="C16" s="3" t="s">
        <v>1488</v>
      </c>
      <c r="D16" s="3" t="s">
        <v>188</v>
      </c>
      <c r="E16" s="3" t="s">
        <v>133</v>
      </c>
      <c r="F16" s="3" t="b">
        <v>0</v>
      </c>
      <c r="G16" s="3" t="s">
        <v>84</v>
      </c>
      <c r="H16" s="6">
        <v>44931.876597222217</v>
      </c>
      <c r="I16" s="3" t="b">
        <v>0</v>
      </c>
      <c r="J16" s="3" t="b">
        <v>0</v>
      </c>
      <c r="K16" s="3" t="s">
        <v>33</v>
      </c>
      <c r="L16" s="3" t="s">
        <v>48</v>
      </c>
      <c r="M16" s="8"/>
      <c r="N16" s="11">
        <v>35</v>
      </c>
      <c r="O16" s="3" t="s">
        <v>3478</v>
      </c>
      <c r="P16" s="3" t="s">
        <v>405</v>
      </c>
    </row>
    <row r="17" spans="1:16" x14ac:dyDescent="0.3">
      <c r="A17" s="3" t="s">
        <v>680</v>
      </c>
      <c r="B17" s="3" t="s">
        <v>3678</v>
      </c>
      <c r="C17" s="3" t="s">
        <v>641</v>
      </c>
      <c r="D17" s="3" t="s">
        <v>93</v>
      </c>
      <c r="E17" s="3" t="s">
        <v>31</v>
      </c>
      <c r="F17" s="3" t="b">
        <v>0</v>
      </c>
      <c r="G17" s="3" t="s">
        <v>88</v>
      </c>
      <c r="H17" s="6">
        <v>44940.252222222232</v>
      </c>
      <c r="I17" s="3" t="b">
        <v>0</v>
      </c>
      <c r="J17" s="3" t="b">
        <v>0</v>
      </c>
      <c r="K17" s="3" t="s">
        <v>33</v>
      </c>
      <c r="L17" s="3" t="s">
        <v>34</v>
      </c>
      <c r="M17" s="8">
        <v>150000</v>
      </c>
      <c r="N17" s="11"/>
      <c r="O17" s="3" t="s">
        <v>267</v>
      </c>
      <c r="P17" s="3" t="s">
        <v>3679</v>
      </c>
    </row>
    <row r="18" spans="1:16" x14ac:dyDescent="0.3">
      <c r="A18" s="3" t="s">
        <v>680</v>
      </c>
      <c r="B18" s="3" t="s">
        <v>3938</v>
      </c>
      <c r="C18" s="3" t="s">
        <v>3939</v>
      </c>
      <c r="D18" s="3" t="s">
        <v>151</v>
      </c>
      <c r="E18" s="3" t="s">
        <v>31</v>
      </c>
      <c r="F18" s="3" t="b">
        <v>0</v>
      </c>
      <c r="G18" s="3" t="s">
        <v>3940</v>
      </c>
      <c r="H18" s="6">
        <v>44945.854039351849</v>
      </c>
      <c r="I18" s="3" t="b">
        <v>0</v>
      </c>
      <c r="J18" s="3" t="b">
        <v>0</v>
      </c>
      <c r="K18" s="3" t="s">
        <v>3940</v>
      </c>
      <c r="L18" s="3" t="s">
        <v>34</v>
      </c>
      <c r="M18" s="8">
        <v>70000</v>
      </c>
      <c r="N18" s="11"/>
      <c r="O18" s="3" t="s">
        <v>3941</v>
      </c>
      <c r="P18" s="3" t="s">
        <v>3942</v>
      </c>
    </row>
    <row r="19" spans="1:16" x14ac:dyDescent="0.3">
      <c r="A19" s="3" t="s">
        <v>680</v>
      </c>
      <c r="B19" s="3" t="s">
        <v>4069</v>
      </c>
      <c r="C19" s="3" t="s">
        <v>2197</v>
      </c>
      <c r="D19" s="3" t="s">
        <v>1253</v>
      </c>
      <c r="E19" s="3" t="s">
        <v>31</v>
      </c>
      <c r="F19" s="3" t="b">
        <v>0</v>
      </c>
      <c r="G19" s="3" t="s">
        <v>1252</v>
      </c>
      <c r="H19" s="6">
        <v>44930.988946759258</v>
      </c>
      <c r="I19" s="3" t="b">
        <v>0</v>
      </c>
      <c r="J19" s="3" t="b">
        <v>0</v>
      </c>
      <c r="K19" s="3" t="s">
        <v>1252</v>
      </c>
      <c r="L19" s="3" t="s">
        <v>48</v>
      </c>
      <c r="M19" s="8"/>
      <c r="N19" s="11">
        <v>20</v>
      </c>
      <c r="O19" s="3" t="s">
        <v>4070</v>
      </c>
      <c r="P19" s="3" t="s">
        <v>374</v>
      </c>
    </row>
    <row r="20" spans="1:16" x14ac:dyDescent="0.3">
      <c r="A20" s="3" t="s">
        <v>680</v>
      </c>
      <c r="B20" s="3" t="s">
        <v>4083</v>
      </c>
      <c r="C20" s="3" t="s">
        <v>4084</v>
      </c>
      <c r="D20" s="3" t="s">
        <v>188</v>
      </c>
      <c r="E20" s="3" t="s">
        <v>31</v>
      </c>
      <c r="F20" s="3" t="b">
        <v>0</v>
      </c>
      <c r="G20" s="3" t="s">
        <v>58</v>
      </c>
      <c r="H20" s="6">
        <v>44944.126643518517</v>
      </c>
      <c r="I20" s="3" t="b">
        <v>0</v>
      </c>
      <c r="J20" s="3" t="b">
        <v>1</v>
      </c>
      <c r="K20" s="3" t="s">
        <v>33</v>
      </c>
      <c r="L20" s="3" t="s">
        <v>34</v>
      </c>
      <c r="M20" s="8">
        <v>105800</v>
      </c>
      <c r="N20" s="11"/>
      <c r="O20" s="3" t="s">
        <v>426</v>
      </c>
      <c r="P20" s="3" t="s">
        <v>4085</v>
      </c>
    </row>
    <row r="21" spans="1:16" x14ac:dyDescent="0.3">
      <c r="A21" s="3" t="s">
        <v>680</v>
      </c>
      <c r="B21" s="3" t="s">
        <v>4191</v>
      </c>
      <c r="C21" s="3" t="s">
        <v>4192</v>
      </c>
      <c r="D21" s="3" t="s">
        <v>53</v>
      </c>
      <c r="E21" s="3" t="s">
        <v>31</v>
      </c>
      <c r="F21" s="3" t="b">
        <v>0</v>
      </c>
      <c r="G21" s="3" t="s">
        <v>88</v>
      </c>
      <c r="H21" s="6">
        <v>44932.83556712963</v>
      </c>
      <c r="I21" s="3" t="b">
        <v>0</v>
      </c>
      <c r="J21" s="3" t="b">
        <v>0</v>
      </c>
      <c r="K21" s="3" t="s">
        <v>33</v>
      </c>
      <c r="L21" s="3" t="s">
        <v>48</v>
      </c>
      <c r="M21" s="8"/>
      <c r="N21" s="11">
        <v>20</v>
      </c>
      <c r="O21" s="3" t="s">
        <v>4193</v>
      </c>
      <c r="P21" s="3" t="s">
        <v>405</v>
      </c>
    </row>
    <row r="22" spans="1:16" x14ac:dyDescent="0.3">
      <c r="A22" s="3" t="s">
        <v>680</v>
      </c>
      <c r="B22" s="3" t="s">
        <v>4340</v>
      </c>
      <c r="C22" s="3" t="s">
        <v>1916</v>
      </c>
      <c r="D22" s="3" t="s">
        <v>41</v>
      </c>
      <c r="E22" s="3" t="s">
        <v>31</v>
      </c>
      <c r="F22" s="3" t="b">
        <v>0</v>
      </c>
      <c r="G22" s="3" t="s">
        <v>1917</v>
      </c>
      <c r="H22" s="6">
        <v>44950.19866898148</v>
      </c>
      <c r="I22" s="3" t="b">
        <v>1</v>
      </c>
      <c r="J22" s="3" t="b">
        <v>0</v>
      </c>
      <c r="K22" s="3" t="s">
        <v>1917</v>
      </c>
      <c r="L22" s="3" t="s">
        <v>34</v>
      </c>
      <c r="M22" s="8">
        <v>63000</v>
      </c>
      <c r="N22" s="11"/>
      <c r="O22" s="3" t="s">
        <v>3340</v>
      </c>
      <c r="P22" s="3" t="s">
        <v>4341</v>
      </c>
    </row>
    <row r="23" spans="1:16" x14ac:dyDescent="0.3">
      <c r="A23" s="3" t="s">
        <v>680</v>
      </c>
      <c r="B23" s="3" t="s">
        <v>4515</v>
      </c>
      <c r="C23" s="3" t="s">
        <v>29</v>
      </c>
      <c r="D23" s="3" t="s">
        <v>30</v>
      </c>
      <c r="E23" s="3" t="s">
        <v>133</v>
      </c>
      <c r="F23" s="3" t="b">
        <v>0</v>
      </c>
      <c r="G23" s="3" t="s">
        <v>32</v>
      </c>
      <c r="H23" s="6">
        <v>44945.720601851863</v>
      </c>
      <c r="I23" s="3" t="b">
        <v>0</v>
      </c>
      <c r="J23" s="3" t="b">
        <v>0</v>
      </c>
      <c r="K23" s="3" t="s">
        <v>33</v>
      </c>
      <c r="L23" s="3" t="s">
        <v>48</v>
      </c>
      <c r="M23" s="8"/>
      <c r="N23" s="11">
        <v>85</v>
      </c>
      <c r="O23" s="3" t="s">
        <v>1796</v>
      </c>
      <c r="P23" s="3" t="s">
        <v>3799</v>
      </c>
    </row>
    <row r="24" spans="1:16" x14ac:dyDescent="0.3">
      <c r="A24" s="3" t="s">
        <v>680</v>
      </c>
      <c r="B24" s="3" t="s">
        <v>4693</v>
      </c>
      <c r="C24" s="3" t="s">
        <v>87</v>
      </c>
      <c r="D24" s="3" t="s">
        <v>53</v>
      </c>
      <c r="E24" s="3" t="s">
        <v>133</v>
      </c>
      <c r="F24" s="3" t="b">
        <v>1</v>
      </c>
      <c r="G24" s="3" t="s">
        <v>58</v>
      </c>
      <c r="H24" s="6">
        <v>44932.793263888889</v>
      </c>
      <c r="I24" s="3" t="b">
        <v>0</v>
      </c>
      <c r="J24" s="3" t="b">
        <v>0</v>
      </c>
      <c r="K24" s="3" t="s">
        <v>33</v>
      </c>
      <c r="L24" s="3" t="s">
        <v>48</v>
      </c>
      <c r="M24" s="8"/>
      <c r="N24" s="11">
        <v>26</v>
      </c>
      <c r="O24" s="3" t="s">
        <v>4519</v>
      </c>
      <c r="P24" s="3" t="s">
        <v>4694</v>
      </c>
    </row>
    <row r="25" spans="1:16" x14ac:dyDescent="0.3">
      <c r="A25" s="3" t="s">
        <v>680</v>
      </c>
      <c r="B25" s="3" t="s">
        <v>4716</v>
      </c>
      <c r="C25" s="3" t="s">
        <v>87</v>
      </c>
      <c r="D25" s="3" t="s">
        <v>53</v>
      </c>
      <c r="E25" s="3" t="s">
        <v>31</v>
      </c>
      <c r="F25" s="3" t="b">
        <v>1</v>
      </c>
      <c r="G25" s="3" t="s">
        <v>32</v>
      </c>
      <c r="H25" s="6">
        <v>44938.709305555552</v>
      </c>
      <c r="I25" s="3" t="b">
        <v>0</v>
      </c>
      <c r="J25" s="3" t="b">
        <v>0</v>
      </c>
      <c r="K25" s="3" t="s">
        <v>33</v>
      </c>
      <c r="L25" s="3" t="s">
        <v>48</v>
      </c>
      <c r="M25" s="8"/>
      <c r="N25" s="11">
        <v>70</v>
      </c>
      <c r="O25" s="3" t="s">
        <v>4717</v>
      </c>
      <c r="P25" s="3" t="s">
        <v>4718</v>
      </c>
    </row>
    <row r="26" spans="1:16" x14ac:dyDescent="0.3">
      <c r="A26" s="3" t="s">
        <v>680</v>
      </c>
      <c r="B26" s="3" t="s">
        <v>4740</v>
      </c>
      <c r="C26" s="3" t="s">
        <v>1324</v>
      </c>
      <c r="D26" s="3" t="s">
        <v>41</v>
      </c>
      <c r="E26" s="3" t="s">
        <v>31</v>
      </c>
      <c r="F26" s="3" t="b">
        <v>0</v>
      </c>
      <c r="G26" s="3" t="s">
        <v>1324</v>
      </c>
      <c r="H26" s="6">
        <v>44946.968229166669</v>
      </c>
      <c r="I26" s="3" t="b">
        <v>0</v>
      </c>
      <c r="J26" s="3" t="b">
        <v>0</v>
      </c>
      <c r="K26" s="3" t="s">
        <v>1324</v>
      </c>
      <c r="L26" s="3" t="s">
        <v>34</v>
      </c>
      <c r="M26" s="8">
        <v>79200</v>
      </c>
      <c r="N26" s="11"/>
      <c r="O26" s="3" t="s">
        <v>310</v>
      </c>
      <c r="P26" s="3" t="s">
        <v>4057</v>
      </c>
    </row>
    <row r="27" spans="1:16" x14ac:dyDescent="0.3">
      <c r="A27" s="3" t="s">
        <v>680</v>
      </c>
      <c r="B27" s="3" t="s">
        <v>4842</v>
      </c>
      <c r="C27" s="3" t="s">
        <v>636</v>
      </c>
      <c r="D27" s="3" t="s">
        <v>1113</v>
      </c>
      <c r="E27" s="3" t="s">
        <v>31</v>
      </c>
      <c r="F27" s="3" t="b">
        <v>0</v>
      </c>
      <c r="G27" s="3" t="s">
        <v>58</v>
      </c>
      <c r="H27" s="6">
        <v>44953.543391203697</v>
      </c>
      <c r="I27" s="3" t="b">
        <v>0</v>
      </c>
      <c r="J27" s="3" t="b">
        <v>0</v>
      </c>
      <c r="K27" s="3" t="s">
        <v>33</v>
      </c>
      <c r="L27" s="3" t="s">
        <v>34</v>
      </c>
      <c r="M27" s="8">
        <v>112500</v>
      </c>
      <c r="N27" s="11"/>
      <c r="O27" s="3" t="s">
        <v>4843</v>
      </c>
      <c r="P27" s="3" t="s">
        <v>4844</v>
      </c>
    </row>
    <row r="28" spans="1:16" x14ac:dyDescent="0.3">
      <c r="A28" s="3" t="s">
        <v>680</v>
      </c>
      <c r="B28" s="3" t="s">
        <v>4987</v>
      </c>
      <c r="C28" s="3" t="s">
        <v>4971</v>
      </c>
      <c r="D28" s="3" t="s">
        <v>1795</v>
      </c>
      <c r="E28" s="3" t="s">
        <v>31</v>
      </c>
      <c r="F28" s="3" t="b">
        <v>0</v>
      </c>
      <c r="G28" s="3" t="s">
        <v>32</v>
      </c>
      <c r="H28" s="6">
        <v>44932.334398148138</v>
      </c>
      <c r="I28" s="3" t="b">
        <v>0</v>
      </c>
      <c r="J28" s="3" t="b">
        <v>1</v>
      </c>
      <c r="K28" s="3" t="s">
        <v>33</v>
      </c>
      <c r="L28" s="3" t="s">
        <v>34</v>
      </c>
      <c r="M28" s="8">
        <v>125000</v>
      </c>
      <c r="N28" s="11"/>
      <c r="O28" s="3" t="s">
        <v>1796</v>
      </c>
      <c r="P28" s="3" t="s">
        <v>4988</v>
      </c>
    </row>
    <row r="29" spans="1:16" x14ac:dyDescent="0.3">
      <c r="A29" s="3" t="s">
        <v>680</v>
      </c>
      <c r="B29" s="3" t="s">
        <v>1620</v>
      </c>
      <c r="C29" s="3" t="s">
        <v>3061</v>
      </c>
      <c r="D29" s="3" t="s">
        <v>30</v>
      </c>
      <c r="E29" s="3" t="s">
        <v>31</v>
      </c>
      <c r="F29" s="3" t="b">
        <v>0</v>
      </c>
      <c r="G29" s="3" t="s">
        <v>88</v>
      </c>
      <c r="H29" s="6">
        <v>44928.626388888893</v>
      </c>
      <c r="I29" s="3" t="b">
        <v>1</v>
      </c>
      <c r="J29" s="3" t="b">
        <v>0</v>
      </c>
      <c r="K29" s="3" t="s">
        <v>33</v>
      </c>
      <c r="L29" s="3" t="s">
        <v>34</v>
      </c>
      <c r="M29" s="8">
        <v>80000</v>
      </c>
      <c r="N29" s="11"/>
      <c r="O29" s="3" t="s">
        <v>5265</v>
      </c>
      <c r="P29" s="3" t="s">
        <v>5266</v>
      </c>
    </row>
    <row r="30" spans="1:16" x14ac:dyDescent="0.3">
      <c r="A30" s="3" t="s">
        <v>680</v>
      </c>
      <c r="B30" s="3" t="s">
        <v>5267</v>
      </c>
      <c r="C30" s="3" t="s">
        <v>87</v>
      </c>
      <c r="D30" s="3" t="s">
        <v>5268</v>
      </c>
      <c r="E30" s="3" t="s">
        <v>31</v>
      </c>
      <c r="F30" s="3" t="b">
        <v>1</v>
      </c>
      <c r="G30" s="3" t="s">
        <v>140</v>
      </c>
      <c r="H30" s="6">
        <v>44927.012442129628</v>
      </c>
      <c r="I30" s="3" t="b">
        <v>0</v>
      </c>
      <c r="J30" s="3" t="b">
        <v>1</v>
      </c>
      <c r="K30" s="3" t="s">
        <v>33</v>
      </c>
      <c r="L30" s="3" t="s">
        <v>34</v>
      </c>
      <c r="M30" s="8">
        <v>90000</v>
      </c>
      <c r="N30" s="11"/>
      <c r="O30" s="3" t="s">
        <v>5269</v>
      </c>
      <c r="P30" s="3" t="s">
        <v>5270</v>
      </c>
    </row>
    <row r="31" spans="1:16" x14ac:dyDescent="0.3">
      <c r="A31" s="3" t="s">
        <v>680</v>
      </c>
      <c r="B31" s="3" t="s">
        <v>1620</v>
      </c>
      <c r="C31" s="3" t="s">
        <v>417</v>
      </c>
      <c r="D31" s="3" t="s">
        <v>30</v>
      </c>
      <c r="E31" s="3" t="s">
        <v>31</v>
      </c>
      <c r="F31" s="3" t="b">
        <v>0</v>
      </c>
      <c r="G31" s="3" t="s">
        <v>58</v>
      </c>
      <c r="H31" s="6">
        <v>44932.543298611112</v>
      </c>
      <c r="I31" s="3" t="b">
        <v>0</v>
      </c>
      <c r="J31" s="3" t="b">
        <v>0</v>
      </c>
      <c r="K31" s="3" t="s">
        <v>33</v>
      </c>
      <c r="L31" s="3" t="s">
        <v>34</v>
      </c>
      <c r="M31" s="8">
        <v>105000</v>
      </c>
      <c r="N31" s="11"/>
      <c r="O31" s="3" t="s">
        <v>5361</v>
      </c>
      <c r="P31" s="3" t="s">
        <v>5362</v>
      </c>
    </row>
    <row r="32" spans="1:16" x14ac:dyDescent="0.3">
      <c r="A32" s="3" t="s">
        <v>680</v>
      </c>
      <c r="B32" s="3" t="s">
        <v>5416</v>
      </c>
      <c r="C32" s="3" t="s">
        <v>5417</v>
      </c>
      <c r="D32" s="3" t="s">
        <v>287</v>
      </c>
      <c r="E32" s="3" t="s">
        <v>1861</v>
      </c>
      <c r="F32" s="3" t="b">
        <v>0</v>
      </c>
      <c r="G32" s="3" t="s">
        <v>88</v>
      </c>
      <c r="H32" s="6">
        <v>44949.002164351848</v>
      </c>
      <c r="I32" s="3" t="b">
        <v>1</v>
      </c>
      <c r="J32" s="3" t="b">
        <v>0</v>
      </c>
      <c r="K32" s="3" t="s">
        <v>33</v>
      </c>
      <c r="L32" s="3" t="s">
        <v>34</v>
      </c>
      <c r="M32" s="8">
        <v>101279</v>
      </c>
      <c r="N32" s="11"/>
      <c r="O32" s="3" t="s">
        <v>5418</v>
      </c>
      <c r="P32" s="3" t="s">
        <v>756</v>
      </c>
    </row>
    <row r="33" spans="1:16" x14ac:dyDescent="0.3">
      <c r="A33" s="3" t="s">
        <v>680</v>
      </c>
      <c r="B33" s="3" t="s">
        <v>5441</v>
      </c>
      <c r="C33" s="3" t="s">
        <v>800</v>
      </c>
      <c r="D33" s="3" t="s">
        <v>1113</v>
      </c>
      <c r="E33" s="3" t="s">
        <v>31</v>
      </c>
      <c r="F33" s="3" t="b">
        <v>0</v>
      </c>
      <c r="G33" s="3" t="s">
        <v>110</v>
      </c>
      <c r="H33" s="6">
        <v>44935.690520833326</v>
      </c>
      <c r="I33" s="3" t="b">
        <v>0</v>
      </c>
      <c r="J33" s="3" t="b">
        <v>1</v>
      </c>
      <c r="K33" s="3" t="s">
        <v>110</v>
      </c>
      <c r="L33" s="3" t="s">
        <v>34</v>
      </c>
      <c r="M33" s="8">
        <v>113550</v>
      </c>
      <c r="N33" s="11"/>
      <c r="O33" s="3" t="s">
        <v>351</v>
      </c>
      <c r="P33" s="3" t="s">
        <v>5442</v>
      </c>
    </row>
    <row r="34" spans="1:16" x14ac:dyDescent="0.3">
      <c r="A34" s="3" t="s">
        <v>680</v>
      </c>
      <c r="B34" s="3" t="s">
        <v>1620</v>
      </c>
      <c r="C34" s="3" t="s">
        <v>5498</v>
      </c>
      <c r="D34" s="3" t="s">
        <v>30</v>
      </c>
      <c r="E34" s="3" t="s">
        <v>31</v>
      </c>
      <c r="F34" s="3" t="b">
        <v>0</v>
      </c>
      <c r="G34" s="3" t="s">
        <v>64</v>
      </c>
      <c r="H34" s="6">
        <v>44941.791875000003</v>
      </c>
      <c r="I34" s="3" t="b">
        <v>1</v>
      </c>
      <c r="J34" s="3" t="b">
        <v>0</v>
      </c>
      <c r="K34" s="3" t="s">
        <v>33</v>
      </c>
      <c r="L34" s="3" t="s">
        <v>48</v>
      </c>
      <c r="M34" s="8"/>
      <c r="N34" s="11">
        <v>27</v>
      </c>
      <c r="O34" s="3" t="s">
        <v>5499</v>
      </c>
      <c r="P34" s="3"/>
    </row>
    <row r="35" spans="1:16" x14ac:dyDescent="0.3">
      <c r="A35" s="3" t="s">
        <v>680</v>
      </c>
      <c r="B35" s="3" t="s">
        <v>5585</v>
      </c>
      <c r="C35" s="3" t="s">
        <v>4971</v>
      </c>
      <c r="D35" s="3" t="s">
        <v>1580</v>
      </c>
      <c r="E35" s="3" t="s">
        <v>31</v>
      </c>
      <c r="F35" s="3" t="b">
        <v>0</v>
      </c>
      <c r="G35" s="3" t="s">
        <v>32</v>
      </c>
      <c r="H35" s="6">
        <v>44930.020208333342</v>
      </c>
      <c r="I35" s="3" t="b">
        <v>0</v>
      </c>
      <c r="J35" s="3" t="b">
        <v>1</v>
      </c>
      <c r="K35" s="3" t="s">
        <v>33</v>
      </c>
      <c r="L35" s="3" t="s">
        <v>34</v>
      </c>
      <c r="M35" s="8">
        <v>68700</v>
      </c>
      <c r="N35" s="11"/>
      <c r="O35" s="3" t="s">
        <v>5586</v>
      </c>
      <c r="P35" s="3" t="s">
        <v>5430</v>
      </c>
    </row>
    <row r="36" spans="1:16" x14ac:dyDescent="0.3">
      <c r="A36" s="3" t="s">
        <v>680</v>
      </c>
      <c r="B36" s="3" t="s">
        <v>1620</v>
      </c>
      <c r="C36" s="3" t="s">
        <v>5590</v>
      </c>
      <c r="D36" s="3" t="s">
        <v>30</v>
      </c>
      <c r="E36" s="3" t="s">
        <v>31</v>
      </c>
      <c r="F36" s="3" t="b">
        <v>0</v>
      </c>
      <c r="G36" s="3" t="s">
        <v>32</v>
      </c>
      <c r="H36" s="6">
        <v>44936.709097222221</v>
      </c>
      <c r="I36" s="3" t="b">
        <v>0</v>
      </c>
      <c r="J36" s="3" t="b">
        <v>1</v>
      </c>
      <c r="K36" s="3" t="s">
        <v>33</v>
      </c>
      <c r="L36" s="3" t="s">
        <v>34</v>
      </c>
      <c r="M36" s="8">
        <v>85000</v>
      </c>
      <c r="N36" s="11"/>
      <c r="O36" s="3" t="s">
        <v>5591</v>
      </c>
      <c r="P36" s="3" t="s">
        <v>5592</v>
      </c>
    </row>
    <row r="37" spans="1:16" x14ac:dyDescent="0.3">
      <c r="A37" s="3" t="s">
        <v>680</v>
      </c>
      <c r="B37" s="3" t="s">
        <v>680</v>
      </c>
      <c r="C37" s="3" t="s">
        <v>5599</v>
      </c>
      <c r="D37" s="3" t="s">
        <v>30</v>
      </c>
      <c r="E37" s="3" t="s">
        <v>31</v>
      </c>
      <c r="F37" s="3" t="b">
        <v>0</v>
      </c>
      <c r="G37" s="3" t="s">
        <v>140</v>
      </c>
      <c r="H37" s="6">
        <v>44949.683888888889</v>
      </c>
      <c r="I37" s="3" t="b">
        <v>0</v>
      </c>
      <c r="J37" s="3" t="b">
        <v>1</v>
      </c>
      <c r="K37" s="3" t="s">
        <v>33</v>
      </c>
      <c r="L37" s="3" t="s">
        <v>34</v>
      </c>
      <c r="M37" s="8">
        <v>74500</v>
      </c>
      <c r="N37" s="11"/>
      <c r="O37" s="3" t="s">
        <v>5600</v>
      </c>
      <c r="P37" s="3" t="s">
        <v>5601</v>
      </c>
    </row>
    <row r="38" spans="1:16" x14ac:dyDescent="0.3">
      <c r="A38" s="3" t="s">
        <v>680</v>
      </c>
      <c r="B38" s="3" t="s">
        <v>5710</v>
      </c>
      <c r="C38" s="3" t="s">
        <v>800</v>
      </c>
      <c r="D38" s="3" t="s">
        <v>1113</v>
      </c>
      <c r="E38" s="3" t="s">
        <v>31</v>
      </c>
      <c r="F38" s="3" t="b">
        <v>0</v>
      </c>
      <c r="G38" s="3" t="s">
        <v>110</v>
      </c>
      <c r="H38" s="6">
        <v>44935.69059027778</v>
      </c>
      <c r="I38" s="3" t="b">
        <v>0</v>
      </c>
      <c r="J38" s="3" t="b">
        <v>1</v>
      </c>
      <c r="K38" s="3" t="s">
        <v>110</v>
      </c>
      <c r="L38" s="3" t="s">
        <v>34</v>
      </c>
      <c r="M38" s="8">
        <v>103350</v>
      </c>
      <c r="N38" s="11"/>
      <c r="O38" s="3" t="s">
        <v>351</v>
      </c>
      <c r="P38" s="3" t="s">
        <v>5711</v>
      </c>
    </row>
    <row r="39" spans="1:16" x14ac:dyDescent="0.3">
      <c r="A39" s="3" t="s">
        <v>680</v>
      </c>
      <c r="B39" s="3" t="s">
        <v>5786</v>
      </c>
      <c r="C39" s="3" t="s">
        <v>447</v>
      </c>
      <c r="D39" s="3" t="s">
        <v>188</v>
      </c>
      <c r="E39" s="3" t="s">
        <v>31</v>
      </c>
      <c r="F39" s="3" t="b">
        <v>0</v>
      </c>
      <c r="G39" s="3" t="s">
        <v>32</v>
      </c>
      <c r="H39" s="6">
        <v>44943.626238425917</v>
      </c>
      <c r="I39" s="3" t="b">
        <v>0</v>
      </c>
      <c r="J39" s="3" t="b">
        <v>0</v>
      </c>
      <c r="K39" s="3" t="s">
        <v>33</v>
      </c>
      <c r="L39" s="3" t="s">
        <v>34</v>
      </c>
      <c r="M39" s="8">
        <v>130000</v>
      </c>
      <c r="N39" s="11"/>
      <c r="O39" s="3" t="s">
        <v>5787</v>
      </c>
      <c r="P39" s="3" t="s">
        <v>5788</v>
      </c>
    </row>
    <row r="40" spans="1:16" x14ac:dyDescent="0.3">
      <c r="A40" s="3" t="s">
        <v>680</v>
      </c>
      <c r="B40" s="3" t="s">
        <v>5942</v>
      </c>
      <c r="C40" s="3" t="s">
        <v>87</v>
      </c>
      <c r="D40" s="3" t="s">
        <v>53</v>
      </c>
      <c r="E40" s="3" t="s">
        <v>31</v>
      </c>
      <c r="F40" s="3" t="b">
        <v>1</v>
      </c>
      <c r="G40" s="3" t="s">
        <v>88</v>
      </c>
      <c r="H40" s="6">
        <v>44935.918634259258</v>
      </c>
      <c r="I40" s="3" t="b">
        <v>0</v>
      </c>
      <c r="J40" s="3" t="b">
        <v>1</v>
      </c>
      <c r="K40" s="3" t="s">
        <v>33</v>
      </c>
      <c r="L40" s="3" t="s">
        <v>48</v>
      </c>
      <c r="M40" s="8"/>
      <c r="N40" s="11">
        <v>30</v>
      </c>
      <c r="O40" s="3" t="s">
        <v>4248</v>
      </c>
      <c r="P40" s="3" t="s">
        <v>3428</v>
      </c>
    </row>
    <row r="41" spans="1:16" x14ac:dyDescent="0.3">
      <c r="A41" s="3" t="s">
        <v>680</v>
      </c>
      <c r="B41" s="3" t="s">
        <v>1620</v>
      </c>
      <c r="C41" s="3" t="s">
        <v>87</v>
      </c>
      <c r="D41" s="3" t="s">
        <v>307</v>
      </c>
      <c r="E41" s="3" t="s">
        <v>31</v>
      </c>
      <c r="F41" s="3" t="b">
        <v>1</v>
      </c>
      <c r="G41" s="3" t="s">
        <v>88</v>
      </c>
      <c r="H41" s="6">
        <v>44953.336006944453</v>
      </c>
      <c r="I41" s="3" t="b">
        <v>0</v>
      </c>
      <c r="J41" s="3" t="b">
        <v>0</v>
      </c>
      <c r="K41" s="3" t="s">
        <v>33</v>
      </c>
      <c r="L41" s="3" t="s">
        <v>34</v>
      </c>
      <c r="M41" s="8">
        <v>77500</v>
      </c>
      <c r="N41" s="11"/>
      <c r="O41" s="3" t="s">
        <v>114</v>
      </c>
      <c r="P41" s="3" t="s">
        <v>1950</v>
      </c>
    </row>
    <row r="42" spans="1:16" x14ac:dyDescent="0.3">
      <c r="A42" s="3" t="s">
        <v>680</v>
      </c>
      <c r="B42" s="3" t="s">
        <v>6133</v>
      </c>
      <c r="C42" s="3" t="s">
        <v>212</v>
      </c>
      <c r="D42" s="3" t="s">
        <v>41</v>
      </c>
      <c r="E42" s="3" t="s">
        <v>31</v>
      </c>
      <c r="F42" s="3" t="b">
        <v>0</v>
      </c>
      <c r="G42" s="3" t="s">
        <v>213</v>
      </c>
      <c r="H42" s="6">
        <v>44931.357453703713</v>
      </c>
      <c r="I42" s="3" t="b">
        <v>0</v>
      </c>
      <c r="J42" s="3" t="b">
        <v>0</v>
      </c>
      <c r="K42" s="3" t="s">
        <v>213</v>
      </c>
      <c r="L42" s="3" t="s">
        <v>34</v>
      </c>
      <c r="M42" s="8">
        <v>80850</v>
      </c>
      <c r="N42" s="11"/>
      <c r="O42" s="3" t="s">
        <v>793</v>
      </c>
      <c r="P42" s="3" t="s">
        <v>268</v>
      </c>
    </row>
    <row r="43" spans="1:16" x14ac:dyDescent="0.3">
      <c r="A43" s="3" t="s">
        <v>680</v>
      </c>
      <c r="B43" s="3" t="s">
        <v>6150</v>
      </c>
      <c r="C43" s="3" t="s">
        <v>87</v>
      </c>
      <c r="D43" s="3" t="s">
        <v>53</v>
      </c>
      <c r="E43" s="3" t="s">
        <v>31</v>
      </c>
      <c r="F43" s="3" t="b">
        <v>1</v>
      </c>
      <c r="G43" s="3" t="s">
        <v>88</v>
      </c>
      <c r="H43" s="6">
        <v>44936.971736111111</v>
      </c>
      <c r="I43" s="3" t="b">
        <v>0</v>
      </c>
      <c r="J43" s="3" t="b">
        <v>1</v>
      </c>
      <c r="K43" s="3" t="s">
        <v>33</v>
      </c>
      <c r="L43" s="3" t="s">
        <v>48</v>
      </c>
      <c r="M43" s="8"/>
      <c r="N43" s="11">
        <v>30</v>
      </c>
      <c r="O43" s="3" t="s">
        <v>4248</v>
      </c>
      <c r="P43" s="3" t="s">
        <v>3428</v>
      </c>
    </row>
    <row r="44" spans="1:16" x14ac:dyDescent="0.3">
      <c r="A44" s="3" t="s">
        <v>680</v>
      </c>
      <c r="B44" s="3" t="s">
        <v>6195</v>
      </c>
      <c r="C44" s="3" t="s">
        <v>6196</v>
      </c>
      <c r="D44" s="3" t="s">
        <v>760</v>
      </c>
      <c r="E44" s="3" t="s">
        <v>31</v>
      </c>
      <c r="F44" s="3" t="b">
        <v>0</v>
      </c>
      <c r="G44" s="3" t="s">
        <v>84</v>
      </c>
      <c r="H44" s="6">
        <v>44939.711226851847</v>
      </c>
      <c r="I44" s="3" t="b">
        <v>0</v>
      </c>
      <c r="J44" s="3" t="b">
        <v>0</v>
      </c>
      <c r="K44" s="3" t="s">
        <v>33</v>
      </c>
      <c r="L44" s="3" t="s">
        <v>48</v>
      </c>
      <c r="M44" s="8"/>
      <c r="N44" s="11">
        <v>25.985000610351559</v>
      </c>
      <c r="O44" s="3" t="s">
        <v>761</v>
      </c>
      <c r="P44" s="3" t="s">
        <v>6197</v>
      </c>
    </row>
    <row r="45" spans="1:16" x14ac:dyDescent="0.3">
      <c r="A45" s="3" t="s">
        <v>680</v>
      </c>
      <c r="B45" s="3" t="s">
        <v>3086</v>
      </c>
      <c r="C45" s="3" t="s">
        <v>6333</v>
      </c>
      <c r="D45" s="3" t="s">
        <v>30</v>
      </c>
      <c r="E45" s="3" t="s">
        <v>31</v>
      </c>
      <c r="F45" s="3" t="b">
        <v>0</v>
      </c>
      <c r="G45" s="3" t="s">
        <v>84</v>
      </c>
      <c r="H45" s="6">
        <v>44944.168900462973</v>
      </c>
      <c r="I45" s="3" t="b">
        <v>0</v>
      </c>
      <c r="J45" s="3" t="b">
        <v>0</v>
      </c>
      <c r="K45" s="3" t="s">
        <v>33</v>
      </c>
      <c r="L45" s="3" t="s">
        <v>34</v>
      </c>
      <c r="M45" s="8">
        <v>51000</v>
      </c>
      <c r="N45" s="11"/>
      <c r="O45" s="3" t="s">
        <v>1199</v>
      </c>
      <c r="P45" s="3"/>
    </row>
    <row r="46" spans="1:16" x14ac:dyDescent="0.3">
      <c r="A46" s="3" t="s">
        <v>680</v>
      </c>
      <c r="B46" s="3" t="s">
        <v>1620</v>
      </c>
      <c r="C46" s="3" t="s">
        <v>520</v>
      </c>
      <c r="D46" s="3" t="s">
        <v>30</v>
      </c>
      <c r="E46" s="3" t="s">
        <v>31</v>
      </c>
      <c r="F46" s="3" t="b">
        <v>0</v>
      </c>
      <c r="G46" s="3" t="s">
        <v>88</v>
      </c>
      <c r="H46" s="6">
        <v>44938.751967592587</v>
      </c>
      <c r="I46" s="3" t="b">
        <v>0</v>
      </c>
      <c r="J46" s="3" t="b">
        <v>0</v>
      </c>
      <c r="K46" s="3" t="s">
        <v>33</v>
      </c>
      <c r="L46" s="3" t="s">
        <v>34</v>
      </c>
      <c r="M46" s="8">
        <v>100000</v>
      </c>
      <c r="N46" s="11"/>
      <c r="O46" s="3" t="s">
        <v>2219</v>
      </c>
      <c r="P46" s="3" t="s">
        <v>3526</v>
      </c>
    </row>
    <row r="47" spans="1:16" x14ac:dyDescent="0.3">
      <c r="A47" s="3" t="s">
        <v>2485</v>
      </c>
      <c r="B47" s="3" t="s">
        <v>2486</v>
      </c>
      <c r="C47" s="3" t="s">
        <v>381</v>
      </c>
      <c r="D47" s="3" t="s">
        <v>41</v>
      </c>
      <c r="E47" s="3" t="s">
        <v>31</v>
      </c>
      <c r="F47" s="3" t="b">
        <v>0</v>
      </c>
      <c r="G47" s="3" t="s">
        <v>381</v>
      </c>
      <c r="H47" s="6">
        <v>44957.108402777783</v>
      </c>
      <c r="I47" s="3" t="b">
        <v>0</v>
      </c>
      <c r="J47" s="3" t="b">
        <v>0</v>
      </c>
      <c r="K47" s="3" t="s">
        <v>381</v>
      </c>
      <c r="L47" s="3" t="s">
        <v>34</v>
      </c>
      <c r="M47" s="8">
        <v>79200</v>
      </c>
      <c r="N47" s="11"/>
      <c r="O47" s="3" t="s">
        <v>2487</v>
      </c>
      <c r="P47" s="3" t="s">
        <v>2488</v>
      </c>
    </row>
    <row r="48" spans="1:16" x14ac:dyDescent="0.3">
      <c r="A48" s="3" t="s">
        <v>2485</v>
      </c>
      <c r="B48" s="3" t="s">
        <v>4551</v>
      </c>
      <c r="C48" s="3" t="s">
        <v>87</v>
      </c>
      <c r="D48" s="3" t="s">
        <v>830</v>
      </c>
      <c r="E48" s="3" t="s">
        <v>31</v>
      </c>
      <c r="F48" s="3" t="b">
        <v>1</v>
      </c>
      <c r="G48" s="3" t="s">
        <v>1171</v>
      </c>
      <c r="H48" s="6">
        <v>44952.086851851847</v>
      </c>
      <c r="I48" s="3" t="b">
        <v>1</v>
      </c>
      <c r="J48" s="3" t="b">
        <v>0</v>
      </c>
      <c r="K48" s="3" t="s">
        <v>1171</v>
      </c>
      <c r="L48" s="3" t="s">
        <v>34</v>
      </c>
      <c r="M48" s="8">
        <v>110000</v>
      </c>
      <c r="N48" s="11"/>
      <c r="O48" s="3" t="s">
        <v>4552</v>
      </c>
      <c r="P48" s="3" t="s">
        <v>4553</v>
      </c>
    </row>
    <row r="49" spans="1:16" x14ac:dyDescent="0.3">
      <c r="A49" s="3" t="s">
        <v>2485</v>
      </c>
      <c r="B49" s="3" t="s">
        <v>5501</v>
      </c>
      <c r="C49" s="3" t="s">
        <v>2500</v>
      </c>
      <c r="D49" s="3" t="s">
        <v>41</v>
      </c>
      <c r="E49" s="3" t="s">
        <v>31</v>
      </c>
      <c r="F49" s="3" t="b">
        <v>0</v>
      </c>
      <c r="G49" s="3" t="s">
        <v>69</v>
      </c>
      <c r="H49" s="6">
        <v>44942.916724537034</v>
      </c>
      <c r="I49" s="3" t="b">
        <v>0</v>
      </c>
      <c r="J49" s="3" t="b">
        <v>0</v>
      </c>
      <c r="K49" s="3" t="s">
        <v>69</v>
      </c>
      <c r="L49" s="3" t="s">
        <v>34</v>
      </c>
      <c r="M49" s="8">
        <v>200000</v>
      </c>
      <c r="N49" s="11"/>
      <c r="O49" s="3" t="s">
        <v>356</v>
      </c>
      <c r="P49" s="3" t="s">
        <v>4484</v>
      </c>
    </row>
    <row r="50" spans="1:16" x14ac:dyDescent="0.3">
      <c r="A50" s="3" t="s">
        <v>2485</v>
      </c>
      <c r="B50" s="3" t="s">
        <v>5690</v>
      </c>
      <c r="C50" s="3" t="s">
        <v>2336</v>
      </c>
      <c r="D50" s="3" t="s">
        <v>41</v>
      </c>
      <c r="E50" s="3" t="s">
        <v>31</v>
      </c>
      <c r="F50" s="3" t="b">
        <v>0</v>
      </c>
      <c r="G50" s="3" t="s">
        <v>597</v>
      </c>
      <c r="H50" s="6">
        <v>44931.068229166667</v>
      </c>
      <c r="I50" s="3" t="b">
        <v>0</v>
      </c>
      <c r="J50" s="3" t="b">
        <v>0</v>
      </c>
      <c r="K50" s="3" t="s">
        <v>597</v>
      </c>
      <c r="L50" s="3" t="s">
        <v>34</v>
      </c>
      <c r="M50" s="8">
        <v>89100</v>
      </c>
      <c r="N50" s="11"/>
      <c r="O50" s="3" t="s">
        <v>356</v>
      </c>
      <c r="P50" s="3" t="s">
        <v>5691</v>
      </c>
    </row>
    <row r="51" spans="1:16" x14ac:dyDescent="0.3">
      <c r="A51" s="3" t="s">
        <v>103</v>
      </c>
      <c r="B51" s="3" t="s">
        <v>104</v>
      </c>
      <c r="C51" s="3" t="s">
        <v>105</v>
      </c>
      <c r="D51" s="3" t="s">
        <v>106</v>
      </c>
      <c r="E51" s="3" t="s">
        <v>31</v>
      </c>
      <c r="F51" s="3" t="b">
        <v>0</v>
      </c>
      <c r="G51" s="3" t="s">
        <v>84</v>
      </c>
      <c r="H51" s="6">
        <v>44928.751284722217</v>
      </c>
      <c r="I51" s="3" t="b">
        <v>0</v>
      </c>
      <c r="J51" s="3" t="b">
        <v>1</v>
      </c>
      <c r="K51" s="3" t="s">
        <v>33</v>
      </c>
      <c r="L51" s="3" t="s">
        <v>34</v>
      </c>
      <c r="M51" s="8">
        <v>144481.5</v>
      </c>
      <c r="N51" s="11"/>
      <c r="O51" s="3" t="s">
        <v>107</v>
      </c>
      <c r="P51" s="3"/>
    </row>
    <row r="52" spans="1:16" x14ac:dyDescent="0.3">
      <c r="A52" s="3" t="s">
        <v>103</v>
      </c>
      <c r="B52" s="3" t="s">
        <v>116</v>
      </c>
      <c r="C52" s="3" t="s">
        <v>117</v>
      </c>
      <c r="D52" s="3" t="s">
        <v>118</v>
      </c>
      <c r="E52" s="3" t="s">
        <v>31</v>
      </c>
      <c r="F52" s="3" t="b">
        <v>0</v>
      </c>
      <c r="G52" s="3" t="s">
        <v>88</v>
      </c>
      <c r="H52" s="6">
        <v>44951.668541666673</v>
      </c>
      <c r="I52" s="3" t="b">
        <v>0</v>
      </c>
      <c r="J52" s="3" t="b">
        <v>0</v>
      </c>
      <c r="K52" s="3" t="s">
        <v>33</v>
      </c>
      <c r="L52" s="3" t="s">
        <v>34</v>
      </c>
      <c r="M52" s="8">
        <v>132315</v>
      </c>
      <c r="N52" s="11"/>
      <c r="O52" s="3" t="s">
        <v>119</v>
      </c>
      <c r="P52" s="3" t="s">
        <v>120</v>
      </c>
    </row>
    <row r="53" spans="1:16" x14ac:dyDescent="0.3">
      <c r="A53" s="3" t="s">
        <v>103</v>
      </c>
      <c r="B53" s="3" t="s">
        <v>125</v>
      </c>
      <c r="C53" s="3" t="s">
        <v>87</v>
      </c>
      <c r="D53" s="3" t="s">
        <v>126</v>
      </c>
      <c r="E53" s="3" t="s">
        <v>31</v>
      </c>
      <c r="F53" s="3" t="b">
        <v>1</v>
      </c>
      <c r="G53" s="3" t="s">
        <v>64</v>
      </c>
      <c r="H53" s="6">
        <v>44929.894074074073</v>
      </c>
      <c r="I53" s="3" t="b">
        <v>0</v>
      </c>
      <c r="J53" s="3" t="b">
        <v>0</v>
      </c>
      <c r="K53" s="3" t="s">
        <v>33</v>
      </c>
      <c r="L53" s="3" t="s">
        <v>34</v>
      </c>
      <c r="M53" s="8">
        <v>112500</v>
      </c>
      <c r="N53" s="11"/>
      <c r="O53" s="3" t="s">
        <v>127</v>
      </c>
      <c r="P53" s="3" t="s">
        <v>128</v>
      </c>
    </row>
    <row r="54" spans="1:16" x14ac:dyDescent="0.3">
      <c r="A54" s="3" t="s">
        <v>103</v>
      </c>
      <c r="B54" s="3" t="s">
        <v>139</v>
      </c>
      <c r="C54" s="3" t="s">
        <v>87</v>
      </c>
      <c r="D54" s="3" t="s">
        <v>76</v>
      </c>
      <c r="E54" s="3" t="s">
        <v>31</v>
      </c>
      <c r="F54" s="3" t="b">
        <v>1</v>
      </c>
      <c r="G54" s="3" t="s">
        <v>140</v>
      </c>
      <c r="H54" s="6">
        <v>44940.405486111107</v>
      </c>
      <c r="I54" s="3" t="b">
        <v>0</v>
      </c>
      <c r="J54" s="3" t="b">
        <v>0</v>
      </c>
      <c r="K54" s="3" t="s">
        <v>33</v>
      </c>
      <c r="L54" s="3" t="s">
        <v>34</v>
      </c>
      <c r="M54" s="8">
        <v>52500</v>
      </c>
      <c r="N54" s="11"/>
      <c r="O54" s="3" t="s">
        <v>141</v>
      </c>
      <c r="P54" s="3" t="s">
        <v>142</v>
      </c>
    </row>
    <row r="55" spans="1:16" x14ac:dyDescent="0.3">
      <c r="A55" s="3" t="s">
        <v>103</v>
      </c>
      <c r="B55" s="3" t="s">
        <v>149</v>
      </c>
      <c r="C55" s="3" t="s">
        <v>150</v>
      </c>
      <c r="D55" s="3" t="s">
        <v>151</v>
      </c>
      <c r="E55" s="3" t="s">
        <v>31</v>
      </c>
      <c r="F55" s="3" t="b">
        <v>0</v>
      </c>
      <c r="G55" s="3" t="s">
        <v>110</v>
      </c>
      <c r="H55" s="6">
        <v>44932.162893518522</v>
      </c>
      <c r="I55" s="3" t="b">
        <v>1</v>
      </c>
      <c r="J55" s="3" t="b">
        <v>0</v>
      </c>
      <c r="K55" s="3" t="s">
        <v>110</v>
      </c>
      <c r="L55" s="3" t="s">
        <v>34</v>
      </c>
      <c r="M55" s="8">
        <v>115775</v>
      </c>
      <c r="N55" s="11"/>
      <c r="O55" s="3" t="s">
        <v>152</v>
      </c>
      <c r="P55" s="3" t="s">
        <v>153</v>
      </c>
    </row>
    <row r="56" spans="1:16" x14ac:dyDescent="0.3">
      <c r="A56" s="3" t="s">
        <v>103</v>
      </c>
      <c r="B56" s="3" t="s">
        <v>103</v>
      </c>
      <c r="C56" s="3"/>
      <c r="D56" s="3" t="s">
        <v>30</v>
      </c>
      <c r="E56" s="3" t="s">
        <v>31</v>
      </c>
      <c r="F56" s="3" t="b">
        <v>0</v>
      </c>
      <c r="G56" s="3" t="s">
        <v>64</v>
      </c>
      <c r="H56" s="6">
        <v>44929.685902777783</v>
      </c>
      <c r="I56" s="3" t="b">
        <v>1</v>
      </c>
      <c r="J56" s="3" t="b">
        <v>0</v>
      </c>
      <c r="K56" s="3" t="s">
        <v>33</v>
      </c>
      <c r="L56" s="3" t="s">
        <v>34</v>
      </c>
      <c r="M56" s="8">
        <v>97500</v>
      </c>
      <c r="N56" s="11"/>
      <c r="O56" s="3" t="s">
        <v>114</v>
      </c>
      <c r="P56" s="3" t="s">
        <v>172</v>
      </c>
    </row>
    <row r="57" spans="1:16" x14ac:dyDescent="0.3">
      <c r="A57" s="3" t="s">
        <v>103</v>
      </c>
      <c r="B57" s="3" t="s">
        <v>230</v>
      </c>
      <c r="C57" s="3" t="s">
        <v>231</v>
      </c>
      <c r="D57" s="3" t="s">
        <v>30</v>
      </c>
      <c r="E57" s="3" t="s">
        <v>31</v>
      </c>
      <c r="F57" s="3" t="b">
        <v>0</v>
      </c>
      <c r="G57" s="3" t="s">
        <v>64</v>
      </c>
      <c r="H57" s="6">
        <v>44931.708761574067</v>
      </c>
      <c r="I57" s="3" t="b">
        <v>0</v>
      </c>
      <c r="J57" s="3" t="b">
        <v>1</v>
      </c>
      <c r="K57" s="3" t="s">
        <v>33</v>
      </c>
      <c r="L57" s="3" t="s">
        <v>34</v>
      </c>
      <c r="M57" s="8">
        <v>127500</v>
      </c>
      <c r="N57" s="11"/>
      <c r="O57" s="3" t="s">
        <v>232</v>
      </c>
      <c r="P57" s="3" t="s">
        <v>233</v>
      </c>
    </row>
    <row r="58" spans="1:16" x14ac:dyDescent="0.3">
      <c r="A58" s="3" t="s">
        <v>103</v>
      </c>
      <c r="B58" s="3" t="s">
        <v>266</v>
      </c>
      <c r="C58" s="3" t="s">
        <v>57</v>
      </c>
      <c r="D58" s="3" t="s">
        <v>93</v>
      </c>
      <c r="E58" s="3" t="s">
        <v>31</v>
      </c>
      <c r="F58" s="3" t="b">
        <v>0</v>
      </c>
      <c r="G58" s="3" t="s">
        <v>58</v>
      </c>
      <c r="H58" s="6">
        <v>44930.437060185177</v>
      </c>
      <c r="I58" s="3" t="b">
        <v>0</v>
      </c>
      <c r="J58" s="3" t="b">
        <v>0</v>
      </c>
      <c r="K58" s="3" t="s">
        <v>33</v>
      </c>
      <c r="L58" s="3" t="s">
        <v>34</v>
      </c>
      <c r="M58" s="8">
        <v>115000</v>
      </c>
      <c r="N58" s="11"/>
      <c r="O58" s="3" t="s">
        <v>267</v>
      </c>
      <c r="P58" s="3" t="s">
        <v>268</v>
      </c>
    </row>
    <row r="59" spans="1:16" x14ac:dyDescent="0.3">
      <c r="A59" s="3" t="s">
        <v>103</v>
      </c>
      <c r="B59" s="3" t="s">
        <v>289</v>
      </c>
      <c r="C59" s="3" t="s">
        <v>164</v>
      </c>
      <c r="D59" s="3" t="s">
        <v>188</v>
      </c>
      <c r="E59" s="3" t="s">
        <v>133</v>
      </c>
      <c r="F59" s="3" t="b">
        <v>0</v>
      </c>
      <c r="G59" s="3" t="s">
        <v>64</v>
      </c>
      <c r="H59" s="6">
        <v>44956.541608796288</v>
      </c>
      <c r="I59" s="3" t="b">
        <v>0</v>
      </c>
      <c r="J59" s="3" t="b">
        <v>0</v>
      </c>
      <c r="K59" s="3" t="s">
        <v>33</v>
      </c>
      <c r="L59" s="3" t="s">
        <v>48</v>
      </c>
      <c r="M59" s="8"/>
      <c r="N59" s="11">
        <v>60</v>
      </c>
      <c r="O59" s="3" t="s">
        <v>290</v>
      </c>
      <c r="P59" s="3" t="s">
        <v>291</v>
      </c>
    </row>
    <row r="60" spans="1:16" x14ac:dyDescent="0.3">
      <c r="A60" s="3" t="s">
        <v>103</v>
      </c>
      <c r="B60" s="3" t="s">
        <v>295</v>
      </c>
      <c r="C60" s="3" t="s">
        <v>79</v>
      </c>
      <c r="D60" s="3" t="s">
        <v>296</v>
      </c>
      <c r="E60" s="3" t="s">
        <v>31</v>
      </c>
      <c r="F60" s="3" t="b">
        <v>0</v>
      </c>
      <c r="G60" s="3" t="s">
        <v>58</v>
      </c>
      <c r="H60" s="6">
        <v>44942.001192129632</v>
      </c>
      <c r="I60" s="3" t="b">
        <v>1</v>
      </c>
      <c r="J60" s="3" t="b">
        <v>0</v>
      </c>
      <c r="K60" s="3" t="s">
        <v>33</v>
      </c>
      <c r="L60" s="3" t="s">
        <v>48</v>
      </c>
      <c r="M60" s="8"/>
      <c r="N60" s="11">
        <v>24</v>
      </c>
      <c r="O60" s="3" t="s">
        <v>297</v>
      </c>
      <c r="P60" s="3" t="s">
        <v>298</v>
      </c>
    </row>
    <row r="61" spans="1:16" x14ac:dyDescent="0.3">
      <c r="A61" s="3" t="s">
        <v>103</v>
      </c>
      <c r="B61" s="3" t="s">
        <v>103</v>
      </c>
      <c r="C61" s="3" t="s">
        <v>314</v>
      </c>
      <c r="D61" s="3" t="s">
        <v>30</v>
      </c>
      <c r="E61" s="3" t="s">
        <v>133</v>
      </c>
      <c r="F61" s="3" t="b">
        <v>0</v>
      </c>
      <c r="G61" s="3" t="s">
        <v>64</v>
      </c>
      <c r="H61" s="6">
        <v>44937.667303240742</v>
      </c>
      <c r="I61" s="3" t="b">
        <v>1</v>
      </c>
      <c r="J61" s="3" t="b">
        <v>0</v>
      </c>
      <c r="K61" s="3" t="s">
        <v>33</v>
      </c>
      <c r="L61" s="3" t="s">
        <v>48</v>
      </c>
      <c r="M61" s="8"/>
      <c r="N61" s="11">
        <v>40</v>
      </c>
      <c r="O61" s="3" t="s">
        <v>315</v>
      </c>
      <c r="P61" s="3" t="s">
        <v>316</v>
      </c>
    </row>
    <row r="62" spans="1:16" x14ac:dyDescent="0.3">
      <c r="A62" s="3" t="s">
        <v>103</v>
      </c>
      <c r="B62" s="3" t="s">
        <v>103</v>
      </c>
      <c r="C62" s="3" t="s">
        <v>362</v>
      </c>
      <c r="D62" s="3" t="s">
        <v>93</v>
      </c>
      <c r="E62" s="3" t="s">
        <v>31</v>
      </c>
      <c r="F62" s="3" t="b">
        <v>0</v>
      </c>
      <c r="G62" s="3" t="s">
        <v>64</v>
      </c>
      <c r="H62" s="6">
        <v>44942.386342592603</v>
      </c>
      <c r="I62" s="3" t="b">
        <v>0</v>
      </c>
      <c r="J62" s="3" t="b">
        <v>0</v>
      </c>
      <c r="K62" s="3" t="s">
        <v>33</v>
      </c>
      <c r="L62" s="3" t="s">
        <v>34</v>
      </c>
      <c r="M62" s="8">
        <v>175000</v>
      </c>
      <c r="N62" s="11"/>
      <c r="O62" s="3" t="s">
        <v>363</v>
      </c>
      <c r="P62" s="3" t="s">
        <v>364</v>
      </c>
    </row>
    <row r="63" spans="1:16" x14ac:dyDescent="0.3">
      <c r="A63" s="3" t="s">
        <v>103</v>
      </c>
      <c r="B63" s="3" t="s">
        <v>375</v>
      </c>
      <c r="C63" s="3" t="s">
        <v>376</v>
      </c>
      <c r="D63" s="3" t="s">
        <v>93</v>
      </c>
      <c r="E63" s="3" t="s">
        <v>31</v>
      </c>
      <c r="F63" s="3" t="b">
        <v>0</v>
      </c>
      <c r="G63" s="3" t="s">
        <v>32</v>
      </c>
      <c r="H63" s="6">
        <v>44931.458935185183</v>
      </c>
      <c r="I63" s="3" t="b">
        <v>0</v>
      </c>
      <c r="J63" s="3" t="b">
        <v>0</v>
      </c>
      <c r="K63" s="3" t="s">
        <v>33</v>
      </c>
      <c r="L63" s="3" t="s">
        <v>34</v>
      </c>
      <c r="M63" s="8">
        <v>115000</v>
      </c>
      <c r="N63" s="11"/>
      <c r="O63" s="3" t="s">
        <v>377</v>
      </c>
      <c r="P63" s="3" t="s">
        <v>378</v>
      </c>
    </row>
    <row r="64" spans="1:16" x14ac:dyDescent="0.3">
      <c r="A64" s="3" t="s">
        <v>103</v>
      </c>
      <c r="B64" s="3" t="s">
        <v>379</v>
      </c>
      <c r="C64" s="3" t="s">
        <v>380</v>
      </c>
      <c r="D64" s="3" t="s">
        <v>41</v>
      </c>
      <c r="E64" s="3" t="s">
        <v>31</v>
      </c>
      <c r="F64" s="3" t="b">
        <v>0</v>
      </c>
      <c r="G64" s="3" t="s">
        <v>381</v>
      </c>
      <c r="H64" s="6">
        <v>44944.734027777777</v>
      </c>
      <c r="I64" s="3" t="b">
        <v>0</v>
      </c>
      <c r="J64" s="3" t="b">
        <v>0</v>
      </c>
      <c r="K64" s="3" t="s">
        <v>381</v>
      </c>
      <c r="L64" s="3" t="s">
        <v>34</v>
      </c>
      <c r="M64" s="8">
        <v>111175</v>
      </c>
      <c r="N64" s="11"/>
      <c r="O64" s="3" t="s">
        <v>382</v>
      </c>
      <c r="P64" s="3" t="s">
        <v>383</v>
      </c>
    </row>
    <row r="65" spans="1:16" x14ac:dyDescent="0.3">
      <c r="A65" s="3" t="s">
        <v>103</v>
      </c>
      <c r="B65" s="3" t="s">
        <v>385</v>
      </c>
      <c r="C65" s="3" t="s">
        <v>386</v>
      </c>
      <c r="D65" s="3" t="s">
        <v>41</v>
      </c>
      <c r="E65" s="3" t="s">
        <v>31</v>
      </c>
      <c r="F65" s="3" t="b">
        <v>0</v>
      </c>
      <c r="G65" s="3" t="s">
        <v>386</v>
      </c>
      <c r="H65" s="6">
        <v>44945.306388888886</v>
      </c>
      <c r="I65" s="3" t="b">
        <v>0</v>
      </c>
      <c r="J65" s="3" t="b">
        <v>0</v>
      </c>
      <c r="K65" s="3" t="s">
        <v>386</v>
      </c>
      <c r="L65" s="3" t="s">
        <v>34</v>
      </c>
      <c r="M65" s="8">
        <v>51014</v>
      </c>
      <c r="N65" s="11"/>
      <c r="O65" s="3" t="s">
        <v>356</v>
      </c>
      <c r="P65" s="3" t="s">
        <v>387</v>
      </c>
    </row>
    <row r="66" spans="1:16" x14ac:dyDescent="0.3">
      <c r="A66" s="3" t="s">
        <v>103</v>
      </c>
      <c r="B66" s="3" t="s">
        <v>388</v>
      </c>
      <c r="C66" s="3" t="s">
        <v>389</v>
      </c>
      <c r="D66" s="3" t="s">
        <v>390</v>
      </c>
      <c r="E66" s="3" t="s">
        <v>31</v>
      </c>
      <c r="F66" s="3" t="b">
        <v>0</v>
      </c>
      <c r="G66" s="3" t="s">
        <v>64</v>
      </c>
      <c r="H66" s="6">
        <v>44935.125057870369</v>
      </c>
      <c r="I66" s="3" t="b">
        <v>0</v>
      </c>
      <c r="J66" s="3" t="b">
        <v>0</v>
      </c>
      <c r="K66" s="3" t="s">
        <v>33</v>
      </c>
      <c r="L66" s="3" t="s">
        <v>48</v>
      </c>
      <c r="M66" s="8"/>
      <c r="N66" s="11">
        <v>18.5</v>
      </c>
      <c r="O66" s="3" t="s">
        <v>391</v>
      </c>
      <c r="P66" s="3" t="s">
        <v>138</v>
      </c>
    </row>
    <row r="67" spans="1:16" x14ac:dyDescent="0.3">
      <c r="A67" s="3" t="s">
        <v>103</v>
      </c>
      <c r="B67" s="3" t="s">
        <v>428</v>
      </c>
      <c r="C67" s="3" t="s">
        <v>417</v>
      </c>
      <c r="D67" s="3" t="s">
        <v>429</v>
      </c>
      <c r="E67" s="3" t="s">
        <v>31</v>
      </c>
      <c r="F67" s="3" t="b">
        <v>0</v>
      </c>
      <c r="G67" s="3" t="s">
        <v>58</v>
      </c>
      <c r="H67" s="6">
        <v>44953.002256944441</v>
      </c>
      <c r="I67" s="3" t="b">
        <v>0</v>
      </c>
      <c r="J67" s="3" t="b">
        <v>0</v>
      </c>
      <c r="K67" s="3" t="s">
        <v>33</v>
      </c>
      <c r="L67" s="3" t="s">
        <v>48</v>
      </c>
      <c r="M67" s="8"/>
      <c r="N67" s="11">
        <v>24</v>
      </c>
      <c r="O67" s="3" t="s">
        <v>430</v>
      </c>
      <c r="P67" s="3" t="s">
        <v>431</v>
      </c>
    </row>
    <row r="68" spans="1:16" x14ac:dyDescent="0.3">
      <c r="A68" s="3" t="s">
        <v>103</v>
      </c>
      <c r="B68" s="3" t="s">
        <v>442</v>
      </c>
      <c r="C68" s="3" t="s">
        <v>443</v>
      </c>
      <c r="D68" s="3" t="s">
        <v>444</v>
      </c>
      <c r="E68" s="3" t="s">
        <v>31</v>
      </c>
      <c r="F68" s="3" t="b">
        <v>0</v>
      </c>
      <c r="G68" s="3" t="s">
        <v>32</v>
      </c>
      <c r="H68" s="6">
        <v>44955.625659722216</v>
      </c>
      <c r="I68" s="3" t="b">
        <v>1</v>
      </c>
      <c r="J68" s="3" t="b">
        <v>0</v>
      </c>
      <c r="K68" s="3" t="s">
        <v>33</v>
      </c>
      <c r="L68" s="3" t="s">
        <v>48</v>
      </c>
      <c r="M68" s="8"/>
      <c r="N68" s="11">
        <v>37.5</v>
      </c>
      <c r="O68" s="3" t="s">
        <v>445</v>
      </c>
      <c r="P68" s="3" t="s">
        <v>446</v>
      </c>
    </row>
    <row r="69" spans="1:16" x14ac:dyDescent="0.3">
      <c r="A69" s="3" t="s">
        <v>103</v>
      </c>
      <c r="B69" s="3" t="s">
        <v>458</v>
      </c>
      <c r="C69" s="3" t="s">
        <v>87</v>
      </c>
      <c r="D69" s="3" t="s">
        <v>53</v>
      </c>
      <c r="E69" s="3" t="s">
        <v>31</v>
      </c>
      <c r="F69" s="3" t="b">
        <v>1</v>
      </c>
      <c r="G69" s="3" t="s">
        <v>64</v>
      </c>
      <c r="H69" s="6">
        <v>44937.750057870369</v>
      </c>
      <c r="I69" s="3" t="b">
        <v>1</v>
      </c>
      <c r="J69" s="3" t="b">
        <v>0</v>
      </c>
      <c r="K69" s="3" t="s">
        <v>33</v>
      </c>
      <c r="L69" s="3" t="s">
        <v>48</v>
      </c>
      <c r="M69" s="8"/>
      <c r="N69" s="11">
        <v>31.5</v>
      </c>
      <c r="O69" s="3" t="s">
        <v>459</v>
      </c>
      <c r="P69" s="3" t="s">
        <v>460</v>
      </c>
    </row>
    <row r="70" spans="1:16" x14ac:dyDescent="0.3">
      <c r="A70" s="3" t="s">
        <v>103</v>
      </c>
      <c r="B70" s="3" t="s">
        <v>477</v>
      </c>
      <c r="C70" s="3" t="s">
        <v>478</v>
      </c>
      <c r="D70" s="3" t="s">
        <v>479</v>
      </c>
      <c r="E70" s="3" t="s">
        <v>31</v>
      </c>
      <c r="F70" s="3" t="b">
        <v>0</v>
      </c>
      <c r="G70" s="3" t="s">
        <v>140</v>
      </c>
      <c r="H70" s="6">
        <v>44936.582662037043</v>
      </c>
      <c r="I70" s="3" t="b">
        <v>0</v>
      </c>
      <c r="J70" s="3" t="b">
        <v>0</v>
      </c>
      <c r="K70" s="3" t="s">
        <v>33</v>
      </c>
      <c r="L70" s="3" t="s">
        <v>34</v>
      </c>
      <c r="M70" s="8">
        <v>133285</v>
      </c>
      <c r="N70" s="11"/>
      <c r="O70" s="3" t="s">
        <v>119</v>
      </c>
      <c r="P70" s="3" t="s">
        <v>480</v>
      </c>
    </row>
    <row r="71" spans="1:16" x14ac:dyDescent="0.3">
      <c r="A71" s="3" t="s">
        <v>103</v>
      </c>
      <c r="B71" s="3" t="s">
        <v>481</v>
      </c>
      <c r="C71" s="3" t="s">
        <v>270</v>
      </c>
      <c r="D71" s="3" t="s">
        <v>53</v>
      </c>
      <c r="E71" s="3" t="s">
        <v>133</v>
      </c>
      <c r="F71" s="3" t="b">
        <v>0</v>
      </c>
      <c r="G71" s="3" t="s">
        <v>32</v>
      </c>
      <c r="H71" s="6">
        <v>44937.75172453704</v>
      </c>
      <c r="I71" s="3" t="b">
        <v>1</v>
      </c>
      <c r="J71" s="3" t="b">
        <v>0</v>
      </c>
      <c r="K71" s="3" t="s">
        <v>33</v>
      </c>
      <c r="L71" s="3" t="s">
        <v>48</v>
      </c>
      <c r="M71" s="8"/>
      <c r="N71" s="11">
        <v>55</v>
      </c>
      <c r="O71" s="3" t="s">
        <v>482</v>
      </c>
      <c r="P71" s="3" t="s">
        <v>483</v>
      </c>
    </row>
    <row r="72" spans="1:16" x14ac:dyDescent="0.3">
      <c r="A72" s="3" t="s">
        <v>103</v>
      </c>
      <c r="B72" s="3" t="s">
        <v>564</v>
      </c>
      <c r="C72" s="3" t="s">
        <v>565</v>
      </c>
      <c r="D72" s="3" t="s">
        <v>566</v>
      </c>
      <c r="E72" s="3" t="s">
        <v>31</v>
      </c>
      <c r="F72" s="3" t="b">
        <v>0</v>
      </c>
      <c r="G72" s="3" t="s">
        <v>140</v>
      </c>
      <c r="H72" s="6">
        <v>44941.998622685183</v>
      </c>
      <c r="I72" s="3" t="b">
        <v>0</v>
      </c>
      <c r="J72" s="3" t="b">
        <v>0</v>
      </c>
      <c r="K72" s="3" t="s">
        <v>33</v>
      </c>
      <c r="L72" s="3" t="s">
        <v>48</v>
      </c>
      <c r="M72" s="8"/>
      <c r="N72" s="11">
        <v>24</v>
      </c>
      <c r="O72" s="3" t="s">
        <v>567</v>
      </c>
      <c r="P72" s="3" t="s">
        <v>568</v>
      </c>
    </row>
    <row r="73" spans="1:16" x14ac:dyDescent="0.3">
      <c r="A73" s="3" t="s">
        <v>103</v>
      </c>
      <c r="B73" s="3" t="s">
        <v>581</v>
      </c>
      <c r="C73" s="3" t="s">
        <v>582</v>
      </c>
      <c r="D73" s="3" t="s">
        <v>53</v>
      </c>
      <c r="E73" s="3" t="s">
        <v>31</v>
      </c>
      <c r="F73" s="3" t="b">
        <v>0</v>
      </c>
      <c r="G73" s="3" t="s">
        <v>32</v>
      </c>
      <c r="H73" s="6">
        <v>44928.917303240742</v>
      </c>
      <c r="I73" s="3" t="b">
        <v>0</v>
      </c>
      <c r="J73" s="3" t="b">
        <v>1</v>
      </c>
      <c r="K73" s="3" t="s">
        <v>33</v>
      </c>
      <c r="L73" s="3" t="s">
        <v>34</v>
      </c>
      <c r="M73" s="8">
        <v>57500</v>
      </c>
      <c r="N73" s="11"/>
      <c r="O73" s="3" t="s">
        <v>583</v>
      </c>
      <c r="P73" s="3" t="s">
        <v>584</v>
      </c>
    </row>
    <row r="74" spans="1:16" x14ac:dyDescent="0.3">
      <c r="A74" s="3" t="s">
        <v>103</v>
      </c>
      <c r="B74" s="3" t="s">
        <v>103</v>
      </c>
      <c r="C74" s="3" t="s">
        <v>585</v>
      </c>
      <c r="D74" s="3" t="s">
        <v>370</v>
      </c>
      <c r="E74" s="3" t="s">
        <v>31</v>
      </c>
      <c r="F74" s="3" t="b">
        <v>0</v>
      </c>
      <c r="G74" s="3" t="s">
        <v>32</v>
      </c>
      <c r="H74" s="6">
        <v>44937.668194444443</v>
      </c>
      <c r="I74" s="3" t="b">
        <v>1</v>
      </c>
      <c r="J74" s="3" t="b">
        <v>1</v>
      </c>
      <c r="K74" s="3" t="s">
        <v>33</v>
      </c>
      <c r="L74" s="3" t="s">
        <v>48</v>
      </c>
      <c r="M74" s="8"/>
      <c r="N74" s="11">
        <v>46.860000610351563</v>
      </c>
      <c r="O74" s="3" t="s">
        <v>586</v>
      </c>
      <c r="P74" s="3" t="s">
        <v>587</v>
      </c>
    </row>
    <row r="75" spans="1:16" x14ac:dyDescent="0.3">
      <c r="A75" s="3" t="s">
        <v>103</v>
      </c>
      <c r="B75" s="3" t="s">
        <v>103</v>
      </c>
      <c r="C75" s="3" t="s">
        <v>588</v>
      </c>
      <c r="D75" s="3" t="s">
        <v>30</v>
      </c>
      <c r="E75" s="3" t="s">
        <v>31</v>
      </c>
      <c r="F75" s="3" t="b">
        <v>0</v>
      </c>
      <c r="G75" s="3" t="s">
        <v>88</v>
      </c>
      <c r="H75" s="6">
        <v>44931.585138888891</v>
      </c>
      <c r="I75" s="3" t="b">
        <v>0</v>
      </c>
      <c r="J75" s="3" t="b">
        <v>0</v>
      </c>
      <c r="K75" s="3" t="s">
        <v>33</v>
      </c>
      <c r="L75" s="3" t="s">
        <v>34</v>
      </c>
      <c r="M75" s="8">
        <v>60000</v>
      </c>
      <c r="N75" s="11"/>
      <c r="O75" s="3" t="s">
        <v>589</v>
      </c>
      <c r="P75" s="3" t="s">
        <v>590</v>
      </c>
    </row>
    <row r="76" spans="1:16" x14ac:dyDescent="0.3">
      <c r="A76" s="3" t="s">
        <v>103</v>
      </c>
      <c r="B76" s="3" t="s">
        <v>595</v>
      </c>
      <c r="C76" s="3" t="s">
        <v>596</v>
      </c>
      <c r="D76" s="3" t="s">
        <v>41</v>
      </c>
      <c r="E76" s="3" t="s">
        <v>31</v>
      </c>
      <c r="F76" s="3" t="b">
        <v>0</v>
      </c>
      <c r="G76" s="3" t="s">
        <v>597</v>
      </c>
      <c r="H76" s="6">
        <v>44937.024363425917</v>
      </c>
      <c r="I76" s="3" t="b">
        <v>0</v>
      </c>
      <c r="J76" s="3" t="b">
        <v>0</v>
      </c>
      <c r="K76" s="3" t="s">
        <v>597</v>
      </c>
      <c r="L76" s="3" t="s">
        <v>34</v>
      </c>
      <c r="M76" s="8">
        <v>45000</v>
      </c>
      <c r="N76" s="11"/>
      <c r="O76" s="3" t="s">
        <v>598</v>
      </c>
      <c r="P76" s="3" t="s">
        <v>138</v>
      </c>
    </row>
    <row r="77" spans="1:16" x14ac:dyDescent="0.3">
      <c r="A77" s="3" t="s">
        <v>103</v>
      </c>
      <c r="B77" s="3" t="s">
        <v>599</v>
      </c>
      <c r="C77" s="3" t="s">
        <v>565</v>
      </c>
      <c r="D77" s="3" t="s">
        <v>30</v>
      </c>
      <c r="E77" s="3" t="s">
        <v>133</v>
      </c>
      <c r="F77" s="3" t="b">
        <v>0</v>
      </c>
      <c r="G77" s="3" t="s">
        <v>140</v>
      </c>
      <c r="H77" s="6">
        <v>44944.740555555552</v>
      </c>
      <c r="I77" s="3" t="b">
        <v>0</v>
      </c>
      <c r="J77" s="3" t="b">
        <v>0</v>
      </c>
      <c r="K77" s="3" t="s">
        <v>33</v>
      </c>
      <c r="L77" s="3" t="s">
        <v>34</v>
      </c>
      <c r="M77" s="8">
        <v>112500</v>
      </c>
      <c r="N77" s="11"/>
      <c r="O77" s="3" t="s">
        <v>600</v>
      </c>
      <c r="P77" s="3" t="s">
        <v>601</v>
      </c>
    </row>
    <row r="78" spans="1:16" x14ac:dyDescent="0.3">
      <c r="A78" s="3" t="s">
        <v>103</v>
      </c>
      <c r="B78" s="3" t="s">
        <v>608</v>
      </c>
      <c r="C78" s="3" t="s">
        <v>29</v>
      </c>
      <c r="D78" s="3" t="s">
        <v>30</v>
      </c>
      <c r="E78" s="3" t="s">
        <v>31</v>
      </c>
      <c r="F78" s="3" t="b">
        <v>0</v>
      </c>
      <c r="G78" s="3" t="s">
        <v>32</v>
      </c>
      <c r="H78" s="6">
        <v>44930.62604166667</v>
      </c>
      <c r="I78" s="3" t="b">
        <v>0</v>
      </c>
      <c r="J78" s="3" t="b">
        <v>1</v>
      </c>
      <c r="K78" s="3" t="s">
        <v>33</v>
      </c>
      <c r="L78" s="3" t="s">
        <v>34</v>
      </c>
      <c r="M78" s="8">
        <v>170000</v>
      </c>
      <c r="N78" s="11"/>
      <c r="O78" s="3" t="s">
        <v>609</v>
      </c>
      <c r="P78" s="3" t="s">
        <v>610</v>
      </c>
    </row>
    <row r="79" spans="1:16" x14ac:dyDescent="0.3">
      <c r="A79" s="3" t="s">
        <v>103</v>
      </c>
      <c r="B79" s="3" t="s">
        <v>616</v>
      </c>
      <c r="C79" s="3" t="s">
        <v>140</v>
      </c>
      <c r="D79" s="3" t="s">
        <v>30</v>
      </c>
      <c r="E79" s="3" t="s">
        <v>31</v>
      </c>
      <c r="F79" s="3" t="b">
        <v>0</v>
      </c>
      <c r="G79" s="3" t="s">
        <v>140</v>
      </c>
      <c r="H79" s="6">
        <v>44935.902604166673</v>
      </c>
      <c r="I79" s="3" t="b">
        <v>0</v>
      </c>
      <c r="J79" s="3" t="b">
        <v>1</v>
      </c>
      <c r="K79" s="3" t="s">
        <v>33</v>
      </c>
      <c r="L79" s="3" t="s">
        <v>34</v>
      </c>
      <c r="M79" s="8">
        <v>145000</v>
      </c>
      <c r="N79" s="11"/>
      <c r="O79" s="3" t="s">
        <v>617</v>
      </c>
      <c r="P79" s="3" t="s">
        <v>618</v>
      </c>
    </row>
    <row r="80" spans="1:16" x14ac:dyDescent="0.3">
      <c r="A80" s="3" t="s">
        <v>103</v>
      </c>
      <c r="B80" s="3" t="s">
        <v>633</v>
      </c>
      <c r="C80" s="3"/>
      <c r="D80" s="3" t="s">
        <v>30</v>
      </c>
      <c r="E80" s="3" t="s">
        <v>133</v>
      </c>
      <c r="F80" s="3" t="b">
        <v>0</v>
      </c>
      <c r="G80" s="3" t="s">
        <v>84</v>
      </c>
      <c r="H80" s="6">
        <v>44945.127291666657</v>
      </c>
      <c r="I80" s="3" t="b">
        <v>0</v>
      </c>
      <c r="J80" s="3" t="b">
        <v>0</v>
      </c>
      <c r="K80" s="3" t="s">
        <v>33</v>
      </c>
      <c r="L80" s="3" t="s">
        <v>48</v>
      </c>
      <c r="M80" s="8"/>
      <c r="N80" s="11">
        <v>44</v>
      </c>
      <c r="O80" s="3" t="s">
        <v>134</v>
      </c>
      <c r="P80" s="3" t="s">
        <v>634</v>
      </c>
    </row>
    <row r="81" spans="1:16" x14ac:dyDescent="0.3">
      <c r="A81" s="3" t="s">
        <v>103</v>
      </c>
      <c r="B81" s="3" t="s">
        <v>635</v>
      </c>
      <c r="C81" s="3" t="s">
        <v>636</v>
      </c>
      <c r="D81" s="3" t="s">
        <v>479</v>
      </c>
      <c r="E81" s="3" t="s">
        <v>31</v>
      </c>
      <c r="F81" s="3" t="b">
        <v>0</v>
      </c>
      <c r="G81" s="3" t="s">
        <v>58</v>
      </c>
      <c r="H81" s="6">
        <v>44928.542546296303</v>
      </c>
      <c r="I81" s="3" t="b">
        <v>0</v>
      </c>
      <c r="J81" s="3" t="b">
        <v>0</v>
      </c>
      <c r="K81" s="3" t="s">
        <v>33</v>
      </c>
      <c r="L81" s="3" t="s">
        <v>34</v>
      </c>
      <c r="M81" s="8">
        <v>101540</v>
      </c>
      <c r="N81" s="11"/>
      <c r="O81" s="3" t="s">
        <v>119</v>
      </c>
      <c r="P81" s="3" t="s">
        <v>374</v>
      </c>
    </row>
    <row r="82" spans="1:16" x14ac:dyDescent="0.3">
      <c r="A82" s="3" t="s">
        <v>103</v>
      </c>
      <c r="B82" s="3" t="s">
        <v>103</v>
      </c>
      <c r="C82" s="3" t="s">
        <v>650</v>
      </c>
      <c r="D82" s="3" t="s">
        <v>41</v>
      </c>
      <c r="E82" s="3" t="s">
        <v>31</v>
      </c>
      <c r="F82" s="3" t="b">
        <v>0</v>
      </c>
      <c r="G82" s="3" t="s">
        <v>651</v>
      </c>
      <c r="H82" s="6">
        <v>44951.493287037039</v>
      </c>
      <c r="I82" s="3" t="b">
        <v>0</v>
      </c>
      <c r="J82" s="3" t="b">
        <v>0</v>
      </c>
      <c r="K82" s="3" t="s">
        <v>651</v>
      </c>
      <c r="L82" s="3" t="s">
        <v>34</v>
      </c>
      <c r="M82" s="8">
        <v>51014</v>
      </c>
      <c r="N82" s="11"/>
      <c r="O82" s="3" t="s">
        <v>652</v>
      </c>
      <c r="P82" s="3" t="s">
        <v>653</v>
      </c>
    </row>
    <row r="83" spans="1:16" x14ac:dyDescent="0.3">
      <c r="A83" s="3" t="s">
        <v>103</v>
      </c>
      <c r="B83" s="3" t="s">
        <v>666</v>
      </c>
      <c r="C83" s="3" t="s">
        <v>87</v>
      </c>
      <c r="D83" s="3" t="s">
        <v>188</v>
      </c>
      <c r="E83" s="3" t="s">
        <v>133</v>
      </c>
      <c r="F83" s="3" t="b">
        <v>1</v>
      </c>
      <c r="G83" s="3" t="s">
        <v>58</v>
      </c>
      <c r="H83" s="6">
        <v>44930.626157407409</v>
      </c>
      <c r="I83" s="3" t="b">
        <v>1</v>
      </c>
      <c r="J83" s="3" t="b">
        <v>0</v>
      </c>
      <c r="K83" s="3" t="s">
        <v>33</v>
      </c>
      <c r="L83" s="3" t="s">
        <v>48</v>
      </c>
      <c r="M83" s="8"/>
      <c r="N83" s="11">
        <v>62.5</v>
      </c>
      <c r="O83" s="3" t="s">
        <v>667</v>
      </c>
      <c r="P83" s="3" t="s">
        <v>668</v>
      </c>
    </row>
    <row r="84" spans="1:16" x14ac:dyDescent="0.3">
      <c r="A84" s="3" t="s">
        <v>103</v>
      </c>
      <c r="B84" s="3" t="s">
        <v>696</v>
      </c>
      <c r="C84" s="3" t="s">
        <v>79</v>
      </c>
      <c r="D84" s="3" t="s">
        <v>76</v>
      </c>
      <c r="E84" s="3" t="s">
        <v>31</v>
      </c>
      <c r="F84" s="3" t="b">
        <v>0</v>
      </c>
      <c r="G84" s="3" t="s">
        <v>58</v>
      </c>
      <c r="H84" s="6">
        <v>44945.043229166673</v>
      </c>
      <c r="I84" s="3" t="b">
        <v>0</v>
      </c>
      <c r="J84" s="3" t="b">
        <v>0</v>
      </c>
      <c r="K84" s="3" t="s">
        <v>33</v>
      </c>
      <c r="L84" s="3" t="s">
        <v>34</v>
      </c>
      <c r="M84" s="8">
        <v>93000</v>
      </c>
      <c r="N84" s="11"/>
      <c r="O84" s="3" t="s">
        <v>697</v>
      </c>
      <c r="P84" s="3" t="s">
        <v>698</v>
      </c>
    </row>
    <row r="85" spans="1:16" x14ac:dyDescent="0.3">
      <c r="A85" s="3" t="s">
        <v>103</v>
      </c>
      <c r="B85" s="3" t="s">
        <v>103</v>
      </c>
      <c r="C85" s="3" t="s">
        <v>136</v>
      </c>
      <c r="D85" s="3" t="s">
        <v>705</v>
      </c>
      <c r="E85" s="3" t="s">
        <v>31</v>
      </c>
      <c r="F85" s="3" t="b">
        <v>0</v>
      </c>
      <c r="G85" s="3" t="s">
        <v>32</v>
      </c>
      <c r="H85" s="6">
        <v>44949.54246527778</v>
      </c>
      <c r="I85" s="3" t="b">
        <v>1</v>
      </c>
      <c r="J85" s="3" t="b">
        <v>0</v>
      </c>
      <c r="K85" s="3" t="s">
        <v>33</v>
      </c>
      <c r="L85" s="3" t="s">
        <v>48</v>
      </c>
      <c r="M85" s="8"/>
      <c r="N85" s="11">
        <v>19</v>
      </c>
      <c r="O85" s="3" t="s">
        <v>706</v>
      </c>
      <c r="P85" s="3" t="s">
        <v>707</v>
      </c>
    </row>
    <row r="86" spans="1:16" x14ac:dyDescent="0.3">
      <c r="A86" s="3" t="s">
        <v>103</v>
      </c>
      <c r="B86" s="3" t="s">
        <v>717</v>
      </c>
      <c r="C86" s="3" t="s">
        <v>718</v>
      </c>
      <c r="D86" s="3" t="s">
        <v>719</v>
      </c>
      <c r="E86" s="3" t="s">
        <v>31</v>
      </c>
      <c r="F86" s="3" t="b">
        <v>0</v>
      </c>
      <c r="G86" s="3" t="s">
        <v>110</v>
      </c>
      <c r="H86" s="6">
        <v>44930.005648148152</v>
      </c>
      <c r="I86" s="3" t="b">
        <v>0</v>
      </c>
      <c r="J86" s="3" t="b">
        <v>1</v>
      </c>
      <c r="K86" s="3" t="s">
        <v>110</v>
      </c>
      <c r="L86" s="3" t="s">
        <v>48</v>
      </c>
      <c r="M86" s="8"/>
      <c r="N86" s="11">
        <v>24</v>
      </c>
      <c r="O86" s="3" t="s">
        <v>720</v>
      </c>
      <c r="P86" s="3" t="s">
        <v>374</v>
      </c>
    </row>
    <row r="87" spans="1:16" x14ac:dyDescent="0.3">
      <c r="A87" s="3" t="s">
        <v>103</v>
      </c>
      <c r="B87" s="3" t="s">
        <v>481</v>
      </c>
      <c r="C87" s="3" t="s">
        <v>520</v>
      </c>
      <c r="D87" s="3" t="s">
        <v>30</v>
      </c>
      <c r="E87" s="3" t="s">
        <v>31</v>
      </c>
      <c r="F87" s="3" t="b">
        <v>0</v>
      </c>
      <c r="G87" s="3" t="s">
        <v>88</v>
      </c>
      <c r="H87" s="6">
        <v>44939.91983796296</v>
      </c>
      <c r="I87" s="3" t="b">
        <v>1</v>
      </c>
      <c r="J87" s="3" t="b">
        <v>0</v>
      </c>
      <c r="K87" s="3" t="s">
        <v>33</v>
      </c>
      <c r="L87" s="3" t="s">
        <v>34</v>
      </c>
      <c r="M87" s="8">
        <v>85000</v>
      </c>
      <c r="N87" s="11"/>
      <c r="O87" s="3" t="s">
        <v>589</v>
      </c>
      <c r="P87" s="3" t="s">
        <v>754</v>
      </c>
    </row>
    <row r="88" spans="1:16" x14ac:dyDescent="0.3">
      <c r="A88" s="3" t="s">
        <v>103</v>
      </c>
      <c r="B88" s="3" t="s">
        <v>759</v>
      </c>
      <c r="C88" s="3" t="s">
        <v>79</v>
      </c>
      <c r="D88" s="3" t="s">
        <v>760</v>
      </c>
      <c r="E88" s="3" t="s">
        <v>133</v>
      </c>
      <c r="F88" s="3" t="b">
        <v>0</v>
      </c>
      <c r="G88" s="3" t="s">
        <v>58</v>
      </c>
      <c r="H88" s="6">
        <v>44957.709108796298</v>
      </c>
      <c r="I88" s="3" t="b">
        <v>1</v>
      </c>
      <c r="J88" s="3" t="b">
        <v>0</v>
      </c>
      <c r="K88" s="3" t="s">
        <v>33</v>
      </c>
      <c r="L88" s="3" t="s">
        <v>48</v>
      </c>
      <c r="M88" s="8"/>
      <c r="N88" s="11">
        <v>42.029998779296882</v>
      </c>
      <c r="O88" s="3" t="s">
        <v>761</v>
      </c>
      <c r="P88" s="3"/>
    </row>
    <row r="89" spans="1:16" x14ac:dyDescent="0.3">
      <c r="A89" s="3" t="s">
        <v>103</v>
      </c>
      <c r="B89" s="3" t="s">
        <v>772</v>
      </c>
      <c r="C89" s="3" t="s">
        <v>33</v>
      </c>
      <c r="D89" s="3" t="s">
        <v>30</v>
      </c>
      <c r="E89" s="3" t="s">
        <v>31</v>
      </c>
      <c r="F89" s="3" t="b">
        <v>0</v>
      </c>
      <c r="G89" s="3" t="s">
        <v>110</v>
      </c>
      <c r="H89" s="6">
        <v>44944.701122685183</v>
      </c>
      <c r="I89" s="3" t="b">
        <v>0</v>
      </c>
      <c r="J89" s="3" t="b">
        <v>0</v>
      </c>
      <c r="K89" s="3" t="s">
        <v>110</v>
      </c>
      <c r="L89" s="3" t="s">
        <v>34</v>
      </c>
      <c r="M89" s="8">
        <v>52500</v>
      </c>
      <c r="N89" s="11"/>
      <c r="O89" s="3" t="s">
        <v>773</v>
      </c>
      <c r="P89" s="3" t="s">
        <v>774</v>
      </c>
    </row>
    <row r="90" spans="1:16" x14ac:dyDescent="0.3">
      <c r="A90" s="3" t="s">
        <v>103</v>
      </c>
      <c r="B90" s="3" t="s">
        <v>795</v>
      </c>
      <c r="C90" s="3" t="s">
        <v>796</v>
      </c>
      <c r="D90" s="3" t="s">
        <v>41</v>
      </c>
      <c r="E90" s="3" t="s">
        <v>31</v>
      </c>
      <c r="F90" s="3" t="b">
        <v>0</v>
      </c>
      <c r="G90" s="3" t="s">
        <v>797</v>
      </c>
      <c r="H90" s="6">
        <v>44931.28020833333</v>
      </c>
      <c r="I90" s="3" t="b">
        <v>0</v>
      </c>
      <c r="J90" s="3" t="b">
        <v>0</v>
      </c>
      <c r="K90" s="3" t="s">
        <v>797</v>
      </c>
      <c r="L90" s="3" t="s">
        <v>34</v>
      </c>
      <c r="M90" s="8">
        <v>80850</v>
      </c>
      <c r="N90" s="11"/>
      <c r="O90" s="3" t="s">
        <v>798</v>
      </c>
      <c r="P90" s="3" t="s">
        <v>799</v>
      </c>
    </row>
    <row r="91" spans="1:16" x14ac:dyDescent="0.3">
      <c r="A91" s="3" t="s">
        <v>103</v>
      </c>
      <c r="B91" s="3" t="s">
        <v>103</v>
      </c>
      <c r="C91" s="3" t="s">
        <v>842</v>
      </c>
      <c r="D91" s="3" t="s">
        <v>41</v>
      </c>
      <c r="E91" s="3" t="s">
        <v>31</v>
      </c>
      <c r="F91" s="3" t="b">
        <v>0</v>
      </c>
      <c r="G91" s="3" t="s">
        <v>842</v>
      </c>
      <c r="H91" s="6">
        <v>44943.427905092591</v>
      </c>
      <c r="I91" s="3" t="b">
        <v>0</v>
      </c>
      <c r="J91" s="3" t="b">
        <v>0</v>
      </c>
      <c r="K91" s="3" t="s">
        <v>842</v>
      </c>
      <c r="L91" s="3" t="s">
        <v>34</v>
      </c>
      <c r="M91" s="8">
        <v>111175</v>
      </c>
      <c r="N91" s="11"/>
      <c r="O91" s="3" t="s">
        <v>843</v>
      </c>
      <c r="P91" s="3" t="s">
        <v>844</v>
      </c>
    </row>
    <row r="92" spans="1:16" x14ac:dyDescent="0.3">
      <c r="A92" s="3" t="s">
        <v>103</v>
      </c>
      <c r="B92" s="3" t="s">
        <v>869</v>
      </c>
      <c r="C92" s="3" t="s">
        <v>870</v>
      </c>
      <c r="D92" s="3" t="s">
        <v>871</v>
      </c>
      <c r="E92" s="3" t="s">
        <v>31</v>
      </c>
      <c r="F92" s="3" t="b">
        <v>0</v>
      </c>
      <c r="G92" s="3" t="s">
        <v>32</v>
      </c>
      <c r="H92" s="6">
        <v>44930.019907407397</v>
      </c>
      <c r="I92" s="3" t="b">
        <v>0</v>
      </c>
      <c r="J92" s="3" t="b">
        <v>0</v>
      </c>
      <c r="K92" s="3" t="s">
        <v>33</v>
      </c>
      <c r="L92" s="3" t="s">
        <v>48</v>
      </c>
      <c r="M92" s="8"/>
      <c r="N92" s="11">
        <v>24</v>
      </c>
      <c r="O92" s="3" t="s">
        <v>872</v>
      </c>
      <c r="P92" s="3" t="s">
        <v>873</v>
      </c>
    </row>
    <row r="93" spans="1:16" x14ac:dyDescent="0.3">
      <c r="A93" s="3" t="s">
        <v>103</v>
      </c>
      <c r="B93" s="3" t="s">
        <v>893</v>
      </c>
      <c r="C93" s="3" t="s">
        <v>894</v>
      </c>
      <c r="D93" s="3" t="s">
        <v>41</v>
      </c>
      <c r="E93" s="3" t="s">
        <v>31</v>
      </c>
      <c r="F93" s="3" t="b">
        <v>0</v>
      </c>
      <c r="G93" s="3" t="s">
        <v>842</v>
      </c>
      <c r="H93" s="6">
        <v>44948.927465277768</v>
      </c>
      <c r="I93" s="3" t="b">
        <v>0</v>
      </c>
      <c r="J93" s="3" t="b">
        <v>0</v>
      </c>
      <c r="K93" s="3" t="s">
        <v>842</v>
      </c>
      <c r="L93" s="3" t="s">
        <v>34</v>
      </c>
      <c r="M93" s="8">
        <v>51014</v>
      </c>
      <c r="N93" s="11"/>
      <c r="O93" s="3" t="s">
        <v>414</v>
      </c>
      <c r="P93" s="3"/>
    </row>
    <row r="94" spans="1:16" x14ac:dyDescent="0.3">
      <c r="A94" s="3" t="s">
        <v>103</v>
      </c>
      <c r="B94" s="3" t="s">
        <v>909</v>
      </c>
      <c r="C94" s="3" t="s">
        <v>910</v>
      </c>
      <c r="D94" s="3" t="s">
        <v>76</v>
      </c>
      <c r="E94" s="3" t="s">
        <v>31</v>
      </c>
      <c r="F94" s="3" t="b">
        <v>0</v>
      </c>
      <c r="G94" s="3" t="s">
        <v>32</v>
      </c>
      <c r="H94" s="6">
        <v>44936.417361111111</v>
      </c>
      <c r="I94" s="3" t="b">
        <v>1</v>
      </c>
      <c r="J94" s="3" t="b">
        <v>0</v>
      </c>
      <c r="K94" s="3" t="s">
        <v>33</v>
      </c>
      <c r="L94" s="3" t="s">
        <v>48</v>
      </c>
      <c r="M94" s="8"/>
      <c r="N94" s="11">
        <v>40</v>
      </c>
      <c r="O94" s="3" t="s">
        <v>911</v>
      </c>
      <c r="P94" s="3"/>
    </row>
    <row r="95" spans="1:16" x14ac:dyDescent="0.3">
      <c r="A95" s="3" t="s">
        <v>103</v>
      </c>
      <c r="B95" s="3" t="s">
        <v>477</v>
      </c>
      <c r="C95" s="3" t="s">
        <v>800</v>
      </c>
      <c r="D95" s="3" t="s">
        <v>174</v>
      </c>
      <c r="E95" s="3" t="s">
        <v>31</v>
      </c>
      <c r="F95" s="3" t="b">
        <v>0</v>
      </c>
      <c r="G95" s="3" t="s">
        <v>110</v>
      </c>
      <c r="H95" s="6">
        <v>44936.065555555557</v>
      </c>
      <c r="I95" s="3" t="b">
        <v>0</v>
      </c>
      <c r="J95" s="3" t="b">
        <v>0</v>
      </c>
      <c r="K95" s="3" t="s">
        <v>110</v>
      </c>
      <c r="L95" s="3" t="s">
        <v>34</v>
      </c>
      <c r="M95" s="8">
        <v>138615</v>
      </c>
      <c r="N95" s="11"/>
      <c r="O95" s="3" t="s">
        <v>119</v>
      </c>
      <c r="P95" s="3" t="s">
        <v>921</v>
      </c>
    </row>
    <row r="96" spans="1:16" x14ac:dyDescent="0.3">
      <c r="A96" s="3" t="s">
        <v>103</v>
      </c>
      <c r="B96" s="3" t="s">
        <v>599</v>
      </c>
      <c r="C96" s="3" t="s">
        <v>164</v>
      </c>
      <c r="D96" s="3" t="s">
        <v>30</v>
      </c>
      <c r="E96" s="3" t="s">
        <v>31</v>
      </c>
      <c r="F96" s="3" t="b">
        <v>0</v>
      </c>
      <c r="G96" s="3" t="s">
        <v>64</v>
      </c>
      <c r="H96" s="6">
        <v>44936.833310185182</v>
      </c>
      <c r="I96" s="3" t="b">
        <v>0</v>
      </c>
      <c r="J96" s="3" t="b">
        <v>0</v>
      </c>
      <c r="K96" s="3" t="s">
        <v>33</v>
      </c>
      <c r="L96" s="3" t="s">
        <v>34</v>
      </c>
      <c r="M96" s="8">
        <v>85000</v>
      </c>
      <c r="N96" s="11"/>
      <c r="O96" s="3" t="s">
        <v>624</v>
      </c>
      <c r="P96" s="3" t="s">
        <v>930</v>
      </c>
    </row>
    <row r="97" spans="1:16" x14ac:dyDescent="0.3">
      <c r="A97" s="3" t="s">
        <v>103</v>
      </c>
      <c r="B97" s="3" t="s">
        <v>935</v>
      </c>
      <c r="C97" s="3" t="s">
        <v>936</v>
      </c>
      <c r="D97" s="3" t="s">
        <v>937</v>
      </c>
      <c r="E97" s="3" t="s">
        <v>31</v>
      </c>
      <c r="F97" s="3" t="b">
        <v>0</v>
      </c>
      <c r="G97" s="3" t="s">
        <v>84</v>
      </c>
      <c r="H97" s="6">
        <v>44949.001516203702</v>
      </c>
      <c r="I97" s="3" t="b">
        <v>1</v>
      </c>
      <c r="J97" s="3" t="b">
        <v>1</v>
      </c>
      <c r="K97" s="3" t="s">
        <v>33</v>
      </c>
      <c r="L97" s="3" t="s">
        <v>48</v>
      </c>
      <c r="M97" s="8"/>
      <c r="N97" s="11">
        <v>24</v>
      </c>
      <c r="O97" s="3" t="s">
        <v>938</v>
      </c>
      <c r="P97" s="3"/>
    </row>
    <row r="98" spans="1:16" x14ac:dyDescent="0.3">
      <c r="A98" s="3" t="s">
        <v>103</v>
      </c>
      <c r="B98" s="3" t="s">
        <v>973</v>
      </c>
      <c r="C98" s="3" t="s">
        <v>974</v>
      </c>
      <c r="D98" s="3" t="s">
        <v>41</v>
      </c>
      <c r="E98" s="3" t="s">
        <v>31</v>
      </c>
      <c r="F98" s="3" t="b">
        <v>0</v>
      </c>
      <c r="G98" s="3" t="s">
        <v>532</v>
      </c>
      <c r="H98" s="6">
        <v>44931.987997685188</v>
      </c>
      <c r="I98" s="3" t="b">
        <v>0</v>
      </c>
      <c r="J98" s="3" t="b">
        <v>0</v>
      </c>
      <c r="K98" s="3" t="s">
        <v>532</v>
      </c>
      <c r="L98" s="3" t="s">
        <v>34</v>
      </c>
      <c r="M98" s="8">
        <v>56700</v>
      </c>
      <c r="N98" s="11"/>
      <c r="O98" s="3" t="s">
        <v>414</v>
      </c>
      <c r="P98" s="3" t="s">
        <v>756</v>
      </c>
    </row>
    <row r="99" spans="1:16" x14ac:dyDescent="0.3">
      <c r="A99" s="3" t="s">
        <v>103</v>
      </c>
      <c r="B99" s="3" t="s">
        <v>103</v>
      </c>
      <c r="C99" s="3" t="s">
        <v>164</v>
      </c>
      <c r="D99" s="3" t="s">
        <v>30</v>
      </c>
      <c r="E99" s="3" t="s">
        <v>31</v>
      </c>
      <c r="F99" s="3" t="b">
        <v>0</v>
      </c>
      <c r="G99" s="3" t="s">
        <v>64</v>
      </c>
      <c r="H99" s="6">
        <v>44944.666666666657</v>
      </c>
      <c r="I99" s="3" t="b">
        <v>0</v>
      </c>
      <c r="J99" s="3" t="b">
        <v>0</v>
      </c>
      <c r="K99" s="3" t="s">
        <v>33</v>
      </c>
      <c r="L99" s="3" t="s">
        <v>34</v>
      </c>
      <c r="M99" s="8">
        <v>62500</v>
      </c>
      <c r="N99" s="11"/>
      <c r="O99" s="3" t="s">
        <v>985</v>
      </c>
      <c r="P99" s="3" t="s">
        <v>986</v>
      </c>
    </row>
    <row r="100" spans="1:16" x14ac:dyDescent="0.3">
      <c r="A100" s="3" t="s">
        <v>103</v>
      </c>
      <c r="B100" s="3" t="s">
        <v>990</v>
      </c>
      <c r="C100" s="3" t="s">
        <v>321</v>
      </c>
      <c r="D100" s="3" t="s">
        <v>30</v>
      </c>
      <c r="E100" s="3" t="s">
        <v>31</v>
      </c>
      <c r="F100" s="3" t="b">
        <v>0</v>
      </c>
      <c r="G100" s="3" t="s">
        <v>140</v>
      </c>
      <c r="H100" s="6">
        <v>44956.794039351851</v>
      </c>
      <c r="I100" s="3" t="b">
        <v>0</v>
      </c>
      <c r="J100" s="3" t="b">
        <v>0</v>
      </c>
      <c r="K100" s="3" t="s">
        <v>33</v>
      </c>
      <c r="L100" s="3" t="s">
        <v>34</v>
      </c>
      <c r="M100" s="8">
        <v>85000</v>
      </c>
      <c r="N100" s="11"/>
      <c r="O100" s="3" t="s">
        <v>991</v>
      </c>
      <c r="P100" s="3" t="s">
        <v>992</v>
      </c>
    </row>
    <row r="101" spans="1:16" x14ac:dyDescent="0.3">
      <c r="A101" s="3" t="s">
        <v>103</v>
      </c>
      <c r="B101" s="3" t="s">
        <v>103</v>
      </c>
      <c r="C101" s="3" t="s">
        <v>718</v>
      </c>
      <c r="D101" s="3" t="s">
        <v>719</v>
      </c>
      <c r="E101" s="3" t="s">
        <v>31</v>
      </c>
      <c r="F101" s="3" t="b">
        <v>0</v>
      </c>
      <c r="G101" s="3" t="s">
        <v>110</v>
      </c>
      <c r="H101" s="6">
        <v>44942</v>
      </c>
      <c r="I101" s="3" t="b">
        <v>1</v>
      </c>
      <c r="J101" s="3" t="b">
        <v>0</v>
      </c>
      <c r="K101" s="3" t="s">
        <v>110</v>
      </c>
      <c r="L101" s="3" t="s">
        <v>48</v>
      </c>
      <c r="M101" s="8"/>
      <c r="N101" s="11">
        <v>24</v>
      </c>
      <c r="O101" s="3" t="s">
        <v>1026</v>
      </c>
      <c r="P101" s="3"/>
    </row>
    <row r="102" spans="1:16" x14ac:dyDescent="0.3">
      <c r="A102" s="3" t="s">
        <v>103</v>
      </c>
      <c r="B102" s="3" t="s">
        <v>1027</v>
      </c>
      <c r="C102" s="3" t="s">
        <v>1028</v>
      </c>
      <c r="D102" s="3" t="s">
        <v>41</v>
      </c>
      <c r="E102" s="3" t="s">
        <v>31</v>
      </c>
      <c r="F102" s="3" t="b">
        <v>0</v>
      </c>
      <c r="G102" s="3" t="s">
        <v>1029</v>
      </c>
      <c r="H102" s="6">
        <v>44940.079768518517</v>
      </c>
      <c r="I102" s="3" t="b">
        <v>0</v>
      </c>
      <c r="J102" s="3" t="b">
        <v>0</v>
      </c>
      <c r="K102" s="3" t="s">
        <v>1029</v>
      </c>
      <c r="L102" s="3" t="s">
        <v>34</v>
      </c>
      <c r="M102" s="8">
        <v>45000</v>
      </c>
      <c r="N102" s="11"/>
      <c r="O102" s="3" t="s">
        <v>1030</v>
      </c>
      <c r="P102" s="3" t="s">
        <v>1031</v>
      </c>
    </row>
    <row r="103" spans="1:16" x14ac:dyDescent="0.3">
      <c r="A103" s="3" t="s">
        <v>103</v>
      </c>
      <c r="B103" s="3" t="s">
        <v>1035</v>
      </c>
      <c r="C103" s="3" t="s">
        <v>1036</v>
      </c>
      <c r="D103" s="3" t="s">
        <v>867</v>
      </c>
      <c r="E103" s="3" t="s">
        <v>31</v>
      </c>
      <c r="F103" s="3" t="b">
        <v>0</v>
      </c>
      <c r="G103" s="3" t="s">
        <v>140</v>
      </c>
      <c r="H103" s="6">
        <v>44954.019062500003</v>
      </c>
      <c r="I103" s="3" t="b">
        <v>0</v>
      </c>
      <c r="J103" s="3" t="b">
        <v>0</v>
      </c>
      <c r="K103" s="3" t="s">
        <v>33</v>
      </c>
      <c r="L103" s="3" t="s">
        <v>34</v>
      </c>
      <c r="M103" s="8">
        <v>155000</v>
      </c>
      <c r="N103" s="11"/>
      <c r="O103" s="3" t="s">
        <v>1037</v>
      </c>
      <c r="P103" s="3" t="s">
        <v>1038</v>
      </c>
    </row>
    <row r="104" spans="1:16" x14ac:dyDescent="0.3">
      <c r="A104" s="3" t="s">
        <v>103</v>
      </c>
      <c r="B104" s="3" t="s">
        <v>1042</v>
      </c>
      <c r="C104" s="3" t="s">
        <v>682</v>
      </c>
      <c r="D104" s="3" t="s">
        <v>237</v>
      </c>
      <c r="E104" s="3" t="s">
        <v>31</v>
      </c>
      <c r="F104" s="3" t="b">
        <v>0</v>
      </c>
      <c r="G104" s="3" t="s">
        <v>64</v>
      </c>
      <c r="H104" s="6">
        <v>44942.678171296298</v>
      </c>
      <c r="I104" s="3" t="b">
        <v>0</v>
      </c>
      <c r="J104" s="3" t="b">
        <v>0</v>
      </c>
      <c r="K104" s="3" t="s">
        <v>33</v>
      </c>
      <c r="L104" s="3" t="s">
        <v>34</v>
      </c>
      <c r="M104" s="8">
        <v>57500</v>
      </c>
      <c r="N104" s="11"/>
      <c r="O104" s="3" t="s">
        <v>175</v>
      </c>
      <c r="P104" s="3" t="s">
        <v>1043</v>
      </c>
    </row>
    <row r="105" spans="1:16" x14ac:dyDescent="0.3">
      <c r="A105" s="3" t="s">
        <v>103</v>
      </c>
      <c r="B105" s="3" t="s">
        <v>1049</v>
      </c>
      <c r="C105" s="3"/>
      <c r="D105" s="3" t="s">
        <v>41</v>
      </c>
      <c r="E105" s="3" t="s">
        <v>31</v>
      </c>
      <c r="F105" s="3" t="b">
        <v>0</v>
      </c>
      <c r="G105" s="3" t="s">
        <v>381</v>
      </c>
      <c r="H105" s="6">
        <v>44943.052060185182</v>
      </c>
      <c r="I105" s="3" t="b">
        <v>0</v>
      </c>
      <c r="J105" s="3" t="b">
        <v>0</v>
      </c>
      <c r="K105" s="3" t="s">
        <v>381</v>
      </c>
      <c r="L105" s="3" t="s">
        <v>34</v>
      </c>
      <c r="M105" s="8">
        <v>111175</v>
      </c>
      <c r="N105" s="11"/>
      <c r="O105" s="3" t="s">
        <v>382</v>
      </c>
      <c r="P105" s="3" t="s">
        <v>1050</v>
      </c>
    </row>
    <row r="106" spans="1:16" x14ac:dyDescent="0.3">
      <c r="A106" s="3" t="s">
        <v>103</v>
      </c>
      <c r="B106" s="3" t="s">
        <v>1056</v>
      </c>
      <c r="C106" s="3" t="s">
        <v>1057</v>
      </c>
      <c r="D106" s="3" t="s">
        <v>350</v>
      </c>
      <c r="E106" s="3" t="s">
        <v>31</v>
      </c>
      <c r="F106" s="3" t="b">
        <v>0</v>
      </c>
      <c r="G106" s="3" t="s">
        <v>58</v>
      </c>
      <c r="H106" s="6">
        <v>44936.251192129632</v>
      </c>
      <c r="I106" s="3" t="b">
        <v>0</v>
      </c>
      <c r="J106" s="3" t="b">
        <v>0</v>
      </c>
      <c r="K106" s="3" t="s">
        <v>33</v>
      </c>
      <c r="L106" s="3" t="s">
        <v>34</v>
      </c>
      <c r="M106" s="8">
        <v>117200</v>
      </c>
      <c r="N106" s="11"/>
      <c r="O106" s="3" t="s">
        <v>119</v>
      </c>
      <c r="P106" s="3" t="s">
        <v>1058</v>
      </c>
    </row>
    <row r="107" spans="1:16" x14ac:dyDescent="0.3">
      <c r="A107" s="3" t="s">
        <v>103</v>
      </c>
      <c r="B107" s="3" t="s">
        <v>1059</v>
      </c>
      <c r="C107" s="3" t="s">
        <v>270</v>
      </c>
      <c r="D107" s="3" t="s">
        <v>76</v>
      </c>
      <c r="E107" s="3" t="s">
        <v>31</v>
      </c>
      <c r="F107" s="3" t="b">
        <v>0</v>
      </c>
      <c r="G107" s="3" t="s">
        <v>32</v>
      </c>
      <c r="H107" s="6">
        <v>44940.875787037039</v>
      </c>
      <c r="I107" s="3" t="b">
        <v>1</v>
      </c>
      <c r="J107" s="3" t="b">
        <v>0</v>
      </c>
      <c r="K107" s="3" t="s">
        <v>33</v>
      </c>
      <c r="L107" s="3" t="s">
        <v>48</v>
      </c>
      <c r="M107" s="8"/>
      <c r="N107" s="11">
        <v>46.694999694824219</v>
      </c>
      <c r="O107" s="3" t="s">
        <v>1060</v>
      </c>
      <c r="P107" s="3" t="s">
        <v>1061</v>
      </c>
    </row>
    <row r="108" spans="1:16" x14ac:dyDescent="0.3">
      <c r="A108" s="3" t="s">
        <v>103</v>
      </c>
      <c r="B108" s="3" t="s">
        <v>1089</v>
      </c>
      <c r="C108" s="3" t="s">
        <v>75</v>
      </c>
      <c r="D108" s="3" t="s">
        <v>30</v>
      </c>
      <c r="E108" s="3" t="s">
        <v>31</v>
      </c>
      <c r="F108" s="3" t="b">
        <v>0</v>
      </c>
      <c r="G108" s="3" t="s">
        <v>84</v>
      </c>
      <c r="H108" s="6">
        <v>44952.877326388887</v>
      </c>
      <c r="I108" s="3" t="b">
        <v>0</v>
      </c>
      <c r="J108" s="3" t="b">
        <v>0</v>
      </c>
      <c r="K108" s="3" t="s">
        <v>33</v>
      </c>
      <c r="L108" s="3" t="s">
        <v>34</v>
      </c>
      <c r="M108" s="8">
        <v>95000</v>
      </c>
      <c r="N108" s="11"/>
      <c r="O108" s="3" t="s">
        <v>1090</v>
      </c>
      <c r="P108" s="3" t="s">
        <v>38</v>
      </c>
    </row>
    <row r="109" spans="1:16" x14ac:dyDescent="0.3">
      <c r="A109" s="3" t="s">
        <v>103</v>
      </c>
      <c r="B109" s="3" t="s">
        <v>1094</v>
      </c>
      <c r="C109" s="3" t="s">
        <v>882</v>
      </c>
      <c r="D109" s="3" t="s">
        <v>1095</v>
      </c>
      <c r="E109" s="3" t="s">
        <v>31</v>
      </c>
      <c r="F109" s="3" t="b">
        <v>0</v>
      </c>
      <c r="G109" s="3" t="s">
        <v>58</v>
      </c>
      <c r="H109" s="6">
        <v>44950.001377314817</v>
      </c>
      <c r="I109" s="3" t="b">
        <v>0</v>
      </c>
      <c r="J109" s="3" t="b">
        <v>1</v>
      </c>
      <c r="K109" s="3" t="s">
        <v>33</v>
      </c>
      <c r="L109" s="3" t="s">
        <v>48</v>
      </c>
      <c r="M109" s="8"/>
      <c r="N109" s="11">
        <v>24</v>
      </c>
      <c r="O109" s="3" t="s">
        <v>1096</v>
      </c>
      <c r="P109" s="3" t="s">
        <v>1097</v>
      </c>
    </row>
    <row r="110" spans="1:16" x14ac:dyDescent="0.3">
      <c r="A110" s="3" t="s">
        <v>103</v>
      </c>
      <c r="B110" s="3" t="s">
        <v>1117</v>
      </c>
      <c r="C110" s="3" t="s">
        <v>1023</v>
      </c>
      <c r="D110" s="3" t="s">
        <v>93</v>
      </c>
      <c r="E110" s="3" t="s">
        <v>31</v>
      </c>
      <c r="F110" s="3" t="b">
        <v>0</v>
      </c>
      <c r="G110" s="3" t="s">
        <v>84</v>
      </c>
      <c r="H110" s="6">
        <v>44930.293182870373</v>
      </c>
      <c r="I110" s="3" t="b">
        <v>0</v>
      </c>
      <c r="J110" s="3" t="b">
        <v>1</v>
      </c>
      <c r="K110" s="3" t="s">
        <v>33</v>
      </c>
      <c r="L110" s="3" t="s">
        <v>34</v>
      </c>
      <c r="M110" s="8">
        <v>115000</v>
      </c>
      <c r="N110" s="11"/>
      <c r="O110" s="3" t="s">
        <v>665</v>
      </c>
      <c r="P110" s="3" t="s">
        <v>1118</v>
      </c>
    </row>
    <row r="111" spans="1:16" x14ac:dyDescent="0.3">
      <c r="A111" s="3" t="s">
        <v>103</v>
      </c>
      <c r="B111" s="3" t="s">
        <v>1122</v>
      </c>
      <c r="C111" s="3" t="s">
        <v>87</v>
      </c>
      <c r="D111" s="3" t="s">
        <v>30</v>
      </c>
      <c r="E111" s="3" t="s">
        <v>133</v>
      </c>
      <c r="F111" s="3" t="b">
        <v>1</v>
      </c>
      <c r="G111" s="3" t="s">
        <v>84</v>
      </c>
      <c r="H111" s="6">
        <v>44944.960694444453</v>
      </c>
      <c r="I111" s="3" t="b">
        <v>0</v>
      </c>
      <c r="J111" s="3" t="b">
        <v>0</v>
      </c>
      <c r="K111" s="3" t="s">
        <v>33</v>
      </c>
      <c r="L111" s="3" t="s">
        <v>48</v>
      </c>
      <c r="M111" s="8"/>
      <c r="N111" s="11">
        <v>52</v>
      </c>
      <c r="O111" s="3" t="s">
        <v>1123</v>
      </c>
      <c r="P111" s="3" t="s">
        <v>1124</v>
      </c>
    </row>
    <row r="112" spans="1:16" x14ac:dyDescent="0.3">
      <c r="A112" s="3" t="s">
        <v>103</v>
      </c>
      <c r="B112" s="3" t="s">
        <v>1125</v>
      </c>
      <c r="C112" s="3" t="s">
        <v>1126</v>
      </c>
      <c r="D112" s="3" t="s">
        <v>93</v>
      </c>
      <c r="E112" s="3" t="s">
        <v>31</v>
      </c>
      <c r="F112" s="3" t="b">
        <v>0</v>
      </c>
      <c r="G112" s="3" t="s">
        <v>110</v>
      </c>
      <c r="H112" s="6">
        <v>44933.087199074071</v>
      </c>
      <c r="I112" s="3" t="b">
        <v>0</v>
      </c>
      <c r="J112" s="3" t="b">
        <v>1</v>
      </c>
      <c r="K112" s="3" t="s">
        <v>110</v>
      </c>
      <c r="L112" s="3" t="s">
        <v>34</v>
      </c>
      <c r="M112" s="8">
        <v>115000</v>
      </c>
      <c r="N112" s="11"/>
      <c r="O112" s="3" t="s">
        <v>1127</v>
      </c>
      <c r="P112" s="3"/>
    </row>
    <row r="113" spans="1:16" x14ac:dyDescent="0.3">
      <c r="A113" s="3" t="s">
        <v>103</v>
      </c>
      <c r="B113" s="3" t="s">
        <v>103</v>
      </c>
      <c r="C113" s="3" t="s">
        <v>597</v>
      </c>
      <c r="D113" s="3" t="s">
        <v>41</v>
      </c>
      <c r="E113" s="3" t="s">
        <v>31</v>
      </c>
      <c r="F113" s="3" t="b">
        <v>0</v>
      </c>
      <c r="G113" s="3" t="s">
        <v>597</v>
      </c>
      <c r="H113" s="6">
        <v>44957.510925925933</v>
      </c>
      <c r="I113" s="3" t="b">
        <v>1</v>
      </c>
      <c r="J113" s="3" t="b">
        <v>0</v>
      </c>
      <c r="K113" s="3" t="s">
        <v>597</v>
      </c>
      <c r="L113" s="3" t="s">
        <v>34</v>
      </c>
      <c r="M113" s="8">
        <v>102500</v>
      </c>
      <c r="N113" s="11"/>
      <c r="O113" s="3" t="s">
        <v>360</v>
      </c>
      <c r="P113" s="3" t="s">
        <v>1132</v>
      </c>
    </row>
    <row r="114" spans="1:16" x14ac:dyDescent="0.3">
      <c r="A114" s="3" t="s">
        <v>103</v>
      </c>
      <c r="B114" s="3" t="s">
        <v>1133</v>
      </c>
      <c r="C114" s="3" t="s">
        <v>87</v>
      </c>
      <c r="D114" s="3" t="s">
        <v>307</v>
      </c>
      <c r="E114" s="3" t="s">
        <v>31</v>
      </c>
      <c r="F114" s="3" t="b">
        <v>1</v>
      </c>
      <c r="G114" s="3" t="s">
        <v>64</v>
      </c>
      <c r="H114" s="6">
        <v>44943.91679398148</v>
      </c>
      <c r="I114" s="3" t="b">
        <v>0</v>
      </c>
      <c r="J114" s="3" t="b">
        <v>0</v>
      </c>
      <c r="K114" s="3" t="s">
        <v>33</v>
      </c>
      <c r="L114" s="3" t="s">
        <v>48</v>
      </c>
      <c r="M114" s="8"/>
      <c r="N114" s="11">
        <v>18.5</v>
      </c>
      <c r="O114" s="3" t="s">
        <v>114</v>
      </c>
      <c r="P114" s="3" t="s">
        <v>707</v>
      </c>
    </row>
    <row r="115" spans="1:16" x14ac:dyDescent="0.3">
      <c r="A115" s="3" t="s">
        <v>103</v>
      </c>
      <c r="B115" s="3" t="s">
        <v>1166</v>
      </c>
      <c r="C115" s="3" t="s">
        <v>1167</v>
      </c>
      <c r="D115" s="3" t="s">
        <v>30</v>
      </c>
      <c r="E115" s="3" t="s">
        <v>133</v>
      </c>
      <c r="F115" s="3" t="b">
        <v>0</v>
      </c>
      <c r="G115" s="3" t="s">
        <v>84</v>
      </c>
      <c r="H115" s="6">
        <v>44945.637858796297</v>
      </c>
      <c r="I115" s="3" t="b">
        <v>1</v>
      </c>
      <c r="J115" s="3" t="b">
        <v>0</v>
      </c>
      <c r="K115" s="3" t="s">
        <v>33</v>
      </c>
      <c r="L115" s="3" t="s">
        <v>48</v>
      </c>
      <c r="M115" s="8"/>
      <c r="N115" s="11">
        <v>34.5</v>
      </c>
      <c r="O115" s="3" t="s">
        <v>1168</v>
      </c>
      <c r="P115" s="3" t="s">
        <v>1169</v>
      </c>
    </row>
    <row r="116" spans="1:16" x14ac:dyDescent="0.3">
      <c r="A116" s="3" t="s">
        <v>103</v>
      </c>
      <c r="B116" s="3" t="s">
        <v>1179</v>
      </c>
      <c r="C116" s="3" t="s">
        <v>29</v>
      </c>
      <c r="D116" s="3" t="s">
        <v>30</v>
      </c>
      <c r="E116" s="3" t="s">
        <v>31</v>
      </c>
      <c r="F116" s="3" t="b">
        <v>0</v>
      </c>
      <c r="G116" s="3" t="s">
        <v>32</v>
      </c>
      <c r="H116" s="6">
        <v>44937.251875000002</v>
      </c>
      <c r="I116" s="3" t="b">
        <v>0</v>
      </c>
      <c r="J116" s="3" t="b">
        <v>1</v>
      </c>
      <c r="K116" s="3" t="s">
        <v>33</v>
      </c>
      <c r="L116" s="3" t="s">
        <v>34</v>
      </c>
      <c r="M116" s="8">
        <v>215500</v>
      </c>
      <c r="N116" s="11"/>
      <c r="O116" s="3" t="s">
        <v>35</v>
      </c>
      <c r="P116" s="3" t="s">
        <v>1180</v>
      </c>
    </row>
    <row r="117" spans="1:16" x14ac:dyDescent="0.3">
      <c r="A117" s="3" t="s">
        <v>103</v>
      </c>
      <c r="B117" s="3" t="s">
        <v>1190</v>
      </c>
      <c r="C117" s="3" t="s">
        <v>520</v>
      </c>
      <c r="D117" s="3" t="s">
        <v>76</v>
      </c>
      <c r="E117" s="3" t="s">
        <v>31</v>
      </c>
      <c r="F117" s="3" t="b">
        <v>0</v>
      </c>
      <c r="G117" s="3" t="s">
        <v>88</v>
      </c>
      <c r="H117" s="6">
        <v>44953.710868055547</v>
      </c>
      <c r="I117" s="3" t="b">
        <v>0</v>
      </c>
      <c r="J117" s="3" t="b">
        <v>1</v>
      </c>
      <c r="K117" s="3" t="s">
        <v>33</v>
      </c>
      <c r="L117" s="3" t="s">
        <v>34</v>
      </c>
      <c r="M117" s="8">
        <v>70000</v>
      </c>
      <c r="N117" s="11"/>
      <c r="O117" s="3" t="s">
        <v>1191</v>
      </c>
      <c r="P117" s="3" t="s">
        <v>405</v>
      </c>
    </row>
    <row r="118" spans="1:16" x14ac:dyDescent="0.3">
      <c r="A118" s="3" t="s">
        <v>103</v>
      </c>
      <c r="B118" s="3" t="s">
        <v>1198</v>
      </c>
      <c r="C118" s="3" t="s">
        <v>641</v>
      </c>
      <c r="D118" s="3" t="s">
        <v>151</v>
      </c>
      <c r="E118" s="3" t="s">
        <v>31</v>
      </c>
      <c r="F118" s="3" t="b">
        <v>0</v>
      </c>
      <c r="G118" s="3" t="s">
        <v>88</v>
      </c>
      <c r="H118" s="6">
        <v>44943.627395833333</v>
      </c>
      <c r="I118" s="3" t="b">
        <v>1</v>
      </c>
      <c r="J118" s="3" t="b">
        <v>1</v>
      </c>
      <c r="K118" s="3" t="s">
        <v>33</v>
      </c>
      <c r="L118" s="3" t="s">
        <v>48</v>
      </c>
      <c r="M118" s="8"/>
      <c r="N118" s="11">
        <v>19</v>
      </c>
      <c r="O118" s="3" t="s">
        <v>1199</v>
      </c>
      <c r="P118" s="3" t="s">
        <v>374</v>
      </c>
    </row>
    <row r="119" spans="1:16" x14ac:dyDescent="0.3">
      <c r="A119" s="3" t="s">
        <v>103</v>
      </c>
      <c r="B119" s="3" t="s">
        <v>1200</v>
      </c>
      <c r="C119" s="3" t="s">
        <v>1201</v>
      </c>
      <c r="D119" s="3" t="s">
        <v>53</v>
      </c>
      <c r="E119" s="3" t="s">
        <v>31</v>
      </c>
      <c r="F119" s="3" t="b">
        <v>0</v>
      </c>
      <c r="G119" s="3" t="s">
        <v>32</v>
      </c>
      <c r="H119" s="6">
        <v>44946.875972222217</v>
      </c>
      <c r="I119" s="3" t="b">
        <v>1</v>
      </c>
      <c r="J119" s="3" t="b">
        <v>0</v>
      </c>
      <c r="K119" s="3" t="s">
        <v>33</v>
      </c>
      <c r="L119" s="3" t="s">
        <v>34</v>
      </c>
      <c r="M119" s="8">
        <v>80000</v>
      </c>
      <c r="N119" s="11"/>
      <c r="O119" s="3" t="s">
        <v>1202</v>
      </c>
      <c r="P119" s="3" t="s">
        <v>846</v>
      </c>
    </row>
    <row r="120" spans="1:16" x14ac:dyDescent="0.3">
      <c r="A120" s="3" t="s">
        <v>103</v>
      </c>
      <c r="B120" s="3" t="s">
        <v>477</v>
      </c>
      <c r="C120" s="3" t="s">
        <v>1206</v>
      </c>
      <c r="D120" s="3" t="s">
        <v>390</v>
      </c>
      <c r="E120" s="3" t="s">
        <v>31</v>
      </c>
      <c r="F120" s="3" t="b">
        <v>0</v>
      </c>
      <c r="G120" s="3" t="s">
        <v>84</v>
      </c>
      <c r="H120" s="6">
        <v>44935.293310185189</v>
      </c>
      <c r="I120" s="3" t="b">
        <v>0</v>
      </c>
      <c r="J120" s="3" t="b">
        <v>0</v>
      </c>
      <c r="K120" s="3" t="s">
        <v>33</v>
      </c>
      <c r="L120" s="3" t="s">
        <v>34</v>
      </c>
      <c r="M120" s="8">
        <v>133285</v>
      </c>
      <c r="N120" s="11"/>
      <c r="O120" s="3" t="s">
        <v>119</v>
      </c>
      <c r="P120" s="3" t="s">
        <v>480</v>
      </c>
    </row>
    <row r="121" spans="1:16" x14ac:dyDescent="0.3">
      <c r="A121" s="3" t="s">
        <v>103</v>
      </c>
      <c r="B121" s="3" t="s">
        <v>1217</v>
      </c>
      <c r="C121" s="3" t="s">
        <v>270</v>
      </c>
      <c r="D121" s="3" t="s">
        <v>93</v>
      </c>
      <c r="E121" s="3" t="s">
        <v>31</v>
      </c>
      <c r="F121" s="3" t="b">
        <v>0</v>
      </c>
      <c r="G121" s="3" t="s">
        <v>32</v>
      </c>
      <c r="H121" s="6">
        <v>44945.303668981483</v>
      </c>
      <c r="I121" s="3" t="b">
        <v>0</v>
      </c>
      <c r="J121" s="3" t="b">
        <v>0</v>
      </c>
      <c r="K121" s="3" t="s">
        <v>33</v>
      </c>
      <c r="L121" s="3" t="s">
        <v>34</v>
      </c>
      <c r="M121" s="8">
        <v>115000</v>
      </c>
      <c r="N121" s="11"/>
      <c r="O121" s="3" t="s">
        <v>1218</v>
      </c>
      <c r="P121" s="3" t="s">
        <v>405</v>
      </c>
    </row>
    <row r="122" spans="1:16" x14ac:dyDescent="0.3">
      <c r="A122" s="3" t="s">
        <v>103</v>
      </c>
      <c r="B122" s="3" t="s">
        <v>1224</v>
      </c>
      <c r="C122" s="3" t="s">
        <v>1225</v>
      </c>
      <c r="D122" s="3" t="s">
        <v>237</v>
      </c>
      <c r="E122" s="3" t="s">
        <v>31</v>
      </c>
      <c r="F122" s="3" t="b">
        <v>0</v>
      </c>
      <c r="G122" s="3" t="s">
        <v>58</v>
      </c>
      <c r="H122" s="6">
        <v>44953.460023148153</v>
      </c>
      <c r="I122" s="3" t="b">
        <v>0</v>
      </c>
      <c r="J122" s="3" t="b">
        <v>0</v>
      </c>
      <c r="K122" s="3" t="s">
        <v>33</v>
      </c>
      <c r="L122" s="3" t="s">
        <v>34</v>
      </c>
      <c r="M122" s="8">
        <v>146100</v>
      </c>
      <c r="N122" s="11"/>
      <c r="O122" s="3" t="s">
        <v>119</v>
      </c>
      <c r="P122" s="3" t="s">
        <v>1226</v>
      </c>
    </row>
    <row r="123" spans="1:16" x14ac:dyDescent="0.3">
      <c r="A123" s="3" t="s">
        <v>103</v>
      </c>
      <c r="B123" s="3" t="s">
        <v>103</v>
      </c>
      <c r="C123" s="3" t="s">
        <v>1233</v>
      </c>
      <c r="D123" s="3" t="s">
        <v>41</v>
      </c>
      <c r="E123" s="3" t="s">
        <v>31</v>
      </c>
      <c r="F123" s="3" t="b">
        <v>0</v>
      </c>
      <c r="G123" s="3" t="s">
        <v>1234</v>
      </c>
      <c r="H123" s="6">
        <v>44936.943472222221</v>
      </c>
      <c r="I123" s="3" t="b">
        <v>0</v>
      </c>
      <c r="J123" s="3" t="b">
        <v>0</v>
      </c>
      <c r="K123" s="3" t="s">
        <v>1234</v>
      </c>
      <c r="L123" s="3" t="s">
        <v>34</v>
      </c>
      <c r="M123" s="8">
        <v>102500</v>
      </c>
      <c r="N123" s="11"/>
      <c r="O123" s="3" t="s">
        <v>414</v>
      </c>
      <c r="P123" s="3"/>
    </row>
    <row r="124" spans="1:16" x14ac:dyDescent="0.3">
      <c r="A124" s="3" t="s">
        <v>103</v>
      </c>
      <c r="B124" s="3" t="s">
        <v>103</v>
      </c>
      <c r="C124" s="3" t="s">
        <v>164</v>
      </c>
      <c r="D124" s="3" t="s">
        <v>76</v>
      </c>
      <c r="E124" s="3" t="s">
        <v>31</v>
      </c>
      <c r="F124" s="3" t="b">
        <v>0</v>
      </c>
      <c r="G124" s="3" t="s">
        <v>64</v>
      </c>
      <c r="H124" s="6">
        <v>44951.999895833331</v>
      </c>
      <c r="I124" s="3" t="b">
        <v>0</v>
      </c>
      <c r="J124" s="3" t="b">
        <v>1</v>
      </c>
      <c r="K124" s="3" t="s">
        <v>33</v>
      </c>
      <c r="L124" s="3" t="s">
        <v>48</v>
      </c>
      <c r="M124" s="8"/>
      <c r="N124" s="11">
        <v>32</v>
      </c>
      <c r="O124" s="3" t="s">
        <v>1258</v>
      </c>
      <c r="P124" s="3" t="s">
        <v>1259</v>
      </c>
    </row>
    <row r="125" spans="1:16" x14ac:dyDescent="0.3">
      <c r="A125" s="3" t="s">
        <v>103</v>
      </c>
      <c r="B125" s="3" t="s">
        <v>1282</v>
      </c>
      <c r="C125" s="3" t="s">
        <v>1283</v>
      </c>
      <c r="D125" s="3" t="s">
        <v>827</v>
      </c>
      <c r="E125" s="3" t="s">
        <v>31</v>
      </c>
      <c r="F125" s="3" t="b">
        <v>0</v>
      </c>
      <c r="G125" s="3" t="s">
        <v>88</v>
      </c>
      <c r="H125" s="6">
        <v>44937.335856481477</v>
      </c>
      <c r="I125" s="3" t="b">
        <v>0</v>
      </c>
      <c r="J125" s="3" t="b">
        <v>0</v>
      </c>
      <c r="K125" s="3" t="s">
        <v>33</v>
      </c>
      <c r="L125" s="3" t="s">
        <v>34</v>
      </c>
      <c r="M125" s="8">
        <v>52775</v>
      </c>
      <c r="N125" s="11"/>
      <c r="O125" s="3" t="s">
        <v>119</v>
      </c>
      <c r="P125" s="3"/>
    </row>
    <row r="126" spans="1:16" x14ac:dyDescent="0.3">
      <c r="A126" s="3" t="s">
        <v>103</v>
      </c>
      <c r="B126" s="3" t="s">
        <v>1133</v>
      </c>
      <c r="C126" s="3" t="s">
        <v>813</v>
      </c>
      <c r="D126" s="3" t="s">
        <v>30</v>
      </c>
      <c r="E126" s="3" t="s">
        <v>133</v>
      </c>
      <c r="F126" s="3" t="b">
        <v>0</v>
      </c>
      <c r="G126" s="3" t="s">
        <v>64</v>
      </c>
      <c r="H126" s="6">
        <v>44944.583368055559</v>
      </c>
      <c r="I126" s="3" t="b">
        <v>1</v>
      </c>
      <c r="J126" s="3" t="b">
        <v>0</v>
      </c>
      <c r="K126" s="3" t="s">
        <v>33</v>
      </c>
      <c r="L126" s="3" t="s">
        <v>48</v>
      </c>
      <c r="M126" s="8"/>
      <c r="N126" s="11">
        <v>45</v>
      </c>
      <c r="O126" s="3" t="s">
        <v>1303</v>
      </c>
      <c r="P126" s="3" t="s">
        <v>374</v>
      </c>
    </row>
    <row r="127" spans="1:16" x14ac:dyDescent="0.3">
      <c r="A127" s="3" t="s">
        <v>103</v>
      </c>
      <c r="B127" s="3" t="s">
        <v>1304</v>
      </c>
      <c r="C127" s="3" t="s">
        <v>947</v>
      </c>
      <c r="D127" s="3" t="s">
        <v>76</v>
      </c>
      <c r="E127" s="3" t="s">
        <v>31</v>
      </c>
      <c r="F127" s="3" t="b">
        <v>0</v>
      </c>
      <c r="G127" s="3" t="s">
        <v>64</v>
      </c>
      <c r="H127" s="6">
        <v>44935.250277777777</v>
      </c>
      <c r="I127" s="3" t="b">
        <v>0</v>
      </c>
      <c r="J127" s="3" t="b">
        <v>1</v>
      </c>
      <c r="K127" s="3" t="s">
        <v>33</v>
      </c>
      <c r="L127" s="3" t="s">
        <v>34</v>
      </c>
      <c r="M127" s="8">
        <v>81550</v>
      </c>
      <c r="N127" s="11"/>
      <c r="O127" s="3" t="s">
        <v>1305</v>
      </c>
      <c r="P127" s="3" t="s">
        <v>1306</v>
      </c>
    </row>
    <row r="128" spans="1:16" x14ac:dyDescent="0.3">
      <c r="A128" s="3" t="s">
        <v>103</v>
      </c>
      <c r="B128" s="3" t="s">
        <v>103</v>
      </c>
      <c r="C128" s="3" t="s">
        <v>504</v>
      </c>
      <c r="D128" s="3" t="s">
        <v>41</v>
      </c>
      <c r="E128" s="3" t="s">
        <v>31</v>
      </c>
      <c r="F128" s="3" t="b">
        <v>0</v>
      </c>
      <c r="G128" s="3" t="s">
        <v>505</v>
      </c>
      <c r="H128" s="6">
        <v>44944.181192129632</v>
      </c>
      <c r="I128" s="3" t="b">
        <v>1</v>
      </c>
      <c r="J128" s="3" t="b">
        <v>0</v>
      </c>
      <c r="K128" s="3" t="s">
        <v>505</v>
      </c>
      <c r="L128" s="3" t="s">
        <v>34</v>
      </c>
      <c r="M128" s="8">
        <v>111175</v>
      </c>
      <c r="N128" s="11"/>
      <c r="O128" s="3" t="s">
        <v>1222</v>
      </c>
      <c r="P128" s="3" t="s">
        <v>1307</v>
      </c>
    </row>
    <row r="129" spans="1:16" x14ac:dyDescent="0.3">
      <c r="A129" s="3" t="s">
        <v>103</v>
      </c>
      <c r="B129" s="3" t="s">
        <v>1335</v>
      </c>
      <c r="C129" s="3" t="s">
        <v>896</v>
      </c>
      <c r="D129" s="3" t="s">
        <v>41</v>
      </c>
      <c r="E129" s="3" t="s">
        <v>31</v>
      </c>
      <c r="F129" s="3" t="b">
        <v>0</v>
      </c>
      <c r="G129" s="3" t="s">
        <v>897</v>
      </c>
      <c r="H129" s="6">
        <v>44939.385844907411</v>
      </c>
      <c r="I129" s="3" t="b">
        <v>1</v>
      </c>
      <c r="J129" s="3" t="b">
        <v>0</v>
      </c>
      <c r="K129" s="3" t="s">
        <v>897</v>
      </c>
      <c r="L129" s="3" t="s">
        <v>34</v>
      </c>
      <c r="M129" s="8">
        <v>79200</v>
      </c>
      <c r="N129" s="11"/>
      <c r="O129" s="3" t="s">
        <v>1336</v>
      </c>
      <c r="P129" s="3" t="s">
        <v>38</v>
      </c>
    </row>
    <row r="130" spans="1:16" x14ac:dyDescent="0.3">
      <c r="A130" s="3" t="s">
        <v>103</v>
      </c>
      <c r="B130" s="3" t="s">
        <v>1374</v>
      </c>
      <c r="C130" s="3" t="s">
        <v>1375</v>
      </c>
      <c r="D130" s="3" t="s">
        <v>76</v>
      </c>
      <c r="E130" s="3" t="s">
        <v>31</v>
      </c>
      <c r="F130" s="3" t="b">
        <v>0</v>
      </c>
      <c r="G130" s="3" t="s">
        <v>64</v>
      </c>
      <c r="H130" s="6">
        <v>44947.5002662037</v>
      </c>
      <c r="I130" s="3" t="b">
        <v>0</v>
      </c>
      <c r="J130" s="3" t="b">
        <v>0</v>
      </c>
      <c r="K130" s="3" t="s">
        <v>33</v>
      </c>
      <c r="L130" s="3" t="s">
        <v>34</v>
      </c>
      <c r="M130" s="8">
        <v>70000</v>
      </c>
      <c r="N130" s="11"/>
      <c r="O130" s="3" t="s">
        <v>1376</v>
      </c>
      <c r="P130" s="3" t="s">
        <v>1377</v>
      </c>
    </row>
    <row r="131" spans="1:16" x14ac:dyDescent="0.3">
      <c r="A131" s="3" t="s">
        <v>103</v>
      </c>
      <c r="B131" s="3" t="s">
        <v>103</v>
      </c>
      <c r="C131" s="3" t="s">
        <v>75</v>
      </c>
      <c r="D131" s="3" t="s">
        <v>76</v>
      </c>
      <c r="E131" s="3" t="s">
        <v>31</v>
      </c>
      <c r="F131" s="3" t="b">
        <v>0</v>
      </c>
      <c r="G131" s="3" t="s">
        <v>84</v>
      </c>
      <c r="H131" s="6">
        <v>44930.020879629628</v>
      </c>
      <c r="I131" s="3" t="b">
        <v>0</v>
      </c>
      <c r="J131" s="3" t="b">
        <v>1</v>
      </c>
      <c r="K131" s="3" t="s">
        <v>33</v>
      </c>
      <c r="L131" s="3" t="s">
        <v>34</v>
      </c>
      <c r="M131" s="8">
        <v>55000</v>
      </c>
      <c r="N131" s="11"/>
      <c r="O131" s="3" t="s">
        <v>1380</v>
      </c>
      <c r="P131" s="3" t="s">
        <v>1381</v>
      </c>
    </row>
    <row r="132" spans="1:16" x14ac:dyDescent="0.3">
      <c r="A132" s="3" t="s">
        <v>103</v>
      </c>
      <c r="B132" s="3" t="s">
        <v>1382</v>
      </c>
      <c r="C132" s="3" t="s">
        <v>1383</v>
      </c>
      <c r="D132" s="3" t="s">
        <v>151</v>
      </c>
      <c r="E132" s="3" t="s">
        <v>31</v>
      </c>
      <c r="F132" s="3" t="b">
        <v>0</v>
      </c>
      <c r="G132" s="3" t="s">
        <v>84</v>
      </c>
      <c r="H132" s="6">
        <v>44946.513379629629</v>
      </c>
      <c r="I132" s="3" t="b">
        <v>0</v>
      </c>
      <c r="J132" s="3" t="b">
        <v>1</v>
      </c>
      <c r="K132" s="3" t="s">
        <v>33</v>
      </c>
      <c r="L132" s="3" t="s">
        <v>48</v>
      </c>
      <c r="M132" s="8"/>
      <c r="N132" s="11">
        <v>23.07500076293945</v>
      </c>
      <c r="O132" s="3" t="s">
        <v>1384</v>
      </c>
      <c r="P132" s="3" t="s">
        <v>1385</v>
      </c>
    </row>
    <row r="133" spans="1:16" x14ac:dyDescent="0.3">
      <c r="A133" s="3" t="s">
        <v>103</v>
      </c>
      <c r="B133" s="3" t="s">
        <v>1388</v>
      </c>
      <c r="C133" s="3" t="s">
        <v>1389</v>
      </c>
      <c r="D133" s="3" t="s">
        <v>76</v>
      </c>
      <c r="E133" s="3" t="s">
        <v>31</v>
      </c>
      <c r="F133" s="3" t="b">
        <v>0</v>
      </c>
      <c r="G133" s="3" t="s">
        <v>58</v>
      </c>
      <c r="H133" s="6">
        <v>44940.459583333337</v>
      </c>
      <c r="I133" s="3" t="b">
        <v>0</v>
      </c>
      <c r="J133" s="3" t="b">
        <v>0</v>
      </c>
      <c r="K133" s="3" t="s">
        <v>33</v>
      </c>
      <c r="L133" s="3" t="s">
        <v>34</v>
      </c>
      <c r="M133" s="8">
        <v>46238.3984375</v>
      </c>
      <c r="N133" s="11"/>
      <c r="O133" s="3" t="s">
        <v>1390</v>
      </c>
      <c r="P133" s="3" t="s">
        <v>1391</v>
      </c>
    </row>
    <row r="134" spans="1:16" x14ac:dyDescent="0.3">
      <c r="A134" s="3" t="s">
        <v>103</v>
      </c>
      <c r="B134" s="3" t="s">
        <v>1420</v>
      </c>
      <c r="C134" s="3" t="s">
        <v>1421</v>
      </c>
      <c r="D134" s="3" t="s">
        <v>76</v>
      </c>
      <c r="E134" s="3" t="s">
        <v>31</v>
      </c>
      <c r="F134" s="3" t="b">
        <v>0</v>
      </c>
      <c r="G134" s="3" t="s">
        <v>88</v>
      </c>
      <c r="H134" s="6">
        <v>44949.877025462964</v>
      </c>
      <c r="I134" s="3" t="b">
        <v>0</v>
      </c>
      <c r="J134" s="3" t="b">
        <v>1</v>
      </c>
      <c r="K134" s="3" t="s">
        <v>33</v>
      </c>
      <c r="L134" s="3" t="s">
        <v>48</v>
      </c>
      <c r="M134" s="8"/>
      <c r="N134" s="11">
        <v>25</v>
      </c>
      <c r="O134" s="3" t="s">
        <v>1422</v>
      </c>
      <c r="P134" s="3" t="s">
        <v>1423</v>
      </c>
    </row>
    <row r="135" spans="1:16" x14ac:dyDescent="0.3">
      <c r="A135" s="3" t="s">
        <v>103</v>
      </c>
      <c r="B135" s="3" t="s">
        <v>104</v>
      </c>
      <c r="C135" s="3" t="s">
        <v>1424</v>
      </c>
      <c r="D135" s="3" t="s">
        <v>390</v>
      </c>
      <c r="E135" s="3" t="s">
        <v>31</v>
      </c>
      <c r="F135" s="3" t="b">
        <v>0</v>
      </c>
      <c r="G135" s="3" t="s">
        <v>84</v>
      </c>
      <c r="H135" s="6">
        <v>44944.919050925928</v>
      </c>
      <c r="I135" s="3" t="b">
        <v>0</v>
      </c>
      <c r="J135" s="3" t="b">
        <v>1</v>
      </c>
      <c r="K135" s="3" t="s">
        <v>33</v>
      </c>
      <c r="L135" s="3" t="s">
        <v>34</v>
      </c>
      <c r="M135" s="8">
        <v>144481.5</v>
      </c>
      <c r="N135" s="11"/>
      <c r="O135" s="3" t="s">
        <v>107</v>
      </c>
      <c r="P135" s="3"/>
    </row>
    <row r="136" spans="1:16" x14ac:dyDescent="0.3">
      <c r="A136" s="3" t="s">
        <v>103</v>
      </c>
      <c r="B136" s="3" t="s">
        <v>1425</v>
      </c>
      <c r="C136" s="3" t="s">
        <v>29</v>
      </c>
      <c r="D136" s="3" t="s">
        <v>30</v>
      </c>
      <c r="E136" s="3" t="s">
        <v>31</v>
      </c>
      <c r="F136" s="3" t="b">
        <v>0</v>
      </c>
      <c r="G136" s="3" t="s">
        <v>32</v>
      </c>
      <c r="H136" s="6">
        <v>44937.251793981479</v>
      </c>
      <c r="I136" s="3" t="b">
        <v>0</v>
      </c>
      <c r="J136" s="3" t="b">
        <v>1</v>
      </c>
      <c r="K136" s="3" t="s">
        <v>33</v>
      </c>
      <c r="L136" s="3" t="s">
        <v>34</v>
      </c>
      <c r="M136" s="8">
        <v>124444</v>
      </c>
      <c r="N136" s="11"/>
      <c r="O136" s="3" t="s">
        <v>35</v>
      </c>
      <c r="P136" s="3" t="s">
        <v>1426</v>
      </c>
    </row>
    <row r="137" spans="1:16" x14ac:dyDescent="0.3">
      <c r="A137" s="3" t="s">
        <v>103</v>
      </c>
      <c r="B137" s="3" t="s">
        <v>103</v>
      </c>
      <c r="C137" s="3" t="s">
        <v>164</v>
      </c>
      <c r="D137" s="3" t="s">
        <v>106</v>
      </c>
      <c r="E137" s="3" t="s">
        <v>31</v>
      </c>
      <c r="F137" s="3" t="b">
        <v>0</v>
      </c>
      <c r="G137" s="3" t="s">
        <v>64</v>
      </c>
      <c r="H137" s="6">
        <v>44930.833275462966</v>
      </c>
      <c r="I137" s="3" t="b">
        <v>0</v>
      </c>
      <c r="J137" s="3" t="b">
        <v>0</v>
      </c>
      <c r="K137" s="3" t="s">
        <v>33</v>
      </c>
      <c r="L137" s="3" t="s">
        <v>34</v>
      </c>
      <c r="M137" s="8">
        <v>62500</v>
      </c>
      <c r="N137" s="11"/>
      <c r="O137" s="3" t="s">
        <v>1431</v>
      </c>
      <c r="P137" s="3" t="s">
        <v>1432</v>
      </c>
    </row>
    <row r="138" spans="1:16" x14ac:dyDescent="0.3">
      <c r="A138" s="3" t="s">
        <v>103</v>
      </c>
      <c r="B138" s="3" t="s">
        <v>1444</v>
      </c>
      <c r="C138" s="3" t="s">
        <v>417</v>
      </c>
      <c r="D138" s="3" t="s">
        <v>429</v>
      </c>
      <c r="E138" s="3" t="s">
        <v>31</v>
      </c>
      <c r="F138" s="3" t="b">
        <v>0</v>
      </c>
      <c r="G138" s="3" t="s">
        <v>58</v>
      </c>
      <c r="H138" s="6">
        <v>44949.001331018517</v>
      </c>
      <c r="I138" s="3" t="b">
        <v>0</v>
      </c>
      <c r="J138" s="3" t="b">
        <v>0</v>
      </c>
      <c r="K138" s="3" t="s">
        <v>33</v>
      </c>
      <c r="L138" s="3" t="s">
        <v>48</v>
      </c>
      <c r="M138" s="8"/>
      <c r="N138" s="11">
        <v>24</v>
      </c>
      <c r="O138" s="3" t="s">
        <v>1445</v>
      </c>
      <c r="P138" s="3" t="s">
        <v>1446</v>
      </c>
    </row>
    <row r="139" spans="1:16" x14ac:dyDescent="0.3">
      <c r="A139" s="3" t="s">
        <v>103</v>
      </c>
      <c r="B139" s="3" t="s">
        <v>1451</v>
      </c>
      <c r="C139" s="3" t="s">
        <v>565</v>
      </c>
      <c r="D139" s="3" t="s">
        <v>804</v>
      </c>
      <c r="E139" s="3" t="s">
        <v>31</v>
      </c>
      <c r="F139" s="3" t="b">
        <v>0</v>
      </c>
      <c r="G139" s="3" t="s">
        <v>140</v>
      </c>
      <c r="H139" s="6">
        <v>44927.012476851851</v>
      </c>
      <c r="I139" s="3" t="b">
        <v>0</v>
      </c>
      <c r="J139" s="3" t="b">
        <v>0</v>
      </c>
      <c r="K139" s="3" t="s">
        <v>33</v>
      </c>
      <c r="L139" s="3" t="s">
        <v>34</v>
      </c>
      <c r="M139" s="8">
        <v>55000</v>
      </c>
      <c r="N139" s="11"/>
      <c r="O139" s="3" t="s">
        <v>1452</v>
      </c>
      <c r="P139" s="3" t="s">
        <v>1453</v>
      </c>
    </row>
    <row r="140" spans="1:16" x14ac:dyDescent="0.3">
      <c r="A140" s="3" t="s">
        <v>103</v>
      </c>
      <c r="B140" s="3" t="s">
        <v>1465</v>
      </c>
      <c r="C140" s="3" t="s">
        <v>1466</v>
      </c>
      <c r="D140" s="3" t="s">
        <v>1253</v>
      </c>
      <c r="E140" s="3" t="s">
        <v>31</v>
      </c>
      <c r="F140" s="3" t="b">
        <v>0</v>
      </c>
      <c r="G140" s="3" t="s">
        <v>32</v>
      </c>
      <c r="H140" s="6">
        <v>44929.00072916667</v>
      </c>
      <c r="I140" s="3" t="b">
        <v>1</v>
      </c>
      <c r="J140" s="3" t="b">
        <v>0</v>
      </c>
      <c r="K140" s="3" t="s">
        <v>33</v>
      </c>
      <c r="L140" s="3" t="s">
        <v>48</v>
      </c>
      <c r="M140" s="8"/>
      <c r="N140" s="11">
        <v>20</v>
      </c>
      <c r="O140" s="3" t="s">
        <v>1467</v>
      </c>
      <c r="P140" s="3" t="s">
        <v>1468</v>
      </c>
    </row>
    <row r="141" spans="1:16" x14ac:dyDescent="0.3">
      <c r="A141" s="3" t="s">
        <v>103</v>
      </c>
      <c r="B141" s="3" t="s">
        <v>1469</v>
      </c>
      <c r="C141" s="3" t="s">
        <v>87</v>
      </c>
      <c r="D141" s="3" t="s">
        <v>53</v>
      </c>
      <c r="E141" s="3" t="s">
        <v>31</v>
      </c>
      <c r="F141" s="3" t="b">
        <v>1</v>
      </c>
      <c r="G141" s="3" t="s">
        <v>64</v>
      </c>
      <c r="H141" s="6">
        <v>44931.750011574077</v>
      </c>
      <c r="I141" s="3" t="b">
        <v>0</v>
      </c>
      <c r="J141" s="3" t="b">
        <v>0</v>
      </c>
      <c r="K141" s="3" t="s">
        <v>33</v>
      </c>
      <c r="L141" s="3" t="s">
        <v>48</v>
      </c>
      <c r="M141" s="8"/>
      <c r="N141" s="11">
        <v>62</v>
      </c>
      <c r="O141" s="3" t="s">
        <v>1470</v>
      </c>
      <c r="P141" s="3" t="s">
        <v>846</v>
      </c>
    </row>
    <row r="142" spans="1:16" x14ac:dyDescent="0.3">
      <c r="A142" s="3" t="s">
        <v>103</v>
      </c>
      <c r="B142" s="3" t="s">
        <v>1471</v>
      </c>
      <c r="C142" s="3" t="s">
        <v>317</v>
      </c>
      <c r="D142" s="3" t="s">
        <v>41</v>
      </c>
      <c r="E142" s="3" t="s">
        <v>31</v>
      </c>
      <c r="F142" s="3" t="b">
        <v>0</v>
      </c>
      <c r="G142" s="3" t="s">
        <v>317</v>
      </c>
      <c r="H142" s="6">
        <v>44950.429398148153</v>
      </c>
      <c r="I142" s="3" t="b">
        <v>0</v>
      </c>
      <c r="J142" s="3" t="b">
        <v>0</v>
      </c>
      <c r="K142" s="3" t="s">
        <v>317</v>
      </c>
      <c r="L142" s="3" t="s">
        <v>34</v>
      </c>
      <c r="M142" s="8">
        <v>99150</v>
      </c>
      <c r="N142" s="11"/>
      <c r="O142" s="3" t="s">
        <v>1472</v>
      </c>
      <c r="P142" s="3" t="s">
        <v>1367</v>
      </c>
    </row>
    <row r="143" spans="1:16" x14ac:dyDescent="0.3">
      <c r="A143" s="3" t="s">
        <v>103</v>
      </c>
      <c r="B143" s="3" t="s">
        <v>1486</v>
      </c>
      <c r="C143" s="3" t="s">
        <v>1487</v>
      </c>
      <c r="D143" s="3" t="s">
        <v>30</v>
      </c>
      <c r="E143" s="3" t="s">
        <v>31</v>
      </c>
      <c r="F143" s="3" t="b">
        <v>0</v>
      </c>
      <c r="G143" s="3" t="s">
        <v>64</v>
      </c>
      <c r="H143" s="6">
        <v>44951.583587962959</v>
      </c>
      <c r="I143" s="3" t="b">
        <v>1</v>
      </c>
      <c r="J143" s="3" t="b">
        <v>0</v>
      </c>
      <c r="K143" s="3" t="s">
        <v>33</v>
      </c>
      <c r="L143" s="3" t="s">
        <v>34</v>
      </c>
      <c r="M143" s="8">
        <v>57500</v>
      </c>
      <c r="N143" s="11"/>
      <c r="O143" s="3" t="s">
        <v>589</v>
      </c>
      <c r="P143" s="3" t="s">
        <v>405</v>
      </c>
    </row>
    <row r="144" spans="1:16" x14ac:dyDescent="0.3">
      <c r="A144" s="3" t="s">
        <v>103</v>
      </c>
      <c r="B144" s="3" t="s">
        <v>1494</v>
      </c>
      <c r="C144" s="3" t="s">
        <v>164</v>
      </c>
      <c r="D144" s="3" t="s">
        <v>30</v>
      </c>
      <c r="E144" s="3" t="s">
        <v>31</v>
      </c>
      <c r="F144" s="3" t="b">
        <v>0</v>
      </c>
      <c r="G144" s="3" t="s">
        <v>64</v>
      </c>
      <c r="H144" s="6">
        <v>44946.833553240736</v>
      </c>
      <c r="I144" s="3" t="b">
        <v>0</v>
      </c>
      <c r="J144" s="3" t="b">
        <v>0</v>
      </c>
      <c r="K144" s="3" t="s">
        <v>33</v>
      </c>
      <c r="L144" s="3" t="s">
        <v>34</v>
      </c>
      <c r="M144" s="8">
        <v>90000</v>
      </c>
      <c r="N144" s="11"/>
      <c r="O144" s="3" t="s">
        <v>1495</v>
      </c>
      <c r="P144" s="3" t="s">
        <v>1496</v>
      </c>
    </row>
    <row r="145" spans="1:16" x14ac:dyDescent="0.3">
      <c r="A145" s="3" t="s">
        <v>103</v>
      </c>
      <c r="B145" s="3" t="s">
        <v>1497</v>
      </c>
      <c r="C145" s="3" t="s">
        <v>641</v>
      </c>
      <c r="D145" s="3" t="s">
        <v>237</v>
      </c>
      <c r="E145" s="3" t="s">
        <v>31</v>
      </c>
      <c r="F145" s="3" t="b">
        <v>0</v>
      </c>
      <c r="G145" s="3" t="s">
        <v>88</v>
      </c>
      <c r="H145" s="6">
        <v>44956.960312499999</v>
      </c>
      <c r="I145" s="3" t="b">
        <v>0</v>
      </c>
      <c r="J145" s="3" t="b">
        <v>0</v>
      </c>
      <c r="K145" s="3" t="s">
        <v>33</v>
      </c>
      <c r="L145" s="3" t="s">
        <v>34</v>
      </c>
      <c r="M145" s="8">
        <v>91960</v>
      </c>
      <c r="N145" s="11"/>
      <c r="O145" s="3" t="s">
        <v>119</v>
      </c>
      <c r="P145" s="3" t="s">
        <v>1498</v>
      </c>
    </row>
    <row r="146" spans="1:16" x14ac:dyDescent="0.3">
      <c r="A146" s="3" t="s">
        <v>103</v>
      </c>
      <c r="B146" s="3" t="s">
        <v>1529</v>
      </c>
      <c r="C146" s="3" t="s">
        <v>79</v>
      </c>
      <c r="D146" s="3" t="s">
        <v>76</v>
      </c>
      <c r="E146" s="3" t="s">
        <v>31</v>
      </c>
      <c r="F146" s="3" t="b">
        <v>0</v>
      </c>
      <c r="G146" s="3" t="s">
        <v>58</v>
      </c>
      <c r="H146" s="6">
        <v>44931.959444444437</v>
      </c>
      <c r="I146" s="3" t="b">
        <v>0</v>
      </c>
      <c r="J146" s="3" t="b">
        <v>1</v>
      </c>
      <c r="K146" s="3" t="s">
        <v>33</v>
      </c>
      <c r="L146" s="3" t="s">
        <v>34</v>
      </c>
      <c r="M146" s="8">
        <v>84479</v>
      </c>
      <c r="N146" s="11"/>
      <c r="O146" s="3" t="s">
        <v>1530</v>
      </c>
      <c r="P146" s="3" t="s">
        <v>1531</v>
      </c>
    </row>
    <row r="147" spans="1:16" x14ac:dyDescent="0.3">
      <c r="A147" s="3" t="s">
        <v>103</v>
      </c>
      <c r="B147" s="3" t="s">
        <v>1536</v>
      </c>
      <c r="C147" s="3" t="s">
        <v>1537</v>
      </c>
      <c r="D147" s="3" t="s">
        <v>1538</v>
      </c>
      <c r="E147" s="3" t="s">
        <v>133</v>
      </c>
      <c r="F147" s="3" t="b">
        <v>0</v>
      </c>
      <c r="G147" s="3" t="s">
        <v>1537</v>
      </c>
      <c r="H147" s="6">
        <v>44942.023217592592</v>
      </c>
      <c r="I147" s="3" t="b">
        <v>1</v>
      </c>
      <c r="J147" s="3" t="b">
        <v>0</v>
      </c>
      <c r="K147" s="3" t="s">
        <v>1537</v>
      </c>
      <c r="L147" s="3" t="s">
        <v>48</v>
      </c>
      <c r="M147" s="8"/>
      <c r="N147" s="11">
        <v>16.5</v>
      </c>
      <c r="O147" s="3" t="s">
        <v>1539</v>
      </c>
      <c r="P147" s="3" t="s">
        <v>1540</v>
      </c>
    </row>
    <row r="148" spans="1:16" x14ac:dyDescent="0.3">
      <c r="A148" s="3" t="s">
        <v>103</v>
      </c>
      <c r="B148" s="3" t="s">
        <v>103</v>
      </c>
      <c r="C148" s="3" t="s">
        <v>164</v>
      </c>
      <c r="D148" s="3" t="s">
        <v>705</v>
      </c>
      <c r="E148" s="3" t="s">
        <v>31</v>
      </c>
      <c r="F148" s="3" t="b">
        <v>0</v>
      </c>
      <c r="G148" s="3" t="s">
        <v>64</v>
      </c>
      <c r="H148" s="6">
        <v>44955.583298611113</v>
      </c>
      <c r="I148" s="3" t="b">
        <v>0</v>
      </c>
      <c r="J148" s="3" t="b">
        <v>0</v>
      </c>
      <c r="K148" s="3" t="s">
        <v>33</v>
      </c>
      <c r="L148" s="3" t="s">
        <v>34</v>
      </c>
      <c r="M148" s="8">
        <v>77500</v>
      </c>
      <c r="N148" s="11"/>
      <c r="O148" s="3" t="s">
        <v>196</v>
      </c>
      <c r="P148" s="3" t="s">
        <v>1545</v>
      </c>
    </row>
    <row r="149" spans="1:16" x14ac:dyDescent="0.3">
      <c r="A149" s="3" t="s">
        <v>103</v>
      </c>
      <c r="B149" s="3" t="s">
        <v>1546</v>
      </c>
      <c r="C149" s="3" t="s">
        <v>1547</v>
      </c>
      <c r="D149" s="3" t="s">
        <v>41</v>
      </c>
      <c r="E149" s="3" t="s">
        <v>31</v>
      </c>
      <c r="F149" s="3" t="b">
        <v>0</v>
      </c>
      <c r="G149" s="3" t="s">
        <v>1548</v>
      </c>
      <c r="H149" s="6">
        <v>44945.797939814824</v>
      </c>
      <c r="I149" s="3" t="b">
        <v>0</v>
      </c>
      <c r="J149" s="3" t="b">
        <v>0</v>
      </c>
      <c r="K149" s="3" t="s">
        <v>1548</v>
      </c>
      <c r="L149" s="3" t="s">
        <v>34</v>
      </c>
      <c r="M149" s="8">
        <v>51014</v>
      </c>
      <c r="N149" s="11"/>
      <c r="O149" s="3" t="s">
        <v>1549</v>
      </c>
      <c r="P149" s="3" t="s">
        <v>1550</v>
      </c>
    </row>
    <row r="150" spans="1:16" x14ac:dyDescent="0.3">
      <c r="A150" s="3" t="s">
        <v>103</v>
      </c>
      <c r="B150" s="3" t="s">
        <v>1553</v>
      </c>
      <c r="C150" s="3" t="s">
        <v>1554</v>
      </c>
      <c r="D150" s="3" t="s">
        <v>30</v>
      </c>
      <c r="E150" s="3" t="s">
        <v>31</v>
      </c>
      <c r="F150" s="3" t="b">
        <v>0</v>
      </c>
      <c r="G150" s="3" t="s">
        <v>84</v>
      </c>
      <c r="H150" s="6">
        <v>44949.876944444448</v>
      </c>
      <c r="I150" s="3" t="b">
        <v>0</v>
      </c>
      <c r="J150" s="3" t="b">
        <v>0</v>
      </c>
      <c r="K150" s="3" t="s">
        <v>33</v>
      </c>
      <c r="L150" s="3" t="s">
        <v>34</v>
      </c>
      <c r="M150" s="8">
        <v>65000</v>
      </c>
      <c r="N150" s="11"/>
      <c r="O150" s="3" t="s">
        <v>1555</v>
      </c>
      <c r="P150" s="3" t="s">
        <v>1556</v>
      </c>
    </row>
    <row r="151" spans="1:16" x14ac:dyDescent="0.3">
      <c r="A151" s="3" t="s">
        <v>103</v>
      </c>
      <c r="B151" s="3" t="s">
        <v>1557</v>
      </c>
      <c r="C151" s="3" t="s">
        <v>258</v>
      </c>
      <c r="D151" s="3" t="s">
        <v>390</v>
      </c>
      <c r="E151" s="3" t="s">
        <v>31</v>
      </c>
      <c r="F151" s="3" t="b">
        <v>0</v>
      </c>
      <c r="G151" s="3" t="s">
        <v>32</v>
      </c>
      <c r="H151" s="6">
        <v>44945.125879629632</v>
      </c>
      <c r="I151" s="3" t="b">
        <v>1</v>
      </c>
      <c r="J151" s="3" t="b">
        <v>0</v>
      </c>
      <c r="K151" s="3" t="s">
        <v>33</v>
      </c>
      <c r="L151" s="3" t="s">
        <v>34</v>
      </c>
      <c r="M151" s="8">
        <v>81350</v>
      </c>
      <c r="N151" s="11"/>
      <c r="O151" s="3" t="s">
        <v>1558</v>
      </c>
      <c r="P151" s="3" t="s">
        <v>374</v>
      </c>
    </row>
    <row r="152" spans="1:16" x14ac:dyDescent="0.3">
      <c r="A152" s="3" t="s">
        <v>103</v>
      </c>
      <c r="B152" s="3" t="s">
        <v>1567</v>
      </c>
      <c r="C152" s="3" t="s">
        <v>87</v>
      </c>
      <c r="D152" s="3" t="s">
        <v>30</v>
      </c>
      <c r="E152" s="3" t="s">
        <v>31</v>
      </c>
      <c r="F152" s="3" t="b">
        <v>1</v>
      </c>
      <c r="G152" s="3" t="s">
        <v>58</v>
      </c>
      <c r="H152" s="6">
        <v>44939.796400462961</v>
      </c>
      <c r="I152" s="3" t="b">
        <v>1</v>
      </c>
      <c r="J152" s="3" t="b">
        <v>0</v>
      </c>
      <c r="K152" s="3" t="s">
        <v>33</v>
      </c>
      <c r="L152" s="3" t="s">
        <v>34</v>
      </c>
      <c r="M152" s="8">
        <v>82500</v>
      </c>
      <c r="N152" s="11"/>
      <c r="O152" s="3" t="s">
        <v>1568</v>
      </c>
      <c r="P152" s="3" t="s">
        <v>1569</v>
      </c>
    </row>
    <row r="153" spans="1:16" x14ac:dyDescent="0.3">
      <c r="A153" s="3" t="s">
        <v>103</v>
      </c>
      <c r="B153" s="3" t="s">
        <v>1578</v>
      </c>
      <c r="C153" s="3" t="s">
        <v>1579</v>
      </c>
      <c r="D153" s="3" t="s">
        <v>1580</v>
      </c>
      <c r="E153" s="3" t="s">
        <v>31</v>
      </c>
      <c r="F153" s="3" t="b">
        <v>0</v>
      </c>
      <c r="G153" s="3" t="s">
        <v>32</v>
      </c>
      <c r="H153" s="6">
        <v>44933.001226851848</v>
      </c>
      <c r="I153" s="3" t="b">
        <v>0</v>
      </c>
      <c r="J153" s="3" t="b">
        <v>1</v>
      </c>
      <c r="K153" s="3" t="s">
        <v>33</v>
      </c>
      <c r="L153" s="3" t="s">
        <v>34</v>
      </c>
      <c r="M153" s="8">
        <v>90000</v>
      </c>
      <c r="N153" s="11"/>
      <c r="O153" s="3" t="s">
        <v>80</v>
      </c>
      <c r="P153" s="3" t="s">
        <v>1581</v>
      </c>
    </row>
    <row r="154" spans="1:16" x14ac:dyDescent="0.3">
      <c r="A154" s="3" t="s">
        <v>103</v>
      </c>
      <c r="B154" s="3" t="s">
        <v>1595</v>
      </c>
      <c r="C154" s="3" t="s">
        <v>1596</v>
      </c>
      <c r="D154" s="3" t="s">
        <v>106</v>
      </c>
      <c r="E154" s="3" t="s">
        <v>31</v>
      </c>
      <c r="F154" s="3" t="b">
        <v>0</v>
      </c>
      <c r="G154" s="3" t="s">
        <v>88</v>
      </c>
      <c r="H154" s="6">
        <v>44936.430069444446</v>
      </c>
      <c r="I154" s="3" t="b">
        <v>0</v>
      </c>
      <c r="J154" s="3" t="b">
        <v>0</v>
      </c>
      <c r="K154" s="3" t="s">
        <v>33</v>
      </c>
      <c r="L154" s="3" t="s">
        <v>34</v>
      </c>
      <c r="M154" s="8">
        <v>120710</v>
      </c>
      <c r="N154" s="11"/>
      <c r="O154" s="3" t="s">
        <v>119</v>
      </c>
      <c r="P154" s="3" t="s">
        <v>1597</v>
      </c>
    </row>
    <row r="155" spans="1:16" x14ac:dyDescent="0.3">
      <c r="A155" s="3" t="s">
        <v>103</v>
      </c>
      <c r="B155" s="3" t="s">
        <v>1486</v>
      </c>
      <c r="C155" s="3" t="s">
        <v>87</v>
      </c>
      <c r="D155" s="3" t="s">
        <v>53</v>
      </c>
      <c r="E155" s="3" t="s">
        <v>31</v>
      </c>
      <c r="F155" s="3" t="b">
        <v>1</v>
      </c>
      <c r="G155" s="3" t="s">
        <v>140</v>
      </c>
      <c r="H155" s="6">
        <v>44944.615740740737</v>
      </c>
      <c r="I155" s="3" t="b">
        <v>0</v>
      </c>
      <c r="J155" s="3" t="b">
        <v>0</v>
      </c>
      <c r="K155" s="3" t="s">
        <v>33</v>
      </c>
      <c r="L155" s="3" t="s">
        <v>34</v>
      </c>
      <c r="M155" s="8">
        <v>60000</v>
      </c>
      <c r="N155" s="11"/>
      <c r="O155" s="3" t="s">
        <v>1610</v>
      </c>
      <c r="P155" s="3" t="s">
        <v>756</v>
      </c>
    </row>
    <row r="156" spans="1:16" x14ac:dyDescent="0.3">
      <c r="A156" s="3" t="s">
        <v>103</v>
      </c>
      <c r="B156" s="3" t="s">
        <v>1615</v>
      </c>
      <c r="C156" s="3" t="s">
        <v>1616</v>
      </c>
      <c r="D156" s="3" t="s">
        <v>41</v>
      </c>
      <c r="E156" s="3" t="s">
        <v>31</v>
      </c>
      <c r="F156" s="3" t="b">
        <v>0</v>
      </c>
      <c r="G156" s="3" t="s">
        <v>69</v>
      </c>
      <c r="H156" s="6">
        <v>44951.708182870367</v>
      </c>
      <c r="I156" s="3" t="b">
        <v>0</v>
      </c>
      <c r="J156" s="3" t="b">
        <v>0</v>
      </c>
      <c r="K156" s="3" t="s">
        <v>69</v>
      </c>
      <c r="L156" s="3" t="s">
        <v>34</v>
      </c>
      <c r="M156" s="8">
        <v>51014</v>
      </c>
      <c r="N156" s="11"/>
      <c r="O156" s="3" t="s">
        <v>875</v>
      </c>
      <c r="P156" s="3" t="s">
        <v>1617</v>
      </c>
    </row>
    <row r="157" spans="1:16" x14ac:dyDescent="0.3">
      <c r="A157" s="3" t="s">
        <v>103</v>
      </c>
      <c r="B157" s="3" t="s">
        <v>1631</v>
      </c>
      <c r="C157" s="3" t="s">
        <v>173</v>
      </c>
      <c r="D157" s="3" t="s">
        <v>76</v>
      </c>
      <c r="E157" s="3" t="s">
        <v>31</v>
      </c>
      <c r="F157" s="3" t="b">
        <v>0</v>
      </c>
      <c r="G157" s="3" t="s">
        <v>64</v>
      </c>
      <c r="H157" s="6">
        <v>44944.833518518521</v>
      </c>
      <c r="I157" s="3" t="b">
        <v>1</v>
      </c>
      <c r="J157" s="3" t="b">
        <v>0</v>
      </c>
      <c r="K157" s="3" t="s">
        <v>33</v>
      </c>
      <c r="L157" s="3" t="s">
        <v>34</v>
      </c>
      <c r="M157" s="8">
        <v>106492.5</v>
      </c>
      <c r="N157" s="11"/>
      <c r="O157" s="3" t="s">
        <v>1632</v>
      </c>
      <c r="P157" s="3"/>
    </row>
    <row r="158" spans="1:16" x14ac:dyDescent="0.3">
      <c r="A158" s="3" t="s">
        <v>103</v>
      </c>
      <c r="B158" s="3" t="s">
        <v>103</v>
      </c>
      <c r="C158" s="3" t="s">
        <v>565</v>
      </c>
      <c r="D158" s="3" t="s">
        <v>566</v>
      </c>
      <c r="E158" s="3" t="s">
        <v>31</v>
      </c>
      <c r="F158" s="3" t="b">
        <v>0</v>
      </c>
      <c r="G158" s="3" t="s">
        <v>140</v>
      </c>
      <c r="H158" s="6">
        <v>44946.985439814824</v>
      </c>
      <c r="I158" s="3" t="b">
        <v>1</v>
      </c>
      <c r="J158" s="3" t="b">
        <v>0</v>
      </c>
      <c r="K158" s="3" t="s">
        <v>33</v>
      </c>
      <c r="L158" s="3" t="s">
        <v>48</v>
      </c>
      <c r="M158" s="8"/>
      <c r="N158" s="11">
        <v>24</v>
      </c>
      <c r="O158" s="3" t="s">
        <v>1633</v>
      </c>
      <c r="P158" s="3"/>
    </row>
    <row r="159" spans="1:16" x14ac:dyDescent="0.3">
      <c r="A159" s="3" t="s">
        <v>103</v>
      </c>
      <c r="B159" s="3" t="s">
        <v>103</v>
      </c>
      <c r="C159" s="3" t="s">
        <v>1628</v>
      </c>
      <c r="D159" s="3" t="s">
        <v>307</v>
      </c>
      <c r="E159" s="3" t="s">
        <v>133</v>
      </c>
      <c r="F159" s="3" t="b">
        <v>0</v>
      </c>
      <c r="G159" s="3" t="s">
        <v>88</v>
      </c>
      <c r="H159" s="6">
        <v>44945.638113425928</v>
      </c>
      <c r="I159" s="3" t="b">
        <v>1</v>
      </c>
      <c r="J159" s="3" t="b">
        <v>0</v>
      </c>
      <c r="K159" s="3" t="s">
        <v>33</v>
      </c>
      <c r="L159" s="3" t="s">
        <v>48</v>
      </c>
      <c r="M159" s="8"/>
      <c r="N159" s="11">
        <v>36.5</v>
      </c>
      <c r="O159" s="3" t="s">
        <v>114</v>
      </c>
      <c r="P159" s="3" t="s">
        <v>1656</v>
      </c>
    </row>
    <row r="160" spans="1:16" x14ac:dyDescent="0.3">
      <c r="A160" s="3" t="s">
        <v>103</v>
      </c>
      <c r="B160" s="3" t="s">
        <v>1190</v>
      </c>
      <c r="C160" s="3" t="s">
        <v>321</v>
      </c>
      <c r="D160" s="3" t="s">
        <v>188</v>
      </c>
      <c r="E160" s="3" t="s">
        <v>133</v>
      </c>
      <c r="F160" s="3" t="b">
        <v>0</v>
      </c>
      <c r="G160" s="3" t="s">
        <v>140</v>
      </c>
      <c r="H160" s="6">
        <v>44956.960509259261</v>
      </c>
      <c r="I160" s="3" t="b">
        <v>1</v>
      </c>
      <c r="J160" s="3" t="b">
        <v>1</v>
      </c>
      <c r="K160" s="3" t="s">
        <v>33</v>
      </c>
      <c r="L160" s="3" t="s">
        <v>48</v>
      </c>
      <c r="M160" s="8"/>
      <c r="N160" s="11">
        <v>64.459999084472656</v>
      </c>
      <c r="O160" s="3" t="s">
        <v>1677</v>
      </c>
      <c r="P160" s="3" t="s">
        <v>1678</v>
      </c>
    </row>
    <row r="161" spans="1:16" x14ac:dyDescent="0.3">
      <c r="A161" s="3" t="s">
        <v>103</v>
      </c>
      <c r="B161" s="3" t="s">
        <v>1681</v>
      </c>
      <c r="C161" s="3" t="s">
        <v>447</v>
      </c>
      <c r="D161" s="3" t="s">
        <v>1253</v>
      </c>
      <c r="E161" s="3" t="s">
        <v>31</v>
      </c>
      <c r="F161" s="3" t="b">
        <v>0</v>
      </c>
      <c r="G161" s="3" t="s">
        <v>32</v>
      </c>
      <c r="H161" s="6">
        <v>44927.000821759262</v>
      </c>
      <c r="I161" s="3" t="b">
        <v>1</v>
      </c>
      <c r="J161" s="3" t="b">
        <v>0</v>
      </c>
      <c r="K161" s="3" t="s">
        <v>33</v>
      </c>
      <c r="L161" s="3" t="s">
        <v>48</v>
      </c>
      <c r="M161" s="8"/>
      <c r="N161" s="11">
        <v>20</v>
      </c>
      <c r="O161" s="3" t="s">
        <v>609</v>
      </c>
      <c r="P161" s="3" t="s">
        <v>873</v>
      </c>
    </row>
    <row r="162" spans="1:16" x14ac:dyDescent="0.3">
      <c r="A162" s="3" t="s">
        <v>103</v>
      </c>
      <c r="B162" s="3" t="s">
        <v>1695</v>
      </c>
      <c r="C162" s="3" t="s">
        <v>1696</v>
      </c>
      <c r="D162" s="3" t="s">
        <v>76</v>
      </c>
      <c r="E162" s="3" t="s">
        <v>31</v>
      </c>
      <c r="F162" s="3" t="b">
        <v>0</v>
      </c>
      <c r="G162" s="3" t="s">
        <v>32</v>
      </c>
      <c r="H162" s="6">
        <v>44937.125648148147</v>
      </c>
      <c r="I162" s="3" t="b">
        <v>0</v>
      </c>
      <c r="J162" s="3" t="b">
        <v>1</v>
      </c>
      <c r="K162" s="3" t="s">
        <v>33</v>
      </c>
      <c r="L162" s="3" t="s">
        <v>34</v>
      </c>
      <c r="M162" s="8">
        <v>125000</v>
      </c>
      <c r="N162" s="11"/>
      <c r="O162" s="3" t="s">
        <v>1697</v>
      </c>
      <c r="P162" s="3" t="s">
        <v>846</v>
      </c>
    </row>
    <row r="163" spans="1:16" x14ac:dyDescent="0.3">
      <c r="A163" s="3" t="s">
        <v>103</v>
      </c>
      <c r="B163" s="3" t="s">
        <v>1716</v>
      </c>
      <c r="C163" s="3" t="s">
        <v>29</v>
      </c>
      <c r="D163" s="3" t="s">
        <v>93</v>
      </c>
      <c r="E163" s="3" t="s">
        <v>31</v>
      </c>
      <c r="F163" s="3" t="b">
        <v>0</v>
      </c>
      <c r="G163" s="3" t="s">
        <v>32</v>
      </c>
      <c r="H163" s="6">
        <v>44950.292384259257</v>
      </c>
      <c r="I163" s="3" t="b">
        <v>0</v>
      </c>
      <c r="J163" s="3" t="b">
        <v>1</v>
      </c>
      <c r="K163" s="3" t="s">
        <v>33</v>
      </c>
      <c r="L163" s="3" t="s">
        <v>34</v>
      </c>
      <c r="M163" s="8">
        <v>200000</v>
      </c>
      <c r="N163" s="11"/>
      <c r="O163" s="3" t="s">
        <v>1717</v>
      </c>
      <c r="P163" s="3"/>
    </row>
    <row r="164" spans="1:16" x14ac:dyDescent="0.3">
      <c r="A164" s="3" t="s">
        <v>103</v>
      </c>
      <c r="B164" s="3" t="s">
        <v>1738</v>
      </c>
      <c r="C164" s="3" t="s">
        <v>87</v>
      </c>
      <c r="D164" s="3" t="s">
        <v>76</v>
      </c>
      <c r="E164" s="3" t="s">
        <v>31</v>
      </c>
      <c r="F164" s="3" t="b">
        <v>1</v>
      </c>
      <c r="G164" s="3" t="s">
        <v>88</v>
      </c>
      <c r="H164" s="6">
        <v>44939.544895833344</v>
      </c>
      <c r="I164" s="3" t="b">
        <v>0</v>
      </c>
      <c r="J164" s="3" t="b">
        <v>1</v>
      </c>
      <c r="K164" s="3" t="s">
        <v>33</v>
      </c>
      <c r="L164" s="3" t="s">
        <v>34</v>
      </c>
      <c r="M164" s="8">
        <v>164746</v>
      </c>
      <c r="N164" s="11"/>
      <c r="O164" s="3" t="s">
        <v>1739</v>
      </c>
      <c r="P164" s="3"/>
    </row>
    <row r="165" spans="1:16" x14ac:dyDescent="0.3">
      <c r="A165" s="3" t="s">
        <v>103</v>
      </c>
      <c r="B165" s="3" t="s">
        <v>103</v>
      </c>
      <c r="C165" s="3" t="s">
        <v>87</v>
      </c>
      <c r="D165" s="3" t="s">
        <v>30</v>
      </c>
      <c r="E165" s="3" t="s">
        <v>133</v>
      </c>
      <c r="F165" s="3" t="b">
        <v>1</v>
      </c>
      <c r="G165" s="3" t="s">
        <v>88</v>
      </c>
      <c r="H165" s="6">
        <v>44928.586655092593</v>
      </c>
      <c r="I165" s="3" t="b">
        <v>0</v>
      </c>
      <c r="J165" s="3" t="b">
        <v>0</v>
      </c>
      <c r="K165" s="3" t="s">
        <v>33</v>
      </c>
      <c r="L165" s="3" t="s">
        <v>48</v>
      </c>
      <c r="M165" s="8"/>
      <c r="N165" s="11">
        <v>75</v>
      </c>
      <c r="O165" s="3" t="s">
        <v>1231</v>
      </c>
      <c r="P165" s="3" t="s">
        <v>1740</v>
      </c>
    </row>
    <row r="166" spans="1:16" x14ac:dyDescent="0.3">
      <c r="A166" s="3" t="s">
        <v>103</v>
      </c>
      <c r="B166" s="3" t="s">
        <v>103</v>
      </c>
      <c r="C166" s="3" t="s">
        <v>447</v>
      </c>
      <c r="D166" s="3" t="s">
        <v>93</v>
      </c>
      <c r="E166" s="3" t="s">
        <v>31</v>
      </c>
      <c r="F166" s="3" t="b">
        <v>0</v>
      </c>
      <c r="G166" s="3" t="s">
        <v>32</v>
      </c>
      <c r="H166" s="6">
        <v>44937.33489583333</v>
      </c>
      <c r="I166" s="3" t="b">
        <v>1</v>
      </c>
      <c r="J166" s="3" t="b">
        <v>0</v>
      </c>
      <c r="K166" s="3" t="s">
        <v>33</v>
      </c>
      <c r="L166" s="3" t="s">
        <v>34</v>
      </c>
      <c r="M166" s="8">
        <v>115000</v>
      </c>
      <c r="N166" s="11"/>
      <c r="O166" s="3" t="s">
        <v>1754</v>
      </c>
      <c r="P166" s="3" t="s">
        <v>1755</v>
      </c>
    </row>
    <row r="167" spans="1:16" x14ac:dyDescent="0.3">
      <c r="A167" s="3" t="s">
        <v>103</v>
      </c>
      <c r="B167" s="3" t="s">
        <v>1776</v>
      </c>
      <c r="C167" s="3" t="s">
        <v>87</v>
      </c>
      <c r="D167" s="3" t="s">
        <v>30</v>
      </c>
      <c r="E167" s="3" t="s">
        <v>133</v>
      </c>
      <c r="F167" s="3" t="b">
        <v>1</v>
      </c>
      <c r="G167" s="3" t="s">
        <v>58</v>
      </c>
      <c r="H167" s="6">
        <v>44930.834768518522</v>
      </c>
      <c r="I167" s="3" t="b">
        <v>1</v>
      </c>
      <c r="J167" s="3" t="b">
        <v>0</v>
      </c>
      <c r="K167" s="3" t="s">
        <v>33</v>
      </c>
      <c r="L167" s="3" t="s">
        <v>48</v>
      </c>
      <c r="M167" s="8"/>
      <c r="N167" s="11">
        <v>57.5</v>
      </c>
      <c r="O167" s="3" t="s">
        <v>1303</v>
      </c>
      <c r="P167" s="3" t="s">
        <v>1777</v>
      </c>
    </row>
    <row r="168" spans="1:16" x14ac:dyDescent="0.3">
      <c r="A168" s="3" t="s">
        <v>103</v>
      </c>
      <c r="B168" s="3" t="s">
        <v>1798</v>
      </c>
      <c r="C168" s="3" t="s">
        <v>1799</v>
      </c>
      <c r="D168" s="3" t="s">
        <v>41</v>
      </c>
      <c r="E168" s="3" t="s">
        <v>31</v>
      </c>
      <c r="F168" s="3" t="b">
        <v>0</v>
      </c>
      <c r="G168" s="3" t="s">
        <v>1548</v>
      </c>
      <c r="H168" s="6">
        <v>44946.967407407406</v>
      </c>
      <c r="I168" s="3" t="b">
        <v>0</v>
      </c>
      <c r="J168" s="3" t="b">
        <v>0</v>
      </c>
      <c r="K168" s="3" t="s">
        <v>1548</v>
      </c>
      <c r="L168" s="3" t="s">
        <v>34</v>
      </c>
      <c r="M168" s="8">
        <v>51014</v>
      </c>
      <c r="N168" s="11"/>
      <c r="O168" s="3" t="s">
        <v>1800</v>
      </c>
      <c r="P168" s="3" t="s">
        <v>374</v>
      </c>
    </row>
    <row r="169" spans="1:16" x14ac:dyDescent="0.3">
      <c r="A169" s="3" t="s">
        <v>103</v>
      </c>
      <c r="B169" s="3" t="s">
        <v>103</v>
      </c>
      <c r="C169" s="3" t="s">
        <v>122</v>
      </c>
      <c r="D169" s="3" t="s">
        <v>53</v>
      </c>
      <c r="E169" s="3" t="s">
        <v>31</v>
      </c>
      <c r="F169" s="3" t="b">
        <v>0</v>
      </c>
      <c r="G169" s="3" t="s">
        <v>32</v>
      </c>
      <c r="H169" s="6">
        <v>44936.542210648149</v>
      </c>
      <c r="I169" s="3" t="b">
        <v>1</v>
      </c>
      <c r="J169" s="3" t="b">
        <v>0</v>
      </c>
      <c r="K169" s="3" t="s">
        <v>33</v>
      </c>
      <c r="L169" s="3" t="s">
        <v>48</v>
      </c>
      <c r="M169" s="8"/>
      <c r="N169" s="11">
        <v>80</v>
      </c>
      <c r="O169" s="3" t="s">
        <v>1810</v>
      </c>
      <c r="P169" s="3" t="s">
        <v>1811</v>
      </c>
    </row>
    <row r="170" spans="1:16" x14ac:dyDescent="0.3">
      <c r="A170" s="3" t="s">
        <v>103</v>
      </c>
      <c r="B170" s="3" t="s">
        <v>1812</v>
      </c>
      <c r="C170" s="3" t="s">
        <v>1330</v>
      </c>
      <c r="D170" s="3" t="s">
        <v>76</v>
      </c>
      <c r="E170" s="3" t="s">
        <v>31</v>
      </c>
      <c r="F170" s="3" t="b">
        <v>0</v>
      </c>
      <c r="G170" s="3" t="s">
        <v>32</v>
      </c>
      <c r="H170" s="6">
        <v>44937.793182870373</v>
      </c>
      <c r="I170" s="3" t="b">
        <v>0</v>
      </c>
      <c r="J170" s="3" t="b">
        <v>0</v>
      </c>
      <c r="K170" s="3" t="s">
        <v>33</v>
      </c>
      <c r="L170" s="3" t="s">
        <v>48</v>
      </c>
      <c r="M170" s="8"/>
      <c r="N170" s="11">
        <v>62</v>
      </c>
      <c r="O170" s="3" t="s">
        <v>1813</v>
      </c>
      <c r="P170" s="3" t="s">
        <v>1814</v>
      </c>
    </row>
    <row r="171" spans="1:16" x14ac:dyDescent="0.3">
      <c r="A171" s="3" t="s">
        <v>103</v>
      </c>
      <c r="B171" s="3" t="s">
        <v>1815</v>
      </c>
      <c r="C171" s="3" t="s">
        <v>1816</v>
      </c>
      <c r="D171" s="3" t="s">
        <v>30</v>
      </c>
      <c r="E171" s="3" t="s">
        <v>133</v>
      </c>
      <c r="F171" s="3" t="b">
        <v>0</v>
      </c>
      <c r="G171" s="3" t="s">
        <v>88</v>
      </c>
      <c r="H171" s="6">
        <v>44950.793726851851</v>
      </c>
      <c r="I171" s="3" t="b">
        <v>1</v>
      </c>
      <c r="J171" s="3" t="b">
        <v>0</v>
      </c>
      <c r="K171" s="3" t="s">
        <v>33</v>
      </c>
      <c r="L171" s="3" t="s">
        <v>48</v>
      </c>
      <c r="M171" s="8"/>
      <c r="N171" s="11">
        <v>17.090000152587891</v>
      </c>
      <c r="O171" s="3" t="s">
        <v>114</v>
      </c>
      <c r="P171" s="3" t="s">
        <v>756</v>
      </c>
    </row>
    <row r="172" spans="1:16" x14ac:dyDescent="0.3">
      <c r="A172" s="3" t="s">
        <v>103</v>
      </c>
      <c r="B172" s="3" t="s">
        <v>1835</v>
      </c>
      <c r="C172" s="3" t="s">
        <v>1836</v>
      </c>
      <c r="D172" s="3" t="s">
        <v>41</v>
      </c>
      <c r="E172" s="3" t="s">
        <v>31</v>
      </c>
      <c r="F172" s="3" t="b">
        <v>0</v>
      </c>
      <c r="G172" s="3" t="s">
        <v>355</v>
      </c>
      <c r="H172" s="6">
        <v>44932.544664351852</v>
      </c>
      <c r="I172" s="3" t="b">
        <v>0</v>
      </c>
      <c r="J172" s="3" t="b">
        <v>0</v>
      </c>
      <c r="K172" s="3" t="s">
        <v>355</v>
      </c>
      <c r="L172" s="3" t="s">
        <v>34</v>
      </c>
      <c r="M172" s="8">
        <v>89100</v>
      </c>
      <c r="N172" s="11"/>
      <c r="O172" s="3" t="s">
        <v>356</v>
      </c>
      <c r="P172" s="3" t="s">
        <v>1837</v>
      </c>
    </row>
    <row r="173" spans="1:16" x14ac:dyDescent="0.3">
      <c r="A173" s="3" t="s">
        <v>103</v>
      </c>
      <c r="B173" s="3" t="s">
        <v>103</v>
      </c>
      <c r="C173" s="3" t="s">
        <v>1329</v>
      </c>
      <c r="D173" s="3" t="s">
        <v>76</v>
      </c>
      <c r="E173" s="3" t="s">
        <v>31</v>
      </c>
      <c r="F173" s="3" t="b">
        <v>0</v>
      </c>
      <c r="G173" s="3" t="s">
        <v>110</v>
      </c>
      <c r="H173" s="6">
        <v>44929.797175925924</v>
      </c>
      <c r="I173" s="3" t="b">
        <v>1</v>
      </c>
      <c r="J173" s="3" t="b">
        <v>1</v>
      </c>
      <c r="K173" s="3" t="s">
        <v>110</v>
      </c>
      <c r="L173" s="3" t="s">
        <v>34</v>
      </c>
      <c r="M173" s="8">
        <v>42500</v>
      </c>
      <c r="N173" s="11"/>
      <c r="O173" s="3" t="s">
        <v>1847</v>
      </c>
      <c r="P173" s="3" t="s">
        <v>1848</v>
      </c>
    </row>
    <row r="174" spans="1:16" x14ac:dyDescent="0.3">
      <c r="A174" s="3" t="s">
        <v>103</v>
      </c>
      <c r="B174" s="3" t="s">
        <v>1864</v>
      </c>
      <c r="C174" s="3" t="s">
        <v>87</v>
      </c>
      <c r="D174" s="3" t="s">
        <v>76</v>
      </c>
      <c r="E174" s="3" t="s">
        <v>31</v>
      </c>
      <c r="F174" s="3" t="b">
        <v>1</v>
      </c>
      <c r="G174" s="3" t="s">
        <v>84</v>
      </c>
      <c r="H174" s="6">
        <v>44929.895902777767</v>
      </c>
      <c r="I174" s="3" t="b">
        <v>0</v>
      </c>
      <c r="J174" s="3" t="b">
        <v>0</v>
      </c>
      <c r="K174" s="3" t="s">
        <v>33</v>
      </c>
      <c r="L174" s="3" t="s">
        <v>48</v>
      </c>
      <c r="M174" s="8"/>
      <c r="N174" s="11">
        <v>42.5</v>
      </c>
      <c r="O174" s="3" t="s">
        <v>1865</v>
      </c>
      <c r="P174" s="3" t="s">
        <v>374</v>
      </c>
    </row>
    <row r="175" spans="1:16" x14ac:dyDescent="0.3">
      <c r="A175" s="3" t="s">
        <v>103</v>
      </c>
      <c r="B175" s="3" t="s">
        <v>103</v>
      </c>
      <c r="C175" s="3" t="s">
        <v>1877</v>
      </c>
      <c r="D175" s="3" t="s">
        <v>307</v>
      </c>
      <c r="E175" s="3" t="s">
        <v>133</v>
      </c>
      <c r="F175" s="3" t="b">
        <v>0</v>
      </c>
      <c r="G175" s="3" t="s">
        <v>64</v>
      </c>
      <c r="H175" s="6">
        <v>44950.625081018523</v>
      </c>
      <c r="I175" s="3" t="b">
        <v>0</v>
      </c>
      <c r="J175" s="3" t="b">
        <v>0</v>
      </c>
      <c r="K175" s="3" t="s">
        <v>33</v>
      </c>
      <c r="L175" s="3" t="s">
        <v>48</v>
      </c>
      <c r="M175" s="8"/>
      <c r="N175" s="11">
        <v>45</v>
      </c>
      <c r="O175" s="3" t="s">
        <v>114</v>
      </c>
      <c r="P175" s="3" t="s">
        <v>463</v>
      </c>
    </row>
    <row r="176" spans="1:16" x14ac:dyDescent="0.3">
      <c r="A176" s="3" t="s">
        <v>103</v>
      </c>
      <c r="B176" s="3" t="s">
        <v>1896</v>
      </c>
      <c r="C176" s="3" t="s">
        <v>92</v>
      </c>
      <c r="D176" s="3" t="s">
        <v>30</v>
      </c>
      <c r="E176" s="3" t="s">
        <v>31</v>
      </c>
      <c r="F176" s="3" t="b">
        <v>0</v>
      </c>
      <c r="G176" s="3" t="s">
        <v>84</v>
      </c>
      <c r="H176" s="6">
        <v>44945.638090277767</v>
      </c>
      <c r="I176" s="3" t="b">
        <v>0</v>
      </c>
      <c r="J176" s="3" t="b">
        <v>0</v>
      </c>
      <c r="K176" s="3" t="s">
        <v>33</v>
      </c>
      <c r="L176" s="3" t="s">
        <v>34</v>
      </c>
      <c r="M176" s="8">
        <v>67500</v>
      </c>
      <c r="N176" s="11"/>
      <c r="O176" s="3" t="s">
        <v>1897</v>
      </c>
      <c r="P176" s="3" t="s">
        <v>1898</v>
      </c>
    </row>
    <row r="177" spans="1:16" x14ac:dyDescent="0.3">
      <c r="A177" s="3" t="s">
        <v>103</v>
      </c>
      <c r="B177" s="3" t="s">
        <v>1899</v>
      </c>
      <c r="C177" s="3" t="s">
        <v>417</v>
      </c>
      <c r="D177" s="3" t="s">
        <v>76</v>
      </c>
      <c r="E177" s="3" t="s">
        <v>31</v>
      </c>
      <c r="F177" s="3" t="b">
        <v>0</v>
      </c>
      <c r="G177" s="3" t="s">
        <v>58</v>
      </c>
      <c r="H177" s="6">
        <v>44929.937118055554</v>
      </c>
      <c r="I177" s="3" t="b">
        <v>1</v>
      </c>
      <c r="J177" s="3" t="b">
        <v>1</v>
      </c>
      <c r="K177" s="3" t="s">
        <v>33</v>
      </c>
      <c r="L177" s="3" t="s">
        <v>48</v>
      </c>
      <c r="M177" s="8"/>
      <c r="N177" s="11">
        <v>30</v>
      </c>
      <c r="O177" s="3" t="s">
        <v>1900</v>
      </c>
      <c r="P177" s="3" t="s">
        <v>138</v>
      </c>
    </row>
    <row r="178" spans="1:16" x14ac:dyDescent="0.3">
      <c r="A178" s="3" t="s">
        <v>103</v>
      </c>
      <c r="B178" s="3" t="s">
        <v>1903</v>
      </c>
      <c r="C178" s="3" t="s">
        <v>164</v>
      </c>
      <c r="D178" s="3" t="s">
        <v>30</v>
      </c>
      <c r="E178" s="3" t="s">
        <v>31</v>
      </c>
      <c r="F178" s="3" t="b">
        <v>0</v>
      </c>
      <c r="G178" s="3" t="s">
        <v>64</v>
      </c>
      <c r="H178" s="6">
        <v>44936.041678240741</v>
      </c>
      <c r="I178" s="3" t="b">
        <v>1</v>
      </c>
      <c r="J178" s="3" t="b">
        <v>0</v>
      </c>
      <c r="K178" s="3" t="s">
        <v>33</v>
      </c>
      <c r="L178" s="3" t="s">
        <v>34</v>
      </c>
      <c r="M178" s="8">
        <v>80000</v>
      </c>
      <c r="N178" s="11"/>
      <c r="O178" s="3" t="s">
        <v>114</v>
      </c>
      <c r="P178" s="3" t="s">
        <v>1904</v>
      </c>
    </row>
    <row r="179" spans="1:16" x14ac:dyDescent="0.3">
      <c r="A179" s="3" t="s">
        <v>103</v>
      </c>
      <c r="B179" s="3" t="s">
        <v>103</v>
      </c>
      <c r="C179" s="3" t="s">
        <v>87</v>
      </c>
      <c r="D179" s="3" t="s">
        <v>30</v>
      </c>
      <c r="E179" s="3" t="s">
        <v>31</v>
      </c>
      <c r="F179" s="3" t="b">
        <v>1</v>
      </c>
      <c r="G179" s="3" t="s">
        <v>58</v>
      </c>
      <c r="H179" s="6">
        <v>44939.713067129633</v>
      </c>
      <c r="I179" s="3" t="b">
        <v>0</v>
      </c>
      <c r="J179" s="3" t="b">
        <v>0</v>
      </c>
      <c r="K179" s="3" t="s">
        <v>33</v>
      </c>
      <c r="L179" s="3" t="s">
        <v>34</v>
      </c>
      <c r="M179" s="8">
        <v>75000</v>
      </c>
      <c r="N179" s="11"/>
      <c r="O179" s="3" t="s">
        <v>1923</v>
      </c>
      <c r="P179" s="3" t="s">
        <v>1924</v>
      </c>
    </row>
    <row r="180" spans="1:16" x14ac:dyDescent="0.3">
      <c r="A180" s="3" t="s">
        <v>103</v>
      </c>
      <c r="B180" s="3" t="s">
        <v>1925</v>
      </c>
      <c r="C180" s="3" t="s">
        <v>1926</v>
      </c>
      <c r="D180" s="3" t="s">
        <v>53</v>
      </c>
      <c r="E180" s="3" t="s">
        <v>31</v>
      </c>
      <c r="F180" s="3" t="b">
        <v>0</v>
      </c>
      <c r="G180" s="3" t="s">
        <v>140</v>
      </c>
      <c r="H180" s="6">
        <v>44937.407754629632</v>
      </c>
      <c r="I180" s="3" t="b">
        <v>0</v>
      </c>
      <c r="J180" s="3" t="b">
        <v>1</v>
      </c>
      <c r="K180" s="3" t="s">
        <v>33</v>
      </c>
      <c r="L180" s="3" t="s">
        <v>34</v>
      </c>
      <c r="M180" s="8">
        <v>115700</v>
      </c>
      <c r="N180" s="11"/>
      <c r="O180" s="3" t="s">
        <v>54</v>
      </c>
      <c r="P180" s="3" t="s">
        <v>1927</v>
      </c>
    </row>
    <row r="181" spans="1:16" x14ac:dyDescent="0.3">
      <c r="A181" s="3" t="s">
        <v>103</v>
      </c>
      <c r="B181" s="3" t="s">
        <v>103</v>
      </c>
      <c r="C181" s="3" t="s">
        <v>1330</v>
      </c>
      <c r="D181" s="3" t="s">
        <v>30</v>
      </c>
      <c r="E181" s="3" t="s">
        <v>31</v>
      </c>
      <c r="F181" s="3" t="b">
        <v>0</v>
      </c>
      <c r="G181" s="3" t="s">
        <v>32</v>
      </c>
      <c r="H181" s="6">
        <v>44953.709594907406</v>
      </c>
      <c r="I181" s="3" t="b">
        <v>0</v>
      </c>
      <c r="J181" s="3" t="b">
        <v>1</v>
      </c>
      <c r="K181" s="3" t="s">
        <v>33</v>
      </c>
      <c r="L181" s="3" t="s">
        <v>34</v>
      </c>
      <c r="M181" s="8">
        <v>102500</v>
      </c>
      <c r="N181" s="11"/>
      <c r="O181" s="3" t="s">
        <v>1928</v>
      </c>
      <c r="P181" s="3" t="s">
        <v>1929</v>
      </c>
    </row>
    <row r="182" spans="1:16" x14ac:dyDescent="0.3">
      <c r="A182" s="3" t="s">
        <v>103</v>
      </c>
      <c r="B182" s="3" t="s">
        <v>103</v>
      </c>
      <c r="C182" s="3" t="s">
        <v>1933</v>
      </c>
      <c r="D182" s="3" t="s">
        <v>76</v>
      </c>
      <c r="E182" s="3" t="s">
        <v>133</v>
      </c>
      <c r="F182" s="3" t="b">
        <v>0</v>
      </c>
      <c r="G182" s="3" t="s">
        <v>64</v>
      </c>
      <c r="H182" s="6">
        <v>44936.875173611108</v>
      </c>
      <c r="I182" s="3" t="b">
        <v>1</v>
      </c>
      <c r="J182" s="3" t="b">
        <v>0</v>
      </c>
      <c r="K182" s="3" t="s">
        <v>33</v>
      </c>
      <c r="L182" s="3" t="s">
        <v>48</v>
      </c>
      <c r="M182" s="8"/>
      <c r="N182" s="11">
        <v>62.5</v>
      </c>
      <c r="O182" s="3" t="s">
        <v>1934</v>
      </c>
      <c r="P182" s="3" t="s">
        <v>1935</v>
      </c>
    </row>
    <row r="183" spans="1:16" x14ac:dyDescent="0.3">
      <c r="A183" s="3" t="s">
        <v>103</v>
      </c>
      <c r="B183" s="3" t="s">
        <v>103</v>
      </c>
      <c r="C183" s="3" t="s">
        <v>1939</v>
      </c>
      <c r="D183" s="3" t="s">
        <v>76</v>
      </c>
      <c r="E183" s="3" t="s">
        <v>31</v>
      </c>
      <c r="F183" s="3" t="b">
        <v>0</v>
      </c>
      <c r="G183" s="3" t="s">
        <v>64</v>
      </c>
      <c r="H183" s="6">
        <v>44932.875034722223</v>
      </c>
      <c r="I183" s="3" t="b">
        <v>0</v>
      </c>
      <c r="J183" s="3" t="b">
        <v>1</v>
      </c>
      <c r="K183" s="3" t="s">
        <v>33</v>
      </c>
      <c r="L183" s="3" t="s">
        <v>34</v>
      </c>
      <c r="M183" s="8">
        <v>110000</v>
      </c>
      <c r="N183" s="11"/>
      <c r="O183" s="3" t="s">
        <v>1940</v>
      </c>
      <c r="P183" s="3" t="s">
        <v>1180</v>
      </c>
    </row>
    <row r="184" spans="1:16" x14ac:dyDescent="0.3">
      <c r="A184" s="3" t="s">
        <v>103</v>
      </c>
      <c r="B184" s="3" t="s">
        <v>103</v>
      </c>
      <c r="C184" s="3" t="s">
        <v>270</v>
      </c>
      <c r="D184" s="3" t="s">
        <v>287</v>
      </c>
      <c r="E184" s="3" t="s">
        <v>31</v>
      </c>
      <c r="F184" s="3" t="b">
        <v>0</v>
      </c>
      <c r="G184" s="3" t="s">
        <v>32</v>
      </c>
      <c r="H184" s="6">
        <v>44950.00099537037</v>
      </c>
      <c r="I184" s="3" t="b">
        <v>0</v>
      </c>
      <c r="J184" s="3" t="b">
        <v>0</v>
      </c>
      <c r="K184" s="3" t="s">
        <v>33</v>
      </c>
      <c r="L184" s="3" t="s">
        <v>34</v>
      </c>
      <c r="M184" s="8">
        <v>77981</v>
      </c>
      <c r="N184" s="11"/>
      <c r="O184" s="3" t="s">
        <v>1949</v>
      </c>
      <c r="P184" s="3" t="s">
        <v>1950</v>
      </c>
    </row>
    <row r="185" spans="1:16" x14ac:dyDescent="0.3">
      <c r="A185" s="3" t="s">
        <v>103</v>
      </c>
      <c r="B185" s="3" t="s">
        <v>1954</v>
      </c>
      <c r="C185" s="3" t="s">
        <v>1955</v>
      </c>
      <c r="D185" s="3" t="s">
        <v>76</v>
      </c>
      <c r="E185" s="3" t="s">
        <v>31</v>
      </c>
      <c r="F185" s="3" t="b">
        <v>0</v>
      </c>
      <c r="G185" s="3" t="s">
        <v>64</v>
      </c>
      <c r="H185" s="6">
        <v>44929.89398148148</v>
      </c>
      <c r="I185" s="3" t="b">
        <v>0</v>
      </c>
      <c r="J185" s="3" t="b">
        <v>1</v>
      </c>
      <c r="K185" s="3" t="s">
        <v>33</v>
      </c>
      <c r="L185" s="3" t="s">
        <v>34</v>
      </c>
      <c r="M185" s="8">
        <v>70000</v>
      </c>
      <c r="N185" s="11"/>
      <c r="O185" s="3" t="s">
        <v>1956</v>
      </c>
      <c r="P185" s="3" t="s">
        <v>1957</v>
      </c>
    </row>
    <row r="186" spans="1:16" x14ac:dyDescent="0.3">
      <c r="A186" s="3" t="s">
        <v>103</v>
      </c>
      <c r="B186" s="3" t="s">
        <v>1959</v>
      </c>
      <c r="C186" s="3" t="s">
        <v>1917</v>
      </c>
      <c r="D186" s="3" t="s">
        <v>41</v>
      </c>
      <c r="E186" s="3" t="s">
        <v>31</v>
      </c>
      <c r="F186" s="3" t="b">
        <v>0</v>
      </c>
      <c r="G186" s="3" t="s">
        <v>1917</v>
      </c>
      <c r="H186" s="6">
        <v>44930.408530092587</v>
      </c>
      <c r="I186" s="3" t="b">
        <v>1</v>
      </c>
      <c r="J186" s="3" t="b">
        <v>0</v>
      </c>
      <c r="K186" s="3" t="s">
        <v>1917</v>
      </c>
      <c r="L186" s="3" t="s">
        <v>34</v>
      </c>
      <c r="M186" s="8">
        <v>111202</v>
      </c>
      <c r="N186" s="11"/>
      <c r="O186" s="3" t="s">
        <v>1026</v>
      </c>
      <c r="P186" s="3" t="s">
        <v>1960</v>
      </c>
    </row>
    <row r="187" spans="1:16" x14ac:dyDescent="0.3">
      <c r="A187" s="3" t="s">
        <v>103</v>
      </c>
      <c r="B187" s="3" t="s">
        <v>103</v>
      </c>
      <c r="C187" s="3" t="s">
        <v>641</v>
      </c>
      <c r="D187" s="3" t="s">
        <v>30</v>
      </c>
      <c r="E187" s="3" t="s">
        <v>31</v>
      </c>
      <c r="F187" s="3" t="b">
        <v>0</v>
      </c>
      <c r="G187" s="3" t="s">
        <v>88</v>
      </c>
      <c r="H187" s="6">
        <v>44929.688067129631</v>
      </c>
      <c r="I187" s="3" t="b">
        <v>1</v>
      </c>
      <c r="J187" s="3" t="b">
        <v>0</v>
      </c>
      <c r="K187" s="3" t="s">
        <v>33</v>
      </c>
      <c r="L187" s="3" t="s">
        <v>34</v>
      </c>
      <c r="M187" s="8">
        <v>52500</v>
      </c>
      <c r="N187" s="11"/>
      <c r="O187" s="3" t="s">
        <v>1199</v>
      </c>
      <c r="P187" s="3" t="s">
        <v>1130</v>
      </c>
    </row>
    <row r="188" spans="1:16" x14ac:dyDescent="0.3">
      <c r="A188" s="3" t="s">
        <v>103</v>
      </c>
      <c r="B188" s="3" t="s">
        <v>103</v>
      </c>
      <c r="C188" s="3" t="s">
        <v>164</v>
      </c>
      <c r="D188" s="3" t="s">
        <v>188</v>
      </c>
      <c r="E188" s="3" t="s">
        <v>133</v>
      </c>
      <c r="F188" s="3" t="b">
        <v>0</v>
      </c>
      <c r="G188" s="3" t="s">
        <v>64</v>
      </c>
      <c r="H188" s="6">
        <v>44953.708321759259</v>
      </c>
      <c r="I188" s="3" t="b">
        <v>0</v>
      </c>
      <c r="J188" s="3" t="b">
        <v>0</v>
      </c>
      <c r="K188" s="3" t="s">
        <v>33</v>
      </c>
      <c r="L188" s="3" t="s">
        <v>48</v>
      </c>
      <c r="M188" s="8"/>
      <c r="N188" s="11">
        <v>70</v>
      </c>
      <c r="O188" s="3" t="s">
        <v>1975</v>
      </c>
      <c r="P188" s="3" t="s">
        <v>1976</v>
      </c>
    </row>
    <row r="189" spans="1:16" x14ac:dyDescent="0.3">
      <c r="A189" s="3" t="s">
        <v>103</v>
      </c>
      <c r="B189" s="3" t="s">
        <v>103</v>
      </c>
      <c r="C189" s="3" t="s">
        <v>1981</v>
      </c>
      <c r="D189" s="3" t="s">
        <v>188</v>
      </c>
      <c r="E189" s="3" t="s">
        <v>31</v>
      </c>
      <c r="F189" s="3" t="b">
        <v>0</v>
      </c>
      <c r="G189" s="3" t="s">
        <v>140</v>
      </c>
      <c r="H189" s="6">
        <v>44932.715081018519</v>
      </c>
      <c r="I189" s="3" t="b">
        <v>1</v>
      </c>
      <c r="J189" s="3" t="b">
        <v>0</v>
      </c>
      <c r="K189" s="3" t="s">
        <v>33</v>
      </c>
      <c r="L189" s="3" t="s">
        <v>34</v>
      </c>
      <c r="M189" s="8">
        <v>50000</v>
      </c>
      <c r="N189" s="11"/>
      <c r="O189" s="3" t="s">
        <v>189</v>
      </c>
      <c r="P189" s="3"/>
    </row>
    <row r="190" spans="1:16" x14ac:dyDescent="0.3">
      <c r="A190" s="3" t="s">
        <v>103</v>
      </c>
      <c r="B190" s="3" t="s">
        <v>103</v>
      </c>
      <c r="C190" s="3" t="s">
        <v>1989</v>
      </c>
      <c r="D190" s="3" t="s">
        <v>30</v>
      </c>
      <c r="E190" s="3" t="s">
        <v>31</v>
      </c>
      <c r="F190" s="3" t="b">
        <v>0</v>
      </c>
      <c r="G190" s="3" t="s">
        <v>64</v>
      </c>
      <c r="H190" s="6">
        <v>44953.667164351849</v>
      </c>
      <c r="I190" s="3" t="b">
        <v>0</v>
      </c>
      <c r="J190" s="3" t="b">
        <v>0</v>
      </c>
      <c r="K190" s="3" t="s">
        <v>33</v>
      </c>
      <c r="L190" s="3" t="s">
        <v>34</v>
      </c>
      <c r="M190" s="8">
        <v>70000</v>
      </c>
      <c r="N190" s="11"/>
      <c r="O190" s="3" t="s">
        <v>1990</v>
      </c>
      <c r="P190" s="3" t="s">
        <v>138</v>
      </c>
    </row>
    <row r="191" spans="1:16" x14ac:dyDescent="0.3">
      <c r="A191" s="3" t="s">
        <v>103</v>
      </c>
      <c r="B191" s="3" t="s">
        <v>2005</v>
      </c>
      <c r="C191" s="3" t="s">
        <v>87</v>
      </c>
      <c r="D191" s="3" t="s">
        <v>53</v>
      </c>
      <c r="E191" s="3" t="s">
        <v>31</v>
      </c>
      <c r="F191" s="3" t="b">
        <v>1</v>
      </c>
      <c r="G191" s="3" t="s">
        <v>32</v>
      </c>
      <c r="H191" s="6">
        <v>44952.792905092603</v>
      </c>
      <c r="I191" s="3" t="b">
        <v>0</v>
      </c>
      <c r="J191" s="3" t="b">
        <v>0</v>
      </c>
      <c r="K191" s="3" t="s">
        <v>33</v>
      </c>
      <c r="L191" s="3" t="s">
        <v>34</v>
      </c>
      <c r="M191" s="8">
        <v>75000</v>
      </c>
      <c r="N191" s="11"/>
      <c r="O191" s="3" t="s">
        <v>2006</v>
      </c>
      <c r="P191" s="3" t="s">
        <v>2007</v>
      </c>
    </row>
    <row r="192" spans="1:16" x14ac:dyDescent="0.3">
      <c r="A192" s="3" t="s">
        <v>103</v>
      </c>
      <c r="B192" s="3" t="s">
        <v>2008</v>
      </c>
      <c r="C192" s="3" t="s">
        <v>2009</v>
      </c>
      <c r="D192" s="3" t="s">
        <v>106</v>
      </c>
      <c r="E192" s="3" t="s">
        <v>31</v>
      </c>
      <c r="F192" s="3" t="b">
        <v>0</v>
      </c>
      <c r="G192" s="3" t="s">
        <v>32</v>
      </c>
      <c r="H192" s="6">
        <v>44930.561527777783</v>
      </c>
      <c r="I192" s="3" t="b">
        <v>0</v>
      </c>
      <c r="J192" s="3" t="b">
        <v>0</v>
      </c>
      <c r="K192" s="3" t="s">
        <v>33</v>
      </c>
      <c r="L192" s="3" t="s">
        <v>48</v>
      </c>
      <c r="M192" s="8"/>
      <c r="N192" s="11">
        <v>35.75</v>
      </c>
      <c r="O192" s="3" t="s">
        <v>2010</v>
      </c>
      <c r="P192" s="3" t="s">
        <v>1848</v>
      </c>
    </row>
    <row r="193" spans="1:16" x14ac:dyDescent="0.3">
      <c r="A193" s="3" t="s">
        <v>103</v>
      </c>
      <c r="B193" s="3" t="s">
        <v>103</v>
      </c>
      <c r="C193" s="3" t="s">
        <v>2020</v>
      </c>
      <c r="D193" s="3" t="s">
        <v>76</v>
      </c>
      <c r="E193" s="3" t="s">
        <v>133</v>
      </c>
      <c r="F193" s="3" t="b">
        <v>0</v>
      </c>
      <c r="G193" s="3" t="s">
        <v>140</v>
      </c>
      <c r="H193" s="6">
        <v>44939.930625000001</v>
      </c>
      <c r="I193" s="3" t="b">
        <v>0</v>
      </c>
      <c r="J193" s="3" t="b">
        <v>0</v>
      </c>
      <c r="K193" s="3" t="s">
        <v>33</v>
      </c>
      <c r="L193" s="3" t="s">
        <v>34</v>
      </c>
      <c r="M193" s="8">
        <v>79123.6875</v>
      </c>
      <c r="N193" s="11"/>
      <c r="O193" s="3" t="s">
        <v>2021</v>
      </c>
      <c r="P193" s="3" t="s">
        <v>2022</v>
      </c>
    </row>
    <row r="194" spans="1:16" x14ac:dyDescent="0.3">
      <c r="A194" s="3" t="s">
        <v>103</v>
      </c>
      <c r="B194" s="3" t="s">
        <v>2041</v>
      </c>
      <c r="C194" s="3" t="s">
        <v>2042</v>
      </c>
      <c r="D194" s="3" t="s">
        <v>41</v>
      </c>
      <c r="E194" s="3" t="s">
        <v>31</v>
      </c>
      <c r="F194" s="3" t="b">
        <v>0</v>
      </c>
      <c r="G194" s="3" t="s">
        <v>849</v>
      </c>
      <c r="H194" s="6">
        <v>44946.302256944437</v>
      </c>
      <c r="I194" s="3" t="b">
        <v>0</v>
      </c>
      <c r="J194" s="3" t="b">
        <v>0</v>
      </c>
      <c r="K194" s="3" t="s">
        <v>849</v>
      </c>
      <c r="L194" s="3" t="s">
        <v>34</v>
      </c>
      <c r="M194" s="8">
        <v>51014</v>
      </c>
      <c r="N194" s="11"/>
      <c r="O194" s="3" t="s">
        <v>356</v>
      </c>
      <c r="P194" s="3" t="s">
        <v>2043</v>
      </c>
    </row>
    <row r="195" spans="1:16" x14ac:dyDescent="0.3">
      <c r="A195" s="3" t="s">
        <v>103</v>
      </c>
      <c r="B195" s="3" t="s">
        <v>2052</v>
      </c>
      <c r="C195" s="3" t="s">
        <v>2053</v>
      </c>
      <c r="D195" s="3" t="s">
        <v>2054</v>
      </c>
      <c r="E195" s="3" t="s">
        <v>31</v>
      </c>
      <c r="F195" s="3" t="b">
        <v>0</v>
      </c>
      <c r="G195" s="3" t="s">
        <v>84</v>
      </c>
      <c r="H195" s="6">
        <v>44942.001562500001</v>
      </c>
      <c r="I195" s="3" t="b">
        <v>0</v>
      </c>
      <c r="J195" s="3" t="b">
        <v>1</v>
      </c>
      <c r="K195" s="3" t="s">
        <v>33</v>
      </c>
      <c r="L195" s="3" t="s">
        <v>48</v>
      </c>
      <c r="M195" s="8"/>
      <c r="N195" s="11">
        <v>24</v>
      </c>
      <c r="O195" s="3" t="s">
        <v>49</v>
      </c>
      <c r="P195" s="3" t="s">
        <v>138</v>
      </c>
    </row>
    <row r="196" spans="1:16" x14ac:dyDescent="0.3">
      <c r="A196" s="3" t="s">
        <v>103</v>
      </c>
      <c r="B196" s="3" t="s">
        <v>1899</v>
      </c>
      <c r="C196" s="3" t="s">
        <v>813</v>
      </c>
      <c r="D196" s="3" t="s">
        <v>76</v>
      </c>
      <c r="E196" s="3" t="s">
        <v>133</v>
      </c>
      <c r="F196" s="3" t="b">
        <v>0</v>
      </c>
      <c r="G196" s="3" t="s">
        <v>64</v>
      </c>
      <c r="H196" s="6">
        <v>44934.791620370372</v>
      </c>
      <c r="I196" s="3" t="b">
        <v>1</v>
      </c>
      <c r="J196" s="3" t="b">
        <v>0</v>
      </c>
      <c r="K196" s="3" t="s">
        <v>33</v>
      </c>
      <c r="L196" s="3" t="s">
        <v>48</v>
      </c>
      <c r="M196" s="8"/>
      <c r="N196" s="11">
        <v>30</v>
      </c>
      <c r="O196" s="3" t="s">
        <v>2056</v>
      </c>
      <c r="P196" s="3" t="s">
        <v>2057</v>
      </c>
    </row>
    <row r="197" spans="1:16" x14ac:dyDescent="0.3">
      <c r="A197" s="3" t="s">
        <v>103</v>
      </c>
      <c r="B197" s="3" t="s">
        <v>103</v>
      </c>
      <c r="C197" s="3" t="s">
        <v>402</v>
      </c>
      <c r="D197" s="3" t="s">
        <v>41</v>
      </c>
      <c r="E197" s="3" t="s">
        <v>31</v>
      </c>
      <c r="F197" s="3" t="b">
        <v>0</v>
      </c>
      <c r="G197" s="3" t="s">
        <v>403</v>
      </c>
      <c r="H197" s="6">
        <v>44932.271319444437</v>
      </c>
      <c r="I197" s="3" t="b">
        <v>0</v>
      </c>
      <c r="J197" s="3" t="b">
        <v>0</v>
      </c>
      <c r="K197" s="3" t="s">
        <v>403</v>
      </c>
      <c r="L197" s="3" t="s">
        <v>34</v>
      </c>
      <c r="M197" s="8">
        <v>111202</v>
      </c>
      <c r="N197" s="11"/>
      <c r="O197" s="3" t="s">
        <v>2060</v>
      </c>
      <c r="P197" s="3" t="s">
        <v>2061</v>
      </c>
    </row>
    <row r="198" spans="1:16" x14ac:dyDescent="0.3">
      <c r="A198" s="3" t="s">
        <v>103</v>
      </c>
      <c r="B198" s="3" t="s">
        <v>2073</v>
      </c>
      <c r="C198" s="3" t="s">
        <v>2074</v>
      </c>
      <c r="D198" s="3" t="s">
        <v>106</v>
      </c>
      <c r="E198" s="3" t="s">
        <v>31</v>
      </c>
      <c r="F198" s="3" t="b">
        <v>0</v>
      </c>
      <c r="G198" s="3" t="s">
        <v>64</v>
      </c>
      <c r="H198" s="6">
        <v>44940.75</v>
      </c>
      <c r="I198" s="3" t="b">
        <v>0</v>
      </c>
      <c r="J198" s="3" t="b">
        <v>0</v>
      </c>
      <c r="K198" s="3" t="s">
        <v>33</v>
      </c>
      <c r="L198" s="3" t="s">
        <v>34</v>
      </c>
      <c r="M198" s="8">
        <v>143500</v>
      </c>
      <c r="N198" s="11"/>
      <c r="O198" s="3" t="s">
        <v>371</v>
      </c>
      <c r="P198" s="3" t="s">
        <v>2075</v>
      </c>
    </row>
    <row r="199" spans="1:16" x14ac:dyDescent="0.3">
      <c r="A199" s="3" t="s">
        <v>103</v>
      </c>
      <c r="B199" s="3" t="s">
        <v>103</v>
      </c>
      <c r="C199" s="3" t="s">
        <v>2110</v>
      </c>
      <c r="D199" s="3" t="s">
        <v>76</v>
      </c>
      <c r="E199" s="3" t="s">
        <v>31</v>
      </c>
      <c r="F199" s="3" t="b">
        <v>0</v>
      </c>
      <c r="G199" s="3" t="s">
        <v>64</v>
      </c>
      <c r="H199" s="6">
        <v>44940.625196759262</v>
      </c>
      <c r="I199" s="3" t="b">
        <v>0</v>
      </c>
      <c r="J199" s="3" t="b">
        <v>1</v>
      </c>
      <c r="K199" s="3" t="s">
        <v>33</v>
      </c>
      <c r="L199" s="3" t="s">
        <v>34</v>
      </c>
      <c r="M199" s="8">
        <v>68000</v>
      </c>
      <c r="N199" s="11"/>
      <c r="O199" s="3" t="s">
        <v>2111</v>
      </c>
      <c r="P199" s="3" t="s">
        <v>374</v>
      </c>
    </row>
    <row r="200" spans="1:16" x14ac:dyDescent="0.3">
      <c r="A200" s="3" t="s">
        <v>103</v>
      </c>
      <c r="B200" s="3" t="s">
        <v>2115</v>
      </c>
      <c r="C200" s="3" t="s">
        <v>2116</v>
      </c>
      <c r="D200" s="3" t="s">
        <v>237</v>
      </c>
      <c r="E200" s="3" t="s">
        <v>31</v>
      </c>
      <c r="F200" s="3" t="b">
        <v>0</v>
      </c>
      <c r="G200" s="3" t="s">
        <v>64</v>
      </c>
      <c r="H200" s="6">
        <v>44955.666828703703</v>
      </c>
      <c r="I200" s="3" t="b">
        <v>0</v>
      </c>
      <c r="J200" s="3" t="b">
        <v>1</v>
      </c>
      <c r="K200" s="3" t="s">
        <v>33</v>
      </c>
      <c r="L200" s="3" t="s">
        <v>48</v>
      </c>
      <c r="M200" s="8"/>
      <c r="N200" s="11">
        <v>60</v>
      </c>
      <c r="O200" s="3" t="s">
        <v>2117</v>
      </c>
      <c r="P200" s="3" t="s">
        <v>2118</v>
      </c>
    </row>
    <row r="201" spans="1:16" x14ac:dyDescent="0.3">
      <c r="A201" s="3" t="s">
        <v>103</v>
      </c>
      <c r="B201" s="3" t="s">
        <v>2128</v>
      </c>
      <c r="C201" s="3" t="s">
        <v>75</v>
      </c>
      <c r="D201" s="3" t="s">
        <v>30</v>
      </c>
      <c r="E201" s="3" t="s">
        <v>31</v>
      </c>
      <c r="F201" s="3" t="b">
        <v>0</v>
      </c>
      <c r="G201" s="3" t="s">
        <v>84</v>
      </c>
      <c r="H201" s="6">
        <v>44930.959965277783</v>
      </c>
      <c r="I201" s="3" t="b">
        <v>0</v>
      </c>
      <c r="J201" s="3" t="b">
        <v>0</v>
      </c>
      <c r="K201" s="3" t="s">
        <v>33</v>
      </c>
      <c r="L201" s="3" t="s">
        <v>34</v>
      </c>
      <c r="M201" s="8">
        <v>100000</v>
      </c>
      <c r="N201" s="11"/>
      <c r="O201" s="3" t="s">
        <v>2129</v>
      </c>
      <c r="P201" s="3" t="s">
        <v>2130</v>
      </c>
    </row>
    <row r="202" spans="1:16" x14ac:dyDescent="0.3">
      <c r="A202" s="3" t="s">
        <v>103</v>
      </c>
      <c r="B202" s="3" t="s">
        <v>2131</v>
      </c>
      <c r="C202" s="3" t="s">
        <v>565</v>
      </c>
      <c r="D202" s="3" t="s">
        <v>53</v>
      </c>
      <c r="E202" s="3" t="s">
        <v>31</v>
      </c>
      <c r="F202" s="3" t="b">
        <v>0</v>
      </c>
      <c r="G202" s="3" t="s">
        <v>140</v>
      </c>
      <c r="H202" s="6">
        <v>44952.991296296299</v>
      </c>
      <c r="I202" s="3" t="b">
        <v>1</v>
      </c>
      <c r="J202" s="3" t="b">
        <v>0</v>
      </c>
      <c r="K202" s="3" t="s">
        <v>33</v>
      </c>
      <c r="L202" s="3" t="s">
        <v>34</v>
      </c>
      <c r="M202" s="8">
        <v>97500</v>
      </c>
      <c r="N202" s="11"/>
      <c r="O202" s="3" t="s">
        <v>2132</v>
      </c>
      <c r="P202" s="3" t="s">
        <v>2133</v>
      </c>
    </row>
    <row r="203" spans="1:16" x14ac:dyDescent="0.3">
      <c r="A203" s="3" t="s">
        <v>103</v>
      </c>
      <c r="B203" s="3" t="s">
        <v>2143</v>
      </c>
      <c r="C203" s="3" t="s">
        <v>57</v>
      </c>
      <c r="D203" s="3" t="s">
        <v>76</v>
      </c>
      <c r="E203" s="3" t="s">
        <v>31</v>
      </c>
      <c r="F203" s="3" t="b">
        <v>0</v>
      </c>
      <c r="G203" s="3" t="s">
        <v>58</v>
      </c>
      <c r="H203" s="6">
        <v>44943.876574074071</v>
      </c>
      <c r="I203" s="3" t="b">
        <v>0</v>
      </c>
      <c r="J203" s="3" t="b">
        <v>1</v>
      </c>
      <c r="K203" s="3" t="s">
        <v>33</v>
      </c>
      <c r="L203" s="3" t="s">
        <v>34</v>
      </c>
      <c r="M203" s="8">
        <v>67500</v>
      </c>
      <c r="N203" s="11"/>
      <c r="O203" s="3" t="s">
        <v>2144</v>
      </c>
      <c r="P203" s="3" t="s">
        <v>2145</v>
      </c>
    </row>
    <row r="204" spans="1:16" x14ac:dyDescent="0.3">
      <c r="A204" s="3" t="s">
        <v>103</v>
      </c>
      <c r="B204" s="3" t="s">
        <v>2146</v>
      </c>
      <c r="C204" s="3" t="s">
        <v>87</v>
      </c>
      <c r="D204" s="3" t="s">
        <v>30</v>
      </c>
      <c r="E204" s="3" t="s">
        <v>31</v>
      </c>
      <c r="F204" s="3" t="b">
        <v>1</v>
      </c>
      <c r="G204" s="3" t="s">
        <v>64</v>
      </c>
      <c r="H204" s="6">
        <v>44937.333356481482</v>
      </c>
      <c r="I204" s="3" t="b">
        <v>0</v>
      </c>
      <c r="J204" s="3" t="b">
        <v>1</v>
      </c>
      <c r="K204" s="3" t="s">
        <v>33</v>
      </c>
      <c r="L204" s="3" t="s">
        <v>34</v>
      </c>
      <c r="M204" s="8">
        <v>90000</v>
      </c>
      <c r="N204" s="11"/>
      <c r="O204" s="3" t="s">
        <v>158</v>
      </c>
      <c r="P204" s="3" t="s">
        <v>1255</v>
      </c>
    </row>
    <row r="205" spans="1:16" x14ac:dyDescent="0.3">
      <c r="A205" s="3" t="s">
        <v>103</v>
      </c>
      <c r="B205" s="3" t="s">
        <v>103</v>
      </c>
      <c r="C205" s="3" t="s">
        <v>164</v>
      </c>
      <c r="D205" s="3" t="s">
        <v>188</v>
      </c>
      <c r="E205" s="3" t="s">
        <v>31</v>
      </c>
      <c r="F205" s="3" t="b">
        <v>0</v>
      </c>
      <c r="G205" s="3" t="s">
        <v>64</v>
      </c>
      <c r="H205" s="6">
        <v>44946.5</v>
      </c>
      <c r="I205" s="3" t="b">
        <v>1</v>
      </c>
      <c r="J205" s="3" t="b">
        <v>0</v>
      </c>
      <c r="K205" s="3" t="s">
        <v>33</v>
      </c>
      <c r="L205" s="3" t="s">
        <v>48</v>
      </c>
      <c r="M205" s="8"/>
      <c r="N205" s="11">
        <v>58.5</v>
      </c>
      <c r="O205" s="3" t="s">
        <v>2147</v>
      </c>
      <c r="P205" s="3" t="s">
        <v>405</v>
      </c>
    </row>
    <row r="206" spans="1:16" x14ac:dyDescent="0.3">
      <c r="A206" s="3" t="s">
        <v>103</v>
      </c>
      <c r="B206" s="3" t="s">
        <v>2158</v>
      </c>
      <c r="C206" s="3" t="s">
        <v>693</v>
      </c>
      <c r="D206" s="3" t="s">
        <v>41</v>
      </c>
      <c r="E206" s="3" t="s">
        <v>31</v>
      </c>
      <c r="F206" s="3" t="b">
        <v>0</v>
      </c>
      <c r="G206" s="3" t="s">
        <v>651</v>
      </c>
      <c r="H206" s="6">
        <v>44932.311666666668</v>
      </c>
      <c r="I206" s="3" t="b">
        <v>0</v>
      </c>
      <c r="J206" s="3" t="b">
        <v>0</v>
      </c>
      <c r="K206" s="3" t="s">
        <v>651</v>
      </c>
      <c r="L206" s="3" t="s">
        <v>34</v>
      </c>
      <c r="M206" s="8">
        <v>89100</v>
      </c>
      <c r="N206" s="11"/>
      <c r="O206" s="3" t="s">
        <v>2159</v>
      </c>
      <c r="P206" s="3" t="s">
        <v>2160</v>
      </c>
    </row>
    <row r="207" spans="1:16" x14ac:dyDescent="0.3">
      <c r="A207" s="3" t="s">
        <v>103</v>
      </c>
      <c r="B207" s="3" t="s">
        <v>2171</v>
      </c>
      <c r="C207" s="3" t="s">
        <v>258</v>
      </c>
      <c r="D207" s="3" t="s">
        <v>106</v>
      </c>
      <c r="E207" s="3" t="s">
        <v>31</v>
      </c>
      <c r="F207" s="3" t="b">
        <v>0</v>
      </c>
      <c r="G207" s="3" t="s">
        <v>32</v>
      </c>
      <c r="H207" s="6">
        <v>44941.667222222219</v>
      </c>
      <c r="I207" s="3" t="b">
        <v>1</v>
      </c>
      <c r="J207" s="3" t="b">
        <v>0</v>
      </c>
      <c r="K207" s="3" t="s">
        <v>33</v>
      </c>
      <c r="L207" s="3" t="s">
        <v>34</v>
      </c>
      <c r="M207" s="8">
        <v>105050</v>
      </c>
      <c r="N207" s="11"/>
      <c r="O207" s="3" t="s">
        <v>1558</v>
      </c>
      <c r="P207" s="3"/>
    </row>
    <row r="208" spans="1:16" x14ac:dyDescent="0.3">
      <c r="A208" s="3" t="s">
        <v>103</v>
      </c>
      <c r="B208" s="3" t="s">
        <v>2172</v>
      </c>
      <c r="C208" s="3" t="s">
        <v>2173</v>
      </c>
      <c r="D208" s="3" t="s">
        <v>390</v>
      </c>
      <c r="E208" s="3" t="s">
        <v>31</v>
      </c>
      <c r="F208" s="3" t="b">
        <v>0</v>
      </c>
      <c r="G208" s="3" t="s">
        <v>58</v>
      </c>
      <c r="H208" s="6">
        <v>44928.709317129629</v>
      </c>
      <c r="I208" s="3" t="b">
        <v>0</v>
      </c>
      <c r="J208" s="3" t="b">
        <v>0</v>
      </c>
      <c r="K208" s="3" t="s">
        <v>33</v>
      </c>
      <c r="L208" s="3" t="s">
        <v>34</v>
      </c>
      <c r="M208" s="8">
        <v>138615</v>
      </c>
      <c r="N208" s="11"/>
      <c r="O208" s="3" t="s">
        <v>119</v>
      </c>
      <c r="P208" s="3" t="s">
        <v>2174</v>
      </c>
    </row>
    <row r="209" spans="1:16" x14ac:dyDescent="0.3">
      <c r="A209" s="3" t="s">
        <v>103</v>
      </c>
      <c r="B209" s="3" t="s">
        <v>2175</v>
      </c>
      <c r="C209" s="3" t="s">
        <v>565</v>
      </c>
      <c r="D209" s="3" t="s">
        <v>566</v>
      </c>
      <c r="E209" s="3" t="s">
        <v>31</v>
      </c>
      <c r="F209" s="3" t="b">
        <v>0</v>
      </c>
      <c r="G209" s="3" t="s">
        <v>140</v>
      </c>
      <c r="H209" s="6">
        <v>44929.982233796298</v>
      </c>
      <c r="I209" s="3" t="b">
        <v>0</v>
      </c>
      <c r="J209" s="3" t="b">
        <v>1</v>
      </c>
      <c r="K209" s="3" t="s">
        <v>33</v>
      </c>
      <c r="L209" s="3" t="s">
        <v>48</v>
      </c>
      <c r="M209" s="8"/>
      <c r="N209" s="11">
        <v>24</v>
      </c>
      <c r="O209" s="3" t="s">
        <v>2176</v>
      </c>
      <c r="P209" s="3" t="s">
        <v>460</v>
      </c>
    </row>
    <row r="210" spans="1:16" x14ac:dyDescent="0.3">
      <c r="A210" s="3" t="s">
        <v>103</v>
      </c>
      <c r="B210" s="3" t="s">
        <v>2182</v>
      </c>
      <c r="C210" s="3" t="s">
        <v>87</v>
      </c>
      <c r="D210" s="3" t="s">
        <v>220</v>
      </c>
      <c r="E210" s="3" t="s">
        <v>31</v>
      </c>
      <c r="F210" s="3" t="b">
        <v>1</v>
      </c>
      <c r="G210" s="3" t="s">
        <v>88</v>
      </c>
      <c r="H210" s="6">
        <v>44930.355000000003</v>
      </c>
      <c r="I210" s="3" t="b">
        <v>0</v>
      </c>
      <c r="J210" s="3" t="b">
        <v>1</v>
      </c>
      <c r="K210" s="3" t="s">
        <v>33</v>
      </c>
      <c r="L210" s="3" t="s">
        <v>34</v>
      </c>
      <c r="M210" s="8">
        <v>59000</v>
      </c>
      <c r="N210" s="11"/>
      <c r="O210" s="3" t="s">
        <v>1376</v>
      </c>
      <c r="P210" s="3" t="s">
        <v>2183</v>
      </c>
    </row>
    <row r="211" spans="1:16" x14ac:dyDescent="0.3">
      <c r="A211" s="3" t="s">
        <v>103</v>
      </c>
      <c r="B211" s="3" t="s">
        <v>2188</v>
      </c>
      <c r="C211" s="3" t="s">
        <v>2189</v>
      </c>
      <c r="D211" s="3" t="s">
        <v>41</v>
      </c>
      <c r="E211" s="3" t="s">
        <v>31</v>
      </c>
      <c r="F211" s="3" t="b">
        <v>0</v>
      </c>
      <c r="G211" s="3" t="s">
        <v>359</v>
      </c>
      <c r="H211" s="6">
        <v>44931.163287037038</v>
      </c>
      <c r="I211" s="3" t="b">
        <v>0</v>
      </c>
      <c r="J211" s="3" t="b">
        <v>0</v>
      </c>
      <c r="K211" s="3" t="s">
        <v>359</v>
      </c>
      <c r="L211" s="3" t="s">
        <v>34</v>
      </c>
      <c r="M211" s="8">
        <v>72900</v>
      </c>
      <c r="N211" s="11"/>
      <c r="O211" s="3" t="s">
        <v>2190</v>
      </c>
      <c r="P211" s="3" t="s">
        <v>806</v>
      </c>
    </row>
    <row r="212" spans="1:16" x14ac:dyDescent="0.3">
      <c r="A212" s="3" t="s">
        <v>103</v>
      </c>
      <c r="B212" s="3" t="s">
        <v>2191</v>
      </c>
      <c r="C212" s="3" t="s">
        <v>1606</v>
      </c>
      <c r="D212" s="3" t="s">
        <v>76</v>
      </c>
      <c r="E212" s="3" t="s">
        <v>31</v>
      </c>
      <c r="F212" s="3" t="b">
        <v>0</v>
      </c>
      <c r="G212" s="3" t="s">
        <v>84</v>
      </c>
      <c r="H212" s="6">
        <v>44932.960138888891</v>
      </c>
      <c r="I212" s="3" t="b">
        <v>0</v>
      </c>
      <c r="J212" s="3" t="b">
        <v>1</v>
      </c>
      <c r="K212" s="3" t="s">
        <v>33</v>
      </c>
      <c r="L212" s="3" t="s">
        <v>34</v>
      </c>
      <c r="M212" s="8">
        <v>62500</v>
      </c>
      <c r="N212" s="11"/>
      <c r="O212" s="3" t="s">
        <v>2192</v>
      </c>
      <c r="P212" s="3" t="s">
        <v>2193</v>
      </c>
    </row>
    <row r="213" spans="1:16" x14ac:dyDescent="0.3">
      <c r="A213" s="3" t="s">
        <v>103</v>
      </c>
      <c r="B213" s="3" t="s">
        <v>2214</v>
      </c>
      <c r="C213" s="3" t="s">
        <v>2215</v>
      </c>
      <c r="D213" s="3" t="s">
        <v>53</v>
      </c>
      <c r="E213" s="3" t="s">
        <v>31</v>
      </c>
      <c r="F213" s="3" t="b">
        <v>0</v>
      </c>
      <c r="G213" s="3" t="s">
        <v>32</v>
      </c>
      <c r="H213" s="6">
        <v>44950.125798611109</v>
      </c>
      <c r="I213" s="3" t="b">
        <v>0</v>
      </c>
      <c r="J213" s="3" t="b">
        <v>0</v>
      </c>
      <c r="K213" s="3" t="s">
        <v>33</v>
      </c>
      <c r="L213" s="3" t="s">
        <v>48</v>
      </c>
      <c r="M213" s="8"/>
      <c r="N213" s="11">
        <v>31</v>
      </c>
      <c r="O213" s="3" t="s">
        <v>2216</v>
      </c>
      <c r="P213" s="3" t="s">
        <v>2217</v>
      </c>
    </row>
    <row r="214" spans="1:16" x14ac:dyDescent="0.3">
      <c r="A214" s="3" t="s">
        <v>103</v>
      </c>
      <c r="B214" s="3" t="s">
        <v>103</v>
      </c>
      <c r="C214" s="3" t="s">
        <v>882</v>
      </c>
      <c r="D214" s="3" t="s">
        <v>76</v>
      </c>
      <c r="E214" s="3" t="s">
        <v>133</v>
      </c>
      <c r="F214" s="3" t="b">
        <v>0</v>
      </c>
      <c r="G214" s="3" t="s">
        <v>58</v>
      </c>
      <c r="H214" s="6">
        <v>44952.042604166672</v>
      </c>
      <c r="I214" s="3" t="b">
        <v>0</v>
      </c>
      <c r="J214" s="3" t="b">
        <v>1</v>
      </c>
      <c r="K214" s="3" t="s">
        <v>33</v>
      </c>
      <c r="L214" s="3" t="s">
        <v>48</v>
      </c>
      <c r="M214" s="8"/>
      <c r="N214" s="11">
        <v>30</v>
      </c>
      <c r="O214" s="3" t="s">
        <v>2220</v>
      </c>
      <c r="P214" s="3" t="s">
        <v>2221</v>
      </c>
    </row>
    <row r="215" spans="1:16" x14ac:dyDescent="0.3">
      <c r="A215" s="3" t="s">
        <v>103</v>
      </c>
      <c r="B215" s="3" t="s">
        <v>2229</v>
      </c>
      <c r="C215" s="3" t="s">
        <v>2230</v>
      </c>
      <c r="D215" s="3" t="s">
        <v>41</v>
      </c>
      <c r="E215" s="3" t="s">
        <v>31</v>
      </c>
      <c r="F215" s="3" t="b">
        <v>0</v>
      </c>
      <c r="G215" s="3" t="s">
        <v>651</v>
      </c>
      <c r="H215" s="6">
        <v>44956.885208333333</v>
      </c>
      <c r="I215" s="3" t="b">
        <v>0</v>
      </c>
      <c r="J215" s="3" t="b">
        <v>0</v>
      </c>
      <c r="K215" s="3" t="s">
        <v>651</v>
      </c>
      <c r="L215" s="3" t="s">
        <v>34</v>
      </c>
      <c r="M215" s="8">
        <v>98500</v>
      </c>
      <c r="N215" s="11"/>
      <c r="O215" s="3" t="s">
        <v>2231</v>
      </c>
      <c r="P215" s="3" t="s">
        <v>2232</v>
      </c>
    </row>
    <row r="216" spans="1:16" x14ac:dyDescent="0.3">
      <c r="A216" s="3" t="s">
        <v>103</v>
      </c>
      <c r="B216" s="3" t="s">
        <v>2236</v>
      </c>
      <c r="C216" s="3" t="s">
        <v>2237</v>
      </c>
      <c r="D216" s="3" t="s">
        <v>41</v>
      </c>
      <c r="E216" s="3" t="s">
        <v>31</v>
      </c>
      <c r="F216" s="3" t="b">
        <v>0</v>
      </c>
      <c r="G216" s="3" t="s">
        <v>84</v>
      </c>
      <c r="H216" s="6">
        <v>44950.918217592603</v>
      </c>
      <c r="I216" s="3" t="b">
        <v>0</v>
      </c>
      <c r="J216" s="3" t="b">
        <v>0</v>
      </c>
      <c r="K216" s="3" t="s">
        <v>33</v>
      </c>
      <c r="L216" s="3" t="s">
        <v>34</v>
      </c>
      <c r="M216" s="8">
        <v>51014</v>
      </c>
      <c r="N216" s="11"/>
      <c r="O216" s="3" t="s">
        <v>1164</v>
      </c>
      <c r="P216" s="3" t="s">
        <v>2238</v>
      </c>
    </row>
    <row r="217" spans="1:16" x14ac:dyDescent="0.3">
      <c r="A217" s="3" t="s">
        <v>103</v>
      </c>
      <c r="B217" s="3" t="s">
        <v>103</v>
      </c>
      <c r="C217" s="3" t="s">
        <v>2252</v>
      </c>
      <c r="D217" s="3" t="s">
        <v>76</v>
      </c>
      <c r="E217" s="3" t="s">
        <v>31</v>
      </c>
      <c r="F217" s="3" t="b">
        <v>0</v>
      </c>
      <c r="G217" s="3" t="s">
        <v>140</v>
      </c>
      <c r="H217" s="6">
        <v>44957.897534722222</v>
      </c>
      <c r="I217" s="3" t="b">
        <v>1</v>
      </c>
      <c r="J217" s="3" t="b">
        <v>1</v>
      </c>
      <c r="K217" s="3" t="s">
        <v>33</v>
      </c>
      <c r="L217" s="3" t="s">
        <v>48</v>
      </c>
      <c r="M217" s="8"/>
      <c r="N217" s="11">
        <v>19</v>
      </c>
      <c r="O217" s="3" t="s">
        <v>2253</v>
      </c>
      <c r="P217" s="3" t="s">
        <v>405</v>
      </c>
    </row>
    <row r="218" spans="1:16" x14ac:dyDescent="0.3">
      <c r="A218" s="3" t="s">
        <v>103</v>
      </c>
      <c r="B218" s="3" t="s">
        <v>2273</v>
      </c>
      <c r="C218" s="3" t="s">
        <v>417</v>
      </c>
      <c r="D218" s="3" t="s">
        <v>93</v>
      </c>
      <c r="E218" s="3" t="s">
        <v>31</v>
      </c>
      <c r="F218" s="3" t="b">
        <v>0</v>
      </c>
      <c r="G218" s="3" t="s">
        <v>58</v>
      </c>
      <c r="H218" s="6">
        <v>44942.429143518522</v>
      </c>
      <c r="I218" s="3" t="b">
        <v>0</v>
      </c>
      <c r="J218" s="3" t="b">
        <v>0</v>
      </c>
      <c r="K218" s="3" t="s">
        <v>33</v>
      </c>
      <c r="L218" s="3" t="s">
        <v>34</v>
      </c>
      <c r="M218" s="8">
        <v>125000</v>
      </c>
      <c r="N218" s="11"/>
      <c r="O218" s="3" t="s">
        <v>496</v>
      </c>
      <c r="P218" s="3" t="s">
        <v>2274</v>
      </c>
    </row>
    <row r="219" spans="1:16" x14ac:dyDescent="0.3">
      <c r="A219" s="3" t="s">
        <v>103</v>
      </c>
      <c r="B219" s="3" t="s">
        <v>2275</v>
      </c>
      <c r="C219" s="3" t="s">
        <v>321</v>
      </c>
      <c r="D219" s="3" t="s">
        <v>188</v>
      </c>
      <c r="E219" s="3" t="s">
        <v>133</v>
      </c>
      <c r="F219" s="3" t="b">
        <v>0</v>
      </c>
      <c r="G219" s="3" t="s">
        <v>140</v>
      </c>
      <c r="H219" s="6">
        <v>44946.860439814824</v>
      </c>
      <c r="I219" s="3" t="b">
        <v>1</v>
      </c>
      <c r="J219" s="3" t="b">
        <v>1</v>
      </c>
      <c r="K219" s="3" t="s">
        <v>33</v>
      </c>
      <c r="L219" s="3" t="s">
        <v>48</v>
      </c>
      <c r="M219" s="8"/>
      <c r="N219" s="11">
        <v>52.5</v>
      </c>
      <c r="O219" s="3" t="s">
        <v>426</v>
      </c>
      <c r="P219" s="3" t="s">
        <v>2276</v>
      </c>
    </row>
    <row r="220" spans="1:16" x14ac:dyDescent="0.3">
      <c r="A220" s="3" t="s">
        <v>103</v>
      </c>
      <c r="B220" s="3" t="s">
        <v>103</v>
      </c>
      <c r="C220" s="3" t="s">
        <v>2304</v>
      </c>
      <c r="D220" s="3" t="s">
        <v>2305</v>
      </c>
      <c r="E220" s="3" t="s">
        <v>31</v>
      </c>
      <c r="F220" s="3" t="b">
        <v>0</v>
      </c>
      <c r="G220" s="3" t="s">
        <v>32</v>
      </c>
      <c r="H220" s="6">
        <v>44930.292581018519</v>
      </c>
      <c r="I220" s="3" t="b">
        <v>0</v>
      </c>
      <c r="J220" s="3" t="b">
        <v>0</v>
      </c>
      <c r="K220" s="3" t="s">
        <v>33</v>
      </c>
      <c r="L220" s="3" t="s">
        <v>48</v>
      </c>
      <c r="M220" s="8"/>
      <c r="N220" s="11">
        <v>30</v>
      </c>
      <c r="O220" s="3" t="s">
        <v>2306</v>
      </c>
      <c r="P220" s="3" t="s">
        <v>2307</v>
      </c>
    </row>
    <row r="221" spans="1:16" x14ac:dyDescent="0.3">
      <c r="A221" s="3" t="s">
        <v>103</v>
      </c>
      <c r="B221" s="3" t="s">
        <v>2335</v>
      </c>
      <c r="C221" s="3" t="s">
        <v>2336</v>
      </c>
      <c r="D221" s="3" t="s">
        <v>41</v>
      </c>
      <c r="E221" s="3" t="s">
        <v>31</v>
      </c>
      <c r="F221" s="3" t="b">
        <v>0</v>
      </c>
      <c r="G221" s="3" t="s">
        <v>597</v>
      </c>
      <c r="H221" s="6">
        <v>44935.635625000003</v>
      </c>
      <c r="I221" s="3" t="b">
        <v>1</v>
      </c>
      <c r="J221" s="3" t="b">
        <v>0</v>
      </c>
      <c r="K221" s="3" t="s">
        <v>597</v>
      </c>
      <c r="L221" s="3" t="s">
        <v>34</v>
      </c>
      <c r="M221" s="8">
        <v>111202</v>
      </c>
      <c r="N221" s="11"/>
      <c r="O221" s="3" t="s">
        <v>2337</v>
      </c>
      <c r="P221" s="3" t="s">
        <v>1545</v>
      </c>
    </row>
    <row r="222" spans="1:16" x14ac:dyDescent="0.3">
      <c r="A222" s="3" t="s">
        <v>103</v>
      </c>
      <c r="B222" s="3" t="s">
        <v>2345</v>
      </c>
      <c r="C222" s="3" t="s">
        <v>2346</v>
      </c>
      <c r="D222" s="3" t="s">
        <v>93</v>
      </c>
      <c r="E222" s="3" t="s">
        <v>31</v>
      </c>
      <c r="F222" s="3" t="b">
        <v>0</v>
      </c>
      <c r="G222" s="3" t="s">
        <v>140</v>
      </c>
      <c r="H222" s="6">
        <v>44935.444340277783</v>
      </c>
      <c r="I222" s="3" t="b">
        <v>0</v>
      </c>
      <c r="J222" s="3" t="b">
        <v>0</v>
      </c>
      <c r="K222" s="3" t="s">
        <v>33</v>
      </c>
      <c r="L222" s="3" t="s">
        <v>34</v>
      </c>
      <c r="M222" s="8">
        <v>90000</v>
      </c>
      <c r="N222" s="11"/>
      <c r="O222" s="3" t="s">
        <v>2347</v>
      </c>
      <c r="P222" s="3" t="s">
        <v>2348</v>
      </c>
    </row>
    <row r="223" spans="1:16" x14ac:dyDescent="0.3">
      <c r="A223" s="3" t="s">
        <v>103</v>
      </c>
      <c r="B223" s="3" t="s">
        <v>2361</v>
      </c>
      <c r="C223" s="3" t="s">
        <v>2362</v>
      </c>
      <c r="D223" s="3" t="s">
        <v>126</v>
      </c>
      <c r="E223" s="3" t="s">
        <v>31</v>
      </c>
      <c r="F223" s="3" t="b">
        <v>0</v>
      </c>
      <c r="G223" s="3" t="s">
        <v>64</v>
      </c>
      <c r="H223" s="6">
        <v>44957.750185185178</v>
      </c>
      <c r="I223" s="3" t="b">
        <v>0</v>
      </c>
      <c r="J223" s="3" t="b">
        <v>0</v>
      </c>
      <c r="K223" s="3" t="s">
        <v>33</v>
      </c>
      <c r="L223" s="3" t="s">
        <v>34</v>
      </c>
      <c r="M223" s="8">
        <v>95000</v>
      </c>
      <c r="N223" s="11"/>
      <c r="O223" s="3" t="s">
        <v>2363</v>
      </c>
      <c r="P223" s="3" t="s">
        <v>2364</v>
      </c>
    </row>
    <row r="224" spans="1:16" x14ac:dyDescent="0.3">
      <c r="A224" s="3" t="s">
        <v>103</v>
      </c>
      <c r="B224" s="3" t="s">
        <v>2371</v>
      </c>
      <c r="C224" s="3" t="s">
        <v>150</v>
      </c>
      <c r="D224" s="3" t="s">
        <v>151</v>
      </c>
      <c r="E224" s="3" t="s">
        <v>31</v>
      </c>
      <c r="F224" s="3" t="b">
        <v>0</v>
      </c>
      <c r="G224" s="3" t="s">
        <v>110</v>
      </c>
      <c r="H224" s="6">
        <v>44934.947766203702</v>
      </c>
      <c r="I224" s="3" t="b">
        <v>0</v>
      </c>
      <c r="J224" s="3" t="b">
        <v>1</v>
      </c>
      <c r="K224" s="3" t="s">
        <v>110</v>
      </c>
      <c r="L224" s="3" t="s">
        <v>48</v>
      </c>
      <c r="M224" s="8"/>
      <c r="N224" s="11">
        <v>33.584999084472663</v>
      </c>
      <c r="O224" s="3" t="s">
        <v>1384</v>
      </c>
      <c r="P224" s="3" t="s">
        <v>2372</v>
      </c>
    </row>
    <row r="225" spans="1:16" x14ac:dyDescent="0.3">
      <c r="A225" s="3" t="s">
        <v>103</v>
      </c>
      <c r="B225" s="3" t="s">
        <v>2385</v>
      </c>
      <c r="C225" s="3" t="s">
        <v>435</v>
      </c>
      <c r="D225" s="3" t="s">
        <v>41</v>
      </c>
      <c r="E225" s="3" t="s">
        <v>31</v>
      </c>
      <c r="F225" s="3" t="b">
        <v>0</v>
      </c>
      <c r="G225" s="3" t="s">
        <v>436</v>
      </c>
      <c r="H225" s="6">
        <v>44957.798738425918</v>
      </c>
      <c r="I225" s="3" t="b">
        <v>1</v>
      </c>
      <c r="J225" s="3" t="b">
        <v>0</v>
      </c>
      <c r="K225" s="3" t="s">
        <v>436</v>
      </c>
      <c r="L225" s="3" t="s">
        <v>34</v>
      </c>
      <c r="M225" s="8">
        <v>111175</v>
      </c>
      <c r="N225" s="11"/>
      <c r="O225" s="3" t="s">
        <v>2386</v>
      </c>
      <c r="P225" s="3" t="s">
        <v>2387</v>
      </c>
    </row>
    <row r="226" spans="1:16" x14ac:dyDescent="0.3">
      <c r="A226" s="3" t="s">
        <v>103</v>
      </c>
      <c r="B226" s="3" t="s">
        <v>1190</v>
      </c>
      <c r="C226" s="3" t="s">
        <v>29</v>
      </c>
      <c r="D226" s="3" t="s">
        <v>30</v>
      </c>
      <c r="E226" s="3" t="s">
        <v>133</v>
      </c>
      <c r="F226" s="3" t="b">
        <v>0</v>
      </c>
      <c r="G226" s="3" t="s">
        <v>32</v>
      </c>
      <c r="H226" s="6">
        <v>44937.584826388891</v>
      </c>
      <c r="I226" s="3" t="b">
        <v>1</v>
      </c>
      <c r="J226" s="3" t="b">
        <v>0</v>
      </c>
      <c r="K226" s="3" t="s">
        <v>33</v>
      </c>
      <c r="L226" s="3" t="s">
        <v>48</v>
      </c>
      <c r="M226" s="8"/>
      <c r="N226" s="11">
        <v>91</v>
      </c>
      <c r="O226" s="3" t="s">
        <v>2388</v>
      </c>
      <c r="P226" s="3" t="s">
        <v>2389</v>
      </c>
    </row>
    <row r="227" spans="1:16" x14ac:dyDescent="0.3">
      <c r="A227" s="3" t="s">
        <v>103</v>
      </c>
      <c r="B227" s="3" t="s">
        <v>2390</v>
      </c>
      <c r="C227" s="3" t="s">
        <v>164</v>
      </c>
      <c r="D227" s="3" t="s">
        <v>30</v>
      </c>
      <c r="E227" s="3" t="s">
        <v>31</v>
      </c>
      <c r="F227" s="3" t="b">
        <v>0</v>
      </c>
      <c r="G227" s="3" t="s">
        <v>64</v>
      </c>
      <c r="H227" s="6">
        <v>44943.541770833333</v>
      </c>
      <c r="I227" s="3" t="b">
        <v>1</v>
      </c>
      <c r="J227" s="3" t="b">
        <v>0</v>
      </c>
      <c r="K227" s="3" t="s">
        <v>33</v>
      </c>
      <c r="L227" s="3" t="s">
        <v>34</v>
      </c>
      <c r="M227" s="8">
        <v>115000</v>
      </c>
      <c r="N227" s="11"/>
      <c r="O227" s="3" t="s">
        <v>2391</v>
      </c>
      <c r="P227" s="3" t="s">
        <v>846</v>
      </c>
    </row>
    <row r="228" spans="1:16" x14ac:dyDescent="0.3">
      <c r="A228" s="3" t="s">
        <v>103</v>
      </c>
      <c r="B228" s="3" t="s">
        <v>103</v>
      </c>
      <c r="C228" s="3" t="s">
        <v>164</v>
      </c>
      <c r="D228" s="3" t="s">
        <v>30</v>
      </c>
      <c r="E228" s="3" t="s">
        <v>133</v>
      </c>
      <c r="F228" s="3" t="b">
        <v>0</v>
      </c>
      <c r="G228" s="3" t="s">
        <v>64</v>
      </c>
      <c r="H228" s="6">
        <v>44931.83321759259</v>
      </c>
      <c r="I228" s="3" t="b">
        <v>0</v>
      </c>
      <c r="J228" s="3" t="b">
        <v>0</v>
      </c>
      <c r="K228" s="3" t="s">
        <v>33</v>
      </c>
      <c r="L228" s="3" t="s">
        <v>48</v>
      </c>
      <c r="M228" s="8"/>
      <c r="N228" s="11">
        <v>50</v>
      </c>
      <c r="O228" s="3" t="s">
        <v>1613</v>
      </c>
      <c r="P228" s="3" t="s">
        <v>2392</v>
      </c>
    </row>
    <row r="229" spans="1:16" x14ac:dyDescent="0.3">
      <c r="A229" s="3" t="s">
        <v>103</v>
      </c>
      <c r="B229" s="3" t="s">
        <v>1190</v>
      </c>
      <c r="C229" s="3" t="s">
        <v>286</v>
      </c>
      <c r="D229" s="3" t="s">
        <v>30</v>
      </c>
      <c r="E229" s="3" t="s">
        <v>133</v>
      </c>
      <c r="F229" s="3" t="b">
        <v>0</v>
      </c>
      <c r="G229" s="3" t="s">
        <v>84</v>
      </c>
      <c r="H229" s="6">
        <v>44946.876944444448</v>
      </c>
      <c r="I229" s="3" t="b">
        <v>0</v>
      </c>
      <c r="J229" s="3" t="b">
        <v>0</v>
      </c>
      <c r="K229" s="3" t="s">
        <v>33</v>
      </c>
      <c r="L229" s="3" t="s">
        <v>34</v>
      </c>
      <c r="M229" s="8">
        <v>125000</v>
      </c>
      <c r="N229" s="11"/>
      <c r="O229" s="3" t="s">
        <v>589</v>
      </c>
      <c r="P229" s="3" t="s">
        <v>2396</v>
      </c>
    </row>
    <row r="230" spans="1:16" x14ac:dyDescent="0.3">
      <c r="A230" s="3" t="s">
        <v>103</v>
      </c>
      <c r="B230" s="3" t="s">
        <v>2400</v>
      </c>
      <c r="C230" s="3" t="s">
        <v>87</v>
      </c>
      <c r="D230" s="3" t="s">
        <v>30</v>
      </c>
      <c r="E230" s="3" t="s">
        <v>133</v>
      </c>
      <c r="F230" s="3" t="b">
        <v>1</v>
      </c>
      <c r="G230" s="3" t="s">
        <v>32</v>
      </c>
      <c r="H230" s="6">
        <v>44936.875613425917</v>
      </c>
      <c r="I230" s="3" t="b">
        <v>0</v>
      </c>
      <c r="J230" s="3" t="b">
        <v>0</v>
      </c>
      <c r="K230" s="3" t="s">
        <v>33</v>
      </c>
      <c r="L230" s="3" t="s">
        <v>48</v>
      </c>
      <c r="M230" s="8"/>
      <c r="N230" s="11">
        <v>60</v>
      </c>
      <c r="O230" s="3" t="s">
        <v>2401</v>
      </c>
      <c r="P230" s="3" t="s">
        <v>2402</v>
      </c>
    </row>
    <row r="231" spans="1:16" x14ac:dyDescent="0.3">
      <c r="A231" s="3" t="s">
        <v>103</v>
      </c>
      <c r="B231" s="3" t="s">
        <v>2407</v>
      </c>
      <c r="C231" s="3" t="s">
        <v>947</v>
      </c>
      <c r="D231" s="3" t="s">
        <v>76</v>
      </c>
      <c r="E231" s="3" t="s">
        <v>31</v>
      </c>
      <c r="F231" s="3" t="b">
        <v>0</v>
      </c>
      <c r="G231" s="3" t="s">
        <v>64</v>
      </c>
      <c r="H231" s="6">
        <v>44935.250173611108</v>
      </c>
      <c r="I231" s="3" t="b">
        <v>0</v>
      </c>
      <c r="J231" s="3" t="b">
        <v>1</v>
      </c>
      <c r="K231" s="3" t="s">
        <v>33</v>
      </c>
      <c r="L231" s="3" t="s">
        <v>34</v>
      </c>
      <c r="M231" s="8">
        <v>89300</v>
      </c>
      <c r="N231" s="11"/>
      <c r="O231" s="3" t="s">
        <v>1305</v>
      </c>
      <c r="P231" s="3" t="s">
        <v>2408</v>
      </c>
    </row>
    <row r="232" spans="1:16" x14ac:dyDescent="0.3">
      <c r="A232" s="3" t="s">
        <v>103</v>
      </c>
      <c r="B232" s="3" t="s">
        <v>2409</v>
      </c>
      <c r="C232" s="3" t="s">
        <v>87</v>
      </c>
      <c r="D232" s="3" t="s">
        <v>188</v>
      </c>
      <c r="E232" s="3" t="s">
        <v>31</v>
      </c>
      <c r="F232" s="3" t="b">
        <v>1</v>
      </c>
      <c r="G232" s="3" t="s">
        <v>32</v>
      </c>
      <c r="H232" s="6">
        <v>44931.167500000003</v>
      </c>
      <c r="I232" s="3" t="b">
        <v>0</v>
      </c>
      <c r="J232" s="3" t="b">
        <v>0</v>
      </c>
      <c r="K232" s="3" t="s">
        <v>33</v>
      </c>
      <c r="L232" s="3" t="s">
        <v>34</v>
      </c>
      <c r="M232" s="8">
        <v>115791.5</v>
      </c>
      <c r="N232" s="11"/>
      <c r="O232" s="3" t="s">
        <v>2410</v>
      </c>
      <c r="P232" s="3" t="s">
        <v>2411</v>
      </c>
    </row>
    <row r="233" spans="1:16" x14ac:dyDescent="0.3">
      <c r="A233" s="3" t="s">
        <v>103</v>
      </c>
      <c r="B233" s="3" t="s">
        <v>2412</v>
      </c>
      <c r="C233" s="3" t="s">
        <v>1383</v>
      </c>
      <c r="D233" s="3" t="s">
        <v>2413</v>
      </c>
      <c r="E233" s="3" t="s">
        <v>31</v>
      </c>
      <c r="F233" s="3" t="b">
        <v>0</v>
      </c>
      <c r="G233" s="3" t="s">
        <v>84</v>
      </c>
      <c r="H233" s="6">
        <v>44930.584918981483</v>
      </c>
      <c r="I233" s="3" t="b">
        <v>0</v>
      </c>
      <c r="J233" s="3" t="b">
        <v>0</v>
      </c>
      <c r="K233" s="3" t="s">
        <v>33</v>
      </c>
      <c r="L233" s="3" t="s">
        <v>34</v>
      </c>
      <c r="M233" s="8">
        <v>53357</v>
      </c>
      <c r="N233" s="11"/>
      <c r="O233" s="3" t="s">
        <v>2414</v>
      </c>
      <c r="P233" s="3" t="s">
        <v>2415</v>
      </c>
    </row>
    <row r="234" spans="1:16" x14ac:dyDescent="0.3">
      <c r="A234" s="3" t="s">
        <v>103</v>
      </c>
      <c r="B234" s="3" t="s">
        <v>103</v>
      </c>
      <c r="C234" s="3" t="s">
        <v>2418</v>
      </c>
      <c r="D234" s="3" t="s">
        <v>76</v>
      </c>
      <c r="E234" s="3" t="s">
        <v>31</v>
      </c>
      <c r="F234" s="3" t="b">
        <v>0</v>
      </c>
      <c r="G234" s="3" t="s">
        <v>32</v>
      </c>
      <c r="H234" s="6">
        <v>44939.835416666669</v>
      </c>
      <c r="I234" s="3" t="b">
        <v>0</v>
      </c>
      <c r="J234" s="3" t="b">
        <v>1</v>
      </c>
      <c r="K234" s="3" t="s">
        <v>33</v>
      </c>
      <c r="L234" s="3" t="s">
        <v>48</v>
      </c>
      <c r="M234" s="8"/>
      <c r="N234" s="11">
        <v>33.25</v>
      </c>
      <c r="O234" s="3" t="s">
        <v>2419</v>
      </c>
      <c r="P234" s="3" t="s">
        <v>2420</v>
      </c>
    </row>
    <row r="235" spans="1:16" x14ac:dyDescent="0.3">
      <c r="A235" s="3" t="s">
        <v>103</v>
      </c>
      <c r="B235" s="3" t="s">
        <v>2421</v>
      </c>
      <c r="C235" s="3" t="s">
        <v>2422</v>
      </c>
      <c r="D235" s="3" t="s">
        <v>41</v>
      </c>
      <c r="E235" s="3" t="s">
        <v>31</v>
      </c>
      <c r="F235" s="3" t="b">
        <v>0</v>
      </c>
      <c r="G235" s="3" t="s">
        <v>2423</v>
      </c>
      <c r="H235" s="6">
        <v>44956.832141203697</v>
      </c>
      <c r="I235" s="3" t="b">
        <v>0</v>
      </c>
      <c r="J235" s="3" t="b">
        <v>0</v>
      </c>
      <c r="K235" s="3" t="s">
        <v>2423</v>
      </c>
      <c r="L235" s="3" t="s">
        <v>34</v>
      </c>
      <c r="M235" s="8">
        <v>51014</v>
      </c>
      <c r="N235" s="11"/>
      <c r="O235" s="3" t="s">
        <v>2424</v>
      </c>
      <c r="P235" s="3" t="s">
        <v>2425</v>
      </c>
    </row>
    <row r="236" spans="1:16" x14ac:dyDescent="0.3">
      <c r="A236" s="3" t="s">
        <v>103</v>
      </c>
      <c r="B236" s="3" t="s">
        <v>2433</v>
      </c>
      <c r="C236" s="3" t="s">
        <v>565</v>
      </c>
      <c r="D236" s="3" t="s">
        <v>1419</v>
      </c>
      <c r="E236" s="3" t="s">
        <v>31</v>
      </c>
      <c r="F236" s="3" t="b">
        <v>0</v>
      </c>
      <c r="G236" s="3" t="s">
        <v>140</v>
      </c>
      <c r="H236" s="6">
        <v>44940.138854166667</v>
      </c>
      <c r="I236" s="3" t="b">
        <v>0</v>
      </c>
      <c r="J236" s="3" t="b">
        <v>0</v>
      </c>
      <c r="K236" s="3" t="s">
        <v>33</v>
      </c>
      <c r="L236" s="3" t="s">
        <v>34</v>
      </c>
      <c r="M236" s="8">
        <v>83862.5</v>
      </c>
      <c r="N236" s="11"/>
      <c r="O236" s="3" t="s">
        <v>2434</v>
      </c>
      <c r="P236" s="3" t="s">
        <v>2435</v>
      </c>
    </row>
    <row r="237" spans="1:16" x14ac:dyDescent="0.3">
      <c r="A237" s="3" t="s">
        <v>103</v>
      </c>
      <c r="B237" s="3" t="s">
        <v>2436</v>
      </c>
      <c r="C237" s="3" t="s">
        <v>835</v>
      </c>
      <c r="D237" s="3" t="s">
        <v>41</v>
      </c>
      <c r="E237" s="3" t="s">
        <v>31</v>
      </c>
      <c r="F237" s="3" t="b">
        <v>0</v>
      </c>
      <c r="G237" s="3" t="s">
        <v>836</v>
      </c>
      <c r="H237" s="6">
        <v>44950.621481481481</v>
      </c>
      <c r="I237" s="3" t="b">
        <v>0</v>
      </c>
      <c r="J237" s="3" t="b">
        <v>0</v>
      </c>
      <c r="K237" s="3" t="s">
        <v>836</v>
      </c>
      <c r="L237" s="3" t="s">
        <v>34</v>
      </c>
      <c r="M237" s="8">
        <v>165000</v>
      </c>
      <c r="N237" s="11"/>
      <c r="O237" s="3" t="s">
        <v>179</v>
      </c>
      <c r="P237" s="3" t="s">
        <v>2437</v>
      </c>
    </row>
    <row r="238" spans="1:16" x14ac:dyDescent="0.3">
      <c r="A238" s="3" t="s">
        <v>103</v>
      </c>
      <c r="B238" s="3" t="s">
        <v>103</v>
      </c>
      <c r="C238" s="3" t="s">
        <v>75</v>
      </c>
      <c r="D238" s="3" t="s">
        <v>76</v>
      </c>
      <c r="E238" s="3" t="s">
        <v>31</v>
      </c>
      <c r="F238" s="3" t="b">
        <v>0</v>
      </c>
      <c r="G238" s="3" t="s">
        <v>84</v>
      </c>
      <c r="H238" s="6">
        <v>44946.877013888887</v>
      </c>
      <c r="I238" s="3" t="b">
        <v>0</v>
      </c>
      <c r="J238" s="3" t="b">
        <v>1</v>
      </c>
      <c r="K238" s="3" t="s">
        <v>33</v>
      </c>
      <c r="L238" s="3" t="s">
        <v>34</v>
      </c>
      <c r="M238" s="8">
        <v>65085</v>
      </c>
      <c r="N238" s="11"/>
      <c r="O238" s="3" t="s">
        <v>2446</v>
      </c>
      <c r="P238" s="3" t="s">
        <v>2447</v>
      </c>
    </row>
    <row r="239" spans="1:16" x14ac:dyDescent="0.3">
      <c r="A239" s="3" t="s">
        <v>103</v>
      </c>
      <c r="B239" s="3" t="s">
        <v>2460</v>
      </c>
      <c r="C239" s="3" t="s">
        <v>258</v>
      </c>
      <c r="D239" s="3" t="s">
        <v>30</v>
      </c>
      <c r="E239" s="3" t="s">
        <v>133</v>
      </c>
      <c r="F239" s="3" t="b">
        <v>0</v>
      </c>
      <c r="G239" s="3" t="s">
        <v>32</v>
      </c>
      <c r="H239" s="6">
        <v>44937.585185185177</v>
      </c>
      <c r="I239" s="3" t="b">
        <v>1</v>
      </c>
      <c r="J239" s="3" t="b">
        <v>0</v>
      </c>
      <c r="K239" s="3" t="s">
        <v>33</v>
      </c>
      <c r="L239" s="3" t="s">
        <v>48</v>
      </c>
      <c r="M239" s="8"/>
      <c r="N239" s="11">
        <v>62.5</v>
      </c>
      <c r="O239" s="3" t="s">
        <v>2461</v>
      </c>
      <c r="P239" s="3" t="s">
        <v>2462</v>
      </c>
    </row>
    <row r="240" spans="1:16" x14ac:dyDescent="0.3">
      <c r="A240" s="3" t="s">
        <v>103</v>
      </c>
      <c r="B240" s="3" t="s">
        <v>2484</v>
      </c>
      <c r="C240" s="3" t="s">
        <v>164</v>
      </c>
      <c r="D240" s="3" t="s">
        <v>106</v>
      </c>
      <c r="E240" s="3" t="s">
        <v>31</v>
      </c>
      <c r="F240" s="3" t="b">
        <v>0</v>
      </c>
      <c r="G240" s="3" t="s">
        <v>64</v>
      </c>
      <c r="H240" s="6">
        <v>44928.624988425923</v>
      </c>
      <c r="I240" s="3" t="b">
        <v>0</v>
      </c>
      <c r="J240" s="3" t="b">
        <v>1</v>
      </c>
      <c r="K240" s="3" t="s">
        <v>33</v>
      </c>
      <c r="L240" s="3" t="s">
        <v>34</v>
      </c>
      <c r="M240" s="8">
        <v>85000</v>
      </c>
      <c r="N240" s="11"/>
      <c r="O240" s="3" t="s">
        <v>418</v>
      </c>
      <c r="P240" s="3" t="s">
        <v>986</v>
      </c>
    </row>
    <row r="241" spans="1:16" x14ac:dyDescent="0.3">
      <c r="A241" s="3" t="s">
        <v>103</v>
      </c>
      <c r="B241" s="3" t="s">
        <v>2489</v>
      </c>
      <c r="C241" s="3" t="s">
        <v>2490</v>
      </c>
      <c r="D241" s="3" t="s">
        <v>41</v>
      </c>
      <c r="E241" s="3" t="s">
        <v>31</v>
      </c>
      <c r="F241" s="3" t="b">
        <v>0</v>
      </c>
      <c r="G241" s="3" t="s">
        <v>2490</v>
      </c>
      <c r="H241" s="6">
        <v>44928.698923611111</v>
      </c>
      <c r="I241" s="3" t="b">
        <v>0</v>
      </c>
      <c r="J241" s="3" t="b">
        <v>0</v>
      </c>
      <c r="K241" s="3" t="s">
        <v>2490</v>
      </c>
      <c r="L241" s="3" t="s">
        <v>34</v>
      </c>
      <c r="M241" s="8">
        <v>100500</v>
      </c>
      <c r="N241" s="11"/>
      <c r="O241" s="3" t="s">
        <v>2491</v>
      </c>
      <c r="P241" s="3" t="s">
        <v>2492</v>
      </c>
    </row>
    <row r="242" spans="1:16" x14ac:dyDescent="0.3">
      <c r="A242" s="3" t="s">
        <v>103</v>
      </c>
      <c r="B242" s="3" t="s">
        <v>2493</v>
      </c>
      <c r="C242" s="3" t="s">
        <v>87</v>
      </c>
      <c r="D242" s="3" t="s">
        <v>263</v>
      </c>
      <c r="E242" s="3" t="s">
        <v>133</v>
      </c>
      <c r="F242" s="3" t="b">
        <v>1</v>
      </c>
      <c r="G242" s="3" t="s">
        <v>110</v>
      </c>
      <c r="H242" s="6">
        <v>44955.655335648153</v>
      </c>
      <c r="I242" s="3" t="b">
        <v>0</v>
      </c>
      <c r="J242" s="3" t="b">
        <v>0</v>
      </c>
      <c r="K242" s="3" t="s">
        <v>110</v>
      </c>
      <c r="L242" s="3" t="s">
        <v>48</v>
      </c>
      <c r="M242" s="8"/>
      <c r="N242" s="11">
        <v>110</v>
      </c>
      <c r="O242" s="3" t="s">
        <v>264</v>
      </c>
      <c r="P242" s="3"/>
    </row>
    <row r="243" spans="1:16" x14ac:dyDescent="0.3">
      <c r="A243" s="3" t="s">
        <v>103</v>
      </c>
      <c r="B243" s="3" t="s">
        <v>2496</v>
      </c>
      <c r="C243" s="3" t="s">
        <v>87</v>
      </c>
      <c r="D243" s="3" t="s">
        <v>30</v>
      </c>
      <c r="E243" s="3" t="s">
        <v>31</v>
      </c>
      <c r="F243" s="3" t="b">
        <v>1</v>
      </c>
      <c r="G243" s="3" t="s">
        <v>110</v>
      </c>
      <c r="H243" s="6">
        <v>44953.812557870369</v>
      </c>
      <c r="I243" s="3" t="b">
        <v>1</v>
      </c>
      <c r="J243" s="3" t="b">
        <v>0</v>
      </c>
      <c r="K243" s="3" t="s">
        <v>110</v>
      </c>
      <c r="L243" s="3" t="s">
        <v>48</v>
      </c>
      <c r="M243" s="8"/>
      <c r="N243" s="11">
        <v>45</v>
      </c>
      <c r="O243" s="3" t="s">
        <v>589</v>
      </c>
      <c r="P243" s="3"/>
    </row>
    <row r="244" spans="1:16" x14ac:dyDescent="0.3">
      <c r="A244" s="3" t="s">
        <v>103</v>
      </c>
      <c r="B244" s="3" t="s">
        <v>103</v>
      </c>
      <c r="C244" s="3" t="s">
        <v>2502</v>
      </c>
      <c r="D244" s="3" t="s">
        <v>30</v>
      </c>
      <c r="E244" s="3" t="s">
        <v>31</v>
      </c>
      <c r="F244" s="3" t="b">
        <v>0</v>
      </c>
      <c r="G244" s="3" t="s">
        <v>64</v>
      </c>
      <c r="H244" s="6">
        <v>44932.83353009259</v>
      </c>
      <c r="I244" s="3" t="b">
        <v>0</v>
      </c>
      <c r="J244" s="3" t="b">
        <v>1</v>
      </c>
      <c r="K244" s="3" t="s">
        <v>33</v>
      </c>
      <c r="L244" s="3" t="s">
        <v>34</v>
      </c>
      <c r="M244" s="8">
        <v>110000</v>
      </c>
      <c r="N244" s="11"/>
      <c r="O244" s="3" t="s">
        <v>2503</v>
      </c>
      <c r="P244" s="3" t="s">
        <v>405</v>
      </c>
    </row>
    <row r="245" spans="1:16" x14ac:dyDescent="0.3">
      <c r="A245" s="3" t="s">
        <v>103</v>
      </c>
      <c r="B245" s="3" t="s">
        <v>2504</v>
      </c>
      <c r="C245" s="3" t="s">
        <v>2505</v>
      </c>
      <c r="D245" s="3" t="s">
        <v>287</v>
      </c>
      <c r="E245" s="3" t="s">
        <v>31</v>
      </c>
      <c r="F245" s="3" t="b">
        <v>0</v>
      </c>
      <c r="G245" s="3" t="s">
        <v>110</v>
      </c>
      <c r="H245" s="6">
        <v>44934.989432870367</v>
      </c>
      <c r="I245" s="3" t="b">
        <v>0</v>
      </c>
      <c r="J245" s="3" t="b">
        <v>0</v>
      </c>
      <c r="K245" s="3" t="s">
        <v>110</v>
      </c>
      <c r="L245" s="3" t="s">
        <v>34</v>
      </c>
      <c r="M245" s="8">
        <v>40000</v>
      </c>
      <c r="N245" s="11"/>
      <c r="O245" s="3" t="s">
        <v>2506</v>
      </c>
      <c r="P245" s="3" t="s">
        <v>2507</v>
      </c>
    </row>
    <row r="246" spans="1:16" x14ac:dyDescent="0.3">
      <c r="A246" s="3" t="s">
        <v>103</v>
      </c>
      <c r="B246" s="3" t="s">
        <v>2512</v>
      </c>
      <c r="C246" s="3" t="s">
        <v>1996</v>
      </c>
      <c r="D246" s="3" t="s">
        <v>41</v>
      </c>
      <c r="E246" s="3" t="s">
        <v>31</v>
      </c>
      <c r="F246" s="3" t="b">
        <v>0</v>
      </c>
      <c r="G246" s="3" t="s">
        <v>797</v>
      </c>
      <c r="H246" s="6">
        <v>44936.983078703714</v>
      </c>
      <c r="I246" s="3" t="b">
        <v>0</v>
      </c>
      <c r="J246" s="3" t="b">
        <v>0</v>
      </c>
      <c r="K246" s="3" t="s">
        <v>797</v>
      </c>
      <c r="L246" s="3" t="s">
        <v>34</v>
      </c>
      <c r="M246" s="8">
        <v>111202</v>
      </c>
      <c r="N246" s="11"/>
      <c r="O246" s="3" t="s">
        <v>2513</v>
      </c>
      <c r="P246" s="3" t="s">
        <v>2514</v>
      </c>
    </row>
    <row r="247" spans="1:16" x14ac:dyDescent="0.3">
      <c r="A247" s="3" t="s">
        <v>103</v>
      </c>
      <c r="B247" s="3" t="s">
        <v>2545</v>
      </c>
      <c r="C247" s="3" t="s">
        <v>314</v>
      </c>
      <c r="D247" s="3" t="s">
        <v>76</v>
      </c>
      <c r="E247" s="3" t="s">
        <v>31</v>
      </c>
      <c r="F247" s="3" t="b">
        <v>0</v>
      </c>
      <c r="G247" s="3" t="s">
        <v>64</v>
      </c>
      <c r="H247" s="6">
        <v>44942.844837962963</v>
      </c>
      <c r="I247" s="3" t="b">
        <v>1</v>
      </c>
      <c r="J247" s="3" t="b">
        <v>0</v>
      </c>
      <c r="K247" s="3" t="s">
        <v>33</v>
      </c>
      <c r="L247" s="3" t="s">
        <v>48</v>
      </c>
      <c r="M247" s="8"/>
      <c r="N247" s="11">
        <v>27</v>
      </c>
      <c r="O247" s="3" t="s">
        <v>2546</v>
      </c>
      <c r="P247" s="3" t="s">
        <v>374</v>
      </c>
    </row>
    <row r="248" spans="1:16" x14ac:dyDescent="0.3">
      <c r="A248" s="3" t="s">
        <v>103</v>
      </c>
      <c r="B248" s="3" t="s">
        <v>2561</v>
      </c>
      <c r="C248" s="3" t="s">
        <v>164</v>
      </c>
      <c r="D248" s="3" t="s">
        <v>106</v>
      </c>
      <c r="E248" s="3" t="s">
        <v>31</v>
      </c>
      <c r="F248" s="3" t="b">
        <v>0</v>
      </c>
      <c r="G248" s="3" t="s">
        <v>64</v>
      </c>
      <c r="H248" s="6">
        <v>44941.416701388887</v>
      </c>
      <c r="I248" s="3" t="b">
        <v>1</v>
      </c>
      <c r="J248" s="3" t="b">
        <v>0</v>
      </c>
      <c r="K248" s="3" t="s">
        <v>33</v>
      </c>
      <c r="L248" s="3" t="s">
        <v>34</v>
      </c>
      <c r="M248" s="8">
        <v>132500</v>
      </c>
      <c r="N248" s="11"/>
      <c r="O248" s="3" t="s">
        <v>418</v>
      </c>
      <c r="P248" s="3" t="s">
        <v>347</v>
      </c>
    </row>
    <row r="249" spans="1:16" x14ac:dyDescent="0.3">
      <c r="A249" s="3" t="s">
        <v>103</v>
      </c>
      <c r="B249" s="3" t="s">
        <v>103</v>
      </c>
      <c r="C249" s="3" t="s">
        <v>2564</v>
      </c>
      <c r="D249" s="3" t="s">
        <v>53</v>
      </c>
      <c r="E249" s="3" t="s">
        <v>31</v>
      </c>
      <c r="F249" s="3" t="b">
        <v>0</v>
      </c>
      <c r="G249" s="3" t="s">
        <v>84</v>
      </c>
      <c r="H249" s="6">
        <v>44943.752013888887</v>
      </c>
      <c r="I249" s="3" t="b">
        <v>0</v>
      </c>
      <c r="J249" s="3" t="b">
        <v>1</v>
      </c>
      <c r="K249" s="3" t="s">
        <v>33</v>
      </c>
      <c r="L249" s="3" t="s">
        <v>34</v>
      </c>
      <c r="M249" s="8">
        <v>47500</v>
      </c>
      <c r="N249" s="11"/>
      <c r="O249" s="3" t="s">
        <v>2565</v>
      </c>
      <c r="P249" s="3"/>
    </row>
    <row r="250" spans="1:16" x14ac:dyDescent="0.3">
      <c r="A250" s="3" t="s">
        <v>103</v>
      </c>
      <c r="B250" s="3" t="s">
        <v>1133</v>
      </c>
      <c r="C250" s="3" t="s">
        <v>641</v>
      </c>
      <c r="D250" s="3" t="s">
        <v>76</v>
      </c>
      <c r="E250" s="3" t="s">
        <v>133</v>
      </c>
      <c r="F250" s="3" t="b">
        <v>0</v>
      </c>
      <c r="G250" s="3" t="s">
        <v>88</v>
      </c>
      <c r="H250" s="6">
        <v>44937.752523148149</v>
      </c>
      <c r="I250" s="3" t="b">
        <v>0</v>
      </c>
      <c r="J250" s="3" t="b">
        <v>0</v>
      </c>
      <c r="K250" s="3" t="s">
        <v>33</v>
      </c>
      <c r="L250" s="3" t="s">
        <v>48</v>
      </c>
      <c r="M250" s="8"/>
      <c r="N250" s="11">
        <v>64.589996337890625</v>
      </c>
      <c r="O250" s="3" t="s">
        <v>2572</v>
      </c>
      <c r="P250" s="3" t="s">
        <v>2573</v>
      </c>
    </row>
    <row r="251" spans="1:16" x14ac:dyDescent="0.3">
      <c r="A251" s="3" t="s">
        <v>103</v>
      </c>
      <c r="B251" s="3" t="s">
        <v>103</v>
      </c>
      <c r="C251" s="3" t="s">
        <v>417</v>
      </c>
      <c r="D251" s="3" t="s">
        <v>30</v>
      </c>
      <c r="E251" s="3" t="s">
        <v>31</v>
      </c>
      <c r="F251" s="3" t="b">
        <v>0</v>
      </c>
      <c r="G251" s="3" t="s">
        <v>58</v>
      </c>
      <c r="H251" s="6">
        <v>44930.667847222219</v>
      </c>
      <c r="I251" s="3" t="b">
        <v>1</v>
      </c>
      <c r="J251" s="3" t="b">
        <v>1</v>
      </c>
      <c r="K251" s="3" t="s">
        <v>33</v>
      </c>
      <c r="L251" s="3" t="s">
        <v>48</v>
      </c>
      <c r="M251" s="8"/>
      <c r="N251" s="11">
        <v>30</v>
      </c>
      <c r="O251" s="3" t="s">
        <v>1900</v>
      </c>
      <c r="P251" s="3" t="s">
        <v>138</v>
      </c>
    </row>
    <row r="252" spans="1:16" x14ac:dyDescent="0.3">
      <c r="A252" s="3" t="s">
        <v>103</v>
      </c>
      <c r="B252" s="3" t="s">
        <v>1133</v>
      </c>
      <c r="C252" s="3" t="s">
        <v>1882</v>
      </c>
      <c r="D252" s="3" t="s">
        <v>53</v>
      </c>
      <c r="E252" s="3" t="s">
        <v>31</v>
      </c>
      <c r="F252" s="3" t="b">
        <v>0</v>
      </c>
      <c r="G252" s="3" t="s">
        <v>64</v>
      </c>
      <c r="H252" s="6">
        <v>44944.708472222221</v>
      </c>
      <c r="I252" s="3" t="b">
        <v>0</v>
      </c>
      <c r="J252" s="3" t="b">
        <v>0</v>
      </c>
      <c r="K252" s="3" t="s">
        <v>33</v>
      </c>
      <c r="L252" s="3" t="s">
        <v>48</v>
      </c>
      <c r="M252" s="8"/>
      <c r="N252" s="11">
        <v>18.5</v>
      </c>
      <c r="O252" s="3" t="s">
        <v>114</v>
      </c>
      <c r="P252" s="3" t="s">
        <v>707</v>
      </c>
    </row>
    <row r="253" spans="1:16" x14ac:dyDescent="0.3">
      <c r="A253" s="3" t="s">
        <v>103</v>
      </c>
      <c r="B253" s="3" t="s">
        <v>103</v>
      </c>
      <c r="C253" s="3" t="s">
        <v>2583</v>
      </c>
      <c r="D253" s="3" t="s">
        <v>188</v>
      </c>
      <c r="E253" s="3" t="s">
        <v>133</v>
      </c>
      <c r="F253" s="3" t="b">
        <v>0</v>
      </c>
      <c r="G253" s="3" t="s">
        <v>84</v>
      </c>
      <c r="H253" s="6">
        <v>44957.875983796293</v>
      </c>
      <c r="I253" s="3" t="b">
        <v>0</v>
      </c>
      <c r="J253" s="3" t="b">
        <v>0</v>
      </c>
      <c r="K253" s="3" t="s">
        <v>33</v>
      </c>
      <c r="L253" s="3" t="s">
        <v>48</v>
      </c>
      <c r="M253" s="8"/>
      <c r="N253" s="11">
        <v>25</v>
      </c>
      <c r="O253" s="3" t="s">
        <v>2584</v>
      </c>
      <c r="P253" s="3" t="s">
        <v>2585</v>
      </c>
    </row>
    <row r="254" spans="1:16" x14ac:dyDescent="0.3">
      <c r="A254" s="3" t="s">
        <v>103</v>
      </c>
      <c r="B254" s="3" t="s">
        <v>2594</v>
      </c>
      <c r="C254" s="3" t="s">
        <v>321</v>
      </c>
      <c r="D254" s="3" t="s">
        <v>390</v>
      </c>
      <c r="E254" s="3" t="s">
        <v>31</v>
      </c>
      <c r="F254" s="3" t="b">
        <v>0</v>
      </c>
      <c r="G254" s="3" t="s">
        <v>140</v>
      </c>
      <c r="H254" s="6">
        <v>44935.652696759258</v>
      </c>
      <c r="I254" s="3" t="b">
        <v>0</v>
      </c>
      <c r="J254" s="3" t="b">
        <v>0</v>
      </c>
      <c r="K254" s="3" t="s">
        <v>33</v>
      </c>
      <c r="L254" s="3" t="s">
        <v>48</v>
      </c>
      <c r="M254" s="8"/>
      <c r="N254" s="11">
        <v>55</v>
      </c>
      <c r="O254" s="3" t="s">
        <v>502</v>
      </c>
      <c r="P254" s="3" t="s">
        <v>2595</v>
      </c>
    </row>
    <row r="255" spans="1:16" x14ac:dyDescent="0.3">
      <c r="A255" s="3" t="s">
        <v>103</v>
      </c>
      <c r="B255" s="3" t="s">
        <v>103</v>
      </c>
      <c r="C255" s="3" t="s">
        <v>87</v>
      </c>
      <c r="D255" s="3" t="s">
        <v>30</v>
      </c>
      <c r="E255" s="3" t="s">
        <v>31</v>
      </c>
      <c r="F255" s="3" t="b">
        <v>1</v>
      </c>
      <c r="G255" s="3" t="s">
        <v>110</v>
      </c>
      <c r="H255" s="6">
        <v>44951.903738425928</v>
      </c>
      <c r="I255" s="3" t="b">
        <v>1</v>
      </c>
      <c r="J255" s="3" t="b">
        <v>0</v>
      </c>
      <c r="K255" s="3" t="s">
        <v>110</v>
      </c>
      <c r="L255" s="3" t="s">
        <v>34</v>
      </c>
      <c r="M255" s="8">
        <v>47500</v>
      </c>
      <c r="N255" s="11"/>
      <c r="O255" s="3" t="s">
        <v>589</v>
      </c>
      <c r="P255" s="3"/>
    </row>
    <row r="256" spans="1:16" x14ac:dyDescent="0.3">
      <c r="A256" s="3" t="s">
        <v>103</v>
      </c>
      <c r="B256" s="3" t="s">
        <v>935</v>
      </c>
      <c r="C256" s="3" t="s">
        <v>936</v>
      </c>
      <c r="D256" s="3" t="s">
        <v>76</v>
      </c>
      <c r="E256" s="3" t="s">
        <v>31</v>
      </c>
      <c r="F256" s="3" t="b">
        <v>0</v>
      </c>
      <c r="G256" s="3" t="s">
        <v>84</v>
      </c>
      <c r="H256" s="6">
        <v>44933.168402777781</v>
      </c>
      <c r="I256" s="3" t="b">
        <v>1</v>
      </c>
      <c r="J256" s="3" t="b">
        <v>1</v>
      </c>
      <c r="K256" s="3" t="s">
        <v>33</v>
      </c>
      <c r="L256" s="3" t="s">
        <v>48</v>
      </c>
      <c r="M256" s="8"/>
      <c r="N256" s="11">
        <v>20.5</v>
      </c>
      <c r="O256" s="3" t="s">
        <v>2609</v>
      </c>
      <c r="P256" s="3"/>
    </row>
    <row r="257" spans="1:16" x14ac:dyDescent="0.3">
      <c r="A257" s="3" t="s">
        <v>103</v>
      </c>
      <c r="B257" s="3" t="s">
        <v>2613</v>
      </c>
      <c r="C257" s="3" t="s">
        <v>2614</v>
      </c>
      <c r="D257" s="3" t="s">
        <v>93</v>
      </c>
      <c r="E257" s="3" t="s">
        <v>31</v>
      </c>
      <c r="F257" s="3" t="b">
        <v>0</v>
      </c>
      <c r="G257" s="3" t="s">
        <v>58</v>
      </c>
      <c r="H257" s="6">
        <v>44934.500578703701</v>
      </c>
      <c r="I257" s="3" t="b">
        <v>0</v>
      </c>
      <c r="J257" s="3" t="b">
        <v>1</v>
      </c>
      <c r="K257" s="3" t="s">
        <v>33</v>
      </c>
      <c r="L257" s="3" t="s">
        <v>34</v>
      </c>
      <c r="M257" s="8">
        <v>90000</v>
      </c>
      <c r="N257" s="11"/>
      <c r="O257" s="3" t="s">
        <v>689</v>
      </c>
      <c r="P257" s="3" t="s">
        <v>2615</v>
      </c>
    </row>
    <row r="258" spans="1:16" x14ac:dyDescent="0.3">
      <c r="A258" s="3" t="s">
        <v>103</v>
      </c>
      <c r="B258" s="3" t="s">
        <v>103</v>
      </c>
      <c r="C258" s="3" t="s">
        <v>164</v>
      </c>
      <c r="D258" s="3" t="s">
        <v>30</v>
      </c>
      <c r="E258" s="3" t="s">
        <v>133</v>
      </c>
      <c r="F258" s="3" t="b">
        <v>0</v>
      </c>
      <c r="G258" s="3" t="s">
        <v>64</v>
      </c>
      <c r="H258" s="6">
        <v>44930.018912037027</v>
      </c>
      <c r="I258" s="3" t="b">
        <v>1</v>
      </c>
      <c r="J258" s="3" t="b">
        <v>0</v>
      </c>
      <c r="K258" s="3" t="s">
        <v>33</v>
      </c>
      <c r="L258" s="3" t="s">
        <v>48</v>
      </c>
      <c r="M258" s="8"/>
      <c r="N258" s="11">
        <v>67.5</v>
      </c>
      <c r="O258" s="3" t="s">
        <v>2616</v>
      </c>
      <c r="P258" s="3" t="s">
        <v>405</v>
      </c>
    </row>
    <row r="259" spans="1:16" x14ac:dyDescent="0.3">
      <c r="A259" s="3" t="s">
        <v>103</v>
      </c>
      <c r="B259" s="3" t="s">
        <v>103</v>
      </c>
      <c r="C259" s="3" t="s">
        <v>2640</v>
      </c>
      <c r="D259" s="3" t="s">
        <v>76</v>
      </c>
      <c r="E259" s="3" t="s">
        <v>31</v>
      </c>
      <c r="F259" s="3" t="b">
        <v>0</v>
      </c>
      <c r="G259" s="3" t="s">
        <v>64</v>
      </c>
      <c r="H259" s="6">
        <v>44948.250023148154</v>
      </c>
      <c r="I259" s="3" t="b">
        <v>1</v>
      </c>
      <c r="J259" s="3" t="b">
        <v>1</v>
      </c>
      <c r="K259" s="3" t="s">
        <v>33</v>
      </c>
      <c r="L259" s="3" t="s">
        <v>48</v>
      </c>
      <c r="M259" s="8"/>
      <c r="N259" s="11">
        <v>42.5</v>
      </c>
      <c r="O259" s="3" t="s">
        <v>2641</v>
      </c>
      <c r="P259" s="3" t="s">
        <v>2642</v>
      </c>
    </row>
    <row r="260" spans="1:16" x14ac:dyDescent="0.3">
      <c r="A260" s="3" t="s">
        <v>103</v>
      </c>
      <c r="B260" s="3" t="s">
        <v>103</v>
      </c>
      <c r="C260" s="3" t="s">
        <v>87</v>
      </c>
      <c r="D260" s="3" t="s">
        <v>30</v>
      </c>
      <c r="E260" s="3" t="s">
        <v>133</v>
      </c>
      <c r="F260" s="3" t="b">
        <v>1</v>
      </c>
      <c r="G260" s="3" t="s">
        <v>110</v>
      </c>
      <c r="H260" s="6">
        <v>44937.659398148149</v>
      </c>
      <c r="I260" s="3" t="b">
        <v>0</v>
      </c>
      <c r="J260" s="3" t="b">
        <v>0</v>
      </c>
      <c r="K260" s="3" t="s">
        <v>110</v>
      </c>
      <c r="L260" s="3" t="s">
        <v>48</v>
      </c>
      <c r="M260" s="8"/>
      <c r="N260" s="11">
        <v>50</v>
      </c>
      <c r="O260" s="3" t="s">
        <v>2643</v>
      </c>
      <c r="P260" s="3" t="s">
        <v>2644</v>
      </c>
    </row>
    <row r="261" spans="1:16" x14ac:dyDescent="0.3">
      <c r="A261" s="3" t="s">
        <v>103</v>
      </c>
      <c r="B261" s="3" t="s">
        <v>2648</v>
      </c>
      <c r="C261" s="3" t="s">
        <v>2455</v>
      </c>
      <c r="D261" s="3" t="s">
        <v>41</v>
      </c>
      <c r="E261" s="3" t="s">
        <v>31</v>
      </c>
      <c r="F261" s="3" t="b">
        <v>0</v>
      </c>
      <c r="G261" s="3" t="s">
        <v>2313</v>
      </c>
      <c r="H261" s="6">
        <v>44944.444837962961</v>
      </c>
      <c r="I261" s="3" t="b">
        <v>0</v>
      </c>
      <c r="J261" s="3" t="b">
        <v>0</v>
      </c>
      <c r="K261" s="3" t="s">
        <v>2313</v>
      </c>
      <c r="L261" s="3" t="s">
        <v>34</v>
      </c>
      <c r="M261" s="8">
        <v>105650</v>
      </c>
      <c r="N261" s="11"/>
      <c r="O261" s="3" t="s">
        <v>1047</v>
      </c>
      <c r="P261" s="3" t="s">
        <v>2649</v>
      </c>
    </row>
    <row r="262" spans="1:16" x14ac:dyDescent="0.3">
      <c r="A262" s="3" t="s">
        <v>103</v>
      </c>
      <c r="B262" s="3" t="s">
        <v>2650</v>
      </c>
      <c r="C262" s="3" t="s">
        <v>2651</v>
      </c>
      <c r="D262" s="3" t="s">
        <v>76</v>
      </c>
      <c r="E262" s="3" t="s">
        <v>31</v>
      </c>
      <c r="F262" s="3" t="b">
        <v>0</v>
      </c>
      <c r="G262" s="3" t="s">
        <v>140</v>
      </c>
      <c r="H262" s="6">
        <v>44955.98710648148</v>
      </c>
      <c r="I262" s="3" t="b">
        <v>1</v>
      </c>
      <c r="J262" s="3" t="b">
        <v>0</v>
      </c>
      <c r="K262" s="3" t="s">
        <v>33</v>
      </c>
      <c r="L262" s="3" t="s">
        <v>48</v>
      </c>
      <c r="M262" s="8"/>
      <c r="N262" s="11">
        <v>16.5</v>
      </c>
      <c r="O262" s="3" t="s">
        <v>2652</v>
      </c>
      <c r="P262" s="3" t="s">
        <v>2653</v>
      </c>
    </row>
    <row r="263" spans="1:16" x14ac:dyDescent="0.3">
      <c r="A263" s="3" t="s">
        <v>103</v>
      </c>
      <c r="B263" s="3" t="s">
        <v>2658</v>
      </c>
      <c r="C263" s="3" t="s">
        <v>87</v>
      </c>
      <c r="D263" s="3" t="s">
        <v>1850</v>
      </c>
      <c r="E263" s="3" t="s">
        <v>133</v>
      </c>
      <c r="F263" s="3" t="b">
        <v>1</v>
      </c>
      <c r="G263" s="3" t="s">
        <v>764</v>
      </c>
      <c r="H263" s="6">
        <v>44942.415509259263</v>
      </c>
      <c r="I263" s="3" t="b">
        <v>1</v>
      </c>
      <c r="J263" s="3" t="b">
        <v>0</v>
      </c>
      <c r="K263" s="3" t="s">
        <v>764</v>
      </c>
      <c r="L263" s="3" t="s">
        <v>48</v>
      </c>
      <c r="M263" s="8"/>
      <c r="N263" s="11">
        <v>10</v>
      </c>
      <c r="O263" s="3" t="s">
        <v>2659</v>
      </c>
      <c r="P263" s="3" t="s">
        <v>756</v>
      </c>
    </row>
    <row r="264" spans="1:16" x14ac:dyDescent="0.3">
      <c r="A264" s="3" t="s">
        <v>103</v>
      </c>
      <c r="B264" s="3" t="s">
        <v>2699</v>
      </c>
      <c r="C264" s="3" t="s">
        <v>87</v>
      </c>
      <c r="D264" s="3" t="s">
        <v>53</v>
      </c>
      <c r="E264" s="3" t="s">
        <v>1861</v>
      </c>
      <c r="F264" s="3" t="b">
        <v>1</v>
      </c>
      <c r="G264" s="3" t="s">
        <v>32</v>
      </c>
      <c r="H264" s="6">
        <v>44932.876064814824</v>
      </c>
      <c r="I264" s="3" t="b">
        <v>1</v>
      </c>
      <c r="J264" s="3" t="b">
        <v>0</v>
      </c>
      <c r="K264" s="3" t="s">
        <v>33</v>
      </c>
      <c r="L264" s="3" t="s">
        <v>48</v>
      </c>
      <c r="M264" s="8"/>
      <c r="N264" s="11">
        <v>40</v>
      </c>
      <c r="O264" s="3" t="s">
        <v>1515</v>
      </c>
      <c r="P264" s="3"/>
    </row>
    <row r="265" spans="1:16" x14ac:dyDescent="0.3">
      <c r="A265" s="3" t="s">
        <v>103</v>
      </c>
      <c r="B265" s="3" t="s">
        <v>103</v>
      </c>
      <c r="C265" s="3" t="s">
        <v>2704</v>
      </c>
      <c r="D265" s="3" t="s">
        <v>30</v>
      </c>
      <c r="E265" s="3" t="s">
        <v>31</v>
      </c>
      <c r="F265" s="3" t="b">
        <v>0</v>
      </c>
      <c r="G265" s="3" t="s">
        <v>64</v>
      </c>
      <c r="H265" s="6">
        <v>44949.583668981482</v>
      </c>
      <c r="I265" s="3" t="b">
        <v>0</v>
      </c>
      <c r="J265" s="3" t="b">
        <v>0</v>
      </c>
      <c r="K265" s="3" t="s">
        <v>33</v>
      </c>
      <c r="L265" s="3" t="s">
        <v>34</v>
      </c>
      <c r="M265" s="8">
        <v>87500</v>
      </c>
      <c r="N265" s="11"/>
      <c r="O265" s="3" t="s">
        <v>589</v>
      </c>
      <c r="P265" s="3" t="s">
        <v>405</v>
      </c>
    </row>
    <row r="266" spans="1:16" x14ac:dyDescent="0.3">
      <c r="A266" s="3" t="s">
        <v>103</v>
      </c>
      <c r="B266" s="3" t="s">
        <v>2713</v>
      </c>
      <c r="C266" s="3" t="s">
        <v>87</v>
      </c>
      <c r="D266" s="3" t="s">
        <v>188</v>
      </c>
      <c r="E266" s="3" t="s">
        <v>133</v>
      </c>
      <c r="F266" s="3" t="b">
        <v>1</v>
      </c>
      <c r="G266" s="3" t="s">
        <v>32</v>
      </c>
      <c r="H266" s="6">
        <v>44944.751018518517</v>
      </c>
      <c r="I266" s="3" t="b">
        <v>1</v>
      </c>
      <c r="J266" s="3" t="b">
        <v>1</v>
      </c>
      <c r="K266" s="3" t="s">
        <v>33</v>
      </c>
      <c r="L266" s="3" t="s">
        <v>48</v>
      </c>
      <c r="M266" s="8"/>
      <c r="N266" s="11">
        <v>41.400001525878913</v>
      </c>
      <c r="O266" s="3" t="s">
        <v>426</v>
      </c>
      <c r="P266" s="3" t="s">
        <v>2714</v>
      </c>
    </row>
    <row r="267" spans="1:16" x14ac:dyDescent="0.3">
      <c r="A267" s="3" t="s">
        <v>103</v>
      </c>
      <c r="B267" s="3" t="s">
        <v>2729</v>
      </c>
      <c r="C267" s="3" t="s">
        <v>2730</v>
      </c>
      <c r="D267" s="3" t="s">
        <v>41</v>
      </c>
      <c r="E267" s="3" t="s">
        <v>31</v>
      </c>
      <c r="F267" s="3" t="b">
        <v>0</v>
      </c>
      <c r="G267" s="3" t="s">
        <v>2731</v>
      </c>
      <c r="H267" s="6">
        <v>44951.115439814806</v>
      </c>
      <c r="I267" s="3" t="b">
        <v>0</v>
      </c>
      <c r="J267" s="3" t="b">
        <v>0</v>
      </c>
      <c r="K267" s="3" t="s">
        <v>2731</v>
      </c>
      <c r="L267" s="3" t="s">
        <v>34</v>
      </c>
      <c r="M267" s="8">
        <v>44100</v>
      </c>
      <c r="N267" s="11"/>
      <c r="O267" s="3" t="s">
        <v>2732</v>
      </c>
      <c r="P267" s="3" t="s">
        <v>2733</v>
      </c>
    </row>
    <row r="268" spans="1:16" x14ac:dyDescent="0.3">
      <c r="A268" s="3" t="s">
        <v>103</v>
      </c>
      <c r="B268" s="3" t="s">
        <v>103</v>
      </c>
      <c r="C268" s="3" t="s">
        <v>2738</v>
      </c>
      <c r="D268" s="3" t="s">
        <v>30</v>
      </c>
      <c r="E268" s="3" t="s">
        <v>31</v>
      </c>
      <c r="F268" s="3" t="b">
        <v>0</v>
      </c>
      <c r="G268" s="3" t="s">
        <v>32</v>
      </c>
      <c r="H268" s="6">
        <v>44950.917291666658</v>
      </c>
      <c r="I268" s="3" t="b">
        <v>0</v>
      </c>
      <c r="J268" s="3" t="b">
        <v>1</v>
      </c>
      <c r="K268" s="3" t="s">
        <v>33</v>
      </c>
      <c r="L268" s="3" t="s">
        <v>34</v>
      </c>
      <c r="M268" s="8">
        <v>96500</v>
      </c>
      <c r="N268" s="11"/>
      <c r="O268" s="3" t="s">
        <v>2739</v>
      </c>
      <c r="P268" s="3" t="s">
        <v>2740</v>
      </c>
    </row>
    <row r="269" spans="1:16" x14ac:dyDescent="0.3">
      <c r="A269" s="3" t="s">
        <v>103</v>
      </c>
      <c r="B269" s="3" t="s">
        <v>2741</v>
      </c>
      <c r="C269" s="3" t="s">
        <v>402</v>
      </c>
      <c r="D269" s="3" t="s">
        <v>41</v>
      </c>
      <c r="E269" s="3" t="s">
        <v>31</v>
      </c>
      <c r="F269" s="3" t="b">
        <v>0</v>
      </c>
      <c r="G269" s="3" t="s">
        <v>403</v>
      </c>
      <c r="H269" s="6">
        <v>44946.599895833337</v>
      </c>
      <c r="I269" s="3" t="b">
        <v>0</v>
      </c>
      <c r="J269" s="3" t="b">
        <v>0</v>
      </c>
      <c r="K269" s="3" t="s">
        <v>403</v>
      </c>
      <c r="L269" s="3" t="s">
        <v>34</v>
      </c>
      <c r="M269" s="8">
        <v>56700</v>
      </c>
      <c r="N269" s="11"/>
      <c r="O269" s="3" t="s">
        <v>356</v>
      </c>
      <c r="P269" s="3" t="s">
        <v>1367</v>
      </c>
    </row>
    <row r="270" spans="1:16" x14ac:dyDescent="0.3">
      <c r="A270" s="3" t="s">
        <v>103</v>
      </c>
      <c r="B270" s="3" t="s">
        <v>2742</v>
      </c>
      <c r="C270" s="3" t="s">
        <v>520</v>
      </c>
      <c r="D270" s="3" t="s">
        <v>30</v>
      </c>
      <c r="E270" s="3" t="s">
        <v>31</v>
      </c>
      <c r="F270" s="3" t="b">
        <v>0</v>
      </c>
      <c r="G270" s="3" t="s">
        <v>88</v>
      </c>
      <c r="H270" s="6">
        <v>44932.918900462973</v>
      </c>
      <c r="I270" s="3" t="b">
        <v>0</v>
      </c>
      <c r="J270" s="3" t="b">
        <v>0</v>
      </c>
      <c r="K270" s="3" t="s">
        <v>33</v>
      </c>
      <c r="L270" s="3" t="s">
        <v>34</v>
      </c>
      <c r="M270" s="8">
        <v>55000</v>
      </c>
      <c r="N270" s="11"/>
      <c r="O270" s="3" t="s">
        <v>2743</v>
      </c>
      <c r="P270" s="3" t="s">
        <v>2744</v>
      </c>
    </row>
    <row r="271" spans="1:16" x14ac:dyDescent="0.3">
      <c r="A271" s="3" t="s">
        <v>103</v>
      </c>
      <c r="B271" s="3" t="s">
        <v>2749</v>
      </c>
      <c r="C271" s="3" t="s">
        <v>2750</v>
      </c>
      <c r="D271" s="3" t="s">
        <v>41</v>
      </c>
      <c r="E271" s="3" t="s">
        <v>31</v>
      </c>
      <c r="F271" s="3" t="b">
        <v>0</v>
      </c>
      <c r="G271" s="3" t="s">
        <v>436</v>
      </c>
      <c r="H271" s="6">
        <v>44957.008263888893</v>
      </c>
      <c r="I271" s="3" t="b">
        <v>0</v>
      </c>
      <c r="J271" s="3" t="b">
        <v>0</v>
      </c>
      <c r="K271" s="3" t="s">
        <v>436</v>
      </c>
      <c r="L271" s="3" t="s">
        <v>34</v>
      </c>
      <c r="M271" s="8">
        <v>111175</v>
      </c>
      <c r="N271" s="11"/>
      <c r="O271" s="3" t="s">
        <v>2751</v>
      </c>
      <c r="P271" s="3" t="s">
        <v>2752</v>
      </c>
    </row>
    <row r="272" spans="1:16" x14ac:dyDescent="0.3">
      <c r="A272" s="3" t="s">
        <v>103</v>
      </c>
      <c r="B272" s="3" t="s">
        <v>103</v>
      </c>
      <c r="C272" s="3" t="s">
        <v>109</v>
      </c>
      <c r="D272" s="3" t="s">
        <v>188</v>
      </c>
      <c r="E272" s="3" t="s">
        <v>31</v>
      </c>
      <c r="F272" s="3" t="b">
        <v>0</v>
      </c>
      <c r="G272" s="3" t="s">
        <v>58</v>
      </c>
      <c r="H272" s="6">
        <v>44939.91915509259</v>
      </c>
      <c r="I272" s="3" t="b">
        <v>0</v>
      </c>
      <c r="J272" s="3" t="b">
        <v>0</v>
      </c>
      <c r="K272" s="3" t="s">
        <v>33</v>
      </c>
      <c r="L272" s="3" t="s">
        <v>34</v>
      </c>
      <c r="M272" s="8">
        <v>110000</v>
      </c>
      <c r="N272" s="11"/>
      <c r="O272" s="3" t="s">
        <v>2774</v>
      </c>
      <c r="P272" s="3" t="s">
        <v>2775</v>
      </c>
    </row>
    <row r="273" spans="1:16" x14ac:dyDescent="0.3">
      <c r="A273" s="3" t="s">
        <v>103</v>
      </c>
      <c r="B273" s="3" t="s">
        <v>2776</v>
      </c>
      <c r="C273" s="3" t="s">
        <v>641</v>
      </c>
      <c r="D273" s="3" t="s">
        <v>93</v>
      </c>
      <c r="E273" s="3" t="s">
        <v>31</v>
      </c>
      <c r="F273" s="3" t="b">
        <v>0</v>
      </c>
      <c r="G273" s="3" t="s">
        <v>88</v>
      </c>
      <c r="H273" s="6">
        <v>44930.063148148147</v>
      </c>
      <c r="I273" s="3" t="b">
        <v>0</v>
      </c>
      <c r="J273" s="3" t="b">
        <v>0</v>
      </c>
      <c r="K273" s="3" t="s">
        <v>33</v>
      </c>
      <c r="L273" s="3" t="s">
        <v>34</v>
      </c>
      <c r="M273" s="8">
        <v>115000</v>
      </c>
      <c r="N273" s="11"/>
      <c r="O273" s="3" t="s">
        <v>267</v>
      </c>
      <c r="P273" s="3" t="s">
        <v>2777</v>
      </c>
    </row>
    <row r="274" spans="1:16" x14ac:dyDescent="0.3">
      <c r="A274" s="3" t="s">
        <v>103</v>
      </c>
      <c r="B274" s="3" t="s">
        <v>2781</v>
      </c>
      <c r="C274" s="3" t="s">
        <v>87</v>
      </c>
      <c r="D274" s="3" t="s">
        <v>30</v>
      </c>
      <c r="E274" s="3" t="s">
        <v>31</v>
      </c>
      <c r="F274" s="3" t="b">
        <v>1</v>
      </c>
      <c r="G274" s="3" t="s">
        <v>58</v>
      </c>
      <c r="H274" s="6">
        <v>44952.921041666668</v>
      </c>
      <c r="I274" s="3" t="b">
        <v>0</v>
      </c>
      <c r="J274" s="3" t="b">
        <v>0</v>
      </c>
      <c r="K274" s="3" t="s">
        <v>33</v>
      </c>
      <c r="L274" s="3" t="s">
        <v>34</v>
      </c>
      <c r="M274" s="8">
        <v>97500</v>
      </c>
      <c r="N274" s="11"/>
      <c r="O274" s="3" t="s">
        <v>2782</v>
      </c>
      <c r="P274" s="3" t="s">
        <v>2783</v>
      </c>
    </row>
    <row r="275" spans="1:16" x14ac:dyDescent="0.3">
      <c r="A275" s="3" t="s">
        <v>103</v>
      </c>
      <c r="B275" s="3" t="s">
        <v>2794</v>
      </c>
      <c r="C275" s="3" t="s">
        <v>87</v>
      </c>
      <c r="D275" s="3" t="s">
        <v>30</v>
      </c>
      <c r="E275" s="3" t="s">
        <v>31</v>
      </c>
      <c r="F275" s="3" t="b">
        <v>1</v>
      </c>
      <c r="G275" s="3" t="s">
        <v>110</v>
      </c>
      <c r="H275" s="6">
        <v>44937.867731481478</v>
      </c>
      <c r="I275" s="3" t="b">
        <v>0</v>
      </c>
      <c r="J275" s="3" t="b">
        <v>1</v>
      </c>
      <c r="K275" s="3" t="s">
        <v>110</v>
      </c>
      <c r="L275" s="3" t="s">
        <v>34</v>
      </c>
      <c r="M275" s="8">
        <v>125000</v>
      </c>
      <c r="N275" s="11"/>
      <c r="O275" s="3" t="s">
        <v>2795</v>
      </c>
      <c r="P275" s="3" t="s">
        <v>2796</v>
      </c>
    </row>
    <row r="276" spans="1:16" x14ac:dyDescent="0.3">
      <c r="A276" s="3" t="s">
        <v>103</v>
      </c>
      <c r="B276" s="3" t="s">
        <v>2800</v>
      </c>
      <c r="C276" s="3" t="s">
        <v>641</v>
      </c>
      <c r="D276" s="3" t="s">
        <v>76</v>
      </c>
      <c r="E276" s="3" t="s">
        <v>31</v>
      </c>
      <c r="F276" s="3" t="b">
        <v>0</v>
      </c>
      <c r="G276" s="3" t="s">
        <v>88</v>
      </c>
      <c r="H276" s="6">
        <v>44939.66983796296</v>
      </c>
      <c r="I276" s="3" t="b">
        <v>0</v>
      </c>
      <c r="J276" s="3" t="b">
        <v>1</v>
      </c>
      <c r="K276" s="3" t="s">
        <v>33</v>
      </c>
      <c r="L276" s="3" t="s">
        <v>34</v>
      </c>
      <c r="M276" s="8">
        <v>50388</v>
      </c>
      <c r="N276" s="11"/>
      <c r="O276" s="3" t="s">
        <v>2801</v>
      </c>
      <c r="P276" s="3" t="s">
        <v>846</v>
      </c>
    </row>
    <row r="277" spans="1:16" x14ac:dyDescent="0.3">
      <c r="A277" s="3" t="s">
        <v>103</v>
      </c>
      <c r="B277" s="3" t="s">
        <v>2825</v>
      </c>
      <c r="C277" s="3" t="s">
        <v>87</v>
      </c>
      <c r="D277" s="3" t="s">
        <v>76</v>
      </c>
      <c r="E277" s="3" t="s">
        <v>31</v>
      </c>
      <c r="F277" s="3" t="b">
        <v>1</v>
      </c>
      <c r="G277" s="3" t="s">
        <v>32</v>
      </c>
      <c r="H277" s="6">
        <v>44932.834444444437</v>
      </c>
      <c r="I277" s="3" t="b">
        <v>0</v>
      </c>
      <c r="J277" s="3" t="b">
        <v>1</v>
      </c>
      <c r="K277" s="3" t="s">
        <v>33</v>
      </c>
      <c r="L277" s="3" t="s">
        <v>34</v>
      </c>
      <c r="M277" s="8">
        <v>110000</v>
      </c>
      <c r="N277" s="11"/>
      <c r="O277" s="3" t="s">
        <v>2826</v>
      </c>
      <c r="P277" s="3" t="s">
        <v>2827</v>
      </c>
    </row>
    <row r="278" spans="1:16" x14ac:dyDescent="0.3">
      <c r="A278" s="3" t="s">
        <v>103</v>
      </c>
      <c r="B278" s="3" t="s">
        <v>103</v>
      </c>
      <c r="C278" s="3" t="s">
        <v>2830</v>
      </c>
      <c r="D278" s="3" t="s">
        <v>41</v>
      </c>
      <c r="E278" s="3" t="s">
        <v>31</v>
      </c>
      <c r="F278" s="3" t="b">
        <v>0</v>
      </c>
      <c r="G278" s="3" t="s">
        <v>2831</v>
      </c>
      <c r="H278" s="6">
        <v>44937.437777777777</v>
      </c>
      <c r="I278" s="3" t="b">
        <v>0</v>
      </c>
      <c r="J278" s="3" t="b">
        <v>0</v>
      </c>
      <c r="K278" s="3" t="s">
        <v>2831</v>
      </c>
      <c r="L278" s="3" t="s">
        <v>34</v>
      </c>
      <c r="M278" s="8">
        <v>98500</v>
      </c>
      <c r="N278" s="11"/>
      <c r="O278" s="3" t="s">
        <v>2832</v>
      </c>
      <c r="P278" s="3" t="s">
        <v>275</v>
      </c>
    </row>
    <row r="279" spans="1:16" x14ac:dyDescent="0.3">
      <c r="A279" s="3" t="s">
        <v>103</v>
      </c>
      <c r="B279" s="3" t="s">
        <v>103</v>
      </c>
      <c r="C279" s="3" t="s">
        <v>164</v>
      </c>
      <c r="D279" s="3" t="s">
        <v>2833</v>
      </c>
      <c r="E279" s="3" t="s">
        <v>31</v>
      </c>
      <c r="F279" s="3" t="b">
        <v>0</v>
      </c>
      <c r="G279" s="3" t="s">
        <v>64</v>
      </c>
      <c r="H279" s="6">
        <v>44945.374976851846</v>
      </c>
      <c r="I279" s="3" t="b">
        <v>1</v>
      </c>
      <c r="J279" s="3" t="b">
        <v>0</v>
      </c>
      <c r="K279" s="3" t="s">
        <v>33</v>
      </c>
      <c r="L279" s="3" t="s">
        <v>48</v>
      </c>
      <c r="M279" s="8"/>
      <c r="N279" s="11">
        <v>100</v>
      </c>
      <c r="O279" s="3" t="s">
        <v>761</v>
      </c>
      <c r="P279" s="3" t="s">
        <v>463</v>
      </c>
    </row>
    <row r="280" spans="1:16" x14ac:dyDescent="0.3">
      <c r="A280" s="3" t="s">
        <v>103</v>
      </c>
      <c r="B280" s="3" t="s">
        <v>103</v>
      </c>
      <c r="C280" s="3" t="s">
        <v>75</v>
      </c>
      <c r="D280" s="3" t="s">
        <v>30</v>
      </c>
      <c r="E280" s="3" t="s">
        <v>31</v>
      </c>
      <c r="F280" s="3" t="b">
        <v>0</v>
      </c>
      <c r="G280" s="3" t="s">
        <v>84</v>
      </c>
      <c r="H280" s="6">
        <v>44937.918854166674</v>
      </c>
      <c r="I280" s="3" t="b">
        <v>0</v>
      </c>
      <c r="J280" s="3" t="b">
        <v>0</v>
      </c>
      <c r="K280" s="3" t="s">
        <v>33</v>
      </c>
      <c r="L280" s="3" t="s">
        <v>34</v>
      </c>
      <c r="M280" s="8">
        <v>92500</v>
      </c>
      <c r="N280" s="11"/>
      <c r="O280" s="3" t="s">
        <v>1090</v>
      </c>
      <c r="P280" s="3" t="s">
        <v>2834</v>
      </c>
    </row>
    <row r="281" spans="1:16" x14ac:dyDescent="0.3">
      <c r="A281" s="3" t="s">
        <v>103</v>
      </c>
      <c r="B281" s="3" t="s">
        <v>2838</v>
      </c>
      <c r="C281" s="3" t="s">
        <v>1877</v>
      </c>
      <c r="D281" s="3" t="s">
        <v>76</v>
      </c>
      <c r="E281" s="3" t="s">
        <v>31</v>
      </c>
      <c r="F281" s="3" t="b">
        <v>0</v>
      </c>
      <c r="G281" s="3" t="s">
        <v>64</v>
      </c>
      <c r="H281" s="6">
        <v>44929.810833333337</v>
      </c>
      <c r="I281" s="3" t="b">
        <v>0</v>
      </c>
      <c r="J281" s="3" t="b">
        <v>1</v>
      </c>
      <c r="K281" s="3" t="s">
        <v>33</v>
      </c>
      <c r="L281" s="3" t="s">
        <v>48</v>
      </c>
      <c r="M281" s="8"/>
      <c r="N281" s="11">
        <v>31.5</v>
      </c>
      <c r="O281" s="3" t="s">
        <v>2546</v>
      </c>
      <c r="P281" s="3" t="s">
        <v>2839</v>
      </c>
    </row>
    <row r="282" spans="1:16" x14ac:dyDescent="0.3">
      <c r="A282" s="3" t="s">
        <v>103</v>
      </c>
      <c r="B282" s="3" t="s">
        <v>1133</v>
      </c>
      <c r="C282" s="3" t="s">
        <v>1882</v>
      </c>
      <c r="D282" s="3" t="s">
        <v>30</v>
      </c>
      <c r="E282" s="3" t="s">
        <v>31</v>
      </c>
      <c r="F282" s="3" t="b">
        <v>0</v>
      </c>
      <c r="G282" s="3" t="s">
        <v>64</v>
      </c>
      <c r="H282" s="6">
        <v>44944.083935185183</v>
      </c>
      <c r="I282" s="3" t="b">
        <v>0</v>
      </c>
      <c r="J282" s="3" t="b">
        <v>0</v>
      </c>
      <c r="K282" s="3" t="s">
        <v>33</v>
      </c>
      <c r="L282" s="3" t="s">
        <v>48</v>
      </c>
      <c r="M282" s="8"/>
      <c r="N282" s="11">
        <v>18.5</v>
      </c>
      <c r="O282" s="3" t="s">
        <v>114</v>
      </c>
      <c r="P282" s="3" t="s">
        <v>2840</v>
      </c>
    </row>
    <row r="283" spans="1:16" x14ac:dyDescent="0.3">
      <c r="A283" s="3" t="s">
        <v>103</v>
      </c>
      <c r="B283" s="3" t="s">
        <v>2841</v>
      </c>
      <c r="C283" s="3" t="s">
        <v>270</v>
      </c>
      <c r="D283" s="3" t="s">
        <v>30</v>
      </c>
      <c r="E283" s="3" t="s">
        <v>31</v>
      </c>
      <c r="F283" s="3" t="b">
        <v>0</v>
      </c>
      <c r="G283" s="3" t="s">
        <v>32</v>
      </c>
      <c r="H283" s="6">
        <v>44937.251828703702</v>
      </c>
      <c r="I283" s="3" t="b">
        <v>0</v>
      </c>
      <c r="J283" s="3" t="b">
        <v>1</v>
      </c>
      <c r="K283" s="3" t="s">
        <v>33</v>
      </c>
      <c r="L283" s="3" t="s">
        <v>34</v>
      </c>
      <c r="M283" s="8">
        <v>222500</v>
      </c>
      <c r="N283" s="11"/>
      <c r="O283" s="3" t="s">
        <v>35</v>
      </c>
      <c r="P283" s="3" t="s">
        <v>661</v>
      </c>
    </row>
    <row r="284" spans="1:16" x14ac:dyDescent="0.3">
      <c r="A284" s="3" t="s">
        <v>103</v>
      </c>
      <c r="B284" s="3" t="s">
        <v>2842</v>
      </c>
      <c r="C284" s="3" t="s">
        <v>2566</v>
      </c>
      <c r="D284" s="3" t="s">
        <v>287</v>
      </c>
      <c r="E284" s="3" t="s">
        <v>31</v>
      </c>
      <c r="F284" s="3" t="b">
        <v>0</v>
      </c>
      <c r="G284" s="3" t="s">
        <v>84</v>
      </c>
      <c r="H284" s="6">
        <v>44950.001979166656</v>
      </c>
      <c r="I284" s="3" t="b">
        <v>0</v>
      </c>
      <c r="J284" s="3" t="b">
        <v>0</v>
      </c>
      <c r="K284" s="3" t="s">
        <v>33</v>
      </c>
      <c r="L284" s="3" t="s">
        <v>34</v>
      </c>
      <c r="M284" s="8">
        <v>83243</v>
      </c>
      <c r="N284" s="11"/>
      <c r="O284" s="3" t="s">
        <v>2843</v>
      </c>
      <c r="P284" s="3"/>
    </row>
    <row r="285" spans="1:16" x14ac:dyDescent="0.3">
      <c r="A285" s="3" t="s">
        <v>103</v>
      </c>
      <c r="B285" s="3" t="s">
        <v>2846</v>
      </c>
      <c r="C285" s="3" t="s">
        <v>97</v>
      </c>
      <c r="D285" s="3" t="s">
        <v>2847</v>
      </c>
      <c r="E285" s="3" t="s">
        <v>31</v>
      </c>
      <c r="F285" s="3" t="b">
        <v>0</v>
      </c>
      <c r="G285" s="3" t="s">
        <v>32</v>
      </c>
      <c r="H285" s="6">
        <v>44946.012106481481</v>
      </c>
      <c r="I285" s="3" t="b">
        <v>0</v>
      </c>
      <c r="J285" s="3" t="b">
        <v>1</v>
      </c>
      <c r="K285" s="3" t="s">
        <v>33</v>
      </c>
      <c r="L285" s="3" t="s">
        <v>48</v>
      </c>
      <c r="M285" s="8"/>
      <c r="N285" s="11">
        <v>24</v>
      </c>
      <c r="O285" s="3" t="s">
        <v>49</v>
      </c>
      <c r="P285" s="3" t="s">
        <v>2848</v>
      </c>
    </row>
    <row r="286" spans="1:16" x14ac:dyDescent="0.3">
      <c r="A286" s="3" t="s">
        <v>103</v>
      </c>
      <c r="B286" s="3" t="s">
        <v>2849</v>
      </c>
      <c r="C286" s="3" t="s">
        <v>520</v>
      </c>
      <c r="D286" s="3" t="s">
        <v>2850</v>
      </c>
      <c r="E286" s="3" t="s">
        <v>31</v>
      </c>
      <c r="F286" s="3" t="b">
        <v>0</v>
      </c>
      <c r="G286" s="3" t="s">
        <v>88</v>
      </c>
      <c r="H286" s="6">
        <v>44929.980115740742</v>
      </c>
      <c r="I286" s="3" t="b">
        <v>1</v>
      </c>
      <c r="J286" s="3" t="b">
        <v>0</v>
      </c>
      <c r="K286" s="3" t="s">
        <v>33</v>
      </c>
      <c r="L286" s="3" t="s">
        <v>48</v>
      </c>
      <c r="M286" s="8"/>
      <c r="N286" s="11">
        <v>24</v>
      </c>
      <c r="O286" s="3" t="s">
        <v>2851</v>
      </c>
      <c r="P286" s="3" t="s">
        <v>2649</v>
      </c>
    </row>
    <row r="287" spans="1:16" x14ac:dyDescent="0.3">
      <c r="A287" s="3" t="s">
        <v>103</v>
      </c>
      <c r="B287" s="3" t="s">
        <v>2856</v>
      </c>
      <c r="C287" s="3" t="s">
        <v>2857</v>
      </c>
      <c r="D287" s="3" t="s">
        <v>53</v>
      </c>
      <c r="E287" s="3" t="s">
        <v>133</v>
      </c>
      <c r="F287" s="3" t="b">
        <v>0</v>
      </c>
      <c r="G287" s="3" t="s">
        <v>88</v>
      </c>
      <c r="H287" s="6">
        <v>44945.088726851849</v>
      </c>
      <c r="I287" s="3" t="b">
        <v>0</v>
      </c>
      <c r="J287" s="3" t="b">
        <v>0</v>
      </c>
      <c r="K287" s="3" t="s">
        <v>33</v>
      </c>
      <c r="L287" s="3" t="s">
        <v>48</v>
      </c>
      <c r="M287" s="8"/>
      <c r="N287" s="11">
        <v>24.440000534057621</v>
      </c>
      <c r="O287" s="3" t="s">
        <v>2858</v>
      </c>
      <c r="P287" s="3" t="s">
        <v>2859</v>
      </c>
    </row>
    <row r="288" spans="1:16" x14ac:dyDescent="0.3">
      <c r="A288" s="3" t="s">
        <v>103</v>
      </c>
      <c r="B288" s="3" t="s">
        <v>103</v>
      </c>
      <c r="C288" s="3" t="s">
        <v>1612</v>
      </c>
      <c r="D288" s="3" t="s">
        <v>76</v>
      </c>
      <c r="E288" s="3" t="s">
        <v>31</v>
      </c>
      <c r="F288" s="3" t="b">
        <v>0</v>
      </c>
      <c r="G288" s="3" t="s">
        <v>64</v>
      </c>
      <c r="H288" s="6">
        <v>44943.833414351851</v>
      </c>
      <c r="I288" s="3" t="b">
        <v>0</v>
      </c>
      <c r="J288" s="3" t="b">
        <v>1</v>
      </c>
      <c r="K288" s="3" t="s">
        <v>33</v>
      </c>
      <c r="L288" s="3" t="s">
        <v>34</v>
      </c>
      <c r="M288" s="8">
        <v>81682</v>
      </c>
      <c r="N288" s="11"/>
      <c r="O288" s="3" t="s">
        <v>2866</v>
      </c>
      <c r="P288" s="3" t="s">
        <v>2867</v>
      </c>
    </row>
    <row r="289" spans="1:16" x14ac:dyDescent="0.3">
      <c r="A289" s="3" t="s">
        <v>103</v>
      </c>
      <c r="B289" s="3" t="s">
        <v>2868</v>
      </c>
      <c r="C289" s="3" t="s">
        <v>739</v>
      </c>
      <c r="D289" s="3" t="s">
        <v>41</v>
      </c>
      <c r="E289" s="3" t="s">
        <v>31</v>
      </c>
      <c r="F289" s="3" t="b">
        <v>0</v>
      </c>
      <c r="G289" s="3" t="s">
        <v>740</v>
      </c>
      <c r="H289" s="6">
        <v>44928.353530092587</v>
      </c>
      <c r="I289" s="3" t="b">
        <v>0</v>
      </c>
      <c r="J289" s="3" t="b">
        <v>0</v>
      </c>
      <c r="K289" s="3" t="s">
        <v>740</v>
      </c>
      <c r="L289" s="3" t="s">
        <v>34</v>
      </c>
      <c r="M289" s="8">
        <v>111202</v>
      </c>
      <c r="N289" s="11"/>
      <c r="O289" s="3" t="s">
        <v>741</v>
      </c>
      <c r="P289" s="3" t="s">
        <v>2869</v>
      </c>
    </row>
    <row r="290" spans="1:16" x14ac:dyDescent="0.3">
      <c r="A290" s="3" t="s">
        <v>103</v>
      </c>
      <c r="B290" s="3" t="s">
        <v>2875</v>
      </c>
      <c r="C290" s="3" t="s">
        <v>1338</v>
      </c>
      <c r="D290" s="3" t="s">
        <v>41</v>
      </c>
      <c r="E290" s="3" t="s">
        <v>31</v>
      </c>
      <c r="F290" s="3" t="b">
        <v>0</v>
      </c>
      <c r="G290" s="3" t="s">
        <v>213</v>
      </c>
      <c r="H290" s="6">
        <v>44945.057824074072</v>
      </c>
      <c r="I290" s="3" t="b">
        <v>0</v>
      </c>
      <c r="J290" s="3" t="b">
        <v>0</v>
      </c>
      <c r="K290" s="3" t="s">
        <v>213</v>
      </c>
      <c r="L290" s="3" t="s">
        <v>34</v>
      </c>
      <c r="M290" s="8">
        <v>56700</v>
      </c>
      <c r="N290" s="11"/>
      <c r="O290" s="3" t="s">
        <v>2876</v>
      </c>
      <c r="P290" s="3" t="s">
        <v>2877</v>
      </c>
    </row>
    <row r="291" spans="1:16" x14ac:dyDescent="0.3">
      <c r="A291" s="3" t="s">
        <v>103</v>
      </c>
      <c r="B291" s="3" t="s">
        <v>2880</v>
      </c>
      <c r="C291" s="3" t="s">
        <v>173</v>
      </c>
      <c r="D291" s="3" t="s">
        <v>126</v>
      </c>
      <c r="E291" s="3" t="s">
        <v>31</v>
      </c>
      <c r="F291" s="3" t="b">
        <v>0</v>
      </c>
      <c r="G291" s="3" t="s">
        <v>64</v>
      </c>
      <c r="H291" s="6">
        <v>44935.625208333331</v>
      </c>
      <c r="I291" s="3" t="b">
        <v>1</v>
      </c>
      <c r="J291" s="3" t="b">
        <v>0</v>
      </c>
      <c r="K291" s="3" t="s">
        <v>33</v>
      </c>
      <c r="L291" s="3" t="s">
        <v>34</v>
      </c>
      <c r="M291" s="8">
        <v>137500</v>
      </c>
      <c r="N291" s="11"/>
      <c r="O291" s="3" t="s">
        <v>1593</v>
      </c>
      <c r="P291" s="3" t="s">
        <v>463</v>
      </c>
    </row>
    <row r="292" spans="1:16" x14ac:dyDescent="0.3">
      <c r="A292" s="3" t="s">
        <v>103</v>
      </c>
      <c r="B292" s="3" t="s">
        <v>1903</v>
      </c>
      <c r="C292" s="3" t="s">
        <v>2882</v>
      </c>
      <c r="D292" s="3" t="s">
        <v>30</v>
      </c>
      <c r="E292" s="3" t="s">
        <v>133</v>
      </c>
      <c r="F292" s="3" t="b">
        <v>0</v>
      </c>
      <c r="G292" s="3" t="s">
        <v>64</v>
      </c>
      <c r="H292" s="6">
        <v>44945.791990740741</v>
      </c>
      <c r="I292" s="3" t="b">
        <v>1</v>
      </c>
      <c r="J292" s="3" t="b">
        <v>0</v>
      </c>
      <c r="K292" s="3" t="s">
        <v>33</v>
      </c>
      <c r="L292" s="3" t="s">
        <v>48</v>
      </c>
      <c r="M292" s="8"/>
      <c r="N292" s="11">
        <v>55.525001525878913</v>
      </c>
      <c r="O292" s="3" t="s">
        <v>114</v>
      </c>
      <c r="P292" s="3" t="s">
        <v>1904</v>
      </c>
    </row>
    <row r="293" spans="1:16" x14ac:dyDescent="0.3">
      <c r="A293" s="3" t="s">
        <v>103</v>
      </c>
      <c r="B293" s="3" t="s">
        <v>2883</v>
      </c>
      <c r="C293" s="3" t="s">
        <v>965</v>
      </c>
      <c r="D293" s="3" t="s">
        <v>237</v>
      </c>
      <c r="E293" s="3" t="s">
        <v>31</v>
      </c>
      <c r="F293" s="3" t="b">
        <v>0</v>
      </c>
      <c r="G293" s="3" t="s">
        <v>64</v>
      </c>
      <c r="H293" s="6">
        <v>44955.625208333331</v>
      </c>
      <c r="I293" s="3" t="b">
        <v>0</v>
      </c>
      <c r="J293" s="3" t="b">
        <v>0</v>
      </c>
      <c r="K293" s="3" t="s">
        <v>33</v>
      </c>
      <c r="L293" s="3" t="s">
        <v>34</v>
      </c>
      <c r="M293" s="8">
        <v>115000</v>
      </c>
      <c r="N293" s="11"/>
      <c r="O293" s="3" t="s">
        <v>175</v>
      </c>
      <c r="P293" s="3" t="s">
        <v>846</v>
      </c>
    </row>
    <row r="294" spans="1:16" x14ac:dyDescent="0.3">
      <c r="A294" s="3" t="s">
        <v>103</v>
      </c>
      <c r="B294" s="3" t="s">
        <v>2894</v>
      </c>
      <c r="C294" s="3" t="s">
        <v>2336</v>
      </c>
      <c r="D294" s="3" t="s">
        <v>41</v>
      </c>
      <c r="E294" s="3" t="s">
        <v>31</v>
      </c>
      <c r="F294" s="3" t="b">
        <v>0</v>
      </c>
      <c r="G294" s="3" t="s">
        <v>597</v>
      </c>
      <c r="H294" s="6">
        <v>44946.085555555554</v>
      </c>
      <c r="I294" s="3" t="b">
        <v>0</v>
      </c>
      <c r="J294" s="3" t="b">
        <v>0</v>
      </c>
      <c r="K294" s="3" t="s">
        <v>597</v>
      </c>
      <c r="L294" s="3" t="s">
        <v>34</v>
      </c>
      <c r="M294" s="8">
        <v>165000</v>
      </c>
      <c r="N294" s="11"/>
      <c r="O294" s="3" t="s">
        <v>2895</v>
      </c>
      <c r="P294" s="3"/>
    </row>
    <row r="295" spans="1:16" x14ac:dyDescent="0.3">
      <c r="A295" s="3" t="s">
        <v>103</v>
      </c>
      <c r="B295" s="3" t="s">
        <v>2896</v>
      </c>
      <c r="C295" s="3" t="s">
        <v>718</v>
      </c>
      <c r="D295" s="3" t="s">
        <v>151</v>
      </c>
      <c r="E295" s="3" t="s">
        <v>31</v>
      </c>
      <c r="F295" s="3" t="b">
        <v>0</v>
      </c>
      <c r="G295" s="3" t="s">
        <v>110</v>
      </c>
      <c r="H295" s="6">
        <v>44945.663888888892</v>
      </c>
      <c r="I295" s="3" t="b">
        <v>0</v>
      </c>
      <c r="J295" s="3" t="b">
        <v>0</v>
      </c>
      <c r="K295" s="3" t="s">
        <v>110</v>
      </c>
      <c r="L295" s="3" t="s">
        <v>34</v>
      </c>
      <c r="M295" s="8">
        <v>85000</v>
      </c>
      <c r="N295" s="11"/>
      <c r="O295" s="3" t="s">
        <v>2897</v>
      </c>
      <c r="P295" s="3" t="s">
        <v>707</v>
      </c>
    </row>
    <row r="296" spans="1:16" x14ac:dyDescent="0.3">
      <c r="A296" s="3" t="s">
        <v>103</v>
      </c>
      <c r="B296" s="3" t="s">
        <v>935</v>
      </c>
      <c r="C296" s="3" t="s">
        <v>936</v>
      </c>
      <c r="D296" s="3" t="s">
        <v>106</v>
      </c>
      <c r="E296" s="3" t="s">
        <v>31</v>
      </c>
      <c r="F296" s="3" t="b">
        <v>0</v>
      </c>
      <c r="G296" s="3" t="s">
        <v>84</v>
      </c>
      <c r="H296" s="6">
        <v>44941.584768518522</v>
      </c>
      <c r="I296" s="3" t="b">
        <v>1</v>
      </c>
      <c r="J296" s="3" t="b">
        <v>1</v>
      </c>
      <c r="K296" s="3" t="s">
        <v>33</v>
      </c>
      <c r="L296" s="3" t="s">
        <v>48</v>
      </c>
      <c r="M296" s="8"/>
      <c r="N296" s="11">
        <v>20.5</v>
      </c>
      <c r="O296" s="3" t="s">
        <v>2919</v>
      </c>
      <c r="P296" s="3"/>
    </row>
    <row r="297" spans="1:16" x14ac:dyDescent="0.3">
      <c r="A297" s="3" t="s">
        <v>103</v>
      </c>
      <c r="B297" s="3" t="s">
        <v>2923</v>
      </c>
      <c r="C297" s="3" t="s">
        <v>2924</v>
      </c>
      <c r="D297" s="3" t="s">
        <v>53</v>
      </c>
      <c r="E297" s="3" t="s">
        <v>31</v>
      </c>
      <c r="F297" s="3" t="b">
        <v>0</v>
      </c>
      <c r="G297" s="3" t="s">
        <v>32</v>
      </c>
      <c r="H297" s="6">
        <v>44951.708993055552</v>
      </c>
      <c r="I297" s="3" t="b">
        <v>1</v>
      </c>
      <c r="J297" s="3" t="b">
        <v>0</v>
      </c>
      <c r="K297" s="3" t="s">
        <v>33</v>
      </c>
      <c r="L297" s="3" t="s">
        <v>34</v>
      </c>
      <c r="M297" s="8">
        <v>72500</v>
      </c>
      <c r="N297" s="11"/>
      <c r="O297" s="3" t="s">
        <v>2925</v>
      </c>
      <c r="P297" s="3" t="s">
        <v>2642</v>
      </c>
    </row>
    <row r="298" spans="1:16" x14ac:dyDescent="0.3">
      <c r="A298" s="3" t="s">
        <v>103</v>
      </c>
      <c r="B298" s="3" t="s">
        <v>1190</v>
      </c>
      <c r="C298" s="3" t="s">
        <v>882</v>
      </c>
      <c r="D298" s="3" t="s">
        <v>53</v>
      </c>
      <c r="E298" s="3" t="s">
        <v>31</v>
      </c>
      <c r="F298" s="3" t="b">
        <v>0</v>
      </c>
      <c r="G298" s="3" t="s">
        <v>58</v>
      </c>
      <c r="H298" s="6">
        <v>44949.959594907406</v>
      </c>
      <c r="I298" s="3" t="b">
        <v>0</v>
      </c>
      <c r="J298" s="3" t="b">
        <v>1</v>
      </c>
      <c r="K298" s="3" t="s">
        <v>33</v>
      </c>
      <c r="L298" s="3" t="s">
        <v>48</v>
      </c>
      <c r="M298" s="8"/>
      <c r="N298" s="11">
        <v>32</v>
      </c>
      <c r="O298" s="3" t="s">
        <v>1189</v>
      </c>
      <c r="P298" s="3" t="s">
        <v>2926</v>
      </c>
    </row>
    <row r="299" spans="1:16" x14ac:dyDescent="0.3">
      <c r="A299" s="3" t="s">
        <v>103</v>
      </c>
      <c r="B299" s="3" t="s">
        <v>2935</v>
      </c>
      <c r="C299" s="3" t="s">
        <v>2936</v>
      </c>
      <c r="D299" s="3" t="s">
        <v>41</v>
      </c>
      <c r="E299" s="3" t="s">
        <v>31</v>
      </c>
      <c r="F299" s="3" t="b">
        <v>0</v>
      </c>
      <c r="G299" s="3" t="s">
        <v>2937</v>
      </c>
      <c r="H299" s="6">
        <v>44937.979907407411</v>
      </c>
      <c r="I299" s="3" t="b">
        <v>1</v>
      </c>
      <c r="J299" s="3" t="b">
        <v>0</v>
      </c>
      <c r="K299" s="3" t="s">
        <v>2937</v>
      </c>
      <c r="L299" s="3" t="s">
        <v>34</v>
      </c>
      <c r="M299" s="8">
        <v>45000</v>
      </c>
      <c r="N299" s="11"/>
      <c r="O299" s="3" t="s">
        <v>2938</v>
      </c>
      <c r="P299" s="3" t="s">
        <v>2939</v>
      </c>
    </row>
    <row r="300" spans="1:16" x14ac:dyDescent="0.3">
      <c r="A300" s="3" t="s">
        <v>103</v>
      </c>
      <c r="B300" s="3" t="s">
        <v>2941</v>
      </c>
      <c r="C300" s="3" t="s">
        <v>1628</v>
      </c>
      <c r="D300" s="3" t="s">
        <v>53</v>
      </c>
      <c r="E300" s="3" t="s">
        <v>31</v>
      </c>
      <c r="F300" s="3" t="b">
        <v>0</v>
      </c>
      <c r="G300" s="3" t="s">
        <v>88</v>
      </c>
      <c r="H300" s="6">
        <v>44935.793599537043</v>
      </c>
      <c r="I300" s="3" t="b">
        <v>0</v>
      </c>
      <c r="J300" s="3" t="b">
        <v>1</v>
      </c>
      <c r="K300" s="3" t="s">
        <v>33</v>
      </c>
      <c r="L300" s="3" t="s">
        <v>34</v>
      </c>
      <c r="M300" s="8">
        <v>46103</v>
      </c>
      <c r="N300" s="11"/>
      <c r="O300" s="3" t="s">
        <v>2942</v>
      </c>
      <c r="P300" s="3" t="s">
        <v>2943</v>
      </c>
    </row>
    <row r="301" spans="1:16" x14ac:dyDescent="0.3">
      <c r="A301" s="3" t="s">
        <v>103</v>
      </c>
      <c r="B301" s="3" t="s">
        <v>103</v>
      </c>
      <c r="C301" s="3" t="s">
        <v>2948</v>
      </c>
      <c r="D301" s="3" t="s">
        <v>390</v>
      </c>
      <c r="E301" s="3" t="s">
        <v>31</v>
      </c>
      <c r="F301" s="3" t="b">
        <v>0</v>
      </c>
      <c r="G301" s="3" t="s">
        <v>84</v>
      </c>
      <c r="H301" s="6">
        <v>44933.626203703701</v>
      </c>
      <c r="I301" s="3" t="b">
        <v>0</v>
      </c>
      <c r="J301" s="3" t="b">
        <v>1</v>
      </c>
      <c r="K301" s="3" t="s">
        <v>33</v>
      </c>
      <c r="L301" s="3" t="s">
        <v>34</v>
      </c>
      <c r="M301" s="8">
        <v>100000</v>
      </c>
      <c r="N301" s="11"/>
      <c r="O301" s="3" t="s">
        <v>2949</v>
      </c>
      <c r="P301" s="3" t="s">
        <v>2950</v>
      </c>
    </row>
    <row r="302" spans="1:16" x14ac:dyDescent="0.3">
      <c r="A302" s="3" t="s">
        <v>103</v>
      </c>
      <c r="B302" s="3" t="s">
        <v>2978</v>
      </c>
      <c r="C302" s="3" t="s">
        <v>270</v>
      </c>
      <c r="D302" s="3" t="s">
        <v>53</v>
      </c>
      <c r="E302" s="3" t="s">
        <v>31</v>
      </c>
      <c r="F302" s="3" t="b">
        <v>0</v>
      </c>
      <c r="G302" s="3" t="s">
        <v>32</v>
      </c>
      <c r="H302" s="6">
        <v>44951.792511574073</v>
      </c>
      <c r="I302" s="3" t="b">
        <v>1</v>
      </c>
      <c r="J302" s="3" t="b">
        <v>0</v>
      </c>
      <c r="K302" s="3" t="s">
        <v>33</v>
      </c>
      <c r="L302" s="3" t="s">
        <v>48</v>
      </c>
      <c r="M302" s="8"/>
      <c r="N302" s="11">
        <v>44.869998931884773</v>
      </c>
      <c r="O302" s="3" t="s">
        <v>2979</v>
      </c>
      <c r="P302" s="3"/>
    </row>
    <row r="303" spans="1:16" x14ac:dyDescent="0.3">
      <c r="A303" s="3" t="s">
        <v>103</v>
      </c>
      <c r="B303" s="3" t="s">
        <v>2980</v>
      </c>
      <c r="C303" s="3"/>
      <c r="D303" s="3" t="s">
        <v>30</v>
      </c>
      <c r="E303" s="3" t="s">
        <v>31</v>
      </c>
      <c r="F303" s="3" t="b">
        <v>0</v>
      </c>
      <c r="G303" s="3" t="s">
        <v>64</v>
      </c>
      <c r="H303" s="6">
        <v>44932.916701388887</v>
      </c>
      <c r="I303" s="3" t="b">
        <v>0</v>
      </c>
      <c r="J303" s="3" t="b">
        <v>1</v>
      </c>
      <c r="K303" s="3" t="s">
        <v>33</v>
      </c>
      <c r="L303" s="3" t="s">
        <v>34</v>
      </c>
      <c r="M303" s="8">
        <v>50000</v>
      </c>
      <c r="N303" s="11"/>
      <c r="O303" s="3" t="s">
        <v>2981</v>
      </c>
      <c r="P303" s="3"/>
    </row>
    <row r="304" spans="1:16" x14ac:dyDescent="0.3">
      <c r="A304" s="3" t="s">
        <v>103</v>
      </c>
      <c r="B304" s="3" t="s">
        <v>2989</v>
      </c>
      <c r="C304" s="3" t="s">
        <v>2990</v>
      </c>
      <c r="D304" s="3" t="s">
        <v>76</v>
      </c>
      <c r="E304" s="3" t="s">
        <v>31</v>
      </c>
      <c r="F304" s="3" t="b">
        <v>0</v>
      </c>
      <c r="G304" s="3" t="s">
        <v>32</v>
      </c>
      <c r="H304" s="6">
        <v>44927.626006944447</v>
      </c>
      <c r="I304" s="3" t="b">
        <v>0</v>
      </c>
      <c r="J304" s="3" t="b">
        <v>0</v>
      </c>
      <c r="K304" s="3" t="s">
        <v>33</v>
      </c>
      <c r="L304" s="3" t="s">
        <v>34</v>
      </c>
      <c r="M304" s="8">
        <v>50000</v>
      </c>
      <c r="N304" s="11"/>
      <c r="O304" s="3" t="s">
        <v>2991</v>
      </c>
      <c r="P304" s="3" t="s">
        <v>2992</v>
      </c>
    </row>
    <row r="305" spans="1:16" x14ac:dyDescent="0.3">
      <c r="A305" s="3" t="s">
        <v>103</v>
      </c>
      <c r="B305" s="3" t="s">
        <v>103</v>
      </c>
      <c r="C305" s="3" t="s">
        <v>3024</v>
      </c>
      <c r="D305" s="3" t="s">
        <v>30</v>
      </c>
      <c r="E305" s="3" t="s">
        <v>133</v>
      </c>
      <c r="F305" s="3" t="b">
        <v>0</v>
      </c>
      <c r="G305" s="3" t="s">
        <v>32</v>
      </c>
      <c r="H305" s="6">
        <v>44935.584074074082</v>
      </c>
      <c r="I305" s="3" t="b">
        <v>0</v>
      </c>
      <c r="J305" s="3" t="b">
        <v>0</v>
      </c>
      <c r="K305" s="3" t="s">
        <v>33</v>
      </c>
      <c r="L305" s="3" t="s">
        <v>48</v>
      </c>
      <c r="M305" s="8"/>
      <c r="N305" s="11">
        <v>106</v>
      </c>
      <c r="O305" s="3" t="s">
        <v>2438</v>
      </c>
      <c r="P305" s="3" t="s">
        <v>610</v>
      </c>
    </row>
    <row r="306" spans="1:16" x14ac:dyDescent="0.3">
      <c r="A306" s="3" t="s">
        <v>103</v>
      </c>
      <c r="B306" s="3" t="s">
        <v>103</v>
      </c>
      <c r="C306" s="3" t="s">
        <v>87</v>
      </c>
      <c r="D306" s="3" t="s">
        <v>30</v>
      </c>
      <c r="E306" s="3" t="s">
        <v>133</v>
      </c>
      <c r="F306" s="3" t="b">
        <v>1</v>
      </c>
      <c r="G306" s="3" t="s">
        <v>58</v>
      </c>
      <c r="H306" s="6">
        <v>44952.671041666668</v>
      </c>
      <c r="I306" s="3" t="b">
        <v>0</v>
      </c>
      <c r="J306" s="3" t="b">
        <v>0</v>
      </c>
      <c r="K306" s="3" t="s">
        <v>33</v>
      </c>
      <c r="L306" s="3" t="s">
        <v>34</v>
      </c>
      <c r="M306" s="8">
        <v>67500</v>
      </c>
      <c r="N306" s="11"/>
      <c r="O306" s="3" t="s">
        <v>589</v>
      </c>
      <c r="P306" s="3" t="s">
        <v>3025</v>
      </c>
    </row>
    <row r="307" spans="1:16" x14ac:dyDescent="0.3">
      <c r="A307" s="3" t="s">
        <v>103</v>
      </c>
      <c r="B307" s="3" t="s">
        <v>103</v>
      </c>
      <c r="C307" s="3" t="s">
        <v>3030</v>
      </c>
      <c r="D307" s="3" t="s">
        <v>53</v>
      </c>
      <c r="E307" s="3"/>
      <c r="F307" s="3" t="b">
        <v>0</v>
      </c>
      <c r="G307" s="3" t="s">
        <v>140</v>
      </c>
      <c r="H307" s="6">
        <v>44952.699803240743</v>
      </c>
      <c r="I307" s="3" t="b">
        <v>1</v>
      </c>
      <c r="J307" s="3" t="b">
        <v>0</v>
      </c>
      <c r="K307" s="3" t="s">
        <v>33</v>
      </c>
      <c r="L307" s="3" t="s">
        <v>48</v>
      </c>
      <c r="M307" s="8"/>
      <c r="N307" s="11">
        <v>21.35000038146973</v>
      </c>
      <c r="O307" s="3" t="s">
        <v>114</v>
      </c>
      <c r="P307" s="3" t="s">
        <v>1597</v>
      </c>
    </row>
    <row r="308" spans="1:16" x14ac:dyDescent="0.3">
      <c r="A308" s="3" t="s">
        <v>103</v>
      </c>
      <c r="B308" s="3" t="s">
        <v>3031</v>
      </c>
      <c r="C308" s="3" t="s">
        <v>3032</v>
      </c>
      <c r="D308" s="3" t="s">
        <v>76</v>
      </c>
      <c r="E308" s="3" t="s">
        <v>31</v>
      </c>
      <c r="F308" s="3" t="b">
        <v>0</v>
      </c>
      <c r="G308" s="3" t="s">
        <v>84</v>
      </c>
      <c r="H308" s="6">
        <v>44953.58556712963</v>
      </c>
      <c r="I308" s="3" t="b">
        <v>0</v>
      </c>
      <c r="J308" s="3" t="b">
        <v>1</v>
      </c>
      <c r="K308" s="3" t="s">
        <v>33</v>
      </c>
      <c r="L308" s="3" t="s">
        <v>34</v>
      </c>
      <c r="M308" s="8">
        <v>90000</v>
      </c>
      <c r="N308" s="11"/>
      <c r="O308" s="3" t="s">
        <v>3033</v>
      </c>
      <c r="P308" s="3" t="s">
        <v>3034</v>
      </c>
    </row>
    <row r="309" spans="1:16" x14ac:dyDescent="0.3">
      <c r="A309" s="3" t="s">
        <v>103</v>
      </c>
      <c r="B309" s="3" t="s">
        <v>3054</v>
      </c>
      <c r="C309" s="3" t="s">
        <v>87</v>
      </c>
      <c r="D309" s="3" t="s">
        <v>287</v>
      </c>
      <c r="E309" s="3" t="s">
        <v>31</v>
      </c>
      <c r="F309" s="3" t="b">
        <v>1</v>
      </c>
      <c r="G309" s="3" t="s">
        <v>32</v>
      </c>
      <c r="H309" s="6">
        <v>44936.000798611109</v>
      </c>
      <c r="I309" s="3" t="b">
        <v>1</v>
      </c>
      <c r="J309" s="3" t="b">
        <v>0</v>
      </c>
      <c r="K309" s="3" t="s">
        <v>33</v>
      </c>
      <c r="L309" s="3" t="s">
        <v>34</v>
      </c>
      <c r="M309" s="8">
        <v>63991</v>
      </c>
      <c r="N309" s="11"/>
      <c r="O309" s="3" t="s">
        <v>3055</v>
      </c>
      <c r="P309" s="3"/>
    </row>
    <row r="310" spans="1:16" x14ac:dyDescent="0.3">
      <c r="A310" s="3" t="s">
        <v>103</v>
      </c>
      <c r="B310" s="3" t="s">
        <v>3072</v>
      </c>
      <c r="C310" s="3" t="s">
        <v>3073</v>
      </c>
      <c r="D310" s="3" t="s">
        <v>76</v>
      </c>
      <c r="E310" s="3" t="s">
        <v>31</v>
      </c>
      <c r="F310" s="3" t="b">
        <v>0</v>
      </c>
      <c r="G310" s="3" t="s">
        <v>58</v>
      </c>
      <c r="H310" s="6">
        <v>44946.917997685188</v>
      </c>
      <c r="I310" s="3" t="b">
        <v>0</v>
      </c>
      <c r="J310" s="3" t="b">
        <v>0</v>
      </c>
      <c r="K310" s="3" t="s">
        <v>33</v>
      </c>
      <c r="L310" s="3" t="s">
        <v>34</v>
      </c>
      <c r="M310" s="8">
        <v>61266.3984375</v>
      </c>
      <c r="N310" s="11"/>
      <c r="O310" s="3" t="s">
        <v>3074</v>
      </c>
      <c r="P310" s="3" t="s">
        <v>3075</v>
      </c>
    </row>
    <row r="311" spans="1:16" x14ac:dyDescent="0.3">
      <c r="A311" s="3" t="s">
        <v>103</v>
      </c>
      <c r="B311" s="3" t="s">
        <v>3076</v>
      </c>
      <c r="C311" s="3" t="s">
        <v>3077</v>
      </c>
      <c r="D311" s="3" t="s">
        <v>53</v>
      </c>
      <c r="E311" s="3" t="s">
        <v>31</v>
      </c>
      <c r="F311" s="3" t="b">
        <v>0</v>
      </c>
      <c r="G311" s="3" t="s">
        <v>64</v>
      </c>
      <c r="H311" s="6">
        <v>44942.84480324074</v>
      </c>
      <c r="I311" s="3" t="b">
        <v>1</v>
      </c>
      <c r="J311" s="3" t="b">
        <v>0</v>
      </c>
      <c r="K311" s="3" t="s">
        <v>33</v>
      </c>
      <c r="L311" s="3" t="s">
        <v>48</v>
      </c>
      <c r="M311" s="8"/>
      <c r="N311" s="11">
        <v>27</v>
      </c>
      <c r="O311" s="3" t="s">
        <v>3078</v>
      </c>
      <c r="P311" s="3"/>
    </row>
    <row r="312" spans="1:16" x14ac:dyDescent="0.3">
      <c r="A312" s="3" t="s">
        <v>103</v>
      </c>
      <c r="B312" s="3" t="s">
        <v>3081</v>
      </c>
      <c r="C312" s="3" t="s">
        <v>636</v>
      </c>
      <c r="D312" s="3" t="s">
        <v>76</v>
      </c>
      <c r="E312" s="3" t="s">
        <v>31</v>
      </c>
      <c r="F312" s="3" t="b">
        <v>0</v>
      </c>
      <c r="G312" s="3" t="s">
        <v>58</v>
      </c>
      <c r="H312" s="6">
        <v>44930.626331018517</v>
      </c>
      <c r="I312" s="3" t="b">
        <v>0</v>
      </c>
      <c r="J312" s="3" t="b">
        <v>1</v>
      </c>
      <c r="K312" s="3" t="s">
        <v>33</v>
      </c>
      <c r="L312" s="3" t="s">
        <v>34</v>
      </c>
      <c r="M312" s="8">
        <v>85000</v>
      </c>
      <c r="N312" s="11"/>
      <c r="O312" s="3" t="s">
        <v>589</v>
      </c>
      <c r="P312" s="3" t="s">
        <v>3082</v>
      </c>
    </row>
    <row r="313" spans="1:16" x14ac:dyDescent="0.3">
      <c r="A313" s="3" t="s">
        <v>103</v>
      </c>
      <c r="B313" s="3" t="s">
        <v>103</v>
      </c>
      <c r="C313" s="3" t="s">
        <v>75</v>
      </c>
      <c r="D313" s="3" t="s">
        <v>188</v>
      </c>
      <c r="E313" s="3" t="s">
        <v>31</v>
      </c>
      <c r="F313" s="3" t="b">
        <v>0</v>
      </c>
      <c r="G313" s="3" t="s">
        <v>84</v>
      </c>
      <c r="H313" s="6">
        <v>44945.002256944441</v>
      </c>
      <c r="I313" s="3" t="b">
        <v>1</v>
      </c>
      <c r="J313" s="3" t="b">
        <v>0</v>
      </c>
      <c r="K313" s="3" t="s">
        <v>33</v>
      </c>
      <c r="L313" s="3" t="s">
        <v>34</v>
      </c>
      <c r="M313" s="8">
        <v>77500</v>
      </c>
      <c r="N313" s="11"/>
      <c r="O313" s="3" t="s">
        <v>3093</v>
      </c>
      <c r="P313" s="3" t="s">
        <v>3094</v>
      </c>
    </row>
    <row r="314" spans="1:16" x14ac:dyDescent="0.3">
      <c r="A314" s="3" t="s">
        <v>103</v>
      </c>
      <c r="B314" s="3" t="s">
        <v>3104</v>
      </c>
      <c r="C314" s="3" t="s">
        <v>3105</v>
      </c>
      <c r="D314" s="3" t="s">
        <v>106</v>
      </c>
      <c r="E314" s="3" t="s">
        <v>31</v>
      </c>
      <c r="F314" s="3" t="b">
        <v>0</v>
      </c>
      <c r="G314" s="3" t="s">
        <v>84</v>
      </c>
      <c r="H314" s="6">
        <v>44939.836238425924</v>
      </c>
      <c r="I314" s="3" t="b">
        <v>0</v>
      </c>
      <c r="J314" s="3" t="b">
        <v>0</v>
      </c>
      <c r="K314" s="3" t="s">
        <v>33</v>
      </c>
      <c r="L314" s="3" t="s">
        <v>48</v>
      </c>
      <c r="M314" s="8"/>
      <c r="N314" s="11">
        <v>21</v>
      </c>
      <c r="O314" s="3" t="s">
        <v>3106</v>
      </c>
      <c r="P314" s="3" t="s">
        <v>1597</v>
      </c>
    </row>
    <row r="315" spans="1:16" x14ac:dyDescent="0.3">
      <c r="A315" s="3" t="s">
        <v>103</v>
      </c>
      <c r="B315" s="3" t="s">
        <v>3116</v>
      </c>
      <c r="C315" s="3" t="s">
        <v>57</v>
      </c>
      <c r="D315" s="3" t="s">
        <v>188</v>
      </c>
      <c r="E315" s="3" t="s">
        <v>133</v>
      </c>
      <c r="F315" s="3" t="b">
        <v>0</v>
      </c>
      <c r="G315" s="3" t="s">
        <v>58</v>
      </c>
      <c r="H315" s="6">
        <v>44938.959513888891</v>
      </c>
      <c r="I315" s="3" t="b">
        <v>0</v>
      </c>
      <c r="J315" s="3" t="b">
        <v>1</v>
      </c>
      <c r="K315" s="3" t="s">
        <v>33</v>
      </c>
      <c r="L315" s="3" t="s">
        <v>48</v>
      </c>
      <c r="M315" s="8"/>
      <c r="N315" s="11">
        <v>62</v>
      </c>
      <c r="O315" s="3" t="s">
        <v>1677</v>
      </c>
      <c r="P315" s="3" t="s">
        <v>1957</v>
      </c>
    </row>
    <row r="316" spans="1:16" x14ac:dyDescent="0.3">
      <c r="A316" s="3" t="s">
        <v>103</v>
      </c>
      <c r="B316" s="3" t="s">
        <v>3120</v>
      </c>
      <c r="C316" s="3" t="s">
        <v>2418</v>
      </c>
      <c r="D316" s="3" t="s">
        <v>287</v>
      </c>
      <c r="E316" s="3" t="s">
        <v>31</v>
      </c>
      <c r="F316" s="3" t="b">
        <v>0</v>
      </c>
      <c r="G316" s="3" t="s">
        <v>32</v>
      </c>
      <c r="H316" s="6">
        <v>44946.012083333328</v>
      </c>
      <c r="I316" s="3" t="b">
        <v>1</v>
      </c>
      <c r="J316" s="3" t="b">
        <v>0</v>
      </c>
      <c r="K316" s="3" t="s">
        <v>33</v>
      </c>
      <c r="L316" s="3" t="s">
        <v>34</v>
      </c>
      <c r="M316" s="8">
        <v>51232</v>
      </c>
      <c r="N316" s="11"/>
      <c r="O316" s="3" t="s">
        <v>3121</v>
      </c>
      <c r="P316" s="3"/>
    </row>
    <row r="317" spans="1:16" x14ac:dyDescent="0.3">
      <c r="A317" s="3" t="s">
        <v>103</v>
      </c>
      <c r="B317" s="3" t="s">
        <v>3122</v>
      </c>
      <c r="C317" s="3" t="s">
        <v>3123</v>
      </c>
      <c r="D317" s="3" t="s">
        <v>41</v>
      </c>
      <c r="E317" s="3" t="s">
        <v>31</v>
      </c>
      <c r="F317" s="3" t="b">
        <v>0</v>
      </c>
      <c r="G317" s="3" t="s">
        <v>797</v>
      </c>
      <c r="H317" s="6">
        <v>44930.696909722217</v>
      </c>
      <c r="I317" s="3" t="b">
        <v>0</v>
      </c>
      <c r="J317" s="3" t="b">
        <v>0</v>
      </c>
      <c r="K317" s="3" t="s">
        <v>797</v>
      </c>
      <c r="L317" s="3" t="s">
        <v>34</v>
      </c>
      <c r="M317" s="8">
        <v>100500</v>
      </c>
      <c r="N317" s="11"/>
      <c r="O317" s="3" t="s">
        <v>798</v>
      </c>
      <c r="P317" s="3" t="s">
        <v>3124</v>
      </c>
    </row>
    <row r="318" spans="1:16" x14ac:dyDescent="0.3">
      <c r="A318" s="3" t="s">
        <v>103</v>
      </c>
      <c r="B318" s="3" t="s">
        <v>3125</v>
      </c>
      <c r="C318" s="3" t="s">
        <v>1338</v>
      </c>
      <c r="D318" s="3" t="s">
        <v>41</v>
      </c>
      <c r="E318" s="3" t="s">
        <v>31</v>
      </c>
      <c r="F318" s="3" t="b">
        <v>0</v>
      </c>
      <c r="G318" s="3" t="s">
        <v>213</v>
      </c>
      <c r="H318" s="6">
        <v>44951.182511574072</v>
      </c>
      <c r="I318" s="3" t="b">
        <v>0</v>
      </c>
      <c r="J318" s="3" t="b">
        <v>0</v>
      </c>
      <c r="K318" s="3" t="s">
        <v>213</v>
      </c>
      <c r="L318" s="3" t="s">
        <v>34</v>
      </c>
      <c r="M318" s="8">
        <v>51014</v>
      </c>
      <c r="N318" s="11"/>
      <c r="O318" s="3" t="s">
        <v>1339</v>
      </c>
      <c r="P318" s="3" t="s">
        <v>3126</v>
      </c>
    </row>
    <row r="319" spans="1:16" x14ac:dyDescent="0.3">
      <c r="A319" s="3" t="s">
        <v>103</v>
      </c>
      <c r="B319" s="3" t="s">
        <v>103</v>
      </c>
      <c r="C319" s="3" t="s">
        <v>417</v>
      </c>
      <c r="D319" s="3" t="s">
        <v>30</v>
      </c>
      <c r="E319" s="3" t="s">
        <v>133</v>
      </c>
      <c r="F319" s="3" t="b">
        <v>0</v>
      </c>
      <c r="G319" s="3" t="s">
        <v>58</v>
      </c>
      <c r="H319" s="6">
        <v>44937.626898148148</v>
      </c>
      <c r="I319" s="3" t="b">
        <v>1</v>
      </c>
      <c r="J319" s="3" t="b">
        <v>0</v>
      </c>
      <c r="K319" s="3" t="s">
        <v>33</v>
      </c>
      <c r="L319" s="3" t="s">
        <v>48</v>
      </c>
      <c r="M319" s="8"/>
      <c r="N319" s="11">
        <v>61.845001220703118</v>
      </c>
      <c r="O319" s="3" t="s">
        <v>589</v>
      </c>
      <c r="P319" s="3" t="s">
        <v>3127</v>
      </c>
    </row>
    <row r="320" spans="1:16" x14ac:dyDescent="0.3">
      <c r="A320" s="3" t="s">
        <v>103</v>
      </c>
      <c r="B320" s="3" t="s">
        <v>3128</v>
      </c>
      <c r="C320" s="3" t="s">
        <v>87</v>
      </c>
      <c r="D320" s="3" t="s">
        <v>53</v>
      </c>
      <c r="E320" s="3" t="s">
        <v>31</v>
      </c>
      <c r="F320" s="3" t="b">
        <v>1</v>
      </c>
      <c r="G320" s="3" t="s">
        <v>140</v>
      </c>
      <c r="H320" s="6">
        <v>44930.795659722222</v>
      </c>
      <c r="I320" s="3" t="b">
        <v>0</v>
      </c>
      <c r="J320" s="3" t="b">
        <v>0</v>
      </c>
      <c r="K320" s="3" t="s">
        <v>33</v>
      </c>
      <c r="L320" s="3" t="s">
        <v>34</v>
      </c>
      <c r="M320" s="8">
        <v>65000</v>
      </c>
      <c r="N320" s="11"/>
      <c r="O320" s="3" t="s">
        <v>3129</v>
      </c>
      <c r="P320" s="3"/>
    </row>
    <row r="321" spans="1:16" x14ac:dyDescent="0.3">
      <c r="A321" s="3" t="s">
        <v>103</v>
      </c>
      <c r="B321" s="3" t="s">
        <v>1382</v>
      </c>
      <c r="C321" s="3" t="s">
        <v>3130</v>
      </c>
      <c r="D321" s="3" t="s">
        <v>76</v>
      </c>
      <c r="E321" s="3" t="s">
        <v>31</v>
      </c>
      <c r="F321" s="3" t="b">
        <v>0</v>
      </c>
      <c r="G321" s="3" t="s">
        <v>64</v>
      </c>
      <c r="H321" s="6">
        <v>44930.227337962962</v>
      </c>
      <c r="I321" s="3" t="b">
        <v>0</v>
      </c>
      <c r="J321" s="3" t="b">
        <v>1</v>
      </c>
      <c r="K321" s="3" t="s">
        <v>33</v>
      </c>
      <c r="L321" s="3" t="s">
        <v>34</v>
      </c>
      <c r="M321" s="8">
        <v>55000</v>
      </c>
      <c r="N321" s="11"/>
      <c r="O321" s="3" t="s">
        <v>3131</v>
      </c>
      <c r="P321" s="3" t="s">
        <v>2022</v>
      </c>
    </row>
    <row r="322" spans="1:16" x14ac:dyDescent="0.3">
      <c r="A322" s="3" t="s">
        <v>103</v>
      </c>
      <c r="B322" s="3" t="s">
        <v>116</v>
      </c>
      <c r="C322" s="3" t="s">
        <v>800</v>
      </c>
      <c r="D322" s="3" t="s">
        <v>1419</v>
      </c>
      <c r="E322" s="3" t="s">
        <v>31</v>
      </c>
      <c r="F322" s="3" t="b">
        <v>0</v>
      </c>
      <c r="G322" s="3" t="s">
        <v>58</v>
      </c>
      <c r="H322" s="6">
        <v>44935.834618055553</v>
      </c>
      <c r="I322" s="3" t="b">
        <v>0</v>
      </c>
      <c r="J322" s="3" t="b">
        <v>0</v>
      </c>
      <c r="K322" s="3" t="s">
        <v>33</v>
      </c>
      <c r="L322" s="3" t="s">
        <v>34</v>
      </c>
      <c r="M322" s="8">
        <v>132315</v>
      </c>
      <c r="N322" s="11"/>
      <c r="O322" s="3" t="s">
        <v>119</v>
      </c>
      <c r="P322" s="3" t="s">
        <v>120</v>
      </c>
    </row>
    <row r="323" spans="1:16" x14ac:dyDescent="0.3">
      <c r="A323" s="3" t="s">
        <v>103</v>
      </c>
      <c r="B323" s="3" t="s">
        <v>3154</v>
      </c>
      <c r="C323" s="3" t="s">
        <v>87</v>
      </c>
      <c r="D323" s="3" t="s">
        <v>30</v>
      </c>
      <c r="E323" s="3" t="s">
        <v>133</v>
      </c>
      <c r="F323" s="3" t="b">
        <v>1</v>
      </c>
      <c r="G323" s="3" t="s">
        <v>32</v>
      </c>
      <c r="H323" s="6">
        <v>44957.958761574067</v>
      </c>
      <c r="I323" s="3" t="b">
        <v>0</v>
      </c>
      <c r="J323" s="3" t="b">
        <v>0</v>
      </c>
      <c r="K323" s="3" t="s">
        <v>33</v>
      </c>
      <c r="L323" s="3" t="s">
        <v>48</v>
      </c>
      <c r="M323" s="8"/>
      <c r="N323" s="11">
        <v>30</v>
      </c>
      <c r="O323" s="3" t="s">
        <v>589</v>
      </c>
      <c r="P323" s="3"/>
    </row>
    <row r="324" spans="1:16" x14ac:dyDescent="0.3">
      <c r="A324" s="3" t="s">
        <v>103</v>
      </c>
      <c r="B324" s="3" t="s">
        <v>3164</v>
      </c>
      <c r="C324" s="3" t="s">
        <v>3165</v>
      </c>
      <c r="D324" s="3" t="s">
        <v>950</v>
      </c>
      <c r="E324" s="3" t="s">
        <v>31</v>
      </c>
      <c r="F324" s="3" t="b">
        <v>0</v>
      </c>
      <c r="G324" s="3" t="s">
        <v>58</v>
      </c>
      <c r="H324" s="6">
        <v>44951.33452546296</v>
      </c>
      <c r="I324" s="3" t="b">
        <v>0</v>
      </c>
      <c r="J324" s="3" t="b">
        <v>0</v>
      </c>
      <c r="K324" s="3" t="s">
        <v>33</v>
      </c>
      <c r="L324" s="3" t="s">
        <v>34</v>
      </c>
      <c r="M324" s="8">
        <v>146100</v>
      </c>
      <c r="N324" s="11"/>
      <c r="O324" s="3" t="s">
        <v>119</v>
      </c>
      <c r="P324" s="3" t="s">
        <v>1226</v>
      </c>
    </row>
    <row r="325" spans="1:16" x14ac:dyDescent="0.3">
      <c r="A325" s="3" t="s">
        <v>103</v>
      </c>
      <c r="B325" s="3" t="s">
        <v>103</v>
      </c>
      <c r="C325" s="3" t="s">
        <v>472</v>
      </c>
      <c r="D325" s="3" t="s">
        <v>76</v>
      </c>
      <c r="E325" s="3" t="s">
        <v>31</v>
      </c>
      <c r="F325" s="3" t="b">
        <v>0</v>
      </c>
      <c r="G325" s="3" t="s">
        <v>64</v>
      </c>
      <c r="H325" s="6">
        <v>44952.916770833333</v>
      </c>
      <c r="I325" s="3" t="b">
        <v>0</v>
      </c>
      <c r="J325" s="3" t="b">
        <v>0</v>
      </c>
      <c r="K325" s="3" t="s">
        <v>33</v>
      </c>
      <c r="L325" s="3" t="s">
        <v>34</v>
      </c>
      <c r="M325" s="8">
        <v>50000</v>
      </c>
      <c r="N325" s="11"/>
      <c r="O325" s="3" t="s">
        <v>3168</v>
      </c>
      <c r="P325" s="3"/>
    </row>
    <row r="326" spans="1:16" x14ac:dyDescent="0.3">
      <c r="A326" s="3" t="s">
        <v>103</v>
      </c>
      <c r="B326" s="3" t="s">
        <v>3190</v>
      </c>
      <c r="C326" s="3" t="s">
        <v>40</v>
      </c>
      <c r="D326" s="3" t="s">
        <v>41</v>
      </c>
      <c r="E326" s="3" t="s">
        <v>31</v>
      </c>
      <c r="F326" s="3" t="b">
        <v>0</v>
      </c>
      <c r="G326" s="3" t="s">
        <v>42</v>
      </c>
      <c r="H326" s="6">
        <v>44943.801689814813</v>
      </c>
      <c r="I326" s="3" t="b">
        <v>0</v>
      </c>
      <c r="J326" s="3" t="b">
        <v>0</v>
      </c>
      <c r="K326" s="3" t="s">
        <v>42</v>
      </c>
      <c r="L326" s="3" t="s">
        <v>34</v>
      </c>
      <c r="M326" s="8">
        <v>51014</v>
      </c>
      <c r="N326" s="11"/>
      <c r="O326" s="3" t="s">
        <v>1937</v>
      </c>
      <c r="P326" s="3"/>
    </row>
    <row r="327" spans="1:16" x14ac:dyDescent="0.3">
      <c r="A327" s="3" t="s">
        <v>103</v>
      </c>
      <c r="B327" s="3" t="s">
        <v>1190</v>
      </c>
      <c r="C327" s="3" t="s">
        <v>87</v>
      </c>
      <c r="D327" s="3" t="s">
        <v>30</v>
      </c>
      <c r="E327" s="3" t="s">
        <v>133</v>
      </c>
      <c r="F327" s="3" t="b">
        <v>1</v>
      </c>
      <c r="G327" s="3" t="s">
        <v>64</v>
      </c>
      <c r="H327" s="6">
        <v>44929.727407407408</v>
      </c>
      <c r="I327" s="3" t="b">
        <v>0</v>
      </c>
      <c r="J327" s="3" t="b">
        <v>0</v>
      </c>
      <c r="K327" s="3" t="s">
        <v>33</v>
      </c>
      <c r="L327" s="3" t="s">
        <v>48</v>
      </c>
      <c r="M327" s="8"/>
      <c r="N327" s="11">
        <v>72.5</v>
      </c>
      <c r="O327" s="3" t="s">
        <v>502</v>
      </c>
      <c r="P327" s="3" t="s">
        <v>3191</v>
      </c>
    </row>
    <row r="328" spans="1:16" x14ac:dyDescent="0.3">
      <c r="A328" s="3" t="s">
        <v>103</v>
      </c>
      <c r="B328" s="3" t="s">
        <v>3192</v>
      </c>
      <c r="C328" s="3" t="s">
        <v>1321</v>
      </c>
      <c r="D328" s="3" t="s">
        <v>106</v>
      </c>
      <c r="E328" s="3" t="s">
        <v>31</v>
      </c>
      <c r="F328" s="3" t="b">
        <v>0</v>
      </c>
      <c r="G328" s="3" t="s">
        <v>32</v>
      </c>
      <c r="H328" s="6">
        <v>44930.56144675926</v>
      </c>
      <c r="I328" s="3" t="b">
        <v>0</v>
      </c>
      <c r="J328" s="3" t="b">
        <v>1</v>
      </c>
      <c r="K328" s="3" t="s">
        <v>33</v>
      </c>
      <c r="L328" s="3" t="s">
        <v>34</v>
      </c>
      <c r="M328" s="8">
        <v>118000</v>
      </c>
      <c r="N328" s="11"/>
      <c r="O328" s="3" t="s">
        <v>445</v>
      </c>
      <c r="P328" s="3" t="s">
        <v>3193</v>
      </c>
    </row>
    <row r="329" spans="1:16" x14ac:dyDescent="0.3">
      <c r="A329" s="3" t="s">
        <v>103</v>
      </c>
      <c r="B329" s="3" t="s">
        <v>3195</v>
      </c>
      <c r="C329" s="3" t="s">
        <v>3196</v>
      </c>
      <c r="D329" s="3" t="s">
        <v>41</v>
      </c>
      <c r="E329" s="3" t="s">
        <v>31</v>
      </c>
      <c r="F329" s="3" t="b">
        <v>0</v>
      </c>
      <c r="G329" s="3" t="s">
        <v>961</v>
      </c>
      <c r="H329" s="6">
        <v>44957.103229166663</v>
      </c>
      <c r="I329" s="3" t="b">
        <v>0</v>
      </c>
      <c r="J329" s="3" t="b">
        <v>0</v>
      </c>
      <c r="K329" s="3" t="s">
        <v>961</v>
      </c>
      <c r="L329" s="3" t="s">
        <v>34</v>
      </c>
      <c r="M329" s="8">
        <v>200000</v>
      </c>
      <c r="N329" s="11"/>
      <c r="O329" s="3" t="s">
        <v>3197</v>
      </c>
      <c r="P329" s="3" t="s">
        <v>3198</v>
      </c>
    </row>
    <row r="330" spans="1:16" x14ac:dyDescent="0.3">
      <c r="A330" s="3" t="s">
        <v>103</v>
      </c>
      <c r="B330" s="3" t="s">
        <v>103</v>
      </c>
      <c r="C330" s="3" t="s">
        <v>3130</v>
      </c>
      <c r="D330" s="3" t="s">
        <v>76</v>
      </c>
      <c r="E330" s="3" t="s">
        <v>31</v>
      </c>
      <c r="F330" s="3" t="b">
        <v>0</v>
      </c>
      <c r="G330" s="3" t="s">
        <v>64</v>
      </c>
      <c r="H330" s="6">
        <v>44939.583518518521</v>
      </c>
      <c r="I330" s="3" t="b">
        <v>0</v>
      </c>
      <c r="J330" s="3" t="b">
        <v>0</v>
      </c>
      <c r="K330" s="3" t="s">
        <v>33</v>
      </c>
      <c r="L330" s="3" t="s">
        <v>34</v>
      </c>
      <c r="M330" s="8">
        <v>56000</v>
      </c>
      <c r="N330" s="11"/>
      <c r="O330" s="3" t="s">
        <v>3199</v>
      </c>
      <c r="P330" s="3" t="s">
        <v>2642</v>
      </c>
    </row>
    <row r="331" spans="1:16" x14ac:dyDescent="0.3">
      <c r="A331" s="3" t="s">
        <v>103</v>
      </c>
      <c r="B331" s="3" t="s">
        <v>2005</v>
      </c>
      <c r="C331" s="3" t="s">
        <v>173</v>
      </c>
      <c r="D331" s="3" t="s">
        <v>76</v>
      </c>
      <c r="E331" s="3" t="s">
        <v>31</v>
      </c>
      <c r="F331" s="3" t="b">
        <v>0</v>
      </c>
      <c r="G331" s="3" t="s">
        <v>64</v>
      </c>
      <c r="H331" s="6">
        <v>44927.250300925924</v>
      </c>
      <c r="I331" s="3" t="b">
        <v>1</v>
      </c>
      <c r="J331" s="3" t="b">
        <v>1</v>
      </c>
      <c r="K331" s="3" t="s">
        <v>33</v>
      </c>
      <c r="L331" s="3" t="s">
        <v>34</v>
      </c>
      <c r="M331" s="8">
        <v>77500</v>
      </c>
      <c r="N331" s="11"/>
      <c r="O331" s="3" t="s">
        <v>80</v>
      </c>
      <c r="P331" s="3" t="s">
        <v>3206</v>
      </c>
    </row>
    <row r="332" spans="1:16" x14ac:dyDescent="0.3">
      <c r="A332" s="3" t="s">
        <v>103</v>
      </c>
      <c r="B332" s="3" t="s">
        <v>3209</v>
      </c>
      <c r="C332" s="3" t="s">
        <v>1321</v>
      </c>
      <c r="D332" s="3" t="s">
        <v>93</v>
      </c>
      <c r="E332" s="3" t="s">
        <v>31</v>
      </c>
      <c r="F332" s="3" t="b">
        <v>0</v>
      </c>
      <c r="G332" s="3" t="s">
        <v>32</v>
      </c>
      <c r="H332" s="6">
        <v>44937.250509259262</v>
      </c>
      <c r="I332" s="3" t="b">
        <v>0</v>
      </c>
      <c r="J332" s="3" t="b">
        <v>1</v>
      </c>
      <c r="K332" s="3" t="s">
        <v>33</v>
      </c>
      <c r="L332" s="3" t="s">
        <v>34</v>
      </c>
      <c r="M332" s="8">
        <v>115000</v>
      </c>
      <c r="N332" s="11"/>
      <c r="O332" s="3" t="s">
        <v>1322</v>
      </c>
      <c r="P332" s="3" t="s">
        <v>3210</v>
      </c>
    </row>
    <row r="333" spans="1:16" x14ac:dyDescent="0.3">
      <c r="A333" s="3" t="s">
        <v>103</v>
      </c>
      <c r="B333" s="3" t="s">
        <v>103</v>
      </c>
      <c r="C333" s="3" t="s">
        <v>896</v>
      </c>
      <c r="D333" s="3" t="s">
        <v>41</v>
      </c>
      <c r="E333" s="3" t="s">
        <v>31</v>
      </c>
      <c r="F333" s="3" t="b">
        <v>0</v>
      </c>
      <c r="G333" s="3" t="s">
        <v>897</v>
      </c>
      <c r="H333" s="6">
        <v>44952.86105324074</v>
      </c>
      <c r="I333" s="3" t="b">
        <v>1</v>
      </c>
      <c r="J333" s="3" t="b">
        <v>0</v>
      </c>
      <c r="K333" s="3" t="s">
        <v>897</v>
      </c>
      <c r="L333" s="3" t="s">
        <v>34</v>
      </c>
      <c r="M333" s="8">
        <v>111175</v>
      </c>
      <c r="N333" s="11"/>
      <c r="O333" s="3" t="s">
        <v>3217</v>
      </c>
      <c r="P333" s="3" t="s">
        <v>979</v>
      </c>
    </row>
    <row r="334" spans="1:16" x14ac:dyDescent="0.3">
      <c r="A334" s="3" t="s">
        <v>103</v>
      </c>
      <c r="B334" s="3" t="s">
        <v>481</v>
      </c>
      <c r="C334" s="3" t="s">
        <v>1908</v>
      </c>
      <c r="D334" s="3" t="s">
        <v>188</v>
      </c>
      <c r="E334" s="3" t="s">
        <v>31</v>
      </c>
      <c r="F334" s="3" t="b">
        <v>0</v>
      </c>
      <c r="G334" s="3" t="s">
        <v>32</v>
      </c>
      <c r="H334" s="6">
        <v>44935.875740740739</v>
      </c>
      <c r="I334" s="3" t="b">
        <v>0</v>
      </c>
      <c r="J334" s="3" t="b">
        <v>0</v>
      </c>
      <c r="K334" s="3" t="s">
        <v>33</v>
      </c>
      <c r="L334" s="3" t="s">
        <v>34</v>
      </c>
      <c r="M334" s="8">
        <v>100000</v>
      </c>
      <c r="N334" s="11"/>
      <c r="O334" s="3" t="s">
        <v>1817</v>
      </c>
      <c r="P334" s="3" t="s">
        <v>1950</v>
      </c>
    </row>
    <row r="335" spans="1:16" x14ac:dyDescent="0.3">
      <c r="A335" s="3" t="s">
        <v>103</v>
      </c>
      <c r="B335" s="3" t="s">
        <v>599</v>
      </c>
      <c r="C335" s="3" t="s">
        <v>87</v>
      </c>
      <c r="D335" s="3" t="s">
        <v>1795</v>
      </c>
      <c r="E335" s="3" t="s">
        <v>31</v>
      </c>
      <c r="F335" s="3" t="b">
        <v>1</v>
      </c>
      <c r="G335" s="3" t="s">
        <v>32</v>
      </c>
      <c r="H335" s="6">
        <v>44931.333854166667</v>
      </c>
      <c r="I335" s="3" t="b">
        <v>0</v>
      </c>
      <c r="J335" s="3" t="b">
        <v>1</v>
      </c>
      <c r="K335" s="3" t="s">
        <v>33</v>
      </c>
      <c r="L335" s="3" t="s">
        <v>34</v>
      </c>
      <c r="M335" s="8">
        <v>155000</v>
      </c>
      <c r="N335" s="11"/>
      <c r="O335" s="3" t="s">
        <v>1796</v>
      </c>
      <c r="P335" s="3" t="s">
        <v>3240</v>
      </c>
    </row>
    <row r="336" spans="1:16" x14ac:dyDescent="0.3">
      <c r="A336" s="3" t="s">
        <v>103</v>
      </c>
      <c r="B336" s="3" t="s">
        <v>103</v>
      </c>
      <c r="C336" s="3" t="s">
        <v>1371</v>
      </c>
      <c r="D336" s="3" t="s">
        <v>76</v>
      </c>
      <c r="E336" s="3" t="s">
        <v>31</v>
      </c>
      <c r="F336" s="3" t="b">
        <v>0</v>
      </c>
      <c r="G336" s="3" t="s">
        <v>64</v>
      </c>
      <c r="H336" s="6">
        <v>44930.833275462966</v>
      </c>
      <c r="I336" s="3" t="b">
        <v>0</v>
      </c>
      <c r="J336" s="3" t="b">
        <v>1</v>
      </c>
      <c r="K336" s="3" t="s">
        <v>33</v>
      </c>
      <c r="L336" s="3" t="s">
        <v>34</v>
      </c>
      <c r="M336" s="8">
        <v>52500</v>
      </c>
      <c r="N336" s="11"/>
      <c r="O336" s="3" t="s">
        <v>3248</v>
      </c>
      <c r="P336" s="3" t="s">
        <v>1848</v>
      </c>
    </row>
    <row r="337" spans="1:16" x14ac:dyDescent="0.3">
      <c r="A337" s="3" t="s">
        <v>103</v>
      </c>
      <c r="B337" s="3" t="s">
        <v>103</v>
      </c>
      <c r="C337" s="3" t="s">
        <v>960</v>
      </c>
      <c r="D337" s="3" t="s">
        <v>41</v>
      </c>
      <c r="E337" s="3" t="s">
        <v>31</v>
      </c>
      <c r="F337" s="3" t="b">
        <v>0</v>
      </c>
      <c r="G337" s="3" t="s">
        <v>961</v>
      </c>
      <c r="H337" s="6">
        <v>44952.521817129629</v>
      </c>
      <c r="I337" s="3" t="b">
        <v>0</v>
      </c>
      <c r="J337" s="3" t="b">
        <v>0</v>
      </c>
      <c r="K337" s="3" t="s">
        <v>961</v>
      </c>
      <c r="L337" s="3" t="s">
        <v>34</v>
      </c>
      <c r="M337" s="8">
        <v>98500</v>
      </c>
      <c r="N337" s="11"/>
      <c r="O337" s="3" t="s">
        <v>3249</v>
      </c>
      <c r="P337" s="3" t="s">
        <v>1516</v>
      </c>
    </row>
    <row r="338" spans="1:16" x14ac:dyDescent="0.3">
      <c r="A338" s="3" t="s">
        <v>103</v>
      </c>
      <c r="B338" s="3" t="s">
        <v>3251</v>
      </c>
      <c r="C338" s="3" t="s">
        <v>3252</v>
      </c>
      <c r="D338" s="3" t="s">
        <v>76</v>
      </c>
      <c r="E338" s="3" t="s">
        <v>31</v>
      </c>
      <c r="F338" s="3" t="b">
        <v>0</v>
      </c>
      <c r="G338" s="3" t="s">
        <v>64</v>
      </c>
      <c r="H338" s="6">
        <v>44952.70857638889</v>
      </c>
      <c r="I338" s="3" t="b">
        <v>0</v>
      </c>
      <c r="J338" s="3" t="b">
        <v>0</v>
      </c>
      <c r="K338" s="3" t="s">
        <v>33</v>
      </c>
      <c r="L338" s="3" t="s">
        <v>34</v>
      </c>
      <c r="M338" s="8">
        <v>95000</v>
      </c>
      <c r="N338" s="11"/>
      <c r="O338" s="3" t="s">
        <v>3253</v>
      </c>
      <c r="P338" s="3" t="s">
        <v>460</v>
      </c>
    </row>
    <row r="339" spans="1:16" x14ac:dyDescent="0.3">
      <c r="A339" s="3" t="s">
        <v>103</v>
      </c>
      <c r="B339" s="3" t="s">
        <v>3261</v>
      </c>
      <c r="C339" s="3" t="s">
        <v>3262</v>
      </c>
      <c r="D339" s="3" t="s">
        <v>950</v>
      </c>
      <c r="E339" s="3" t="s">
        <v>31</v>
      </c>
      <c r="F339" s="3" t="b">
        <v>0</v>
      </c>
      <c r="G339" s="3" t="s">
        <v>140</v>
      </c>
      <c r="H339" s="6">
        <v>44936.916203703702</v>
      </c>
      <c r="I339" s="3" t="b">
        <v>0</v>
      </c>
      <c r="J339" s="3" t="b">
        <v>0</v>
      </c>
      <c r="K339" s="3" t="s">
        <v>33</v>
      </c>
      <c r="L339" s="3" t="s">
        <v>34</v>
      </c>
      <c r="M339" s="8">
        <v>133285</v>
      </c>
      <c r="N339" s="11"/>
      <c r="O339" s="3" t="s">
        <v>119</v>
      </c>
      <c r="P339" s="3" t="s">
        <v>480</v>
      </c>
    </row>
    <row r="340" spans="1:16" x14ac:dyDescent="0.3">
      <c r="A340" s="3" t="s">
        <v>103</v>
      </c>
      <c r="B340" s="3" t="s">
        <v>3263</v>
      </c>
      <c r="C340" s="3" t="s">
        <v>3264</v>
      </c>
      <c r="D340" s="3" t="s">
        <v>41</v>
      </c>
      <c r="E340" s="3" t="s">
        <v>31</v>
      </c>
      <c r="F340" s="3" t="b">
        <v>0</v>
      </c>
      <c r="G340" s="3" t="s">
        <v>69</v>
      </c>
      <c r="H340" s="6">
        <v>44954.043668981481</v>
      </c>
      <c r="I340" s="3" t="b">
        <v>0</v>
      </c>
      <c r="J340" s="3" t="b">
        <v>0</v>
      </c>
      <c r="K340" s="3" t="s">
        <v>69</v>
      </c>
      <c r="L340" s="3" t="s">
        <v>34</v>
      </c>
      <c r="M340" s="8">
        <v>80850</v>
      </c>
      <c r="N340" s="11"/>
      <c r="O340" s="3" t="s">
        <v>875</v>
      </c>
      <c r="P340" s="3"/>
    </row>
    <row r="341" spans="1:16" x14ac:dyDescent="0.3">
      <c r="A341" s="3" t="s">
        <v>103</v>
      </c>
      <c r="B341" s="3" t="s">
        <v>3268</v>
      </c>
      <c r="C341" s="3" t="s">
        <v>2581</v>
      </c>
      <c r="D341" s="3" t="s">
        <v>41</v>
      </c>
      <c r="E341" s="3" t="s">
        <v>31</v>
      </c>
      <c r="F341" s="3" t="b">
        <v>0</v>
      </c>
      <c r="G341" s="3" t="s">
        <v>2581</v>
      </c>
      <c r="H341" s="6">
        <v>44952.601238425923</v>
      </c>
      <c r="I341" s="3" t="b">
        <v>0</v>
      </c>
      <c r="J341" s="3" t="b">
        <v>0</v>
      </c>
      <c r="K341" s="3" t="s">
        <v>2581</v>
      </c>
      <c r="L341" s="3" t="s">
        <v>34</v>
      </c>
      <c r="M341" s="8">
        <v>98500</v>
      </c>
      <c r="N341" s="11"/>
      <c r="O341" s="3" t="s">
        <v>3269</v>
      </c>
      <c r="P341" s="3"/>
    </row>
    <row r="342" spans="1:16" x14ac:dyDescent="0.3">
      <c r="A342" s="3" t="s">
        <v>103</v>
      </c>
      <c r="B342" s="3" t="s">
        <v>103</v>
      </c>
      <c r="C342" s="3" t="s">
        <v>620</v>
      </c>
      <c r="D342" s="3" t="s">
        <v>30</v>
      </c>
      <c r="E342" s="3" t="s">
        <v>31</v>
      </c>
      <c r="F342" s="3" t="b">
        <v>0</v>
      </c>
      <c r="G342" s="3" t="s">
        <v>58</v>
      </c>
      <c r="H342" s="6">
        <v>44957.750694444447</v>
      </c>
      <c r="I342" s="3" t="b">
        <v>1</v>
      </c>
      <c r="J342" s="3" t="b">
        <v>0</v>
      </c>
      <c r="K342" s="3" t="s">
        <v>33</v>
      </c>
      <c r="L342" s="3" t="s">
        <v>48</v>
      </c>
      <c r="M342" s="8"/>
      <c r="N342" s="11">
        <v>39.5</v>
      </c>
      <c r="O342" s="3" t="s">
        <v>3280</v>
      </c>
      <c r="P342" s="3" t="s">
        <v>3281</v>
      </c>
    </row>
    <row r="343" spans="1:16" x14ac:dyDescent="0.3">
      <c r="A343" s="3" t="s">
        <v>103</v>
      </c>
      <c r="B343" s="3" t="s">
        <v>103</v>
      </c>
      <c r="C343" s="3" t="s">
        <v>87</v>
      </c>
      <c r="D343" s="3" t="s">
        <v>30</v>
      </c>
      <c r="E343" s="3" t="s">
        <v>31</v>
      </c>
      <c r="F343" s="3" t="b">
        <v>1</v>
      </c>
      <c r="G343" s="3" t="s">
        <v>140</v>
      </c>
      <c r="H343" s="6">
        <v>44937.90761574074</v>
      </c>
      <c r="I343" s="3" t="b">
        <v>1</v>
      </c>
      <c r="J343" s="3" t="b">
        <v>0</v>
      </c>
      <c r="K343" s="3" t="s">
        <v>33</v>
      </c>
      <c r="L343" s="3" t="s">
        <v>48</v>
      </c>
      <c r="M343" s="8"/>
      <c r="N343" s="11">
        <v>57.5</v>
      </c>
      <c r="O343" s="3" t="s">
        <v>589</v>
      </c>
      <c r="P343" s="3" t="s">
        <v>3290</v>
      </c>
    </row>
    <row r="344" spans="1:16" x14ac:dyDescent="0.3">
      <c r="A344" s="3" t="s">
        <v>103</v>
      </c>
      <c r="B344" s="3" t="s">
        <v>3301</v>
      </c>
      <c r="C344" s="3" t="s">
        <v>79</v>
      </c>
      <c r="D344" s="3" t="s">
        <v>41</v>
      </c>
      <c r="E344" s="3" t="s">
        <v>31</v>
      </c>
      <c r="F344" s="3" t="b">
        <v>0</v>
      </c>
      <c r="G344" s="3" t="s">
        <v>110</v>
      </c>
      <c r="H344" s="6">
        <v>44945.372361111113</v>
      </c>
      <c r="I344" s="3" t="b">
        <v>0</v>
      </c>
      <c r="J344" s="3" t="b">
        <v>0</v>
      </c>
      <c r="K344" s="3" t="s">
        <v>110</v>
      </c>
      <c r="L344" s="3" t="s">
        <v>34</v>
      </c>
      <c r="M344" s="8">
        <v>111175</v>
      </c>
      <c r="N344" s="11"/>
      <c r="O344" s="3" t="s">
        <v>1746</v>
      </c>
      <c r="P344" s="3" t="s">
        <v>3302</v>
      </c>
    </row>
    <row r="345" spans="1:16" x14ac:dyDescent="0.3">
      <c r="A345" s="3" t="s">
        <v>103</v>
      </c>
      <c r="B345" s="3" t="s">
        <v>3304</v>
      </c>
      <c r="C345" s="3" t="s">
        <v>1996</v>
      </c>
      <c r="D345" s="3" t="s">
        <v>41</v>
      </c>
      <c r="E345" s="3" t="s">
        <v>31</v>
      </c>
      <c r="F345" s="3" t="b">
        <v>0</v>
      </c>
      <c r="G345" s="3" t="s">
        <v>797</v>
      </c>
      <c r="H345" s="6">
        <v>44950.931087962963</v>
      </c>
      <c r="I345" s="3" t="b">
        <v>1</v>
      </c>
      <c r="J345" s="3" t="b">
        <v>0</v>
      </c>
      <c r="K345" s="3" t="s">
        <v>797</v>
      </c>
      <c r="L345" s="3" t="s">
        <v>34</v>
      </c>
      <c r="M345" s="8">
        <v>147500</v>
      </c>
      <c r="N345" s="11"/>
      <c r="O345" s="3" t="s">
        <v>2513</v>
      </c>
      <c r="P345" s="3" t="s">
        <v>3305</v>
      </c>
    </row>
    <row r="346" spans="1:16" x14ac:dyDescent="0.3">
      <c r="A346" s="3" t="s">
        <v>103</v>
      </c>
      <c r="B346" s="3" t="s">
        <v>2781</v>
      </c>
      <c r="C346" s="3" t="s">
        <v>87</v>
      </c>
      <c r="D346" s="3" t="s">
        <v>30</v>
      </c>
      <c r="E346" s="3" t="s">
        <v>31</v>
      </c>
      <c r="F346" s="3" t="b">
        <v>1</v>
      </c>
      <c r="G346" s="3" t="s">
        <v>58</v>
      </c>
      <c r="H346" s="6">
        <v>44946.1408912037</v>
      </c>
      <c r="I346" s="3" t="b">
        <v>0</v>
      </c>
      <c r="J346" s="3" t="b">
        <v>0</v>
      </c>
      <c r="K346" s="3" t="s">
        <v>33</v>
      </c>
      <c r="L346" s="3" t="s">
        <v>34</v>
      </c>
      <c r="M346" s="8">
        <v>100000</v>
      </c>
      <c r="N346" s="11"/>
      <c r="O346" s="3" t="s">
        <v>2782</v>
      </c>
      <c r="P346" s="3" t="s">
        <v>2783</v>
      </c>
    </row>
    <row r="347" spans="1:16" x14ac:dyDescent="0.3">
      <c r="A347" s="3" t="s">
        <v>103</v>
      </c>
      <c r="B347" s="3" t="s">
        <v>1899</v>
      </c>
      <c r="C347" s="3" t="s">
        <v>3321</v>
      </c>
      <c r="D347" s="3" t="s">
        <v>188</v>
      </c>
      <c r="E347" s="3" t="s">
        <v>31</v>
      </c>
      <c r="F347" s="3" t="b">
        <v>0</v>
      </c>
      <c r="G347" s="3" t="s">
        <v>140</v>
      </c>
      <c r="H347" s="6">
        <v>44929.898738425924</v>
      </c>
      <c r="I347" s="3" t="b">
        <v>1</v>
      </c>
      <c r="J347" s="3" t="b">
        <v>0</v>
      </c>
      <c r="K347" s="3" t="s">
        <v>33</v>
      </c>
      <c r="L347" s="3" t="s">
        <v>34</v>
      </c>
      <c r="M347" s="8">
        <v>70000</v>
      </c>
      <c r="N347" s="11"/>
      <c r="O347" s="3" t="s">
        <v>189</v>
      </c>
      <c r="P347" s="3" t="s">
        <v>3322</v>
      </c>
    </row>
    <row r="348" spans="1:16" x14ac:dyDescent="0.3">
      <c r="A348" s="3" t="s">
        <v>103</v>
      </c>
      <c r="B348" s="3" t="s">
        <v>1190</v>
      </c>
      <c r="C348" s="3" t="s">
        <v>321</v>
      </c>
      <c r="D348" s="3" t="s">
        <v>30</v>
      </c>
      <c r="E348" s="3" t="s">
        <v>133</v>
      </c>
      <c r="F348" s="3" t="b">
        <v>0</v>
      </c>
      <c r="G348" s="3" t="s">
        <v>140</v>
      </c>
      <c r="H348" s="6">
        <v>44956.710682870369</v>
      </c>
      <c r="I348" s="3" t="b">
        <v>1</v>
      </c>
      <c r="J348" s="3" t="b">
        <v>0</v>
      </c>
      <c r="K348" s="3" t="s">
        <v>33</v>
      </c>
      <c r="L348" s="3" t="s">
        <v>48</v>
      </c>
      <c r="M348" s="8"/>
      <c r="N348" s="11">
        <v>52.5</v>
      </c>
      <c r="O348" s="3" t="s">
        <v>1021</v>
      </c>
      <c r="P348" s="3" t="s">
        <v>3323</v>
      </c>
    </row>
    <row r="349" spans="1:16" x14ac:dyDescent="0.3">
      <c r="A349" s="3" t="s">
        <v>103</v>
      </c>
      <c r="B349" s="3" t="s">
        <v>103</v>
      </c>
      <c r="C349" s="3" t="s">
        <v>109</v>
      </c>
      <c r="D349" s="3" t="s">
        <v>76</v>
      </c>
      <c r="E349" s="3" t="s">
        <v>31</v>
      </c>
      <c r="F349" s="3" t="b">
        <v>0</v>
      </c>
      <c r="G349" s="3" t="s">
        <v>58</v>
      </c>
      <c r="H349" s="6">
        <v>44954.751168981478</v>
      </c>
      <c r="I349" s="3" t="b">
        <v>0</v>
      </c>
      <c r="J349" s="3" t="b">
        <v>1</v>
      </c>
      <c r="K349" s="3" t="s">
        <v>33</v>
      </c>
      <c r="L349" s="3" t="s">
        <v>34</v>
      </c>
      <c r="M349" s="8">
        <v>85000</v>
      </c>
      <c r="N349" s="11"/>
      <c r="O349" s="3" t="s">
        <v>3324</v>
      </c>
      <c r="P349" s="3" t="s">
        <v>3325</v>
      </c>
    </row>
    <row r="350" spans="1:16" x14ac:dyDescent="0.3">
      <c r="A350" s="3" t="s">
        <v>103</v>
      </c>
      <c r="B350" s="3" t="s">
        <v>3326</v>
      </c>
      <c r="C350" s="3" t="s">
        <v>807</v>
      </c>
      <c r="D350" s="3" t="s">
        <v>41</v>
      </c>
      <c r="E350" s="3" t="s">
        <v>31</v>
      </c>
      <c r="F350" s="3" t="b">
        <v>0</v>
      </c>
      <c r="G350" s="3" t="s">
        <v>808</v>
      </c>
      <c r="H350" s="6">
        <v>44946.349687499998</v>
      </c>
      <c r="I350" s="3" t="b">
        <v>1</v>
      </c>
      <c r="J350" s="3" t="b">
        <v>0</v>
      </c>
      <c r="K350" s="3" t="s">
        <v>808</v>
      </c>
      <c r="L350" s="3" t="s">
        <v>34</v>
      </c>
      <c r="M350" s="8">
        <v>79200</v>
      </c>
      <c r="N350" s="11"/>
      <c r="O350" s="3" t="s">
        <v>3327</v>
      </c>
      <c r="P350" s="3" t="s">
        <v>1545</v>
      </c>
    </row>
    <row r="351" spans="1:16" x14ac:dyDescent="0.3">
      <c r="A351" s="3" t="s">
        <v>103</v>
      </c>
      <c r="B351" s="3" t="s">
        <v>103</v>
      </c>
      <c r="C351" s="3" t="s">
        <v>3336</v>
      </c>
      <c r="D351" s="3" t="s">
        <v>53</v>
      </c>
      <c r="E351" s="3" t="s">
        <v>31</v>
      </c>
      <c r="F351" s="3" t="b">
        <v>0</v>
      </c>
      <c r="G351" s="3" t="s">
        <v>84</v>
      </c>
      <c r="H351" s="6">
        <v>44942.721087962957</v>
      </c>
      <c r="I351" s="3" t="b">
        <v>1</v>
      </c>
      <c r="J351" s="3" t="b">
        <v>0</v>
      </c>
      <c r="K351" s="3" t="s">
        <v>33</v>
      </c>
      <c r="L351" s="3" t="s">
        <v>34</v>
      </c>
      <c r="M351" s="8">
        <v>57000</v>
      </c>
      <c r="N351" s="11"/>
      <c r="O351" s="3" t="s">
        <v>3337</v>
      </c>
      <c r="P351" s="3" t="s">
        <v>3338</v>
      </c>
    </row>
    <row r="352" spans="1:16" x14ac:dyDescent="0.3">
      <c r="A352" s="3" t="s">
        <v>103</v>
      </c>
      <c r="B352" s="3" t="s">
        <v>103</v>
      </c>
      <c r="C352" s="3" t="s">
        <v>3356</v>
      </c>
      <c r="D352" s="3" t="s">
        <v>76</v>
      </c>
      <c r="E352" s="3" t="s">
        <v>31</v>
      </c>
      <c r="F352" s="3" t="b">
        <v>0</v>
      </c>
      <c r="G352" s="3" t="s">
        <v>84</v>
      </c>
      <c r="H352" s="6">
        <v>44930.60428240741</v>
      </c>
      <c r="I352" s="3" t="b">
        <v>0</v>
      </c>
      <c r="J352" s="3" t="b">
        <v>1</v>
      </c>
      <c r="K352" s="3" t="s">
        <v>33</v>
      </c>
      <c r="L352" s="3" t="s">
        <v>34</v>
      </c>
      <c r="M352" s="8">
        <v>45000</v>
      </c>
      <c r="N352" s="11"/>
      <c r="O352" s="3" t="s">
        <v>3357</v>
      </c>
      <c r="P352" s="3" t="s">
        <v>405</v>
      </c>
    </row>
    <row r="353" spans="1:16" x14ac:dyDescent="0.3">
      <c r="A353" s="3" t="s">
        <v>103</v>
      </c>
      <c r="B353" s="3" t="s">
        <v>103</v>
      </c>
      <c r="C353" s="3" t="s">
        <v>3367</v>
      </c>
      <c r="D353" s="3" t="s">
        <v>30</v>
      </c>
      <c r="E353" s="3" t="s">
        <v>31</v>
      </c>
      <c r="F353" s="3" t="b">
        <v>0</v>
      </c>
      <c r="G353" s="3" t="s">
        <v>88</v>
      </c>
      <c r="H353" s="6">
        <v>44949.793692129628</v>
      </c>
      <c r="I353" s="3" t="b">
        <v>0</v>
      </c>
      <c r="J353" s="3" t="b">
        <v>0</v>
      </c>
      <c r="K353" s="3" t="s">
        <v>33</v>
      </c>
      <c r="L353" s="3" t="s">
        <v>34</v>
      </c>
      <c r="M353" s="8">
        <v>97500</v>
      </c>
      <c r="N353" s="11"/>
      <c r="O353" s="3" t="s">
        <v>114</v>
      </c>
      <c r="P353" s="3" t="s">
        <v>3368</v>
      </c>
    </row>
    <row r="354" spans="1:16" x14ac:dyDescent="0.3">
      <c r="A354" s="3" t="s">
        <v>103</v>
      </c>
      <c r="B354" s="3" t="s">
        <v>1190</v>
      </c>
      <c r="C354" s="3" t="s">
        <v>83</v>
      </c>
      <c r="D354" s="3" t="s">
        <v>30</v>
      </c>
      <c r="E354" s="3" t="s">
        <v>133</v>
      </c>
      <c r="F354" s="3" t="b">
        <v>0</v>
      </c>
      <c r="G354" s="3" t="s">
        <v>64</v>
      </c>
      <c r="H354" s="6">
        <v>44942.803240740737</v>
      </c>
      <c r="I354" s="3" t="b">
        <v>0</v>
      </c>
      <c r="J354" s="3" t="b">
        <v>0</v>
      </c>
      <c r="K354" s="3" t="s">
        <v>33</v>
      </c>
      <c r="L354" s="3" t="s">
        <v>34</v>
      </c>
      <c r="M354" s="8">
        <v>115000</v>
      </c>
      <c r="N354" s="11"/>
      <c r="O354" s="3" t="s">
        <v>2200</v>
      </c>
      <c r="P354" s="3" t="s">
        <v>3369</v>
      </c>
    </row>
    <row r="355" spans="1:16" x14ac:dyDescent="0.3">
      <c r="A355" s="3" t="s">
        <v>103</v>
      </c>
      <c r="B355" s="3" t="s">
        <v>3371</v>
      </c>
      <c r="C355" s="3" t="s">
        <v>3372</v>
      </c>
      <c r="D355" s="3" t="s">
        <v>30</v>
      </c>
      <c r="E355" s="3" t="s">
        <v>31</v>
      </c>
      <c r="F355" s="3" t="b">
        <v>0</v>
      </c>
      <c r="G355" s="3" t="s">
        <v>64</v>
      </c>
      <c r="H355" s="6">
        <v>44940.583784722221</v>
      </c>
      <c r="I355" s="3" t="b">
        <v>0</v>
      </c>
      <c r="J355" s="3" t="b">
        <v>1</v>
      </c>
      <c r="K355" s="3" t="s">
        <v>33</v>
      </c>
      <c r="L355" s="3" t="s">
        <v>34</v>
      </c>
      <c r="M355" s="8">
        <v>121065</v>
      </c>
      <c r="N355" s="11"/>
      <c r="O355" s="3" t="s">
        <v>550</v>
      </c>
      <c r="P355" s="3" t="s">
        <v>3373</v>
      </c>
    </row>
    <row r="356" spans="1:16" x14ac:dyDescent="0.3">
      <c r="A356" s="3" t="s">
        <v>103</v>
      </c>
      <c r="B356" s="3" t="s">
        <v>3374</v>
      </c>
      <c r="C356" s="3" t="s">
        <v>682</v>
      </c>
      <c r="D356" s="3" t="s">
        <v>3375</v>
      </c>
      <c r="E356" s="3" t="s">
        <v>31</v>
      </c>
      <c r="F356" s="3" t="b">
        <v>0</v>
      </c>
      <c r="G356" s="3" t="s">
        <v>64</v>
      </c>
      <c r="H356" s="6">
        <v>44933.333541666667</v>
      </c>
      <c r="I356" s="3" t="b">
        <v>0</v>
      </c>
      <c r="J356" s="3" t="b">
        <v>1</v>
      </c>
      <c r="K356" s="3" t="s">
        <v>33</v>
      </c>
      <c r="L356" s="3" t="s">
        <v>34</v>
      </c>
      <c r="M356" s="8">
        <v>218500</v>
      </c>
      <c r="N356" s="11"/>
      <c r="O356" s="3" t="s">
        <v>3376</v>
      </c>
      <c r="P356" s="3" t="s">
        <v>3377</v>
      </c>
    </row>
    <row r="357" spans="1:16" x14ac:dyDescent="0.3">
      <c r="A357" s="3" t="s">
        <v>103</v>
      </c>
      <c r="B357" s="3" t="s">
        <v>1896</v>
      </c>
      <c r="C357" s="3" t="s">
        <v>417</v>
      </c>
      <c r="D357" s="3" t="s">
        <v>30</v>
      </c>
      <c r="E357" s="3" t="s">
        <v>31</v>
      </c>
      <c r="F357" s="3" t="b">
        <v>0</v>
      </c>
      <c r="G357" s="3" t="s">
        <v>58</v>
      </c>
      <c r="H357" s="6">
        <v>44943.835104166668</v>
      </c>
      <c r="I357" s="3" t="b">
        <v>1</v>
      </c>
      <c r="J357" s="3" t="b">
        <v>0</v>
      </c>
      <c r="K357" s="3" t="s">
        <v>33</v>
      </c>
      <c r="L357" s="3" t="s">
        <v>34</v>
      </c>
      <c r="M357" s="8">
        <v>75000</v>
      </c>
      <c r="N357" s="11"/>
      <c r="O357" s="3" t="s">
        <v>3380</v>
      </c>
      <c r="P357" s="3" t="s">
        <v>3381</v>
      </c>
    </row>
    <row r="358" spans="1:16" x14ac:dyDescent="0.3">
      <c r="A358" s="3" t="s">
        <v>103</v>
      </c>
      <c r="B358" s="3" t="s">
        <v>3382</v>
      </c>
      <c r="C358" s="3" t="s">
        <v>87</v>
      </c>
      <c r="D358" s="3" t="s">
        <v>76</v>
      </c>
      <c r="E358" s="3" t="s">
        <v>133</v>
      </c>
      <c r="F358" s="3" t="b">
        <v>1</v>
      </c>
      <c r="G358" s="3" t="s">
        <v>84</v>
      </c>
      <c r="H358" s="6">
        <v>44943.918680555558</v>
      </c>
      <c r="I358" s="3" t="b">
        <v>0</v>
      </c>
      <c r="J358" s="3" t="b">
        <v>1</v>
      </c>
      <c r="K358" s="3" t="s">
        <v>33</v>
      </c>
      <c r="L358" s="3" t="s">
        <v>48</v>
      </c>
      <c r="M358" s="8"/>
      <c r="N358" s="11">
        <v>63.215000152587891</v>
      </c>
      <c r="O358" s="3" t="s">
        <v>3383</v>
      </c>
      <c r="P358" s="3" t="s">
        <v>3384</v>
      </c>
    </row>
    <row r="359" spans="1:16" x14ac:dyDescent="0.3">
      <c r="A359" s="3" t="s">
        <v>103</v>
      </c>
      <c r="B359" s="3" t="s">
        <v>103</v>
      </c>
      <c r="C359" s="3" t="s">
        <v>87</v>
      </c>
      <c r="D359" s="3" t="s">
        <v>30</v>
      </c>
      <c r="E359" s="3" t="s">
        <v>31</v>
      </c>
      <c r="F359" s="3" t="b">
        <v>1</v>
      </c>
      <c r="G359" s="3" t="s">
        <v>110</v>
      </c>
      <c r="H359" s="6">
        <v>44934.06009259259</v>
      </c>
      <c r="I359" s="3" t="b">
        <v>0</v>
      </c>
      <c r="J359" s="3" t="b">
        <v>0</v>
      </c>
      <c r="K359" s="3" t="s">
        <v>110</v>
      </c>
      <c r="L359" s="3" t="s">
        <v>34</v>
      </c>
      <c r="M359" s="8">
        <v>112500</v>
      </c>
      <c r="N359" s="11"/>
      <c r="O359" s="3" t="s">
        <v>2782</v>
      </c>
      <c r="P359" s="3" t="s">
        <v>2783</v>
      </c>
    </row>
    <row r="360" spans="1:16" x14ac:dyDescent="0.3">
      <c r="A360" s="3" t="s">
        <v>103</v>
      </c>
      <c r="B360" s="3" t="s">
        <v>3399</v>
      </c>
      <c r="C360" s="3" t="s">
        <v>588</v>
      </c>
      <c r="D360" s="3" t="s">
        <v>390</v>
      </c>
      <c r="E360" s="3" t="s">
        <v>31</v>
      </c>
      <c r="F360" s="3" t="b">
        <v>0</v>
      </c>
      <c r="G360" s="3" t="s">
        <v>88</v>
      </c>
      <c r="H360" s="6">
        <v>44939.461585648147</v>
      </c>
      <c r="I360" s="3" t="b">
        <v>0</v>
      </c>
      <c r="J360" s="3" t="b">
        <v>0</v>
      </c>
      <c r="K360" s="3" t="s">
        <v>33</v>
      </c>
      <c r="L360" s="3" t="s">
        <v>34</v>
      </c>
      <c r="M360" s="8">
        <v>172015</v>
      </c>
      <c r="N360" s="11"/>
      <c r="O360" s="3" t="s">
        <v>119</v>
      </c>
      <c r="P360" s="3" t="s">
        <v>3400</v>
      </c>
    </row>
    <row r="361" spans="1:16" x14ac:dyDescent="0.3">
      <c r="A361" s="3" t="s">
        <v>103</v>
      </c>
      <c r="B361" s="3" t="s">
        <v>3408</v>
      </c>
      <c r="C361" s="3" t="s">
        <v>969</v>
      </c>
      <c r="D361" s="3" t="s">
        <v>76</v>
      </c>
      <c r="E361" s="3" t="s">
        <v>31</v>
      </c>
      <c r="F361" s="3" t="b">
        <v>0</v>
      </c>
      <c r="G361" s="3" t="s">
        <v>32</v>
      </c>
      <c r="H361" s="6">
        <v>44953.834618055553</v>
      </c>
      <c r="I361" s="3" t="b">
        <v>0</v>
      </c>
      <c r="J361" s="3" t="b">
        <v>0</v>
      </c>
      <c r="K361" s="3" t="s">
        <v>33</v>
      </c>
      <c r="L361" s="3" t="s">
        <v>34</v>
      </c>
      <c r="M361" s="8">
        <v>104750</v>
      </c>
      <c r="N361" s="11"/>
      <c r="O361" s="3" t="s">
        <v>3409</v>
      </c>
      <c r="P361" s="3" t="s">
        <v>3410</v>
      </c>
    </row>
    <row r="362" spans="1:16" x14ac:dyDescent="0.3">
      <c r="A362" s="3" t="s">
        <v>103</v>
      </c>
      <c r="B362" s="3" t="s">
        <v>3416</v>
      </c>
      <c r="C362" s="3" t="s">
        <v>620</v>
      </c>
      <c r="D362" s="3" t="s">
        <v>30</v>
      </c>
      <c r="E362" s="3" t="s">
        <v>31</v>
      </c>
      <c r="F362" s="3" t="b">
        <v>0</v>
      </c>
      <c r="G362" s="3" t="s">
        <v>58</v>
      </c>
      <c r="H362" s="6">
        <v>44932.33488425926</v>
      </c>
      <c r="I362" s="3" t="b">
        <v>0</v>
      </c>
      <c r="J362" s="3" t="b">
        <v>0</v>
      </c>
      <c r="K362" s="3" t="s">
        <v>33</v>
      </c>
      <c r="L362" s="3" t="s">
        <v>48</v>
      </c>
      <c r="M362" s="8"/>
      <c r="N362" s="11">
        <v>45</v>
      </c>
      <c r="O362" s="3" t="s">
        <v>3417</v>
      </c>
      <c r="P362" s="3" t="s">
        <v>3418</v>
      </c>
    </row>
    <row r="363" spans="1:16" x14ac:dyDescent="0.3">
      <c r="A363" s="3" t="s">
        <v>103</v>
      </c>
      <c r="B363" s="3" t="s">
        <v>3421</v>
      </c>
      <c r="C363" s="3" t="s">
        <v>641</v>
      </c>
      <c r="D363" s="3" t="s">
        <v>53</v>
      </c>
      <c r="E363" s="3" t="s">
        <v>31</v>
      </c>
      <c r="F363" s="3" t="b">
        <v>0</v>
      </c>
      <c r="G363" s="3" t="s">
        <v>88</v>
      </c>
      <c r="H363" s="6">
        <v>44943.918993055559</v>
      </c>
      <c r="I363" s="3" t="b">
        <v>0</v>
      </c>
      <c r="J363" s="3" t="b">
        <v>0</v>
      </c>
      <c r="K363" s="3" t="s">
        <v>33</v>
      </c>
      <c r="L363" s="3" t="s">
        <v>48</v>
      </c>
      <c r="M363" s="8"/>
      <c r="N363" s="11">
        <v>21.5</v>
      </c>
      <c r="O363" s="3" t="s">
        <v>3422</v>
      </c>
      <c r="P363" s="3" t="s">
        <v>3206</v>
      </c>
    </row>
    <row r="364" spans="1:16" x14ac:dyDescent="0.3">
      <c r="A364" s="3" t="s">
        <v>103</v>
      </c>
      <c r="B364" s="3" t="s">
        <v>3425</v>
      </c>
      <c r="C364" s="3" t="s">
        <v>3426</v>
      </c>
      <c r="D364" s="3" t="s">
        <v>76</v>
      </c>
      <c r="E364" s="3" t="s">
        <v>31</v>
      </c>
      <c r="F364" s="3" t="b">
        <v>0</v>
      </c>
      <c r="G364" s="3" t="s">
        <v>88</v>
      </c>
      <c r="H364" s="6">
        <v>44930.668495370373</v>
      </c>
      <c r="I364" s="3" t="b">
        <v>1</v>
      </c>
      <c r="J364" s="3" t="b">
        <v>1</v>
      </c>
      <c r="K364" s="3" t="s">
        <v>33</v>
      </c>
      <c r="L364" s="3" t="s">
        <v>48</v>
      </c>
      <c r="M364" s="8"/>
      <c r="N364" s="11">
        <v>22.5</v>
      </c>
      <c r="O364" s="3" t="s">
        <v>3427</v>
      </c>
      <c r="P364" s="3" t="s">
        <v>3428</v>
      </c>
    </row>
    <row r="365" spans="1:16" x14ac:dyDescent="0.3">
      <c r="A365" s="3" t="s">
        <v>103</v>
      </c>
      <c r="B365" s="3" t="s">
        <v>3455</v>
      </c>
      <c r="C365" s="3" t="s">
        <v>3024</v>
      </c>
      <c r="D365" s="3" t="s">
        <v>93</v>
      </c>
      <c r="E365" s="3" t="s">
        <v>31</v>
      </c>
      <c r="F365" s="3" t="b">
        <v>0</v>
      </c>
      <c r="G365" s="3" t="s">
        <v>32</v>
      </c>
      <c r="H365" s="6">
        <v>44953.417986111112</v>
      </c>
      <c r="I365" s="3" t="b">
        <v>0</v>
      </c>
      <c r="J365" s="3" t="b">
        <v>1</v>
      </c>
      <c r="K365" s="3" t="s">
        <v>33</v>
      </c>
      <c r="L365" s="3" t="s">
        <v>34</v>
      </c>
      <c r="M365" s="8">
        <v>115000</v>
      </c>
      <c r="N365" s="11"/>
      <c r="O365" s="3" t="s">
        <v>3456</v>
      </c>
      <c r="P365" s="3" t="s">
        <v>3457</v>
      </c>
    </row>
    <row r="366" spans="1:16" x14ac:dyDescent="0.3">
      <c r="A366" s="3" t="s">
        <v>103</v>
      </c>
      <c r="B366" s="3" t="s">
        <v>1578</v>
      </c>
      <c r="C366" s="3" t="s">
        <v>835</v>
      </c>
      <c r="D366" s="3" t="s">
        <v>41</v>
      </c>
      <c r="E366" s="3" t="s">
        <v>31</v>
      </c>
      <c r="F366" s="3" t="b">
        <v>0</v>
      </c>
      <c r="G366" s="3" t="s">
        <v>836</v>
      </c>
      <c r="H366" s="6">
        <v>44945.560729166667</v>
      </c>
      <c r="I366" s="3" t="b">
        <v>1</v>
      </c>
      <c r="J366" s="3" t="b">
        <v>0</v>
      </c>
      <c r="K366" s="3" t="s">
        <v>836</v>
      </c>
      <c r="L366" s="3" t="s">
        <v>34</v>
      </c>
      <c r="M366" s="8">
        <v>51014</v>
      </c>
      <c r="N366" s="11"/>
      <c r="O366" s="3" t="s">
        <v>875</v>
      </c>
      <c r="P366" s="3" t="s">
        <v>2642</v>
      </c>
    </row>
    <row r="367" spans="1:16" x14ac:dyDescent="0.3">
      <c r="A367" s="3" t="s">
        <v>103</v>
      </c>
      <c r="B367" s="3" t="s">
        <v>3466</v>
      </c>
      <c r="C367" s="3" t="s">
        <v>1996</v>
      </c>
      <c r="D367" s="3" t="s">
        <v>41</v>
      </c>
      <c r="E367" s="3" t="s">
        <v>31</v>
      </c>
      <c r="F367" s="3" t="b">
        <v>0</v>
      </c>
      <c r="G367" s="3" t="s">
        <v>797</v>
      </c>
      <c r="H367" s="6">
        <v>44952.349293981482</v>
      </c>
      <c r="I367" s="3" t="b">
        <v>0</v>
      </c>
      <c r="J367" s="3" t="b">
        <v>0</v>
      </c>
      <c r="K367" s="3" t="s">
        <v>797</v>
      </c>
      <c r="L367" s="3" t="s">
        <v>34</v>
      </c>
      <c r="M367" s="8">
        <v>51014</v>
      </c>
      <c r="N367" s="11"/>
      <c r="O367" s="3" t="s">
        <v>3467</v>
      </c>
      <c r="P367" s="3" t="s">
        <v>3468</v>
      </c>
    </row>
    <row r="368" spans="1:16" x14ac:dyDescent="0.3">
      <c r="A368" s="3" t="s">
        <v>103</v>
      </c>
      <c r="B368" s="3" t="s">
        <v>3471</v>
      </c>
      <c r="C368" s="3" t="s">
        <v>109</v>
      </c>
      <c r="D368" s="3" t="s">
        <v>76</v>
      </c>
      <c r="E368" s="3" t="s">
        <v>31</v>
      </c>
      <c r="F368" s="3" t="b">
        <v>0</v>
      </c>
      <c r="G368" s="3" t="s">
        <v>58</v>
      </c>
      <c r="H368" s="6">
        <v>44949.834537037037</v>
      </c>
      <c r="I368" s="3" t="b">
        <v>0</v>
      </c>
      <c r="J368" s="3" t="b">
        <v>0</v>
      </c>
      <c r="K368" s="3" t="s">
        <v>33</v>
      </c>
      <c r="L368" s="3" t="s">
        <v>34</v>
      </c>
      <c r="M368" s="8">
        <v>52366.3984375</v>
      </c>
      <c r="N368" s="11"/>
      <c r="O368" s="3" t="s">
        <v>3472</v>
      </c>
      <c r="P368" s="3" t="s">
        <v>3473</v>
      </c>
    </row>
    <row r="369" spans="1:16" x14ac:dyDescent="0.3">
      <c r="A369" s="3" t="s">
        <v>103</v>
      </c>
      <c r="B369" s="3" t="s">
        <v>1382</v>
      </c>
      <c r="C369" s="3" t="s">
        <v>1488</v>
      </c>
      <c r="D369" s="3" t="s">
        <v>76</v>
      </c>
      <c r="E369" s="3" t="s">
        <v>31</v>
      </c>
      <c r="F369" s="3" t="b">
        <v>0</v>
      </c>
      <c r="G369" s="3" t="s">
        <v>84</v>
      </c>
      <c r="H369" s="6">
        <v>44938.709861111107</v>
      </c>
      <c r="I369" s="3" t="b">
        <v>0</v>
      </c>
      <c r="J369" s="3" t="b">
        <v>1</v>
      </c>
      <c r="K369" s="3" t="s">
        <v>33</v>
      </c>
      <c r="L369" s="3" t="s">
        <v>34</v>
      </c>
      <c r="M369" s="8">
        <v>52500</v>
      </c>
      <c r="N369" s="11"/>
      <c r="O369" s="3" t="s">
        <v>3486</v>
      </c>
      <c r="P369" s="3" t="s">
        <v>3487</v>
      </c>
    </row>
    <row r="370" spans="1:16" x14ac:dyDescent="0.3">
      <c r="A370" s="3" t="s">
        <v>103</v>
      </c>
      <c r="B370" s="3" t="s">
        <v>3511</v>
      </c>
      <c r="C370" s="3" t="s">
        <v>826</v>
      </c>
      <c r="D370" s="3" t="s">
        <v>106</v>
      </c>
      <c r="E370" s="3" t="s">
        <v>31</v>
      </c>
      <c r="F370" s="3" t="b">
        <v>0</v>
      </c>
      <c r="G370" s="3" t="s">
        <v>88</v>
      </c>
      <c r="H370" s="6">
        <v>44954.668414351851</v>
      </c>
      <c r="I370" s="3" t="b">
        <v>1</v>
      </c>
      <c r="J370" s="3" t="b">
        <v>1</v>
      </c>
      <c r="K370" s="3" t="s">
        <v>33</v>
      </c>
      <c r="L370" s="3" t="s">
        <v>34</v>
      </c>
      <c r="M370" s="8">
        <v>57500</v>
      </c>
      <c r="N370" s="11"/>
      <c r="O370" s="3" t="s">
        <v>3512</v>
      </c>
      <c r="P370" s="3" t="s">
        <v>3513</v>
      </c>
    </row>
    <row r="371" spans="1:16" x14ac:dyDescent="0.3">
      <c r="A371" s="3" t="s">
        <v>103</v>
      </c>
      <c r="B371" s="3" t="s">
        <v>3326</v>
      </c>
      <c r="C371" s="3" t="s">
        <v>270</v>
      </c>
      <c r="D371" s="3" t="s">
        <v>287</v>
      </c>
      <c r="E371" s="3" t="s">
        <v>31</v>
      </c>
      <c r="F371" s="3" t="b">
        <v>0</v>
      </c>
      <c r="G371" s="3" t="s">
        <v>32</v>
      </c>
      <c r="H371" s="6">
        <v>44939.00099537037</v>
      </c>
      <c r="I371" s="3" t="b">
        <v>1</v>
      </c>
      <c r="J371" s="3" t="b">
        <v>1</v>
      </c>
      <c r="K371" s="3" t="s">
        <v>33</v>
      </c>
      <c r="L371" s="3" t="s">
        <v>34</v>
      </c>
      <c r="M371" s="8">
        <v>80000</v>
      </c>
      <c r="N371" s="11"/>
      <c r="O371" s="3" t="s">
        <v>3517</v>
      </c>
      <c r="P371" s="3" t="s">
        <v>3518</v>
      </c>
    </row>
    <row r="372" spans="1:16" x14ac:dyDescent="0.3">
      <c r="A372" s="3" t="s">
        <v>103</v>
      </c>
      <c r="B372" s="3" t="s">
        <v>103</v>
      </c>
      <c r="C372" s="3" t="s">
        <v>75</v>
      </c>
      <c r="D372" s="3" t="s">
        <v>41</v>
      </c>
      <c r="E372" s="3" t="s">
        <v>31</v>
      </c>
      <c r="F372" s="3" t="b">
        <v>0</v>
      </c>
      <c r="G372" s="3" t="s">
        <v>84</v>
      </c>
      <c r="H372" s="6">
        <v>44928.792696759258</v>
      </c>
      <c r="I372" s="3" t="b">
        <v>0</v>
      </c>
      <c r="J372" s="3" t="b">
        <v>1</v>
      </c>
      <c r="K372" s="3" t="s">
        <v>33</v>
      </c>
      <c r="L372" s="3" t="s">
        <v>34</v>
      </c>
      <c r="M372" s="8">
        <v>111202</v>
      </c>
      <c r="N372" s="11"/>
      <c r="O372" s="3" t="s">
        <v>2279</v>
      </c>
      <c r="P372" s="3" t="s">
        <v>3526</v>
      </c>
    </row>
    <row r="373" spans="1:16" x14ac:dyDescent="0.3">
      <c r="A373" s="3" t="s">
        <v>103</v>
      </c>
      <c r="B373" s="3" t="s">
        <v>3533</v>
      </c>
      <c r="C373" s="3" t="s">
        <v>29</v>
      </c>
      <c r="D373" s="3" t="s">
        <v>30</v>
      </c>
      <c r="E373" s="3" t="s">
        <v>31</v>
      </c>
      <c r="F373" s="3" t="b">
        <v>0</v>
      </c>
      <c r="G373" s="3" t="s">
        <v>32</v>
      </c>
      <c r="H373" s="6">
        <v>44937.251828703702</v>
      </c>
      <c r="I373" s="3" t="b">
        <v>0</v>
      </c>
      <c r="J373" s="3" t="b">
        <v>1</v>
      </c>
      <c r="K373" s="3" t="s">
        <v>33</v>
      </c>
      <c r="L373" s="3" t="s">
        <v>34</v>
      </c>
      <c r="M373" s="8">
        <v>118222</v>
      </c>
      <c r="N373" s="11"/>
      <c r="O373" s="3" t="s">
        <v>35</v>
      </c>
      <c r="P373" s="3" t="s">
        <v>3534</v>
      </c>
    </row>
    <row r="374" spans="1:16" x14ac:dyDescent="0.3">
      <c r="A374" s="3" t="s">
        <v>103</v>
      </c>
      <c r="B374" s="3" t="s">
        <v>2400</v>
      </c>
      <c r="C374" s="3" t="s">
        <v>87</v>
      </c>
      <c r="D374" s="3" t="s">
        <v>3535</v>
      </c>
      <c r="E374" s="3" t="s">
        <v>133</v>
      </c>
      <c r="F374" s="3" t="b">
        <v>1</v>
      </c>
      <c r="G374" s="3" t="s">
        <v>32</v>
      </c>
      <c r="H374" s="6">
        <v>44937.33489583333</v>
      </c>
      <c r="I374" s="3" t="b">
        <v>0</v>
      </c>
      <c r="J374" s="3" t="b">
        <v>1</v>
      </c>
      <c r="K374" s="3" t="s">
        <v>33</v>
      </c>
      <c r="L374" s="3" t="s">
        <v>48</v>
      </c>
      <c r="M374" s="8"/>
      <c r="N374" s="11">
        <v>60</v>
      </c>
      <c r="O374" s="3" t="s">
        <v>3536</v>
      </c>
      <c r="P374" s="3" t="s">
        <v>2402</v>
      </c>
    </row>
    <row r="375" spans="1:16" x14ac:dyDescent="0.3">
      <c r="A375" s="3" t="s">
        <v>103</v>
      </c>
      <c r="B375" s="3" t="s">
        <v>103</v>
      </c>
      <c r="C375" s="3" t="s">
        <v>79</v>
      </c>
      <c r="D375" s="3" t="s">
        <v>76</v>
      </c>
      <c r="E375" s="3" t="s">
        <v>31</v>
      </c>
      <c r="F375" s="3" t="b">
        <v>0</v>
      </c>
      <c r="G375" s="3" t="s">
        <v>58</v>
      </c>
      <c r="H375" s="6">
        <v>44931.667708333327</v>
      </c>
      <c r="I375" s="3" t="b">
        <v>0</v>
      </c>
      <c r="J375" s="3" t="b">
        <v>1</v>
      </c>
      <c r="K375" s="3" t="s">
        <v>33</v>
      </c>
      <c r="L375" s="3" t="s">
        <v>48</v>
      </c>
      <c r="M375" s="8"/>
      <c r="N375" s="11">
        <v>28</v>
      </c>
      <c r="O375" s="3" t="s">
        <v>3537</v>
      </c>
      <c r="P375" s="3" t="s">
        <v>3538</v>
      </c>
    </row>
    <row r="376" spans="1:16" x14ac:dyDescent="0.3">
      <c r="A376" s="3" t="s">
        <v>103</v>
      </c>
      <c r="B376" s="3" t="s">
        <v>3543</v>
      </c>
      <c r="C376" s="3" t="s">
        <v>2808</v>
      </c>
      <c r="D376" s="3" t="s">
        <v>41</v>
      </c>
      <c r="E376" s="3" t="s">
        <v>31</v>
      </c>
      <c r="F376" s="3" t="b">
        <v>0</v>
      </c>
      <c r="G376" s="3" t="s">
        <v>359</v>
      </c>
      <c r="H376" s="6">
        <v>44949.913055555553</v>
      </c>
      <c r="I376" s="3" t="b">
        <v>0</v>
      </c>
      <c r="J376" s="3" t="b">
        <v>0</v>
      </c>
      <c r="K376" s="3" t="s">
        <v>359</v>
      </c>
      <c r="L376" s="3" t="s">
        <v>34</v>
      </c>
      <c r="M376" s="8">
        <v>51014</v>
      </c>
      <c r="N376" s="11"/>
      <c r="O376" s="3" t="s">
        <v>2809</v>
      </c>
      <c r="P376" s="3" t="s">
        <v>3544</v>
      </c>
    </row>
    <row r="377" spans="1:16" x14ac:dyDescent="0.3">
      <c r="A377" s="3" t="s">
        <v>103</v>
      </c>
      <c r="B377" s="3" t="s">
        <v>3561</v>
      </c>
      <c r="C377" s="3" t="s">
        <v>906</v>
      </c>
      <c r="D377" s="3" t="s">
        <v>41</v>
      </c>
      <c r="E377" s="3" t="s">
        <v>31</v>
      </c>
      <c r="F377" s="3" t="b">
        <v>0</v>
      </c>
      <c r="G377" s="3" t="s">
        <v>42</v>
      </c>
      <c r="H377" s="6">
        <v>44928.647789351853</v>
      </c>
      <c r="I377" s="3" t="b">
        <v>0</v>
      </c>
      <c r="J377" s="3" t="b">
        <v>0</v>
      </c>
      <c r="K377" s="3" t="s">
        <v>42</v>
      </c>
      <c r="L377" s="3" t="s">
        <v>34</v>
      </c>
      <c r="M377" s="8">
        <v>111202</v>
      </c>
      <c r="N377" s="11"/>
      <c r="O377" s="3" t="s">
        <v>3562</v>
      </c>
      <c r="P377" s="3" t="s">
        <v>1545</v>
      </c>
    </row>
    <row r="378" spans="1:16" x14ac:dyDescent="0.3">
      <c r="A378" s="3" t="s">
        <v>103</v>
      </c>
      <c r="B378" s="3" t="s">
        <v>3566</v>
      </c>
      <c r="C378" s="3" t="s">
        <v>3567</v>
      </c>
      <c r="D378" s="3" t="s">
        <v>76</v>
      </c>
      <c r="E378" s="3" t="s">
        <v>31</v>
      </c>
      <c r="F378" s="3" t="b">
        <v>0</v>
      </c>
      <c r="G378" s="3" t="s">
        <v>64</v>
      </c>
      <c r="H378" s="6">
        <v>44935.791875000003</v>
      </c>
      <c r="I378" s="3" t="b">
        <v>0</v>
      </c>
      <c r="J378" s="3" t="b">
        <v>1</v>
      </c>
      <c r="K378" s="3" t="s">
        <v>33</v>
      </c>
      <c r="L378" s="3" t="s">
        <v>34</v>
      </c>
      <c r="M378" s="8">
        <v>55080</v>
      </c>
      <c r="N378" s="11"/>
      <c r="O378" s="3" t="s">
        <v>3568</v>
      </c>
      <c r="P378" s="3" t="s">
        <v>323</v>
      </c>
    </row>
    <row r="379" spans="1:16" x14ac:dyDescent="0.3">
      <c r="A379" s="3" t="s">
        <v>103</v>
      </c>
      <c r="B379" s="3" t="s">
        <v>103</v>
      </c>
      <c r="C379" s="3" t="s">
        <v>1877</v>
      </c>
      <c r="D379" s="3" t="s">
        <v>30</v>
      </c>
      <c r="E379" s="3" t="s">
        <v>133</v>
      </c>
      <c r="F379" s="3" t="b">
        <v>0</v>
      </c>
      <c r="G379" s="3" t="s">
        <v>64</v>
      </c>
      <c r="H379" s="6">
        <v>44950.792118055557</v>
      </c>
      <c r="I379" s="3" t="b">
        <v>0</v>
      </c>
      <c r="J379" s="3" t="b">
        <v>0</v>
      </c>
      <c r="K379" s="3" t="s">
        <v>33</v>
      </c>
      <c r="L379" s="3" t="s">
        <v>48</v>
      </c>
      <c r="M379" s="8"/>
      <c r="N379" s="11">
        <v>45</v>
      </c>
      <c r="O379" s="3" t="s">
        <v>114</v>
      </c>
      <c r="P379" s="3" t="s">
        <v>3571</v>
      </c>
    </row>
    <row r="380" spans="1:16" x14ac:dyDescent="0.3">
      <c r="A380" s="3" t="s">
        <v>103</v>
      </c>
      <c r="B380" s="3" t="s">
        <v>1896</v>
      </c>
      <c r="C380" s="3" t="s">
        <v>3577</v>
      </c>
      <c r="D380" s="3" t="s">
        <v>804</v>
      </c>
      <c r="E380" s="3" t="s">
        <v>133</v>
      </c>
      <c r="F380" s="3" t="b">
        <v>0</v>
      </c>
      <c r="G380" s="3" t="s">
        <v>84</v>
      </c>
      <c r="H380" s="6">
        <v>44940.002870370372</v>
      </c>
      <c r="I380" s="3" t="b">
        <v>1</v>
      </c>
      <c r="J380" s="3" t="b">
        <v>1</v>
      </c>
      <c r="K380" s="3" t="s">
        <v>33</v>
      </c>
      <c r="L380" s="3" t="s">
        <v>48</v>
      </c>
      <c r="M380" s="8"/>
      <c r="N380" s="11">
        <v>35</v>
      </c>
      <c r="O380" s="3" t="s">
        <v>3578</v>
      </c>
      <c r="P380" s="3" t="s">
        <v>1367</v>
      </c>
    </row>
    <row r="381" spans="1:16" x14ac:dyDescent="0.3">
      <c r="A381" s="3" t="s">
        <v>103</v>
      </c>
      <c r="B381" s="3" t="s">
        <v>3579</v>
      </c>
      <c r="C381" s="3" t="s">
        <v>3580</v>
      </c>
      <c r="D381" s="3" t="s">
        <v>76</v>
      </c>
      <c r="E381" s="3"/>
      <c r="F381" s="3" t="b">
        <v>0</v>
      </c>
      <c r="G381" s="3" t="s">
        <v>84</v>
      </c>
      <c r="H381" s="6">
        <v>44947.168854166674</v>
      </c>
      <c r="I381" s="3" t="b">
        <v>0</v>
      </c>
      <c r="J381" s="3" t="b">
        <v>1</v>
      </c>
      <c r="K381" s="3" t="s">
        <v>33</v>
      </c>
      <c r="L381" s="3" t="s">
        <v>48</v>
      </c>
      <c r="M381" s="8"/>
      <c r="N381" s="11">
        <v>38.5</v>
      </c>
      <c r="O381" s="3" t="s">
        <v>3383</v>
      </c>
      <c r="P381" s="3" t="s">
        <v>1048</v>
      </c>
    </row>
    <row r="382" spans="1:16" x14ac:dyDescent="0.3">
      <c r="A382" s="3" t="s">
        <v>103</v>
      </c>
      <c r="B382" s="3" t="s">
        <v>795</v>
      </c>
      <c r="C382" s="3" t="s">
        <v>3123</v>
      </c>
      <c r="D382" s="3" t="s">
        <v>41</v>
      </c>
      <c r="E382" s="3" t="s">
        <v>31</v>
      </c>
      <c r="F382" s="3" t="b">
        <v>0</v>
      </c>
      <c r="G382" s="3" t="s">
        <v>797</v>
      </c>
      <c r="H382" s="6">
        <v>44939.071238425917</v>
      </c>
      <c r="I382" s="3" t="b">
        <v>0</v>
      </c>
      <c r="J382" s="3" t="b">
        <v>0</v>
      </c>
      <c r="K382" s="3" t="s">
        <v>797</v>
      </c>
      <c r="L382" s="3" t="s">
        <v>34</v>
      </c>
      <c r="M382" s="8">
        <v>80850</v>
      </c>
      <c r="N382" s="11"/>
      <c r="O382" s="3" t="s">
        <v>798</v>
      </c>
      <c r="P382" s="3" t="s">
        <v>799</v>
      </c>
    </row>
    <row r="383" spans="1:16" x14ac:dyDescent="0.3">
      <c r="A383" s="3" t="s">
        <v>103</v>
      </c>
      <c r="B383" s="3" t="s">
        <v>3587</v>
      </c>
      <c r="C383" s="3" t="s">
        <v>3588</v>
      </c>
      <c r="D383" s="3" t="s">
        <v>3589</v>
      </c>
      <c r="E383" s="3" t="s">
        <v>31</v>
      </c>
      <c r="F383" s="3" t="b">
        <v>0</v>
      </c>
      <c r="G383" s="3" t="s">
        <v>140</v>
      </c>
      <c r="H383" s="6">
        <v>44955.010405092587</v>
      </c>
      <c r="I383" s="3" t="b">
        <v>0</v>
      </c>
      <c r="J383" s="3" t="b">
        <v>0</v>
      </c>
      <c r="K383" s="3" t="s">
        <v>33</v>
      </c>
      <c r="L383" s="3" t="s">
        <v>48</v>
      </c>
      <c r="M383" s="8"/>
      <c r="N383" s="11">
        <v>24</v>
      </c>
      <c r="O383" s="3" t="s">
        <v>3590</v>
      </c>
      <c r="P383" s="3" t="s">
        <v>3591</v>
      </c>
    </row>
    <row r="384" spans="1:16" x14ac:dyDescent="0.3">
      <c r="A384" s="3" t="s">
        <v>103</v>
      </c>
      <c r="B384" s="3" t="s">
        <v>103</v>
      </c>
      <c r="C384" s="3" t="s">
        <v>3367</v>
      </c>
      <c r="D384" s="3" t="s">
        <v>76</v>
      </c>
      <c r="E384" s="3" t="s">
        <v>31</v>
      </c>
      <c r="F384" s="3" t="b">
        <v>0</v>
      </c>
      <c r="G384" s="3" t="s">
        <v>88</v>
      </c>
      <c r="H384" s="6">
        <v>44944.002349537041</v>
      </c>
      <c r="I384" s="3" t="b">
        <v>1</v>
      </c>
      <c r="J384" s="3" t="b">
        <v>1</v>
      </c>
      <c r="K384" s="3" t="s">
        <v>33</v>
      </c>
      <c r="L384" s="3" t="s">
        <v>48</v>
      </c>
      <c r="M384" s="8"/>
      <c r="N384" s="11">
        <v>21</v>
      </c>
      <c r="O384" s="3" t="s">
        <v>3592</v>
      </c>
      <c r="P384" s="3" t="s">
        <v>3593</v>
      </c>
    </row>
    <row r="385" spans="1:16" x14ac:dyDescent="0.3">
      <c r="A385" s="3" t="s">
        <v>103</v>
      </c>
      <c r="B385" s="3" t="s">
        <v>103</v>
      </c>
      <c r="C385" s="3" t="s">
        <v>3600</v>
      </c>
      <c r="D385" s="3" t="s">
        <v>41</v>
      </c>
      <c r="E385" s="3" t="s">
        <v>31</v>
      </c>
      <c r="F385" s="3" t="b">
        <v>0</v>
      </c>
      <c r="G385" s="3" t="s">
        <v>3601</v>
      </c>
      <c r="H385" s="6">
        <v>44938.387418981481</v>
      </c>
      <c r="I385" s="3" t="b">
        <v>1</v>
      </c>
      <c r="J385" s="3" t="b">
        <v>0</v>
      </c>
      <c r="K385" s="3" t="s">
        <v>3601</v>
      </c>
      <c r="L385" s="3" t="s">
        <v>34</v>
      </c>
      <c r="M385" s="8">
        <v>45000</v>
      </c>
      <c r="N385" s="11"/>
      <c r="O385" s="3" t="s">
        <v>875</v>
      </c>
      <c r="P385" s="3" t="s">
        <v>806</v>
      </c>
    </row>
    <row r="386" spans="1:16" x14ac:dyDescent="0.3">
      <c r="A386" s="3" t="s">
        <v>103</v>
      </c>
      <c r="B386" s="3" t="s">
        <v>3604</v>
      </c>
      <c r="C386" s="3" t="s">
        <v>87</v>
      </c>
      <c r="D386" s="3" t="s">
        <v>53</v>
      </c>
      <c r="E386" s="3" t="s">
        <v>31</v>
      </c>
      <c r="F386" s="3" t="b">
        <v>1</v>
      </c>
      <c r="G386" s="3" t="s">
        <v>140</v>
      </c>
      <c r="H386" s="6">
        <v>44950.789976851847</v>
      </c>
      <c r="I386" s="3" t="b">
        <v>1</v>
      </c>
      <c r="J386" s="3" t="b">
        <v>0</v>
      </c>
      <c r="K386" s="3" t="s">
        <v>33</v>
      </c>
      <c r="L386" s="3" t="s">
        <v>48</v>
      </c>
      <c r="M386" s="8"/>
      <c r="N386" s="11">
        <v>51</v>
      </c>
      <c r="O386" s="3" t="s">
        <v>3605</v>
      </c>
      <c r="P386" s="3" t="s">
        <v>3606</v>
      </c>
    </row>
    <row r="387" spans="1:16" x14ac:dyDescent="0.3">
      <c r="A387" s="3" t="s">
        <v>103</v>
      </c>
      <c r="B387" s="3" t="s">
        <v>3616</v>
      </c>
      <c r="C387" s="3" t="s">
        <v>3617</v>
      </c>
      <c r="D387" s="3" t="s">
        <v>76</v>
      </c>
      <c r="E387" s="3" t="s">
        <v>31</v>
      </c>
      <c r="F387" s="3" t="b">
        <v>0</v>
      </c>
      <c r="G387" s="3" t="s">
        <v>110</v>
      </c>
      <c r="H387" s="6">
        <v>44935.815555555557</v>
      </c>
      <c r="I387" s="3" t="b">
        <v>0</v>
      </c>
      <c r="J387" s="3" t="b">
        <v>1</v>
      </c>
      <c r="K387" s="3" t="s">
        <v>110</v>
      </c>
      <c r="L387" s="3" t="s">
        <v>48</v>
      </c>
      <c r="M387" s="8"/>
      <c r="N387" s="11">
        <v>60</v>
      </c>
      <c r="O387" s="3" t="s">
        <v>3618</v>
      </c>
      <c r="P387" s="3" t="s">
        <v>3619</v>
      </c>
    </row>
    <row r="388" spans="1:16" x14ac:dyDescent="0.3">
      <c r="A388" s="3" t="s">
        <v>103</v>
      </c>
      <c r="B388" s="3" t="s">
        <v>3629</v>
      </c>
      <c r="C388" s="3" t="s">
        <v>2965</v>
      </c>
      <c r="D388" s="3" t="s">
        <v>76</v>
      </c>
      <c r="E388" s="3" t="s">
        <v>31</v>
      </c>
      <c r="F388" s="3" t="b">
        <v>0</v>
      </c>
      <c r="G388" s="3" t="s">
        <v>32</v>
      </c>
      <c r="H388" s="6">
        <v>44945.595347222217</v>
      </c>
      <c r="I388" s="3" t="b">
        <v>0</v>
      </c>
      <c r="J388" s="3" t="b">
        <v>1</v>
      </c>
      <c r="K388" s="3" t="s">
        <v>33</v>
      </c>
      <c r="L388" s="3" t="s">
        <v>34</v>
      </c>
      <c r="M388" s="8">
        <v>85000</v>
      </c>
      <c r="N388" s="11"/>
      <c r="O388" s="3" t="s">
        <v>3630</v>
      </c>
      <c r="P388" s="3" t="s">
        <v>268</v>
      </c>
    </row>
    <row r="389" spans="1:16" x14ac:dyDescent="0.3">
      <c r="A389" s="3" t="s">
        <v>103</v>
      </c>
      <c r="B389" s="3" t="s">
        <v>3633</v>
      </c>
      <c r="C389" s="3" t="s">
        <v>3634</v>
      </c>
      <c r="D389" s="3" t="s">
        <v>76</v>
      </c>
      <c r="E389" s="3" t="s">
        <v>133</v>
      </c>
      <c r="F389" s="3" t="b">
        <v>0</v>
      </c>
      <c r="G389" s="3" t="s">
        <v>64</v>
      </c>
      <c r="H389" s="6">
        <v>44930.60224537037</v>
      </c>
      <c r="I389" s="3" t="b">
        <v>0</v>
      </c>
      <c r="J389" s="3" t="b">
        <v>1</v>
      </c>
      <c r="K389" s="3" t="s">
        <v>33</v>
      </c>
      <c r="L389" s="3" t="s">
        <v>48</v>
      </c>
      <c r="M389" s="8"/>
      <c r="N389" s="11">
        <v>33</v>
      </c>
      <c r="O389" s="3" t="s">
        <v>3635</v>
      </c>
      <c r="P389" s="3" t="s">
        <v>3636</v>
      </c>
    </row>
    <row r="390" spans="1:16" x14ac:dyDescent="0.3">
      <c r="A390" s="3" t="s">
        <v>103</v>
      </c>
      <c r="B390" s="3" t="s">
        <v>1125</v>
      </c>
      <c r="C390" s="3" t="s">
        <v>641</v>
      </c>
      <c r="D390" s="3" t="s">
        <v>76</v>
      </c>
      <c r="E390" s="3" t="s">
        <v>31</v>
      </c>
      <c r="F390" s="3" t="b">
        <v>0</v>
      </c>
      <c r="G390" s="3" t="s">
        <v>88</v>
      </c>
      <c r="H390" s="6">
        <v>44946.972233796303</v>
      </c>
      <c r="I390" s="3" t="b">
        <v>1</v>
      </c>
      <c r="J390" s="3" t="b">
        <v>1</v>
      </c>
      <c r="K390" s="3" t="s">
        <v>33</v>
      </c>
      <c r="L390" s="3" t="s">
        <v>34</v>
      </c>
      <c r="M390" s="8">
        <v>60000</v>
      </c>
      <c r="N390" s="11"/>
      <c r="O390" s="3" t="s">
        <v>3637</v>
      </c>
      <c r="P390" s="3" t="s">
        <v>3638</v>
      </c>
    </row>
    <row r="391" spans="1:16" x14ac:dyDescent="0.3">
      <c r="A391" s="3" t="s">
        <v>103</v>
      </c>
      <c r="B391" s="3" t="s">
        <v>103</v>
      </c>
      <c r="C391" s="3" t="s">
        <v>212</v>
      </c>
      <c r="D391" s="3" t="s">
        <v>41</v>
      </c>
      <c r="E391" s="3" t="s">
        <v>31</v>
      </c>
      <c r="F391" s="3" t="b">
        <v>0</v>
      </c>
      <c r="G391" s="3" t="s">
        <v>213</v>
      </c>
      <c r="H391" s="6">
        <v>44947.00677083333</v>
      </c>
      <c r="I391" s="3" t="b">
        <v>0</v>
      </c>
      <c r="J391" s="3" t="b">
        <v>0</v>
      </c>
      <c r="K391" s="3" t="s">
        <v>213</v>
      </c>
      <c r="L391" s="3" t="s">
        <v>34</v>
      </c>
      <c r="M391" s="8">
        <v>111175</v>
      </c>
      <c r="N391" s="11"/>
      <c r="O391" s="3" t="s">
        <v>875</v>
      </c>
      <c r="P391" s="3" t="s">
        <v>405</v>
      </c>
    </row>
    <row r="392" spans="1:16" x14ac:dyDescent="0.3">
      <c r="A392" s="3" t="s">
        <v>103</v>
      </c>
      <c r="B392" s="3" t="s">
        <v>103</v>
      </c>
      <c r="C392" s="3" t="s">
        <v>1244</v>
      </c>
      <c r="D392" s="3" t="s">
        <v>188</v>
      </c>
      <c r="E392" s="3" t="s">
        <v>31</v>
      </c>
      <c r="F392" s="3" t="b">
        <v>0</v>
      </c>
      <c r="G392" s="3" t="s">
        <v>32</v>
      </c>
      <c r="H392" s="6">
        <v>44945.042546296303</v>
      </c>
      <c r="I392" s="3" t="b">
        <v>1</v>
      </c>
      <c r="J392" s="3" t="b">
        <v>0</v>
      </c>
      <c r="K392" s="3" t="s">
        <v>33</v>
      </c>
      <c r="L392" s="3" t="s">
        <v>48</v>
      </c>
      <c r="M392" s="8"/>
      <c r="N392" s="11">
        <v>50</v>
      </c>
      <c r="O392" s="3" t="s">
        <v>114</v>
      </c>
      <c r="P392" s="3" t="s">
        <v>3641</v>
      </c>
    </row>
    <row r="393" spans="1:16" x14ac:dyDescent="0.3">
      <c r="A393" s="3" t="s">
        <v>103</v>
      </c>
      <c r="B393" s="3" t="s">
        <v>103</v>
      </c>
      <c r="C393" s="3" t="s">
        <v>3018</v>
      </c>
      <c r="D393" s="3" t="s">
        <v>307</v>
      </c>
      <c r="E393" s="3" t="s">
        <v>133</v>
      </c>
      <c r="F393" s="3" t="b">
        <v>0</v>
      </c>
      <c r="G393" s="3" t="s">
        <v>88</v>
      </c>
      <c r="H393" s="6">
        <v>44946.555625000001</v>
      </c>
      <c r="I393" s="3" t="b">
        <v>1</v>
      </c>
      <c r="J393" s="3" t="b">
        <v>0</v>
      </c>
      <c r="K393" s="3" t="s">
        <v>33</v>
      </c>
      <c r="L393" s="3" t="s">
        <v>34</v>
      </c>
      <c r="M393" s="8">
        <v>75000</v>
      </c>
      <c r="N393" s="11"/>
      <c r="O393" s="3" t="s">
        <v>114</v>
      </c>
      <c r="P393" s="3" t="s">
        <v>1597</v>
      </c>
    </row>
    <row r="394" spans="1:16" x14ac:dyDescent="0.3">
      <c r="A394" s="3" t="s">
        <v>103</v>
      </c>
      <c r="B394" s="3" t="s">
        <v>3645</v>
      </c>
      <c r="C394" s="3" t="s">
        <v>3349</v>
      </c>
      <c r="D394" s="3" t="s">
        <v>30</v>
      </c>
      <c r="E394" s="3" t="s">
        <v>133</v>
      </c>
      <c r="F394" s="3" t="b">
        <v>0</v>
      </c>
      <c r="G394" s="3" t="s">
        <v>88</v>
      </c>
      <c r="H394" s="6">
        <v>44952.672175925924</v>
      </c>
      <c r="I394" s="3" t="b">
        <v>1</v>
      </c>
      <c r="J394" s="3" t="b">
        <v>0</v>
      </c>
      <c r="K394" s="3" t="s">
        <v>33</v>
      </c>
      <c r="L394" s="3" t="s">
        <v>48</v>
      </c>
      <c r="M394" s="8"/>
      <c r="N394" s="11">
        <v>37.5</v>
      </c>
      <c r="O394" s="3" t="s">
        <v>3646</v>
      </c>
      <c r="P394" s="3" t="s">
        <v>3647</v>
      </c>
    </row>
    <row r="395" spans="1:16" x14ac:dyDescent="0.3">
      <c r="A395" s="3" t="s">
        <v>103</v>
      </c>
      <c r="B395" s="3" t="s">
        <v>103</v>
      </c>
      <c r="C395" s="3" t="s">
        <v>321</v>
      </c>
      <c r="D395" s="3" t="s">
        <v>1408</v>
      </c>
      <c r="E395" s="3" t="s">
        <v>31</v>
      </c>
      <c r="F395" s="3" t="b">
        <v>0</v>
      </c>
      <c r="G395" s="3" t="s">
        <v>140</v>
      </c>
      <c r="H395" s="6">
        <v>44955.987175925933</v>
      </c>
      <c r="I395" s="3" t="b">
        <v>1</v>
      </c>
      <c r="J395" s="3" t="b">
        <v>0</v>
      </c>
      <c r="K395" s="3" t="s">
        <v>33</v>
      </c>
      <c r="L395" s="3" t="s">
        <v>48</v>
      </c>
      <c r="M395" s="8"/>
      <c r="N395" s="11">
        <v>24</v>
      </c>
      <c r="O395" s="3" t="s">
        <v>1445</v>
      </c>
      <c r="P395" s="3" t="s">
        <v>138</v>
      </c>
    </row>
    <row r="396" spans="1:16" x14ac:dyDescent="0.3">
      <c r="A396" s="3" t="s">
        <v>103</v>
      </c>
      <c r="B396" s="3" t="s">
        <v>2496</v>
      </c>
      <c r="C396" s="3" t="s">
        <v>417</v>
      </c>
      <c r="D396" s="3" t="s">
        <v>30</v>
      </c>
      <c r="E396" s="3" t="s">
        <v>133</v>
      </c>
      <c r="F396" s="3" t="b">
        <v>0</v>
      </c>
      <c r="G396" s="3" t="s">
        <v>58</v>
      </c>
      <c r="H396" s="6">
        <v>44943.626701388886</v>
      </c>
      <c r="I396" s="3" t="b">
        <v>0</v>
      </c>
      <c r="J396" s="3" t="b">
        <v>0</v>
      </c>
      <c r="K396" s="3" t="s">
        <v>33</v>
      </c>
      <c r="L396" s="3" t="s">
        <v>48</v>
      </c>
      <c r="M396" s="8"/>
      <c r="N396" s="11">
        <v>59</v>
      </c>
      <c r="O396" s="3" t="s">
        <v>502</v>
      </c>
      <c r="P396" s="3" t="s">
        <v>374</v>
      </c>
    </row>
    <row r="397" spans="1:16" x14ac:dyDescent="0.3">
      <c r="A397" s="3" t="s">
        <v>103</v>
      </c>
      <c r="B397" s="3" t="s">
        <v>3660</v>
      </c>
      <c r="C397" s="3" t="s">
        <v>3661</v>
      </c>
      <c r="D397" s="3" t="s">
        <v>41</v>
      </c>
      <c r="E397" s="3" t="s">
        <v>31</v>
      </c>
      <c r="F397" s="3" t="b">
        <v>0</v>
      </c>
      <c r="G397" s="3" t="s">
        <v>69</v>
      </c>
      <c r="H397" s="6">
        <v>44945.057233796288</v>
      </c>
      <c r="I397" s="3" t="b">
        <v>0</v>
      </c>
      <c r="J397" s="3" t="b">
        <v>0</v>
      </c>
      <c r="K397" s="3" t="s">
        <v>69</v>
      </c>
      <c r="L397" s="3" t="s">
        <v>34</v>
      </c>
      <c r="M397" s="8">
        <v>166419.5</v>
      </c>
      <c r="N397" s="11"/>
      <c r="O397" s="3" t="s">
        <v>3662</v>
      </c>
      <c r="P397" s="3" t="s">
        <v>3663</v>
      </c>
    </row>
    <row r="398" spans="1:16" x14ac:dyDescent="0.3">
      <c r="A398" s="3" t="s">
        <v>103</v>
      </c>
      <c r="B398" s="3" t="s">
        <v>103</v>
      </c>
      <c r="C398" s="3" t="s">
        <v>3668</v>
      </c>
      <c r="D398" s="3" t="s">
        <v>30</v>
      </c>
      <c r="E398" s="3" t="s">
        <v>31</v>
      </c>
      <c r="F398" s="3" t="b">
        <v>0</v>
      </c>
      <c r="G398" s="3" t="s">
        <v>58</v>
      </c>
      <c r="H398" s="6">
        <v>44930.834467592591</v>
      </c>
      <c r="I398" s="3" t="b">
        <v>1</v>
      </c>
      <c r="J398" s="3" t="b">
        <v>0</v>
      </c>
      <c r="K398" s="3" t="s">
        <v>33</v>
      </c>
      <c r="L398" s="3" t="s">
        <v>34</v>
      </c>
      <c r="M398" s="8">
        <v>95000</v>
      </c>
      <c r="N398" s="11"/>
      <c r="O398" s="3" t="s">
        <v>589</v>
      </c>
      <c r="P398" s="3" t="s">
        <v>3669</v>
      </c>
    </row>
    <row r="399" spans="1:16" x14ac:dyDescent="0.3">
      <c r="A399" s="3" t="s">
        <v>103</v>
      </c>
      <c r="B399" s="3" t="s">
        <v>3081</v>
      </c>
      <c r="C399" s="3" t="s">
        <v>636</v>
      </c>
      <c r="D399" s="3" t="s">
        <v>30</v>
      </c>
      <c r="E399" s="3" t="s">
        <v>31</v>
      </c>
      <c r="F399" s="3" t="b">
        <v>0</v>
      </c>
      <c r="G399" s="3" t="s">
        <v>58</v>
      </c>
      <c r="H399" s="6">
        <v>44930.645416666674</v>
      </c>
      <c r="I399" s="3" t="b">
        <v>0</v>
      </c>
      <c r="J399" s="3" t="b">
        <v>0</v>
      </c>
      <c r="K399" s="3" t="s">
        <v>33</v>
      </c>
      <c r="L399" s="3" t="s">
        <v>34</v>
      </c>
      <c r="M399" s="8">
        <v>87500</v>
      </c>
      <c r="N399" s="11"/>
      <c r="O399" s="3" t="s">
        <v>589</v>
      </c>
      <c r="P399" s="3" t="s">
        <v>3082</v>
      </c>
    </row>
    <row r="400" spans="1:16" x14ac:dyDescent="0.3">
      <c r="A400" s="3" t="s">
        <v>103</v>
      </c>
      <c r="B400" s="3" t="s">
        <v>3683</v>
      </c>
      <c r="C400" s="3" t="s">
        <v>739</v>
      </c>
      <c r="D400" s="3" t="s">
        <v>41</v>
      </c>
      <c r="E400" s="3" t="s">
        <v>31</v>
      </c>
      <c r="F400" s="3" t="b">
        <v>0</v>
      </c>
      <c r="G400" s="3" t="s">
        <v>740</v>
      </c>
      <c r="H400" s="6">
        <v>44952.127928240741</v>
      </c>
      <c r="I400" s="3" t="b">
        <v>1</v>
      </c>
      <c r="J400" s="3" t="b">
        <v>0</v>
      </c>
      <c r="K400" s="3" t="s">
        <v>740</v>
      </c>
      <c r="L400" s="3" t="s">
        <v>34</v>
      </c>
      <c r="M400" s="8">
        <v>111175</v>
      </c>
      <c r="N400" s="11"/>
      <c r="O400" s="3" t="s">
        <v>741</v>
      </c>
      <c r="P400" s="3" t="s">
        <v>3684</v>
      </c>
    </row>
    <row r="401" spans="1:16" x14ac:dyDescent="0.3">
      <c r="A401" s="3" t="s">
        <v>103</v>
      </c>
      <c r="B401" s="3" t="s">
        <v>3685</v>
      </c>
      <c r="C401" s="3" t="s">
        <v>520</v>
      </c>
      <c r="D401" s="3" t="s">
        <v>76</v>
      </c>
      <c r="E401" s="3" t="s">
        <v>31</v>
      </c>
      <c r="F401" s="3" t="b">
        <v>0</v>
      </c>
      <c r="G401" s="3" t="s">
        <v>88</v>
      </c>
      <c r="H401" s="6">
        <v>44946.054780092592</v>
      </c>
      <c r="I401" s="3" t="b">
        <v>0</v>
      </c>
      <c r="J401" s="3" t="b">
        <v>0</v>
      </c>
      <c r="K401" s="3" t="s">
        <v>33</v>
      </c>
      <c r="L401" s="3" t="s">
        <v>48</v>
      </c>
      <c r="M401" s="8"/>
      <c r="N401" s="11">
        <v>19.5</v>
      </c>
      <c r="O401" s="3" t="s">
        <v>3686</v>
      </c>
      <c r="P401" s="3" t="s">
        <v>3687</v>
      </c>
    </row>
    <row r="402" spans="1:16" x14ac:dyDescent="0.3">
      <c r="A402" s="3" t="s">
        <v>103</v>
      </c>
      <c r="B402" s="3" t="s">
        <v>3693</v>
      </c>
      <c r="C402" s="3" t="s">
        <v>240</v>
      </c>
      <c r="D402" s="3" t="s">
        <v>106</v>
      </c>
      <c r="E402" s="3" t="s">
        <v>31</v>
      </c>
      <c r="F402" s="3" t="b">
        <v>0</v>
      </c>
      <c r="G402" s="3" t="s">
        <v>64</v>
      </c>
      <c r="H402" s="6">
        <v>44940.583854166667</v>
      </c>
      <c r="I402" s="3" t="b">
        <v>0</v>
      </c>
      <c r="J402" s="3" t="b">
        <v>0</v>
      </c>
      <c r="K402" s="3" t="s">
        <v>33</v>
      </c>
      <c r="L402" s="3" t="s">
        <v>34</v>
      </c>
      <c r="M402" s="8">
        <v>72500</v>
      </c>
      <c r="N402" s="11"/>
      <c r="O402" s="3" t="s">
        <v>175</v>
      </c>
      <c r="P402" s="3" t="s">
        <v>3694</v>
      </c>
    </row>
    <row r="403" spans="1:16" x14ac:dyDescent="0.3">
      <c r="A403" s="3" t="s">
        <v>103</v>
      </c>
      <c r="B403" s="3" t="s">
        <v>103</v>
      </c>
      <c r="C403" s="3" t="s">
        <v>417</v>
      </c>
      <c r="D403" s="3" t="s">
        <v>429</v>
      </c>
      <c r="E403" s="3" t="s">
        <v>31</v>
      </c>
      <c r="F403" s="3" t="b">
        <v>0</v>
      </c>
      <c r="G403" s="3" t="s">
        <v>58</v>
      </c>
      <c r="H403" s="6">
        <v>44930.020532407398</v>
      </c>
      <c r="I403" s="3" t="b">
        <v>0</v>
      </c>
      <c r="J403" s="3" t="b">
        <v>0</v>
      </c>
      <c r="K403" s="3" t="s">
        <v>33</v>
      </c>
      <c r="L403" s="3" t="s">
        <v>48</v>
      </c>
      <c r="M403" s="8"/>
      <c r="N403" s="11">
        <v>24</v>
      </c>
      <c r="O403" s="3" t="s">
        <v>3701</v>
      </c>
      <c r="P403" s="3"/>
    </row>
    <row r="404" spans="1:16" x14ac:dyDescent="0.3">
      <c r="A404" s="3" t="s">
        <v>103</v>
      </c>
      <c r="B404" s="3" t="s">
        <v>3702</v>
      </c>
      <c r="C404" s="3" t="s">
        <v>565</v>
      </c>
      <c r="D404" s="3" t="s">
        <v>566</v>
      </c>
      <c r="E404" s="3" t="s">
        <v>31</v>
      </c>
      <c r="F404" s="3" t="b">
        <v>0</v>
      </c>
      <c r="G404" s="3" t="s">
        <v>140</v>
      </c>
      <c r="H404" s="6">
        <v>44943.015335648153</v>
      </c>
      <c r="I404" s="3" t="b">
        <v>0</v>
      </c>
      <c r="J404" s="3" t="b">
        <v>0</v>
      </c>
      <c r="K404" s="3" t="s">
        <v>33</v>
      </c>
      <c r="L404" s="3" t="s">
        <v>48</v>
      </c>
      <c r="M404" s="8"/>
      <c r="N404" s="11">
        <v>24</v>
      </c>
      <c r="O404" s="3" t="s">
        <v>3703</v>
      </c>
      <c r="P404" s="3"/>
    </row>
    <row r="405" spans="1:16" x14ac:dyDescent="0.3">
      <c r="A405" s="3" t="s">
        <v>103</v>
      </c>
      <c r="B405" s="3" t="s">
        <v>230</v>
      </c>
      <c r="C405" s="3" t="s">
        <v>321</v>
      </c>
      <c r="D405" s="3" t="s">
        <v>53</v>
      </c>
      <c r="E405" s="3" t="s">
        <v>31</v>
      </c>
      <c r="F405" s="3" t="b">
        <v>0</v>
      </c>
      <c r="G405" s="3" t="s">
        <v>140</v>
      </c>
      <c r="H405" s="6">
        <v>44951.860289351847</v>
      </c>
      <c r="I405" s="3" t="b">
        <v>0</v>
      </c>
      <c r="J405" s="3" t="b">
        <v>0</v>
      </c>
      <c r="K405" s="3" t="s">
        <v>33</v>
      </c>
      <c r="L405" s="3" t="s">
        <v>48</v>
      </c>
      <c r="M405" s="8"/>
      <c r="N405" s="11">
        <v>95.354995727539063</v>
      </c>
      <c r="O405" s="3" t="s">
        <v>245</v>
      </c>
      <c r="P405" s="3" t="s">
        <v>3704</v>
      </c>
    </row>
    <row r="406" spans="1:16" x14ac:dyDescent="0.3">
      <c r="A406" s="3" t="s">
        <v>103</v>
      </c>
      <c r="B406" s="3" t="s">
        <v>990</v>
      </c>
      <c r="C406" s="3" t="s">
        <v>321</v>
      </c>
      <c r="D406" s="3" t="s">
        <v>30</v>
      </c>
      <c r="E406" s="3" t="s">
        <v>31</v>
      </c>
      <c r="F406" s="3" t="b">
        <v>0</v>
      </c>
      <c r="G406" s="3" t="s">
        <v>140</v>
      </c>
      <c r="H406" s="6">
        <v>44939.930648148147</v>
      </c>
      <c r="I406" s="3" t="b">
        <v>0</v>
      </c>
      <c r="J406" s="3" t="b">
        <v>0</v>
      </c>
      <c r="K406" s="3" t="s">
        <v>33</v>
      </c>
      <c r="L406" s="3" t="s">
        <v>34</v>
      </c>
      <c r="M406" s="8">
        <v>65000</v>
      </c>
      <c r="N406" s="11"/>
      <c r="O406" s="3" t="s">
        <v>991</v>
      </c>
      <c r="P406" s="3" t="s">
        <v>992</v>
      </c>
    </row>
    <row r="407" spans="1:16" x14ac:dyDescent="0.3">
      <c r="A407" s="3" t="s">
        <v>103</v>
      </c>
      <c r="B407" s="3" t="s">
        <v>3720</v>
      </c>
      <c r="C407" s="3" t="s">
        <v>3721</v>
      </c>
      <c r="D407" s="3" t="s">
        <v>188</v>
      </c>
      <c r="E407" s="3" t="s">
        <v>133</v>
      </c>
      <c r="F407" s="3" t="b">
        <v>0</v>
      </c>
      <c r="G407" s="3" t="s">
        <v>32</v>
      </c>
      <c r="H407" s="6">
        <v>44953.501261574071</v>
      </c>
      <c r="I407" s="3" t="b">
        <v>1</v>
      </c>
      <c r="J407" s="3" t="b">
        <v>0</v>
      </c>
      <c r="K407" s="3" t="s">
        <v>33</v>
      </c>
      <c r="L407" s="3" t="s">
        <v>48</v>
      </c>
      <c r="M407" s="8"/>
      <c r="N407" s="11">
        <v>27.5</v>
      </c>
      <c r="O407" s="3" t="s">
        <v>3722</v>
      </c>
      <c r="P407" s="3" t="s">
        <v>3723</v>
      </c>
    </row>
    <row r="408" spans="1:16" x14ac:dyDescent="0.3">
      <c r="A408" s="3" t="s">
        <v>103</v>
      </c>
      <c r="B408" s="3" t="s">
        <v>3724</v>
      </c>
      <c r="C408" s="3" t="s">
        <v>87</v>
      </c>
      <c r="D408" s="3" t="s">
        <v>30</v>
      </c>
      <c r="E408" s="3" t="s">
        <v>31</v>
      </c>
      <c r="F408" s="3" t="b">
        <v>1</v>
      </c>
      <c r="G408" s="3" t="s">
        <v>64</v>
      </c>
      <c r="H408" s="6">
        <v>44949.791689814818</v>
      </c>
      <c r="I408" s="3" t="b">
        <v>0</v>
      </c>
      <c r="J408" s="3" t="b">
        <v>1</v>
      </c>
      <c r="K408" s="3" t="s">
        <v>33</v>
      </c>
      <c r="L408" s="3" t="s">
        <v>34</v>
      </c>
      <c r="M408" s="8">
        <v>95000</v>
      </c>
      <c r="N408" s="11"/>
      <c r="O408" s="3" t="s">
        <v>3725</v>
      </c>
      <c r="P408" s="3" t="s">
        <v>3303</v>
      </c>
    </row>
    <row r="409" spans="1:16" x14ac:dyDescent="0.3">
      <c r="A409" s="3" t="s">
        <v>103</v>
      </c>
      <c r="B409" s="3" t="s">
        <v>990</v>
      </c>
      <c r="C409" s="3" t="s">
        <v>321</v>
      </c>
      <c r="D409" s="3" t="s">
        <v>30</v>
      </c>
      <c r="E409" s="3" t="s">
        <v>31</v>
      </c>
      <c r="F409" s="3" t="b">
        <v>0</v>
      </c>
      <c r="G409" s="3" t="s">
        <v>140</v>
      </c>
      <c r="H409" s="6">
        <v>44950.665208333332</v>
      </c>
      <c r="I409" s="3" t="b">
        <v>0</v>
      </c>
      <c r="J409" s="3" t="b">
        <v>0</v>
      </c>
      <c r="K409" s="3" t="s">
        <v>33</v>
      </c>
      <c r="L409" s="3" t="s">
        <v>34</v>
      </c>
      <c r="M409" s="8">
        <v>65000</v>
      </c>
      <c r="N409" s="11"/>
      <c r="O409" s="3" t="s">
        <v>991</v>
      </c>
      <c r="P409" s="3" t="s">
        <v>992</v>
      </c>
    </row>
    <row r="410" spans="1:16" x14ac:dyDescent="0.3">
      <c r="A410" s="3" t="s">
        <v>103</v>
      </c>
      <c r="B410" s="3" t="s">
        <v>2182</v>
      </c>
      <c r="C410" s="3" t="s">
        <v>87</v>
      </c>
      <c r="D410" s="3" t="s">
        <v>76</v>
      </c>
      <c r="E410" s="3" t="s">
        <v>31</v>
      </c>
      <c r="F410" s="3" t="b">
        <v>1</v>
      </c>
      <c r="G410" s="3" t="s">
        <v>3728</v>
      </c>
      <c r="H410" s="6">
        <v>44944.499062499999</v>
      </c>
      <c r="I410" s="3" t="b">
        <v>0</v>
      </c>
      <c r="J410" s="3" t="b">
        <v>0</v>
      </c>
      <c r="K410" s="3" t="s">
        <v>3728</v>
      </c>
      <c r="L410" s="3" t="s">
        <v>34</v>
      </c>
      <c r="M410" s="8">
        <v>59000</v>
      </c>
      <c r="N410" s="11"/>
      <c r="O410" s="3" t="s">
        <v>1376</v>
      </c>
      <c r="P410" s="3" t="s">
        <v>2183</v>
      </c>
    </row>
    <row r="411" spans="1:16" x14ac:dyDescent="0.3">
      <c r="A411" s="3" t="s">
        <v>103</v>
      </c>
      <c r="B411" s="3" t="s">
        <v>3729</v>
      </c>
      <c r="C411" s="3" t="s">
        <v>83</v>
      </c>
      <c r="D411" s="3" t="s">
        <v>76</v>
      </c>
      <c r="E411" s="3" t="s">
        <v>31</v>
      </c>
      <c r="F411" s="3" t="b">
        <v>0</v>
      </c>
      <c r="G411" s="3" t="s">
        <v>64</v>
      </c>
      <c r="H411" s="6">
        <v>44949.625173611108</v>
      </c>
      <c r="I411" s="3" t="b">
        <v>1</v>
      </c>
      <c r="J411" s="3" t="b">
        <v>1</v>
      </c>
      <c r="K411" s="3" t="s">
        <v>33</v>
      </c>
      <c r="L411" s="3" t="s">
        <v>48</v>
      </c>
      <c r="M411" s="8"/>
      <c r="N411" s="11">
        <v>18</v>
      </c>
      <c r="O411" s="3" t="s">
        <v>3730</v>
      </c>
      <c r="P411" s="3"/>
    </row>
    <row r="412" spans="1:16" x14ac:dyDescent="0.3">
      <c r="A412" s="3" t="s">
        <v>103</v>
      </c>
      <c r="B412" s="3" t="s">
        <v>103</v>
      </c>
      <c r="C412" s="3"/>
      <c r="D412" s="3" t="s">
        <v>30</v>
      </c>
      <c r="E412" s="3" t="s">
        <v>133</v>
      </c>
      <c r="F412" s="3" t="b">
        <v>0</v>
      </c>
      <c r="G412" s="3" t="s">
        <v>140</v>
      </c>
      <c r="H412" s="6">
        <v>44945.813240740739</v>
      </c>
      <c r="I412" s="3" t="b">
        <v>1</v>
      </c>
      <c r="J412" s="3" t="b">
        <v>0</v>
      </c>
      <c r="K412" s="3" t="s">
        <v>33</v>
      </c>
      <c r="L412" s="3" t="s">
        <v>48</v>
      </c>
      <c r="M412" s="8"/>
      <c r="N412" s="11">
        <v>51.5</v>
      </c>
      <c r="O412" s="3" t="s">
        <v>502</v>
      </c>
      <c r="P412" s="3" t="s">
        <v>374</v>
      </c>
    </row>
    <row r="413" spans="1:16" x14ac:dyDescent="0.3">
      <c r="A413" s="3" t="s">
        <v>103</v>
      </c>
      <c r="B413" s="3" t="s">
        <v>3733</v>
      </c>
      <c r="C413" s="3" t="s">
        <v>3734</v>
      </c>
      <c r="D413" s="3" t="s">
        <v>41</v>
      </c>
      <c r="E413" s="3" t="s">
        <v>31</v>
      </c>
      <c r="F413" s="3" t="b">
        <v>0</v>
      </c>
      <c r="G413" s="3" t="s">
        <v>797</v>
      </c>
      <c r="H413" s="6">
        <v>44953.417928240742</v>
      </c>
      <c r="I413" s="3" t="b">
        <v>0</v>
      </c>
      <c r="J413" s="3" t="b">
        <v>0</v>
      </c>
      <c r="K413" s="3" t="s">
        <v>797</v>
      </c>
      <c r="L413" s="3" t="s">
        <v>34</v>
      </c>
      <c r="M413" s="8">
        <v>111175</v>
      </c>
      <c r="N413" s="11"/>
      <c r="O413" s="3" t="s">
        <v>3735</v>
      </c>
      <c r="P413" s="3" t="s">
        <v>3736</v>
      </c>
    </row>
    <row r="414" spans="1:16" x14ac:dyDescent="0.3">
      <c r="A414" s="3" t="s">
        <v>103</v>
      </c>
      <c r="B414" s="3" t="s">
        <v>3737</v>
      </c>
      <c r="C414" s="3" t="s">
        <v>960</v>
      </c>
      <c r="D414" s="3" t="s">
        <v>41</v>
      </c>
      <c r="E414" s="3" t="s">
        <v>31</v>
      </c>
      <c r="F414" s="3" t="b">
        <v>0</v>
      </c>
      <c r="G414" s="3" t="s">
        <v>961</v>
      </c>
      <c r="H414" s="6">
        <v>44942.880115740743</v>
      </c>
      <c r="I414" s="3" t="b">
        <v>0</v>
      </c>
      <c r="J414" s="3" t="b">
        <v>0</v>
      </c>
      <c r="K414" s="3" t="s">
        <v>961</v>
      </c>
      <c r="L414" s="3" t="s">
        <v>34</v>
      </c>
      <c r="M414" s="8">
        <v>163782</v>
      </c>
      <c r="N414" s="11"/>
      <c r="O414" s="3" t="s">
        <v>2086</v>
      </c>
      <c r="P414" s="3" t="s">
        <v>920</v>
      </c>
    </row>
    <row r="415" spans="1:16" x14ac:dyDescent="0.3">
      <c r="A415" s="3" t="s">
        <v>103</v>
      </c>
      <c r="B415" s="3" t="s">
        <v>3738</v>
      </c>
      <c r="C415" s="3" t="s">
        <v>3105</v>
      </c>
      <c r="D415" s="3" t="s">
        <v>106</v>
      </c>
      <c r="E415" s="3" t="s">
        <v>31</v>
      </c>
      <c r="F415" s="3" t="b">
        <v>0</v>
      </c>
      <c r="G415" s="3" t="s">
        <v>84</v>
      </c>
      <c r="H415" s="6">
        <v>44955.585011574083</v>
      </c>
      <c r="I415" s="3" t="b">
        <v>0</v>
      </c>
      <c r="J415" s="3" t="b">
        <v>0</v>
      </c>
      <c r="K415" s="3" t="s">
        <v>33</v>
      </c>
      <c r="L415" s="3" t="s">
        <v>48</v>
      </c>
      <c r="M415" s="8"/>
      <c r="N415" s="11">
        <v>21</v>
      </c>
      <c r="O415" s="3" t="s">
        <v>3106</v>
      </c>
      <c r="P415" s="3"/>
    </row>
    <row r="416" spans="1:16" x14ac:dyDescent="0.3">
      <c r="A416" s="3" t="s">
        <v>103</v>
      </c>
      <c r="B416" s="3" t="s">
        <v>3744</v>
      </c>
      <c r="C416" s="3" t="s">
        <v>1324</v>
      </c>
      <c r="D416" s="3" t="s">
        <v>41</v>
      </c>
      <c r="E416" s="3" t="s">
        <v>31</v>
      </c>
      <c r="F416" s="3" t="b">
        <v>0</v>
      </c>
      <c r="G416" s="3" t="s">
        <v>1324</v>
      </c>
      <c r="H416" s="6">
        <v>44943.976041666669</v>
      </c>
      <c r="I416" s="3" t="b">
        <v>0</v>
      </c>
      <c r="J416" s="3" t="b">
        <v>0</v>
      </c>
      <c r="K416" s="3" t="s">
        <v>1324</v>
      </c>
      <c r="L416" s="3" t="s">
        <v>34</v>
      </c>
      <c r="M416" s="8">
        <v>109500</v>
      </c>
      <c r="N416" s="11"/>
      <c r="O416" s="3" t="s">
        <v>3745</v>
      </c>
      <c r="P416" s="3" t="s">
        <v>3746</v>
      </c>
    </row>
    <row r="417" spans="1:16" x14ac:dyDescent="0.3">
      <c r="A417" s="3" t="s">
        <v>103</v>
      </c>
      <c r="B417" s="3" t="s">
        <v>3750</v>
      </c>
      <c r="C417" s="3" t="s">
        <v>57</v>
      </c>
      <c r="D417" s="3" t="s">
        <v>188</v>
      </c>
      <c r="E417" s="3" t="s">
        <v>133</v>
      </c>
      <c r="F417" s="3" t="b">
        <v>0</v>
      </c>
      <c r="G417" s="3" t="s">
        <v>58</v>
      </c>
      <c r="H417" s="6">
        <v>44938.959513888891</v>
      </c>
      <c r="I417" s="3" t="b">
        <v>1</v>
      </c>
      <c r="J417" s="3" t="b">
        <v>0</v>
      </c>
      <c r="K417" s="3" t="s">
        <v>33</v>
      </c>
      <c r="L417" s="3" t="s">
        <v>48</v>
      </c>
      <c r="M417" s="8"/>
      <c r="N417" s="11">
        <v>60</v>
      </c>
      <c r="O417" s="3" t="s">
        <v>3751</v>
      </c>
      <c r="P417" s="3" t="s">
        <v>3752</v>
      </c>
    </row>
    <row r="418" spans="1:16" x14ac:dyDescent="0.3">
      <c r="A418" s="3" t="s">
        <v>103</v>
      </c>
      <c r="B418" s="3" t="s">
        <v>103</v>
      </c>
      <c r="C418" s="3" t="s">
        <v>87</v>
      </c>
      <c r="D418" s="3" t="s">
        <v>30</v>
      </c>
      <c r="E418" s="3" t="s">
        <v>133</v>
      </c>
      <c r="F418" s="3" t="b">
        <v>1</v>
      </c>
      <c r="G418" s="3" t="s">
        <v>110</v>
      </c>
      <c r="H418" s="6">
        <v>44952.785925925928</v>
      </c>
      <c r="I418" s="3" t="b">
        <v>1</v>
      </c>
      <c r="J418" s="3" t="b">
        <v>0</v>
      </c>
      <c r="K418" s="3" t="s">
        <v>110</v>
      </c>
      <c r="L418" s="3" t="s">
        <v>48</v>
      </c>
      <c r="M418" s="8"/>
      <c r="N418" s="11">
        <v>38</v>
      </c>
      <c r="O418" s="3" t="s">
        <v>3755</v>
      </c>
      <c r="P418" s="3" t="s">
        <v>3281</v>
      </c>
    </row>
    <row r="419" spans="1:16" x14ac:dyDescent="0.3">
      <c r="A419" s="3" t="s">
        <v>103</v>
      </c>
      <c r="B419" s="3" t="s">
        <v>103</v>
      </c>
      <c r="C419" s="3" t="s">
        <v>3756</v>
      </c>
      <c r="D419" s="3" t="s">
        <v>827</v>
      </c>
      <c r="E419" s="3" t="s">
        <v>31</v>
      </c>
      <c r="F419" s="3" t="b">
        <v>0</v>
      </c>
      <c r="G419" s="3" t="s">
        <v>64</v>
      </c>
      <c r="H419" s="6">
        <v>44947.583449074067</v>
      </c>
      <c r="I419" s="3" t="b">
        <v>0</v>
      </c>
      <c r="J419" s="3" t="b">
        <v>1</v>
      </c>
      <c r="K419" s="3" t="s">
        <v>33</v>
      </c>
      <c r="L419" s="3" t="s">
        <v>34</v>
      </c>
      <c r="M419" s="8">
        <v>130000</v>
      </c>
      <c r="N419" s="11"/>
      <c r="O419" s="3" t="s">
        <v>997</v>
      </c>
      <c r="P419" s="3" t="s">
        <v>3757</v>
      </c>
    </row>
    <row r="420" spans="1:16" x14ac:dyDescent="0.3">
      <c r="A420" s="3" t="s">
        <v>103</v>
      </c>
      <c r="B420" s="3" t="s">
        <v>103</v>
      </c>
      <c r="C420" s="3" t="s">
        <v>3763</v>
      </c>
      <c r="D420" s="3" t="s">
        <v>3764</v>
      </c>
      <c r="E420" s="3" t="s">
        <v>31</v>
      </c>
      <c r="F420" s="3" t="b">
        <v>0</v>
      </c>
      <c r="G420" s="3" t="s">
        <v>84</v>
      </c>
      <c r="H420" s="6">
        <v>44955.001516203702</v>
      </c>
      <c r="I420" s="3" t="b">
        <v>0</v>
      </c>
      <c r="J420" s="3" t="b">
        <v>1</v>
      </c>
      <c r="K420" s="3" t="s">
        <v>33</v>
      </c>
      <c r="L420" s="3" t="s">
        <v>48</v>
      </c>
      <c r="M420" s="8"/>
      <c r="N420" s="11">
        <v>24</v>
      </c>
      <c r="O420" s="3" t="s">
        <v>1366</v>
      </c>
      <c r="P420" s="3" t="s">
        <v>873</v>
      </c>
    </row>
    <row r="421" spans="1:16" x14ac:dyDescent="0.3">
      <c r="A421" s="3" t="s">
        <v>103</v>
      </c>
      <c r="B421" s="3" t="s">
        <v>3765</v>
      </c>
      <c r="C421" s="3" t="s">
        <v>1917</v>
      </c>
      <c r="D421" s="3" t="s">
        <v>41</v>
      </c>
      <c r="E421" s="3" t="s">
        <v>1861</v>
      </c>
      <c r="F421" s="3" t="b">
        <v>0</v>
      </c>
      <c r="G421" s="3" t="s">
        <v>1917</v>
      </c>
      <c r="H421" s="6">
        <v>44936.98946759259</v>
      </c>
      <c r="I421" s="3" t="b">
        <v>0</v>
      </c>
      <c r="J421" s="3" t="b">
        <v>0</v>
      </c>
      <c r="K421" s="3" t="s">
        <v>1917</v>
      </c>
      <c r="L421" s="3" t="s">
        <v>34</v>
      </c>
      <c r="M421" s="8">
        <v>45000</v>
      </c>
      <c r="N421" s="11"/>
      <c r="O421" s="3" t="s">
        <v>875</v>
      </c>
      <c r="P421" s="3" t="s">
        <v>3766</v>
      </c>
    </row>
    <row r="422" spans="1:16" x14ac:dyDescent="0.3">
      <c r="A422" s="3" t="s">
        <v>103</v>
      </c>
      <c r="B422" s="3" t="s">
        <v>103</v>
      </c>
      <c r="C422" s="3" t="s">
        <v>3767</v>
      </c>
      <c r="D422" s="3" t="s">
        <v>30</v>
      </c>
      <c r="E422" s="3" t="s">
        <v>133</v>
      </c>
      <c r="F422" s="3" t="b">
        <v>0</v>
      </c>
      <c r="G422" s="3" t="s">
        <v>84</v>
      </c>
      <c r="H422" s="6">
        <v>44944.918923611112</v>
      </c>
      <c r="I422" s="3" t="b">
        <v>0</v>
      </c>
      <c r="J422" s="3" t="b">
        <v>0</v>
      </c>
      <c r="K422" s="3" t="s">
        <v>33</v>
      </c>
      <c r="L422" s="3" t="s">
        <v>34</v>
      </c>
      <c r="M422" s="8">
        <v>82500</v>
      </c>
      <c r="N422" s="11"/>
      <c r="O422" s="3" t="s">
        <v>3768</v>
      </c>
      <c r="P422" s="3" t="s">
        <v>405</v>
      </c>
    </row>
    <row r="423" spans="1:16" x14ac:dyDescent="0.3">
      <c r="A423" s="3" t="s">
        <v>103</v>
      </c>
      <c r="B423" s="3" t="s">
        <v>103</v>
      </c>
      <c r="C423" s="3" t="s">
        <v>3772</v>
      </c>
      <c r="D423" s="3" t="s">
        <v>3773</v>
      </c>
      <c r="E423" s="3" t="s">
        <v>31</v>
      </c>
      <c r="F423" s="3" t="b">
        <v>0</v>
      </c>
      <c r="G423" s="3" t="s">
        <v>84</v>
      </c>
      <c r="H423" s="6">
        <v>44932.335034722222</v>
      </c>
      <c r="I423" s="3" t="b">
        <v>0</v>
      </c>
      <c r="J423" s="3" t="b">
        <v>1</v>
      </c>
      <c r="K423" s="3" t="s">
        <v>33</v>
      </c>
      <c r="L423" s="3" t="s">
        <v>34</v>
      </c>
      <c r="M423" s="8">
        <v>43656</v>
      </c>
      <c r="N423" s="11"/>
      <c r="O423" s="3" t="s">
        <v>3774</v>
      </c>
      <c r="P423" s="3" t="s">
        <v>3775</v>
      </c>
    </row>
    <row r="424" spans="1:16" x14ac:dyDescent="0.3">
      <c r="A424" s="3" t="s">
        <v>103</v>
      </c>
      <c r="B424" s="3" t="s">
        <v>3791</v>
      </c>
      <c r="C424" s="3" t="s">
        <v>1877</v>
      </c>
      <c r="D424" s="3" t="s">
        <v>1013</v>
      </c>
      <c r="E424" s="3" t="s">
        <v>31</v>
      </c>
      <c r="F424" s="3" t="b">
        <v>0</v>
      </c>
      <c r="G424" s="3" t="s">
        <v>64</v>
      </c>
      <c r="H424" s="6">
        <v>44939.458587962959</v>
      </c>
      <c r="I424" s="3" t="b">
        <v>0</v>
      </c>
      <c r="J424" s="3" t="b">
        <v>0</v>
      </c>
      <c r="K424" s="3" t="s">
        <v>33</v>
      </c>
      <c r="L424" s="3" t="s">
        <v>34</v>
      </c>
      <c r="M424" s="8">
        <v>70600</v>
      </c>
      <c r="N424" s="11"/>
      <c r="O424" s="3" t="s">
        <v>98</v>
      </c>
      <c r="P424" s="3" t="s">
        <v>3792</v>
      </c>
    </row>
    <row r="425" spans="1:16" x14ac:dyDescent="0.3">
      <c r="A425" s="3" t="s">
        <v>103</v>
      </c>
      <c r="B425" s="3" t="s">
        <v>3797</v>
      </c>
      <c r="C425" s="3" t="s">
        <v>29</v>
      </c>
      <c r="D425" s="3" t="s">
        <v>76</v>
      </c>
      <c r="E425" s="3"/>
      <c r="F425" s="3" t="b">
        <v>0</v>
      </c>
      <c r="G425" s="3" t="s">
        <v>32</v>
      </c>
      <c r="H425" s="6">
        <v>44937.876689814817</v>
      </c>
      <c r="I425" s="3" t="b">
        <v>1</v>
      </c>
      <c r="J425" s="3" t="b">
        <v>0</v>
      </c>
      <c r="K425" s="3" t="s">
        <v>33</v>
      </c>
      <c r="L425" s="3" t="s">
        <v>48</v>
      </c>
      <c r="M425" s="8"/>
      <c r="N425" s="11">
        <v>88.5</v>
      </c>
      <c r="O425" s="3" t="s">
        <v>3798</v>
      </c>
      <c r="P425" s="3" t="s">
        <v>3799</v>
      </c>
    </row>
    <row r="426" spans="1:16" x14ac:dyDescent="0.3">
      <c r="A426" s="3" t="s">
        <v>103</v>
      </c>
      <c r="B426" s="3" t="s">
        <v>3803</v>
      </c>
      <c r="C426" s="3" t="s">
        <v>3804</v>
      </c>
      <c r="D426" s="3" t="s">
        <v>30</v>
      </c>
      <c r="E426" s="3" t="s">
        <v>31</v>
      </c>
      <c r="F426" s="3" t="b">
        <v>0</v>
      </c>
      <c r="G426" s="3" t="s">
        <v>84</v>
      </c>
      <c r="H426" s="6">
        <v>44937.752222222232</v>
      </c>
      <c r="I426" s="3" t="b">
        <v>0</v>
      </c>
      <c r="J426" s="3" t="b">
        <v>0</v>
      </c>
      <c r="K426" s="3" t="s">
        <v>33</v>
      </c>
      <c r="L426" s="3" t="s">
        <v>48</v>
      </c>
      <c r="M426" s="8"/>
      <c r="N426" s="11">
        <v>20</v>
      </c>
      <c r="O426" s="3" t="s">
        <v>3805</v>
      </c>
      <c r="P426" s="3" t="s">
        <v>405</v>
      </c>
    </row>
    <row r="427" spans="1:16" x14ac:dyDescent="0.3">
      <c r="A427" s="3" t="s">
        <v>103</v>
      </c>
      <c r="B427" s="3" t="s">
        <v>3806</v>
      </c>
      <c r="C427" s="3" t="s">
        <v>3807</v>
      </c>
      <c r="D427" s="3" t="s">
        <v>1850</v>
      </c>
      <c r="E427" s="3" t="s">
        <v>31</v>
      </c>
      <c r="F427" s="3" t="b">
        <v>0</v>
      </c>
      <c r="G427" s="3" t="s">
        <v>140</v>
      </c>
      <c r="H427" s="6">
        <v>44941.623657407406</v>
      </c>
      <c r="I427" s="3" t="b">
        <v>0</v>
      </c>
      <c r="J427" s="3" t="b">
        <v>0</v>
      </c>
      <c r="K427" s="3" t="s">
        <v>33</v>
      </c>
      <c r="L427" s="3" t="s">
        <v>48</v>
      </c>
      <c r="M427" s="8"/>
      <c r="N427" s="11">
        <v>12</v>
      </c>
      <c r="O427" s="3" t="s">
        <v>3808</v>
      </c>
      <c r="P427" s="3" t="s">
        <v>524</v>
      </c>
    </row>
    <row r="428" spans="1:16" x14ac:dyDescent="0.3">
      <c r="A428" s="3" t="s">
        <v>103</v>
      </c>
      <c r="B428" s="3" t="s">
        <v>103</v>
      </c>
      <c r="C428" s="3" t="s">
        <v>565</v>
      </c>
      <c r="D428" s="3" t="s">
        <v>30</v>
      </c>
      <c r="E428" s="3" t="s">
        <v>31</v>
      </c>
      <c r="F428" s="3" t="b">
        <v>0</v>
      </c>
      <c r="G428" s="3" t="s">
        <v>140</v>
      </c>
      <c r="H428" s="6">
        <v>44936.624259259261</v>
      </c>
      <c r="I428" s="3" t="b">
        <v>0</v>
      </c>
      <c r="J428" s="3" t="b">
        <v>1</v>
      </c>
      <c r="K428" s="3" t="s">
        <v>33</v>
      </c>
      <c r="L428" s="3" t="s">
        <v>34</v>
      </c>
      <c r="M428" s="8">
        <v>140000</v>
      </c>
      <c r="N428" s="11"/>
      <c r="O428" s="3" t="s">
        <v>617</v>
      </c>
      <c r="P428" s="3" t="s">
        <v>3812</v>
      </c>
    </row>
    <row r="429" spans="1:16" x14ac:dyDescent="0.3">
      <c r="A429" s="3" t="s">
        <v>103</v>
      </c>
      <c r="B429" s="3" t="s">
        <v>3815</v>
      </c>
      <c r="C429" s="3"/>
      <c r="D429" s="3" t="s">
        <v>41</v>
      </c>
      <c r="E429" s="3" t="s">
        <v>31</v>
      </c>
      <c r="F429" s="3" t="b">
        <v>0</v>
      </c>
      <c r="G429" s="3" t="s">
        <v>381</v>
      </c>
      <c r="H429" s="6">
        <v>44936.189016203702</v>
      </c>
      <c r="I429" s="3" t="b">
        <v>0</v>
      </c>
      <c r="J429" s="3" t="b">
        <v>0</v>
      </c>
      <c r="K429" s="3" t="s">
        <v>381</v>
      </c>
      <c r="L429" s="3" t="s">
        <v>34</v>
      </c>
      <c r="M429" s="8">
        <v>111202</v>
      </c>
      <c r="N429" s="11"/>
      <c r="O429" s="3" t="s">
        <v>382</v>
      </c>
      <c r="P429" s="3" t="s">
        <v>3816</v>
      </c>
    </row>
    <row r="430" spans="1:16" x14ac:dyDescent="0.3">
      <c r="A430" s="3" t="s">
        <v>103</v>
      </c>
      <c r="B430" s="3" t="s">
        <v>3817</v>
      </c>
      <c r="C430" s="3" t="s">
        <v>3096</v>
      </c>
      <c r="D430" s="3" t="s">
        <v>30</v>
      </c>
      <c r="E430" s="3" t="s">
        <v>31</v>
      </c>
      <c r="F430" s="3" t="b">
        <v>0</v>
      </c>
      <c r="G430" s="3" t="s">
        <v>64</v>
      </c>
      <c r="H430" s="6">
        <v>44937.749976851846</v>
      </c>
      <c r="I430" s="3" t="b">
        <v>0</v>
      </c>
      <c r="J430" s="3" t="b">
        <v>0</v>
      </c>
      <c r="K430" s="3" t="s">
        <v>33</v>
      </c>
      <c r="L430" s="3" t="s">
        <v>48</v>
      </c>
      <c r="M430" s="8"/>
      <c r="N430" s="11">
        <v>28</v>
      </c>
      <c r="O430" s="3" t="s">
        <v>3818</v>
      </c>
      <c r="P430" s="3" t="s">
        <v>460</v>
      </c>
    </row>
    <row r="431" spans="1:16" x14ac:dyDescent="0.3">
      <c r="A431" s="3" t="s">
        <v>103</v>
      </c>
      <c r="B431" s="3" t="s">
        <v>1190</v>
      </c>
      <c r="C431" s="3" t="s">
        <v>3356</v>
      </c>
      <c r="D431" s="3" t="s">
        <v>93</v>
      </c>
      <c r="E431" s="3" t="s">
        <v>31</v>
      </c>
      <c r="F431" s="3" t="b">
        <v>0</v>
      </c>
      <c r="G431" s="3" t="s">
        <v>84</v>
      </c>
      <c r="H431" s="6">
        <v>44938.459872685176</v>
      </c>
      <c r="I431" s="3" t="b">
        <v>0</v>
      </c>
      <c r="J431" s="3" t="b">
        <v>0</v>
      </c>
      <c r="K431" s="3" t="s">
        <v>33</v>
      </c>
      <c r="L431" s="3" t="s">
        <v>34</v>
      </c>
      <c r="M431" s="8">
        <v>90000</v>
      </c>
      <c r="N431" s="11"/>
      <c r="O431" s="3" t="s">
        <v>3822</v>
      </c>
      <c r="P431" s="3" t="s">
        <v>1118</v>
      </c>
    </row>
    <row r="432" spans="1:16" x14ac:dyDescent="0.3">
      <c r="A432" s="3" t="s">
        <v>103</v>
      </c>
      <c r="B432" s="3" t="s">
        <v>103</v>
      </c>
      <c r="C432" s="3" t="s">
        <v>549</v>
      </c>
      <c r="D432" s="3" t="s">
        <v>93</v>
      </c>
      <c r="E432" s="3" t="s">
        <v>31</v>
      </c>
      <c r="F432" s="3" t="b">
        <v>0</v>
      </c>
      <c r="G432" s="3" t="s">
        <v>64</v>
      </c>
      <c r="H432" s="6">
        <v>44940.291886574072</v>
      </c>
      <c r="I432" s="3" t="b">
        <v>0</v>
      </c>
      <c r="J432" s="3" t="b">
        <v>0</v>
      </c>
      <c r="K432" s="3" t="s">
        <v>33</v>
      </c>
      <c r="L432" s="3" t="s">
        <v>34</v>
      </c>
      <c r="M432" s="8">
        <v>90000</v>
      </c>
      <c r="N432" s="11"/>
      <c r="O432" s="3" t="s">
        <v>462</v>
      </c>
      <c r="P432" s="3" t="s">
        <v>3826</v>
      </c>
    </row>
    <row r="433" spans="1:16" x14ac:dyDescent="0.3">
      <c r="A433" s="3" t="s">
        <v>103</v>
      </c>
      <c r="B433" s="3" t="s">
        <v>3827</v>
      </c>
      <c r="C433" s="3" t="s">
        <v>1318</v>
      </c>
      <c r="D433" s="3" t="s">
        <v>188</v>
      </c>
      <c r="E433" s="3" t="s">
        <v>133</v>
      </c>
      <c r="F433" s="3" t="b">
        <v>0</v>
      </c>
      <c r="G433" s="3" t="s">
        <v>84</v>
      </c>
      <c r="H433" s="6">
        <v>44950.585034722222</v>
      </c>
      <c r="I433" s="3" t="b">
        <v>0</v>
      </c>
      <c r="J433" s="3" t="b">
        <v>0</v>
      </c>
      <c r="K433" s="3" t="s">
        <v>33</v>
      </c>
      <c r="L433" s="3" t="s">
        <v>48</v>
      </c>
      <c r="M433" s="8"/>
      <c r="N433" s="11">
        <v>35</v>
      </c>
      <c r="O433" s="3" t="s">
        <v>3828</v>
      </c>
      <c r="P433" s="3" t="s">
        <v>3829</v>
      </c>
    </row>
    <row r="434" spans="1:16" x14ac:dyDescent="0.3">
      <c r="A434" s="3" t="s">
        <v>103</v>
      </c>
      <c r="B434" s="3" t="s">
        <v>3832</v>
      </c>
      <c r="C434" s="3" t="s">
        <v>565</v>
      </c>
      <c r="D434" s="3" t="s">
        <v>106</v>
      </c>
      <c r="E434" s="3" t="s">
        <v>31</v>
      </c>
      <c r="F434" s="3" t="b">
        <v>0</v>
      </c>
      <c r="G434" s="3" t="s">
        <v>140</v>
      </c>
      <c r="H434" s="6">
        <v>44941.29010416667</v>
      </c>
      <c r="I434" s="3" t="b">
        <v>0</v>
      </c>
      <c r="J434" s="3" t="b">
        <v>0</v>
      </c>
      <c r="K434" s="3" t="s">
        <v>33</v>
      </c>
      <c r="L434" s="3" t="s">
        <v>34</v>
      </c>
      <c r="M434" s="8">
        <v>67043</v>
      </c>
      <c r="N434" s="11"/>
      <c r="O434" s="3" t="s">
        <v>2434</v>
      </c>
      <c r="P434" s="3" t="s">
        <v>3833</v>
      </c>
    </row>
    <row r="435" spans="1:16" x14ac:dyDescent="0.3">
      <c r="A435" s="3" t="s">
        <v>103</v>
      </c>
      <c r="B435" s="3" t="s">
        <v>3837</v>
      </c>
      <c r="C435" s="3" t="s">
        <v>1612</v>
      </c>
      <c r="D435" s="3" t="s">
        <v>76</v>
      </c>
      <c r="E435" s="3" t="s">
        <v>1861</v>
      </c>
      <c r="F435" s="3" t="b">
        <v>0</v>
      </c>
      <c r="G435" s="3" t="s">
        <v>64</v>
      </c>
      <c r="H435" s="6">
        <v>44935.874965277777</v>
      </c>
      <c r="I435" s="3" t="b">
        <v>0</v>
      </c>
      <c r="J435" s="3" t="b">
        <v>0</v>
      </c>
      <c r="K435" s="3" t="s">
        <v>33</v>
      </c>
      <c r="L435" s="3" t="s">
        <v>48</v>
      </c>
      <c r="M435" s="8"/>
      <c r="N435" s="11">
        <v>14</v>
      </c>
      <c r="O435" s="3" t="s">
        <v>3838</v>
      </c>
      <c r="P435" s="3" t="s">
        <v>3719</v>
      </c>
    </row>
    <row r="436" spans="1:16" x14ac:dyDescent="0.3">
      <c r="A436" s="3" t="s">
        <v>103</v>
      </c>
      <c r="B436" s="3" t="s">
        <v>3839</v>
      </c>
      <c r="C436" s="3" t="s">
        <v>3840</v>
      </c>
      <c r="D436" s="3" t="s">
        <v>41</v>
      </c>
      <c r="E436" s="3" t="s">
        <v>31</v>
      </c>
      <c r="F436" s="3" t="b">
        <v>0</v>
      </c>
      <c r="G436" s="3" t="s">
        <v>436</v>
      </c>
      <c r="H436" s="6">
        <v>44931.522650462961</v>
      </c>
      <c r="I436" s="3" t="b">
        <v>0</v>
      </c>
      <c r="J436" s="3" t="b">
        <v>0</v>
      </c>
      <c r="K436" s="3" t="s">
        <v>436</v>
      </c>
      <c r="L436" s="3" t="s">
        <v>34</v>
      </c>
      <c r="M436" s="8">
        <v>104500</v>
      </c>
      <c r="N436" s="11"/>
      <c r="O436" s="3" t="s">
        <v>3841</v>
      </c>
      <c r="P436" s="3" t="s">
        <v>3842</v>
      </c>
    </row>
    <row r="437" spans="1:16" x14ac:dyDescent="0.3">
      <c r="A437" s="3" t="s">
        <v>103</v>
      </c>
      <c r="B437" s="3" t="s">
        <v>3844</v>
      </c>
      <c r="C437" s="3" t="s">
        <v>3845</v>
      </c>
      <c r="D437" s="3" t="s">
        <v>41</v>
      </c>
      <c r="E437" s="3" t="s">
        <v>31</v>
      </c>
      <c r="F437" s="3" t="b">
        <v>0</v>
      </c>
      <c r="G437" s="3" t="s">
        <v>3846</v>
      </c>
      <c r="H437" s="6">
        <v>44951.315127314818</v>
      </c>
      <c r="I437" s="3" t="b">
        <v>0</v>
      </c>
      <c r="J437" s="3" t="b">
        <v>0</v>
      </c>
      <c r="K437" s="3" t="s">
        <v>3846</v>
      </c>
      <c r="L437" s="3" t="s">
        <v>34</v>
      </c>
      <c r="M437" s="8">
        <v>72900</v>
      </c>
      <c r="N437" s="11"/>
      <c r="O437" s="3" t="s">
        <v>875</v>
      </c>
      <c r="P437" s="3" t="s">
        <v>3847</v>
      </c>
    </row>
    <row r="438" spans="1:16" x14ac:dyDescent="0.3">
      <c r="A438" s="3" t="s">
        <v>103</v>
      </c>
      <c r="B438" s="3" t="s">
        <v>103</v>
      </c>
      <c r="C438" s="3" t="s">
        <v>1236</v>
      </c>
      <c r="D438" s="3" t="s">
        <v>76</v>
      </c>
      <c r="E438" s="3" t="s">
        <v>31</v>
      </c>
      <c r="F438" s="3" t="b">
        <v>0</v>
      </c>
      <c r="G438" s="3" t="s">
        <v>140</v>
      </c>
      <c r="H438" s="6">
        <v>44930.920347222222</v>
      </c>
      <c r="I438" s="3" t="b">
        <v>0</v>
      </c>
      <c r="J438" s="3" t="b">
        <v>1</v>
      </c>
      <c r="K438" s="3" t="s">
        <v>33</v>
      </c>
      <c r="L438" s="3" t="s">
        <v>34</v>
      </c>
      <c r="M438" s="8">
        <v>80000</v>
      </c>
      <c r="N438" s="11"/>
      <c r="O438" s="3" t="s">
        <v>3848</v>
      </c>
      <c r="P438" s="3" t="s">
        <v>3849</v>
      </c>
    </row>
    <row r="439" spans="1:16" x14ac:dyDescent="0.3">
      <c r="A439" s="3" t="s">
        <v>103</v>
      </c>
      <c r="B439" s="3" t="s">
        <v>103</v>
      </c>
      <c r="C439" s="3" t="s">
        <v>620</v>
      </c>
      <c r="D439" s="3" t="s">
        <v>188</v>
      </c>
      <c r="E439" s="3" t="s">
        <v>133</v>
      </c>
      <c r="F439" s="3" t="b">
        <v>0</v>
      </c>
      <c r="G439" s="3" t="s">
        <v>58</v>
      </c>
      <c r="H439" s="6">
        <v>44949.667905092603</v>
      </c>
      <c r="I439" s="3" t="b">
        <v>1</v>
      </c>
      <c r="J439" s="3" t="b">
        <v>0</v>
      </c>
      <c r="K439" s="3" t="s">
        <v>33</v>
      </c>
      <c r="L439" s="3" t="s">
        <v>48</v>
      </c>
      <c r="M439" s="8"/>
      <c r="N439" s="11">
        <v>60</v>
      </c>
      <c r="O439" s="3" t="s">
        <v>3850</v>
      </c>
      <c r="P439" s="3" t="s">
        <v>3851</v>
      </c>
    </row>
    <row r="440" spans="1:16" x14ac:dyDescent="0.3">
      <c r="A440" s="3" t="s">
        <v>103</v>
      </c>
      <c r="B440" s="3" t="s">
        <v>3855</v>
      </c>
      <c r="C440" s="3" t="s">
        <v>79</v>
      </c>
      <c r="D440" s="3" t="s">
        <v>296</v>
      </c>
      <c r="E440" s="3" t="s">
        <v>31</v>
      </c>
      <c r="F440" s="3" t="b">
        <v>0</v>
      </c>
      <c r="G440" s="3" t="s">
        <v>58</v>
      </c>
      <c r="H440" s="6">
        <v>44930.020532407398</v>
      </c>
      <c r="I440" s="3" t="b">
        <v>0</v>
      </c>
      <c r="J440" s="3" t="b">
        <v>1</v>
      </c>
      <c r="K440" s="3" t="s">
        <v>33</v>
      </c>
      <c r="L440" s="3" t="s">
        <v>48</v>
      </c>
      <c r="M440" s="8"/>
      <c r="N440" s="11">
        <v>24</v>
      </c>
      <c r="O440" s="3" t="s">
        <v>3856</v>
      </c>
      <c r="P440" s="3" t="s">
        <v>3857</v>
      </c>
    </row>
    <row r="441" spans="1:16" x14ac:dyDescent="0.3">
      <c r="A441" s="3" t="s">
        <v>103</v>
      </c>
      <c r="B441" s="3" t="s">
        <v>3864</v>
      </c>
      <c r="C441" s="3" t="s">
        <v>3865</v>
      </c>
      <c r="D441" s="3" t="s">
        <v>30</v>
      </c>
      <c r="E441" s="3" t="s">
        <v>133</v>
      </c>
      <c r="F441" s="3" t="b">
        <v>0</v>
      </c>
      <c r="G441" s="3" t="s">
        <v>64</v>
      </c>
      <c r="H441" s="6">
        <v>44951.583333333343</v>
      </c>
      <c r="I441" s="3" t="b">
        <v>1</v>
      </c>
      <c r="J441" s="3" t="b">
        <v>0</v>
      </c>
      <c r="K441" s="3" t="s">
        <v>33</v>
      </c>
      <c r="L441" s="3" t="s">
        <v>48</v>
      </c>
      <c r="M441" s="8"/>
      <c r="N441" s="11">
        <v>42.5</v>
      </c>
      <c r="O441" s="3" t="s">
        <v>3866</v>
      </c>
      <c r="P441" s="3" t="s">
        <v>3867</v>
      </c>
    </row>
    <row r="442" spans="1:16" x14ac:dyDescent="0.3">
      <c r="A442" s="3" t="s">
        <v>103</v>
      </c>
      <c r="B442" s="3" t="s">
        <v>3871</v>
      </c>
      <c r="C442" s="3" t="s">
        <v>718</v>
      </c>
      <c r="D442" s="3" t="s">
        <v>1580</v>
      </c>
      <c r="E442" s="3" t="s">
        <v>31</v>
      </c>
      <c r="F442" s="3" t="b">
        <v>0</v>
      </c>
      <c r="G442" s="3" t="s">
        <v>110</v>
      </c>
      <c r="H442" s="6">
        <v>44937.992407407408</v>
      </c>
      <c r="I442" s="3" t="b">
        <v>1</v>
      </c>
      <c r="J442" s="3" t="b">
        <v>1</v>
      </c>
      <c r="K442" s="3" t="s">
        <v>110</v>
      </c>
      <c r="L442" s="3" t="s">
        <v>48</v>
      </c>
      <c r="M442" s="8"/>
      <c r="N442" s="11">
        <v>15.89000034332275</v>
      </c>
      <c r="O442" s="3" t="s">
        <v>3872</v>
      </c>
      <c r="P442" s="3"/>
    </row>
    <row r="443" spans="1:16" x14ac:dyDescent="0.3">
      <c r="A443" s="3" t="s">
        <v>103</v>
      </c>
      <c r="B443" s="3" t="s">
        <v>3906</v>
      </c>
      <c r="C443" s="3" t="s">
        <v>3869</v>
      </c>
      <c r="D443" s="3" t="s">
        <v>106</v>
      </c>
      <c r="E443" s="3" t="s">
        <v>31</v>
      </c>
      <c r="F443" s="3" t="b">
        <v>0</v>
      </c>
      <c r="G443" s="3" t="s">
        <v>88</v>
      </c>
      <c r="H443" s="6">
        <v>44935.418703703697</v>
      </c>
      <c r="I443" s="3" t="b">
        <v>0</v>
      </c>
      <c r="J443" s="3" t="b">
        <v>0</v>
      </c>
      <c r="K443" s="3" t="s">
        <v>33</v>
      </c>
      <c r="L443" s="3" t="s">
        <v>34</v>
      </c>
      <c r="M443" s="8">
        <v>91960</v>
      </c>
      <c r="N443" s="11"/>
      <c r="O443" s="3" t="s">
        <v>119</v>
      </c>
      <c r="P443" s="3" t="s">
        <v>2777</v>
      </c>
    </row>
    <row r="444" spans="1:16" x14ac:dyDescent="0.3">
      <c r="A444" s="3" t="s">
        <v>103</v>
      </c>
      <c r="B444" s="3" t="s">
        <v>3737</v>
      </c>
      <c r="C444" s="3" t="s">
        <v>531</v>
      </c>
      <c r="D444" s="3" t="s">
        <v>41</v>
      </c>
      <c r="E444" s="3" t="s">
        <v>31</v>
      </c>
      <c r="F444" s="3" t="b">
        <v>0</v>
      </c>
      <c r="G444" s="3" t="s">
        <v>532</v>
      </c>
      <c r="H444" s="6">
        <v>44944.269131944442</v>
      </c>
      <c r="I444" s="3" t="b">
        <v>0</v>
      </c>
      <c r="J444" s="3" t="b">
        <v>0</v>
      </c>
      <c r="K444" s="3" t="s">
        <v>532</v>
      </c>
      <c r="L444" s="3" t="s">
        <v>34</v>
      </c>
      <c r="M444" s="8">
        <v>165000</v>
      </c>
      <c r="N444" s="11"/>
      <c r="O444" s="3" t="s">
        <v>3907</v>
      </c>
      <c r="P444" s="3" t="s">
        <v>3908</v>
      </c>
    </row>
    <row r="445" spans="1:16" x14ac:dyDescent="0.3">
      <c r="A445" s="3" t="s">
        <v>103</v>
      </c>
      <c r="B445" s="3" t="s">
        <v>3912</v>
      </c>
      <c r="C445" s="3" t="s">
        <v>597</v>
      </c>
      <c r="D445" s="3" t="s">
        <v>41</v>
      </c>
      <c r="E445" s="3" t="s">
        <v>31</v>
      </c>
      <c r="F445" s="3" t="b">
        <v>0</v>
      </c>
      <c r="G445" s="3" t="s">
        <v>597</v>
      </c>
      <c r="H445" s="6">
        <v>44954.513495370367</v>
      </c>
      <c r="I445" s="3" t="b">
        <v>1</v>
      </c>
      <c r="J445" s="3" t="b">
        <v>0</v>
      </c>
      <c r="K445" s="3" t="s">
        <v>597</v>
      </c>
      <c r="L445" s="3" t="s">
        <v>34</v>
      </c>
      <c r="M445" s="8">
        <v>111175</v>
      </c>
      <c r="N445" s="11"/>
      <c r="O445" s="3" t="s">
        <v>782</v>
      </c>
      <c r="P445" s="3" t="s">
        <v>3913</v>
      </c>
    </row>
    <row r="446" spans="1:16" x14ac:dyDescent="0.3">
      <c r="A446" s="3" t="s">
        <v>103</v>
      </c>
      <c r="B446" s="3" t="s">
        <v>3916</v>
      </c>
      <c r="C446" s="3" t="s">
        <v>173</v>
      </c>
      <c r="D446" s="3" t="s">
        <v>76</v>
      </c>
      <c r="E446" s="3" t="s">
        <v>31</v>
      </c>
      <c r="F446" s="3" t="b">
        <v>0</v>
      </c>
      <c r="G446" s="3" t="s">
        <v>64</v>
      </c>
      <c r="H446" s="6">
        <v>44932.083553240736</v>
      </c>
      <c r="I446" s="3" t="b">
        <v>1</v>
      </c>
      <c r="J446" s="3" t="b">
        <v>0</v>
      </c>
      <c r="K446" s="3" t="s">
        <v>33</v>
      </c>
      <c r="L446" s="3" t="s">
        <v>34</v>
      </c>
      <c r="M446" s="8">
        <v>65000</v>
      </c>
      <c r="N446" s="11"/>
      <c r="O446" s="3" t="s">
        <v>3917</v>
      </c>
      <c r="P446" s="3" t="s">
        <v>3918</v>
      </c>
    </row>
    <row r="447" spans="1:16" x14ac:dyDescent="0.3">
      <c r="A447" s="3" t="s">
        <v>103</v>
      </c>
      <c r="B447" s="3" t="s">
        <v>103</v>
      </c>
      <c r="C447" s="3" t="s">
        <v>3920</v>
      </c>
      <c r="D447" s="3" t="s">
        <v>76</v>
      </c>
      <c r="E447" s="3" t="s">
        <v>31</v>
      </c>
      <c r="F447" s="3" t="b">
        <v>0</v>
      </c>
      <c r="G447" s="3" t="s">
        <v>88</v>
      </c>
      <c r="H447" s="6">
        <v>44936.763136574067</v>
      </c>
      <c r="I447" s="3" t="b">
        <v>0</v>
      </c>
      <c r="J447" s="3" t="b">
        <v>1</v>
      </c>
      <c r="K447" s="3" t="s">
        <v>33</v>
      </c>
      <c r="L447" s="3" t="s">
        <v>34</v>
      </c>
      <c r="M447" s="8">
        <v>61313.82421875</v>
      </c>
      <c r="N447" s="11"/>
      <c r="O447" s="3" t="s">
        <v>3921</v>
      </c>
      <c r="P447" s="3" t="s">
        <v>405</v>
      </c>
    </row>
    <row r="448" spans="1:16" x14ac:dyDescent="0.3">
      <c r="A448" s="3" t="s">
        <v>103</v>
      </c>
      <c r="B448" s="3" t="s">
        <v>3922</v>
      </c>
      <c r="C448" s="3" t="s">
        <v>520</v>
      </c>
      <c r="D448" s="3" t="s">
        <v>287</v>
      </c>
      <c r="E448" s="3" t="s">
        <v>31</v>
      </c>
      <c r="F448" s="3" t="b">
        <v>0</v>
      </c>
      <c r="G448" s="3" t="s">
        <v>88</v>
      </c>
      <c r="H448" s="6">
        <v>44934.001273148147</v>
      </c>
      <c r="I448" s="3" t="b">
        <v>1</v>
      </c>
      <c r="J448" s="3" t="b">
        <v>0</v>
      </c>
      <c r="K448" s="3" t="s">
        <v>33</v>
      </c>
      <c r="L448" s="3" t="s">
        <v>34</v>
      </c>
      <c r="M448" s="8">
        <v>66058</v>
      </c>
      <c r="N448" s="11"/>
      <c r="O448" s="3" t="s">
        <v>3923</v>
      </c>
      <c r="P448" s="3" t="s">
        <v>374</v>
      </c>
    </row>
    <row r="449" spans="1:16" x14ac:dyDescent="0.3">
      <c r="A449" s="3" t="s">
        <v>103</v>
      </c>
      <c r="B449" s="3" t="s">
        <v>599</v>
      </c>
      <c r="C449" s="3" t="s">
        <v>3928</v>
      </c>
      <c r="D449" s="3" t="s">
        <v>76</v>
      </c>
      <c r="E449" s="3" t="s">
        <v>31</v>
      </c>
      <c r="F449" s="3" t="b">
        <v>0</v>
      </c>
      <c r="G449" s="3" t="s">
        <v>64</v>
      </c>
      <c r="H449" s="6">
        <v>44933.499976851846</v>
      </c>
      <c r="I449" s="3" t="b">
        <v>0</v>
      </c>
      <c r="J449" s="3" t="b">
        <v>0</v>
      </c>
      <c r="K449" s="3" t="s">
        <v>33</v>
      </c>
      <c r="L449" s="3" t="s">
        <v>34</v>
      </c>
      <c r="M449" s="8">
        <v>93670</v>
      </c>
      <c r="N449" s="11"/>
      <c r="O449" s="3" t="s">
        <v>3929</v>
      </c>
      <c r="P449" s="3"/>
    </row>
    <row r="450" spans="1:16" x14ac:dyDescent="0.3">
      <c r="A450" s="3" t="s">
        <v>103</v>
      </c>
      <c r="B450" s="3" t="s">
        <v>3931</v>
      </c>
      <c r="C450" s="3" t="s">
        <v>641</v>
      </c>
      <c r="D450" s="3" t="s">
        <v>93</v>
      </c>
      <c r="E450" s="3" t="s">
        <v>31</v>
      </c>
      <c r="F450" s="3" t="b">
        <v>0</v>
      </c>
      <c r="G450" s="3" t="s">
        <v>88</v>
      </c>
      <c r="H450" s="6">
        <v>44930.480115740742</v>
      </c>
      <c r="I450" s="3" t="b">
        <v>0</v>
      </c>
      <c r="J450" s="3" t="b">
        <v>0</v>
      </c>
      <c r="K450" s="3" t="s">
        <v>33</v>
      </c>
      <c r="L450" s="3" t="s">
        <v>34</v>
      </c>
      <c r="M450" s="8">
        <v>115000</v>
      </c>
      <c r="N450" s="11"/>
      <c r="O450" s="3" t="s">
        <v>267</v>
      </c>
      <c r="P450" s="3"/>
    </row>
    <row r="451" spans="1:16" x14ac:dyDescent="0.3">
      <c r="A451" s="3" t="s">
        <v>103</v>
      </c>
      <c r="B451" s="3" t="s">
        <v>3935</v>
      </c>
      <c r="C451" s="3" t="s">
        <v>213</v>
      </c>
      <c r="D451" s="3" t="s">
        <v>41</v>
      </c>
      <c r="E451" s="3" t="s">
        <v>31</v>
      </c>
      <c r="F451" s="3" t="b">
        <v>0</v>
      </c>
      <c r="G451" s="3" t="s">
        <v>213</v>
      </c>
      <c r="H451" s="6">
        <v>44951.141053240739</v>
      </c>
      <c r="I451" s="3" t="b">
        <v>0</v>
      </c>
      <c r="J451" s="3" t="b">
        <v>0</v>
      </c>
      <c r="K451" s="3" t="s">
        <v>213</v>
      </c>
      <c r="L451" s="3" t="s">
        <v>34</v>
      </c>
      <c r="M451" s="8">
        <v>165000</v>
      </c>
      <c r="N451" s="11"/>
      <c r="O451" s="3" t="s">
        <v>3936</v>
      </c>
      <c r="P451" s="3" t="s">
        <v>3937</v>
      </c>
    </row>
    <row r="452" spans="1:16" x14ac:dyDescent="0.3">
      <c r="A452" s="3" t="s">
        <v>103</v>
      </c>
      <c r="B452" s="3" t="s">
        <v>3943</v>
      </c>
      <c r="C452" s="3" t="s">
        <v>87</v>
      </c>
      <c r="D452" s="3" t="s">
        <v>30</v>
      </c>
      <c r="E452" s="3" t="s">
        <v>31</v>
      </c>
      <c r="F452" s="3" t="b">
        <v>1</v>
      </c>
      <c r="G452" s="3" t="s">
        <v>64</v>
      </c>
      <c r="H452" s="6">
        <v>44930.666932870372</v>
      </c>
      <c r="I452" s="3" t="b">
        <v>1</v>
      </c>
      <c r="J452" s="3" t="b">
        <v>0</v>
      </c>
      <c r="K452" s="3" t="s">
        <v>33</v>
      </c>
      <c r="L452" s="3" t="s">
        <v>34</v>
      </c>
      <c r="M452" s="8">
        <v>65000</v>
      </c>
      <c r="N452" s="11"/>
      <c r="O452" s="3" t="s">
        <v>3944</v>
      </c>
      <c r="P452" s="3" t="s">
        <v>3945</v>
      </c>
    </row>
    <row r="453" spans="1:16" x14ac:dyDescent="0.3">
      <c r="A453" s="3" t="s">
        <v>103</v>
      </c>
      <c r="B453" s="3" t="s">
        <v>3968</v>
      </c>
      <c r="C453" s="3" t="s">
        <v>2053</v>
      </c>
      <c r="D453" s="3" t="s">
        <v>2054</v>
      </c>
      <c r="E453" s="3" t="s">
        <v>31</v>
      </c>
      <c r="F453" s="3" t="b">
        <v>0</v>
      </c>
      <c r="G453" s="3" t="s">
        <v>84</v>
      </c>
      <c r="H453" s="6">
        <v>44929.979548611111</v>
      </c>
      <c r="I453" s="3" t="b">
        <v>1</v>
      </c>
      <c r="J453" s="3" t="b">
        <v>0</v>
      </c>
      <c r="K453" s="3" t="s">
        <v>33</v>
      </c>
      <c r="L453" s="3" t="s">
        <v>48</v>
      </c>
      <c r="M453" s="8"/>
      <c r="N453" s="11">
        <v>24</v>
      </c>
      <c r="O453" s="3" t="s">
        <v>3969</v>
      </c>
      <c r="P453" s="3" t="s">
        <v>3970</v>
      </c>
    </row>
    <row r="454" spans="1:16" x14ac:dyDescent="0.3">
      <c r="A454" s="3" t="s">
        <v>103</v>
      </c>
      <c r="B454" s="3" t="s">
        <v>1420</v>
      </c>
      <c r="C454" s="3" t="s">
        <v>79</v>
      </c>
      <c r="D454" s="3" t="s">
        <v>30</v>
      </c>
      <c r="E454" s="3" t="s">
        <v>31</v>
      </c>
      <c r="F454" s="3" t="b">
        <v>0</v>
      </c>
      <c r="G454" s="3" t="s">
        <v>58</v>
      </c>
      <c r="H454" s="6">
        <v>44956.626516203702</v>
      </c>
      <c r="I454" s="3" t="b">
        <v>1</v>
      </c>
      <c r="J454" s="3" t="b">
        <v>0</v>
      </c>
      <c r="K454" s="3" t="s">
        <v>33</v>
      </c>
      <c r="L454" s="3" t="s">
        <v>34</v>
      </c>
      <c r="M454" s="8">
        <v>112500</v>
      </c>
      <c r="N454" s="11"/>
      <c r="O454" s="3" t="s">
        <v>3971</v>
      </c>
      <c r="P454" s="3" t="s">
        <v>3972</v>
      </c>
    </row>
    <row r="455" spans="1:16" x14ac:dyDescent="0.3">
      <c r="A455" s="3" t="s">
        <v>103</v>
      </c>
      <c r="B455" s="3" t="s">
        <v>103</v>
      </c>
      <c r="C455" s="3" t="s">
        <v>164</v>
      </c>
      <c r="D455" s="3" t="s">
        <v>53</v>
      </c>
      <c r="E455" s="3" t="s">
        <v>31</v>
      </c>
      <c r="F455" s="3" t="b">
        <v>0</v>
      </c>
      <c r="G455" s="3" t="s">
        <v>64</v>
      </c>
      <c r="H455" s="6">
        <v>44932.166550925933</v>
      </c>
      <c r="I455" s="3" t="b">
        <v>0</v>
      </c>
      <c r="J455" s="3" t="b">
        <v>0</v>
      </c>
      <c r="K455" s="3" t="s">
        <v>33</v>
      </c>
      <c r="L455" s="3" t="s">
        <v>48</v>
      </c>
      <c r="M455" s="8"/>
      <c r="N455" s="11">
        <v>50</v>
      </c>
      <c r="O455" s="3" t="s">
        <v>3973</v>
      </c>
      <c r="P455" s="3" t="s">
        <v>300</v>
      </c>
    </row>
    <row r="456" spans="1:16" x14ac:dyDescent="0.3">
      <c r="A456" s="3" t="s">
        <v>103</v>
      </c>
      <c r="B456" s="3" t="s">
        <v>3976</v>
      </c>
      <c r="C456" s="3" t="s">
        <v>447</v>
      </c>
      <c r="D456" s="3" t="s">
        <v>188</v>
      </c>
      <c r="E456" s="3" t="s">
        <v>31</v>
      </c>
      <c r="F456" s="3" t="b">
        <v>0</v>
      </c>
      <c r="G456" s="3" t="s">
        <v>32</v>
      </c>
      <c r="H456" s="6">
        <v>44945.720300925917</v>
      </c>
      <c r="I456" s="3" t="b">
        <v>0</v>
      </c>
      <c r="J456" s="3" t="b">
        <v>1</v>
      </c>
      <c r="K456" s="3" t="s">
        <v>33</v>
      </c>
      <c r="L456" s="3" t="s">
        <v>48</v>
      </c>
      <c r="M456" s="8"/>
      <c r="N456" s="11">
        <v>53.5</v>
      </c>
      <c r="O456" s="3" t="s">
        <v>3977</v>
      </c>
      <c r="P456" s="3" t="s">
        <v>3978</v>
      </c>
    </row>
    <row r="457" spans="1:16" x14ac:dyDescent="0.3">
      <c r="A457" s="3" t="s">
        <v>103</v>
      </c>
      <c r="B457" s="3" t="s">
        <v>103</v>
      </c>
      <c r="C457" s="3" t="s">
        <v>817</v>
      </c>
      <c r="D457" s="3" t="s">
        <v>41</v>
      </c>
      <c r="E457" s="3" t="s">
        <v>31</v>
      </c>
      <c r="F457" s="3" t="b">
        <v>0</v>
      </c>
      <c r="G457" s="3" t="s">
        <v>818</v>
      </c>
      <c r="H457" s="6">
        <v>44952.648518518523</v>
      </c>
      <c r="I457" s="3" t="b">
        <v>0</v>
      </c>
      <c r="J457" s="3" t="b">
        <v>0</v>
      </c>
      <c r="K457" s="3" t="s">
        <v>818</v>
      </c>
      <c r="L457" s="3" t="s">
        <v>34</v>
      </c>
      <c r="M457" s="8">
        <v>111175</v>
      </c>
      <c r="N457" s="11"/>
      <c r="O457" s="3" t="s">
        <v>70</v>
      </c>
      <c r="P457" s="3" t="s">
        <v>3979</v>
      </c>
    </row>
    <row r="458" spans="1:16" x14ac:dyDescent="0.3">
      <c r="A458" s="3" t="s">
        <v>103</v>
      </c>
      <c r="B458" s="3" t="s">
        <v>1899</v>
      </c>
      <c r="C458" s="3" t="s">
        <v>3988</v>
      </c>
      <c r="D458" s="3" t="s">
        <v>76</v>
      </c>
      <c r="E458" s="3" t="s">
        <v>31</v>
      </c>
      <c r="F458" s="3" t="b">
        <v>0</v>
      </c>
      <c r="G458" s="3" t="s">
        <v>64</v>
      </c>
      <c r="H458" s="6">
        <v>44949.083391203712</v>
      </c>
      <c r="I458" s="3" t="b">
        <v>0</v>
      </c>
      <c r="J458" s="3" t="b">
        <v>1</v>
      </c>
      <c r="K458" s="3" t="s">
        <v>33</v>
      </c>
      <c r="L458" s="3" t="s">
        <v>48</v>
      </c>
      <c r="M458" s="8"/>
      <c r="N458" s="11">
        <v>29</v>
      </c>
      <c r="O458" s="3" t="s">
        <v>2546</v>
      </c>
      <c r="P458" s="3" t="s">
        <v>3989</v>
      </c>
    </row>
    <row r="459" spans="1:16" x14ac:dyDescent="0.3">
      <c r="A459" s="3" t="s">
        <v>103</v>
      </c>
      <c r="B459" s="3" t="s">
        <v>103</v>
      </c>
      <c r="C459" s="3" t="s">
        <v>3994</v>
      </c>
      <c r="D459" s="3" t="s">
        <v>3995</v>
      </c>
      <c r="E459" s="3" t="s">
        <v>31</v>
      </c>
      <c r="F459" s="3" t="b">
        <v>0</v>
      </c>
      <c r="G459" s="3" t="s">
        <v>88</v>
      </c>
      <c r="H459" s="6">
        <v>44929.980023148149</v>
      </c>
      <c r="I459" s="3" t="b">
        <v>0</v>
      </c>
      <c r="J459" s="3" t="b">
        <v>1</v>
      </c>
      <c r="K459" s="3" t="s">
        <v>33</v>
      </c>
      <c r="L459" s="3" t="s">
        <v>48</v>
      </c>
      <c r="M459" s="8"/>
      <c r="N459" s="11">
        <v>24</v>
      </c>
      <c r="O459" s="3" t="s">
        <v>3996</v>
      </c>
      <c r="P459" s="3" t="s">
        <v>3997</v>
      </c>
    </row>
    <row r="460" spans="1:16" x14ac:dyDescent="0.3">
      <c r="A460" s="3" t="s">
        <v>103</v>
      </c>
      <c r="B460" s="3" t="s">
        <v>1899</v>
      </c>
      <c r="C460" s="3" t="s">
        <v>164</v>
      </c>
      <c r="D460" s="3" t="s">
        <v>30</v>
      </c>
      <c r="E460" s="3" t="s">
        <v>31</v>
      </c>
      <c r="F460" s="3" t="b">
        <v>0</v>
      </c>
      <c r="G460" s="3" t="s">
        <v>64</v>
      </c>
      <c r="H460" s="6">
        <v>44950.666585648149</v>
      </c>
      <c r="I460" s="3" t="b">
        <v>0</v>
      </c>
      <c r="J460" s="3" t="b">
        <v>0</v>
      </c>
      <c r="K460" s="3" t="s">
        <v>33</v>
      </c>
      <c r="L460" s="3" t="s">
        <v>34</v>
      </c>
      <c r="M460" s="8">
        <v>65000</v>
      </c>
      <c r="N460" s="11"/>
      <c r="O460" s="3" t="s">
        <v>4009</v>
      </c>
      <c r="P460" s="3" t="s">
        <v>4010</v>
      </c>
    </row>
    <row r="461" spans="1:16" x14ac:dyDescent="0.3">
      <c r="A461" s="3" t="s">
        <v>103</v>
      </c>
      <c r="B461" s="3" t="s">
        <v>4019</v>
      </c>
      <c r="C461" s="3" t="s">
        <v>87</v>
      </c>
      <c r="D461" s="3" t="s">
        <v>287</v>
      </c>
      <c r="E461" s="3" t="s">
        <v>31</v>
      </c>
      <c r="F461" s="3" t="b">
        <v>1</v>
      </c>
      <c r="G461" s="3" t="s">
        <v>32</v>
      </c>
      <c r="H461" s="6">
        <v>44943.012071759258</v>
      </c>
      <c r="I461" s="3" t="b">
        <v>0</v>
      </c>
      <c r="J461" s="3" t="b">
        <v>0</v>
      </c>
      <c r="K461" s="3" t="s">
        <v>33</v>
      </c>
      <c r="L461" s="3" t="s">
        <v>34</v>
      </c>
      <c r="M461" s="8">
        <v>217000</v>
      </c>
      <c r="N461" s="11"/>
      <c r="O461" s="3" t="s">
        <v>4020</v>
      </c>
      <c r="P461" s="3" t="s">
        <v>4021</v>
      </c>
    </row>
    <row r="462" spans="1:16" x14ac:dyDescent="0.3">
      <c r="A462" s="3" t="s">
        <v>103</v>
      </c>
      <c r="B462" s="3" t="s">
        <v>1420</v>
      </c>
      <c r="C462" s="3" t="s">
        <v>4032</v>
      </c>
      <c r="D462" s="3" t="s">
        <v>188</v>
      </c>
      <c r="E462" s="3" t="s">
        <v>31</v>
      </c>
      <c r="F462" s="3" t="b">
        <v>0</v>
      </c>
      <c r="G462" s="3" t="s">
        <v>140</v>
      </c>
      <c r="H462" s="6">
        <v>44928.617280092592</v>
      </c>
      <c r="I462" s="3" t="b">
        <v>0</v>
      </c>
      <c r="J462" s="3" t="b">
        <v>0</v>
      </c>
      <c r="K462" s="3" t="s">
        <v>33</v>
      </c>
      <c r="L462" s="3" t="s">
        <v>34</v>
      </c>
      <c r="M462" s="8">
        <v>77500</v>
      </c>
      <c r="N462" s="11"/>
      <c r="O462" s="3" t="s">
        <v>4033</v>
      </c>
      <c r="P462" s="3" t="s">
        <v>4034</v>
      </c>
    </row>
    <row r="463" spans="1:16" x14ac:dyDescent="0.3">
      <c r="A463" s="3" t="s">
        <v>103</v>
      </c>
      <c r="B463" s="3" t="s">
        <v>4035</v>
      </c>
      <c r="C463" s="3" t="s">
        <v>270</v>
      </c>
      <c r="D463" s="3" t="s">
        <v>1850</v>
      </c>
      <c r="E463" s="3" t="s">
        <v>31</v>
      </c>
      <c r="F463" s="3" t="b">
        <v>0</v>
      </c>
      <c r="G463" s="3" t="s">
        <v>32</v>
      </c>
      <c r="H463" s="6">
        <v>44953.667962962973</v>
      </c>
      <c r="I463" s="3" t="b">
        <v>1</v>
      </c>
      <c r="J463" s="3" t="b">
        <v>1</v>
      </c>
      <c r="K463" s="3" t="s">
        <v>33</v>
      </c>
      <c r="L463" s="3" t="s">
        <v>48</v>
      </c>
      <c r="M463" s="8"/>
      <c r="N463" s="11">
        <v>20</v>
      </c>
      <c r="O463" s="3" t="s">
        <v>3808</v>
      </c>
      <c r="P463" s="3" t="s">
        <v>4036</v>
      </c>
    </row>
    <row r="464" spans="1:16" x14ac:dyDescent="0.3">
      <c r="A464" s="3" t="s">
        <v>103</v>
      </c>
      <c r="B464" s="3" t="s">
        <v>4037</v>
      </c>
      <c r="C464" s="3" t="s">
        <v>87</v>
      </c>
      <c r="D464" s="3" t="s">
        <v>53</v>
      </c>
      <c r="E464" s="3" t="s">
        <v>31</v>
      </c>
      <c r="F464" s="3" t="b">
        <v>1</v>
      </c>
      <c r="G464" s="3" t="s">
        <v>84</v>
      </c>
      <c r="H464" s="6">
        <v>44939.877743055556</v>
      </c>
      <c r="I464" s="3" t="b">
        <v>0</v>
      </c>
      <c r="J464" s="3" t="b">
        <v>1</v>
      </c>
      <c r="K464" s="3" t="s">
        <v>33</v>
      </c>
      <c r="L464" s="3" t="s">
        <v>34</v>
      </c>
      <c r="M464" s="8">
        <v>55000</v>
      </c>
      <c r="N464" s="11"/>
      <c r="O464" s="3" t="s">
        <v>4038</v>
      </c>
      <c r="P464" s="3" t="s">
        <v>4039</v>
      </c>
    </row>
    <row r="465" spans="1:16" x14ac:dyDescent="0.3">
      <c r="A465" s="3" t="s">
        <v>103</v>
      </c>
      <c r="B465" s="3" t="s">
        <v>4040</v>
      </c>
      <c r="C465" s="3" t="s">
        <v>4041</v>
      </c>
      <c r="D465" s="3" t="s">
        <v>41</v>
      </c>
      <c r="E465" s="3" t="s">
        <v>31</v>
      </c>
      <c r="F465" s="3" t="b">
        <v>0</v>
      </c>
      <c r="G465" s="3" t="s">
        <v>1548</v>
      </c>
      <c r="H465" s="6">
        <v>44943.168541666673</v>
      </c>
      <c r="I465" s="3" t="b">
        <v>0</v>
      </c>
      <c r="J465" s="3" t="b">
        <v>0</v>
      </c>
      <c r="K465" s="3" t="s">
        <v>1548</v>
      </c>
      <c r="L465" s="3" t="s">
        <v>34</v>
      </c>
      <c r="M465" s="8">
        <v>111175</v>
      </c>
      <c r="N465" s="11"/>
      <c r="O465" s="3" t="s">
        <v>4042</v>
      </c>
      <c r="P465" s="3" t="s">
        <v>138</v>
      </c>
    </row>
    <row r="466" spans="1:16" x14ac:dyDescent="0.3">
      <c r="A466" s="3" t="s">
        <v>103</v>
      </c>
      <c r="B466" s="3" t="s">
        <v>4047</v>
      </c>
      <c r="C466" s="3" t="s">
        <v>1324</v>
      </c>
      <c r="D466" s="3" t="s">
        <v>41</v>
      </c>
      <c r="E466" s="3" t="s">
        <v>133</v>
      </c>
      <c r="F466" s="3" t="b">
        <v>0</v>
      </c>
      <c r="G466" s="3" t="s">
        <v>1324</v>
      </c>
      <c r="H466" s="6">
        <v>44957.142453703702</v>
      </c>
      <c r="I466" s="3" t="b">
        <v>0</v>
      </c>
      <c r="J466" s="3" t="b">
        <v>0</v>
      </c>
      <c r="K466" s="3" t="s">
        <v>1324</v>
      </c>
      <c r="L466" s="3" t="s">
        <v>34</v>
      </c>
      <c r="M466" s="8">
        <v>111175</v>
      </c>
      <c r="N466" s="11"/>
      <c r="O466" s="3" t="s">
        <v>3583</v>
      </c>
      <c r="P466" s="3" t="s">
        <v>4048</v>
      </c>
    </row>
    <row r="467" spans="1:16" x14ac:dyDescent="0.3">
      <c r="A467" s="3" t="s">
        <v>103</v>
      </c>
      <c r="B467" s="3" t="s">
        <v>4056</v>
      </c>
      <c r="C467" s="3" t="s">
        <v>455</v>
      </c>
      <c r="D467" s="3" t="s">
        <v>41</v>
      </c>
      <c r="E467" s="3" t="s">
        <v>31</v>
      </c>
      <c r="F467" s="3" t="b">
        <v>0</v>
      </c>
      <c r="G467" s="3" t="s">
        <v>455</v>
      </c>
      <c r="H467" s="6">
        <v>44931.483472222222</v>
      </c>
      <c r="I467" s="3" t="b">
        <v>0</v>
      </c>
      <c r="J467" s="3" t="b">
        <v>0</v>
      </c>
      <c r="K467" s="3" t="s">
        <v>455</v>
      </c>
      <c r="L467" s="3" t="s">
        <v>34</v>
      </c>
      <c r="M467" s="8">
        <v>79200</v>
      </c>
      <c r="N467" s="11"/>
      <c r="O467" s="3" t="s">
        <v>356</v>
      </c>
      <c r="P467" s="3" t="s">
        <v>4057</v>
      </c>
    </row>
    <row r="468" spans="1:16" x14ac:dyDescent="0.3">
      <c r="A468" s="3" t="s">
        <v>103</v>
      </c>
      <c r="B468" s="3" t="s">
        <v>4059</v>
      </c>
      <c r="C468" s="3" t="s">
        <v>1324</v>
      </c>
      <c r="D468" s="3" t="s">
        <v>41</v>
      </c>
      <c r="E468" s="3" t="s">
        <v>31</v>
      </c>
      <c r="F468" s="3" t="b">
        <v>0</v>
      </c>
      <c r="G468" s="3" t="s">
        <v>1324</v>
      </c>
      <c r="H468" s="6">
        <v>44928.64949074074</v>
      </c>
      <c r="I468" s="3" t="b">
        <v>0</v>
      </c>
      <c r="J468" s="3" t="b">
        <v>0</v>
      </c>
      <c r="K468" s="3" t="s">
        <v>1324</v>
      </c>
      <c r="L468" s="3" t="s">
        <v>34</v>
      </c>
      <c r="M468" s="8">
        <v>100500</v>
      </c>
      <c r="N468" s="11"/>
      <c r="O468" s="3" t="s">
        <v>4060</v>
      </c>
      <c r="P468" s="3" t="s">
        <v>4061</v>
      </c>
    </row>
    <row r="469" spans="1:16" x14ac:dyDescent="0.3">
      <c r="A469" s="3" t="s">
        <v>103</v>
      </c>
      <c r="B469" s="3" t="s">
        <v>4064</v>
      </c>
      <c r="C469" s="3" t="s">
        <v>164</v>
      </c>
      <c r="D469" s="3" t="s">
        <v>188</v>
      </c>
      <c r="E469" s="3" t="s">
        <v>31</v>
      </c>
      <c r="F469" s="3" t="b">
        <v>0</v>
      </c>
      <c r="G469" s="3" t="s">
        <v>64</v>
      </c>
      <c r="H469" s="6">
        <v>44929.852268518523</v>
      </c>
      <c r="I469" s="3" t="b">
        <v>1</v>
      </c>
      <c r="J469" s="3" t="b">
        <v>0</v>
      </c>
      <c r="K469" s="3" t="s">
        <v>33</v>
      </c>
      <c r="L469" s="3" t="s">
        <v>34</v>
      </c>
      <c r="M469" s="8">
        <v>180000</v>
      </c>
      <c r="N469" s="11"/>
      <c r="O469" s="3" t="s">
        <v>4065</v>
      </c>
      <c r="P469" s="3"/>
    </row>
    <row r="470" spans="1:16" x14ac:dyDescent="0.3">
      <c r="A470" s="3" t="s">
        <v>103</v>
      </c>
      <c r="B470" s="3" t="s">
        <v>4066</v>
      </c>
      <c r="C470" s="3" t="s">
        <v>75</v>
      </c>
      <c r="D470" s="3" t="s">
        <v>2465</v>
      </c>
      <c r="E470" s="3" t="s">
        <v>31</v>
      </c>
      <c r="F470" s="3" t="b">
        <v>0</v>
      </c>
      <c r="G470" s="3" t="s">
        <v>84</v>
      </c>
      <c r="H470" s="6">
        <v>44929.97934027778</v>
      </c>
      <c r="I470" s="3" t="b">
        <v>0</v>
      </c>
      <c r="J470" s="3" t="b">
        <v>0</v>
      </c>
      <c r="K470" s="3" t="s">
        <v>33</v>
      </c>
      <c r="L470" s="3" t="s">
        <v>48</v>
      </c>
      <c r="M470" s="8"/>
      <c r="N470" s="11">
        <v>24</v>
      </c>
      <c r="O470" s="3" t="s">
        <v>4067</v>
      </c>
      <c r="P470" s="3" t="s">
        <v>4068</v>
      </c>
    </row>
    <row r="471" spans="1:16" x14ac:dyDescent="0.3">
      <c r="A471" s="3" t="s">
        <v>103</v>
      </c>
      <c r="B471" s="3" t="s">
        <v>4073</v>
      </c>
      <c r="C471" s="3" t="s">
        <v>4074</v>
      </c>
      <c r="D471" s="3" t="s">
        <v>188</v>
      </c>
      <c r="E471" s="3" t="s">
        <v>133</v>
      </c>
      <c r="F471" s="3" t="b">
        <v>0</v>
      </c>
      <c r="G471" s="3" t="s">
        <v>32</v>
      </c>
      <c r="H471" s="6">
        <v>44936.500486111108</v>
      </c>
      <c r="I471" s="3" t="b">
        <v>0</v>
      </c>
      <c r="J471" s="3" t="b">
        <v>0</v>
      </c>
      <c r="K471" s="3" t="s">
        <v>33</v>
      </c>
      <c r="L471" s="3" t="s">
        <v>48</v>
      </c>
      <c r="M471" s="8"/>
      <c r="N471" s="11">
        <v>66.5</v>
      </c>
      <c r="O471" s="3" t="s">
        <v>4075</v>
      </c>
      <c r="P471" s="3" t="s">
        <v>374</v>
      </c>
    </row>
    <row r="472" spans="1:16" x14ac:dyDescent="0.3">
      <c r="A472" s="3" t="s">
        <v>103</v>
      </c>
      <c r="B472" s="3" t="s">
        <v>103</v>
      </c>
      <c r="C472" s="3" t="s">
        <v>4076</v>
      </c>
      <c r="D472" s="3" t="s">
        <v>76</v>
      </c>
      <c r="E472" s="3" t="s">
        <v>31</v>
      </c>
      <c r="F472" s="3" t="b">
        <v>0</v>
      </c>
      <c r="G472" s="3" t="s">
        <v>64</v>
      </c>
      <c r="H472" s="6">
        <v>44936.625150462962</v>
      </c>
      <c r="I472" s="3" t="b">
        <v>0</v>
      </c>
      <c r="J472" s="3" t="b">
        <v>1</v>
      </c>
      <c r="K472" s="3" t="s">
        <v>33</v>
      </c>
      <c r="L472" s="3" t="s">
        <v>34</v>
      </c>
      <c r="M472" s="8">
        <v>60000</v>
      </c>
      <c r="N472" s="11"/>
      <c r="O472" s="3" t="s">
        <v>4077</v>
      </c>
      <c r="P472" s="3" t="s">
        <v>405</v>
      </c>
    </row>
    <row r="473" spans="1:16" x14ac:dyDescent="0.3">
      <c r="A473" s="3" t="s">
        <v>103</v>
      </c>
      <c r="B473" s="3" t="s">
        <v>4078</v>
      </c>
      <c r="C473" s="3" t="s">
        <v>447</v>
      </c>
      <c r="D473" s="3" t="s">
        <v>53</v>
      </c>
      <c r="E473" s="3" t="s">
        <v>31</v>
      </c>
      <c r="F473" s="3" t="b">
        <v>0</v>
      </c>
      <c r="G473" s="3" t="s">
        <v>32</v>
      </c>
      <c r="H473" s="6">
        <v>44935.959189814806</v>
      </c>
      <c r="I473" s="3" t="b">
        <v>0</v>
      </c>
      <c r="J473" s="3" t="b">
        <v>1</v>
      </c>
      <c r="K473" s="3" t="s">
        <v>33</v>
      </c>
      <c r="L473" s="3" t="s">
        <v>48</v>
      </c>
      <c r="M473" s="8"/>
      <c r="N473" s="11">
        <v>45</v>
      </c>
      <c r="O473" s="3" t="s">
        <v>4079</v>
      </c>
      <c r="P473" s="3" t="s">
        <v>374</v>
      </c>
    </row>
    <row r="474" spans="1:16" x14ac:dyDescent="0.3">
      <c r="A474" s="3" t="s">
        <v>103</v>
      </c>
      <c r="B474" s="3" t="s">
        <v>103</v>
      </c>
      <c r="C474" s="3" t="s">
        <v>4086</v>
      </c>
      <c r="D474" s="3" t="s">
        <v>76</v>
      </c>
      <c r="E474" s="3" t="s">
        <v>31</v>
      </c>
      <c r="F474" s="3" t="b">
        <v>0</v>
      </c>
      <c r="G474" s="3" t="s">
        <v>84</v>
      </c>
      <c r="H474" s="6">
        <v>44938.876562500001</v>
      </c>
      <c r="I474" s="3" t="b">
        <v>0</v>
      </c>
      <c r="J474" s="3" t="b">
        <v>0</v>
      </c>
      <c r="K474" s="3" t="s">
        <v>33</v>
      </c>
      <c r="L474" s="3" t="s">
        <v>34</v>
      </c>
      <c r="M474" s="8">
        <v>70087</v>
      </c>
      <c r="N474" s="11"/>
      <c r="O474" s="3" t="s">
        <v>4087</v>
      </c>
      <c r="P474" s="3" t="s">
        <v>873</v>
      </c>
    </row>
    <row r="475" spans="1:16" x14ac:dyDescent="0.3">
      <c r="A475" s="3" t="s">
        <v>103</v>
      </c>
      <c r="B475" s="3" t="s">
        <v>4090</v>
      </c>
      <c r="C475" s="3" t="s">
        <v>4091</v>
      </c>
      <c r="D475" s="3" t="s">
        <v>53</v>
      </c>
      <c r="E475" s="3" t="s">
        <v>31</v>
      </c>
      <c r="F475" s="3" t="b">
        <v>0</v>
      </c>
      <c r="G475" s="3" t="s">
        <v>32</v>
      </c>
      <c r="H475" s="6">
        <v>44952.959467592591</v>
      </c>
      <c r="I475" s="3" t="b">
        <v>0</v>
      </c>
      <c r="J475" s="3" t="b">
        <v>0</v>
      </c>
      <c r="K475" s="3" t="s">
        <v>33</v>
      </c>
      <c r="L475" s="3" t="s">
        <v>34</v>
      </c>
      <c r="M475" s="8">
        <v>52000</v>
      </c>
      <c r="N475" s="11"/>
      <c r="O475" s="3" t="s">
        <v>4092</v>
      </c>
      <c r="P475" s="3" t="s">
        <v>3619</v>
      </c>
    </row>
    <row r="476" spans="1:16" x14ac:dyDescent="0.3">
      <c r="A476" s="3" t="s">
        <v>103</v>
      </c>
      <c r="B476" s="3" t="s">
        <v>4093</v>
      </c>
      <c r="C476" s="3" t="s">
        <v>87</v>
      </c>
      <c r="D476" s="3" t="s">
        <v>287</v>
      </c>
      <c r="E476" s="3" t="s">
        <v>31</v>
      </c>
      <c r="F476" s="3" t="b">
        <v>1</v>
      </c>
      <c r="G476" s="3" t="s">
        <v>32</v>
      </c>
      <c r="H476" s="6">
        <v>44956.000798611109</v>
      </c>
      <c r="I476" s="3" t="b">
        <v>0</v>
      </c>
      <c r="J476" s="3" t="b">
        <v>1</v>
      </c>
      <c r="K476" s="3" t="s">
        <v>33</v>
      </c>
      <c r="L476" s="3" t="s">
        <v>34</v>
      </c>
      <c r="M476" s="8">
        <v>65000</v>
      </c>
      <c r="N476" s="11"/>
      <c r="O476" s="3" t="s">
        <v>4094</v>
      </c>
      <c r="P476" s="3" t="s">
        <v>4095</v>
      </c>
    </row>
    <row r="477" spans="1:16" x14ac:dyDescent="0.3">
      <c r="A477" s="3" t="s">
        <v>103</v>
      </c>
      <c r="B477" s="3" t="s">
        <v>4103</v>
      </c>
      <c r="C477" s="3" t="s">
        <v>4104</v>
      </c>
      <c r="D477" s="3" t="s">
        <v>41</v>
      </c>
      <c r="E477" s="3" t="s">
        <v>31</v>
      </c>
      <c r="F477" s="3" t="b">
        <v>0</v>
      </c>
      <c r="G477" s="3" t="s">
        <v>42</v>
      </c>
      <c r="H477" s="6">
        <v>44946.443206018521</v>
      </c>
      <c r="I477" s="3" t="b">
        <v>0</v>
      </c>
      <c r="J477" s="3" t="b">
        <v>0</v>
      </c>
      <c r="K477" s="3" t="s">
        <v>42</v>
      </c>
      <c r="L477" s="3" t="s">
        <v>34</v>
      </c>
      <c r="M477" s="8">
        <v>105650</v>
      </c>
      <c r="N477" s="11"/>
      <c r="O477" s="3" t="s">
        <v>4105</v>
      </c>
      <c r="P477" s="3" t="s">
        <v>1367</v>
      </c>
    </row>
    <row r="478" spans="1:16" x14ac:dyDescent="0.3">
      <c r="A478" s="3" t="s">
        <v>103</v>
      </c>
      <c r="B478" s="3" t="s">
        <v>4106</v>
      </c>
      <c r="C478" s="3" t="s">
        <v>620</v>
      </c>
      <c r="D478" s="3" t="s">
        <v>76</v>
      </c>
      <c r="E478" s="3" t="s">
        <v>31</v>
      </c>
      <c r="F478" s="3" t="b">
        <v>0</v>
      </c>
      <c r="G478" s="3" t="s">
        <v>58</v>
      </c>
      <c r="H478" s="6">
        <v>44929.812118055554</v>
      </c>
      <c r="I478" s="3" t="b">
        <v>0</v>
      </c>
      <c r="J478" s="3" t="b">
        <v>0</v>
      </c>
      <c r="K478" s="3" t="s">
        <v>33</v>
      </c>
      <c r="L478" s="3" t="s">
        <v>48</v>
      </c>
      <c r="M478" s="8"/>
      <c r="N478" s="11">
        <v>45</v>
      </c>
      <c r="O478" s="3" t="s">
        <v>4107</v>
      </c>
      <c r="P478" s="3" t="s">
        <v>4108</v>
      </c>
    </row>
    <row r="479" spans="1:16" x14ac:dyDescent="0.3">
      <c r="A479" s="3" t="s">
        <v>103</v>
      </c>
      <c r="B479" s="3" t="s">
        <v>103</v>
      </c>
      <c r="C479" s="3" t="s">
        <v>4109</v>
      </c>
      <c r="D479" s="3" t="s">
        <v>76</v>
      </c>
      <c r="E479" s="3" t="s">
        <v>31</v>
      </c>
      <c r="F479" s="3" t="b">
        <v>0</v>
      </c>
      <c r="G479" s="3" t="s">
        <v>64</v>
      </c>
      <c r="H479" s="6">
        <v>44949.625057870369</v>
      </c>
      <c r="I479" s="3" t="b">
        <v>0</v>
      </c>
      <c r="J479" s="3" t="b">
        <v>1</v>
      </c>
      <c r="K479" s="3" t="s">
        <v>33</v>
      </c>
      <c r="L479" s="3" t="s">
        <v>34</v>
      </c>
      <c r="M479" s="8">
        <v>59192.5</v>
      </c>
      <c r="N479" s="11"/>
      <c r="O479" s="3" t="s">
        <v>4110</v>
      </c>
      <c r="P479" s="3" t="s">
        <v>405</v>
      </c>
    </row>
    <row r="480" spans="1:16" x14ac:dyDescent="0.3">
      <c r="A480" s="3" t="s">
        <v>103</v>
      </c>
      <c r="B480" s="3" t="s">
        <v>4111</v>
      </c>
      <c r="C480" s="3" t="s">
        <v>164</v>
      </c>
      <c r="D480" s="3" t="s">
        <v>30</v>
      </c>
      <c r="E480" s="3" t="s">
        <v>31</v>
      </c>
      <c r="F480" s="3" t="b">
        <v>0</v>
      </c>
      <c r="G480" s="3" t="s">
        <v>64</v>
      </c>
      <c r="H480" s="6">
        <v>44931.833240740743</v>
      </c>
      <c r="I480" s="3" t="b">
        <v>0</v>
      </c>
      <c r="J480" s="3" t="b">
        <v>1</v>
      </c>
      <c r="K480" s="3" t="s">
        <v>33</v>
      </c>
      <c r="L480" s="3" t="s">
        <v>34</v>
      </c>
      <c r="M480" s="8">
        <v>109159</v>
      </c>
      <c r="N480" s="11"/>
      <c r="O480" s="3" t="s">
        <v>4112</v>
      </c>
      <c r="P480" s="3" t="s">
        <v>4113</v>
      </c>
    </row>
    <row r="481" spans="1:16" x14ac:dyDescent="0.3">
      <c r="A481" s="3" t="s">
        <v>103</v>
      </c>
      <c r="B481" s="3" t="s">
        <v>4114</v>
      </c>
      <c r="C481" s="3" t="s">
        <v>87</v>
      </c>
      <c r="D481" s="3" t="s">
        <v>30</v>
      </c>
      <c r="E481" s="3" t="s">
        <v>133</v>
      </c>
      <c r="F481" s="3" t="b">
        <v>1</v>
      </c>
      <c r="G481" s="3" t="s">
        <v>32</v>
      </c>
      <c r="H481" s="6">
        <v>44944.876064814824</v>
      </c>
      <c r="I481" s="3" t="b">
        <v>1</v>
      </c>
      <c r="J481" s="3" t="b">
        <v>0</v>
      </c>
      <c r="K481" s="3" t="s">
        <v>33</v>
      </c>
      <c r="L481" s="3" t="s">
        <v>48</v>
      </c>
      <c r="M481" s="8"/>
      <c r="N481" s="11">
        <v>40</v>
      </c>
      <c r="O481" s="3" t="s">
        <v>196</v>
      </c>
      <c r="P481" s="3" t="s">
        <v>4115</v>
      </c>
    </row>
    <row r="482" spans="1:16" x14ac:dyDescent="0.3">
      <c r="A482" s="3" t="s">
        <v>103</v>
      </c>
      <c r="B482" s="3" t="s">
        <v>103</v>
      </c>
      <c r="C482" s="3" t="s">
        <v>92</v>
      </c>
      <c r="D482" s="3" t="s">
        <v>30</v>
      </c>
      <c r="E482" s="3" t="s">
        <v>31</v>
      </c>
      <c r="F482" s="3" t="b">
        <v>0</v>
      </c>
      <c r="G482" s="3" t="s">
        <v>84</v>
      </c>
      <c r="H482" s="6">
        <v>44944.877546296288</v>
      </c>
      <c r="I482" s="3" t="b">
        <v>1</v>
      </c>
      <c r="J482" s="3" t="b">
        <v>0</v>
      </c>
      <c r="K482" s="3" t="s">
        <v>33</v>
      </c>
      <c r="L482" s="3" t="s">
        <v>34</v>
      </c>
      <c r="M482" s="8">
        <v>86500</v>
      </c>
      <c r="N482" s="11"/>
      <c r="O482" s="3" t="s">
        <v>4119</v>
      </c>
      <c r="P482" s="3"/>
    </row>
    <row r="483" spans="1:16" x14ac:dyDescent="0.3">
      <c r="A483" s="3" t="s">
        <v>103</v>
      </c>
      <c r="B483" s="3" t="s">
        <v>4136</v>
      </c>
      <c r="C483" s="3" t="s">
        <v>109</v>
      </c>
      <c r="D483" s="3" t="s">
        <v>30</v>
      </c>
      <c r="E483" s="3" t="s">
        <v>133</v>
      </c>
      <c r="F483" s="3" t="b">
        <v>0</v>
      </c>
      <c r="G483" s="3" t="s">
        <v>58</v>
      </c>
      <c r="H483" s="6">
        <v>44956.95989583333</v>
      </c>
      <c r="I483" s="3" t="b">
        <v>1</v>
      </c>
      <c r="J483" s="3" t="b">
        <v>0</v>
      </c>
      <c r="K483" s="3" t="s">
        <v>33</v>
      </c>
      <c r="L483" s="3" t="s">
        <v>48</v>
      </c>
      <c r="M483" s="8"/>
      <c r="N483" s="11">
        <v>36</v>
      </c>
      <c r="O483" s="3" t="s">
        <v>589</v>
      </c>
      <c r="P483" s="3"/>
    </row>
    <row r="484" spans="1:16" x14ac:dyDescent="0.3">
      <c r="A484" s="3" t="s">
        <v>103</v>
      </c>
      <c r="B484" s="3" t="s">
        <v>4137</v>
      </c>
      <c r="C484" s="3" t="s">
        <v>2924</v>
      </c>
      <c r="D484" s="3" t="s">
        <v>30</v>
      </c>
      <c r="E484" s="3" t="s">
        <v>31</v>
      </c>
      <c r="F484" s="3" t="b">
        <v>0</v>
      </c>
      <c r="G484" s="3" t="s">
        <v>32</v>
      </c>
      <c r="H484" s="6">
        <v>44947.001006944447</v>
      </c>
      <c r="I484" s="3" t="b">
        <v>0</v>
      </c>
      <c r="J484" s="3" t="b">
        <v>1</v>
      </c>
      <c r="K484" s="3" t="s">
        <v>33</v>
      </c>
      <c r="L484" s="3" t="s">
        <v>34</v>
      </c>
      <c r="M484" s="8">
        <v>65000</v>
      </c>
      <c r="N484" s="11"/>
      <c r="O484" s="3" t="s">
        <v>4138</v>
      </c>
      <c r="P484" s="3" t="s">
        <v>4095</v>
      </c>
    </row>
    <row r="485" spans="1:16" x14ac:dyDescent="0.3">
      <c r="A485" s="3" t="s">
        <v>103</v>
      </c>
      <c r="B485" s="3" t="s">
        <v>4146</v>
      </c>
      <c r="C485" s="3" t="s">
        <v>164</v>
      </c>
      <c r="D485" s="3" t="s">
        <v>188</v>
      </c>
      <c r="E485" s="3" t="s">
        <v>31</v>
      </c>
      <c r="F485" s="3" t="b">
        <v>0</v>
      </c>
      <c r="G485" s="3" t="s">
        <v>64</v>
      </c>
      <c r="H485" s="6">
        <v>44944.875</v>
      </c>
      <c r="I485" s="3" t="b">
        <v>0</v>
      </c>
      <c r="J485" s="3" t="b">
        <v>0</v>
      </c>
      <c r="K485" s="3" t="s">
        <v>33</v>
      </c>
      <c r="L485" s="3" t="s">
        <v>34</v>
      </c>
      <c r="M485" s="8">
        <v>95000</v>
      </c>
      <c r="N485" s="11"/>
      <c r="O485" s="3" t="s">
        <v>4147</v>
      </c>
      <c r="P485" s="3" t="s">
        <v>4148</v>
      </c>
    </row>
    <row r="486" spans="1:16" x14ac:dyDescent="0.3">
      <c r="A486" s="3" t="s">
        <v>103</v>
      </c>
      <c r="B486" s="3" t="s">
        <v>4154</v>
      </c>
      <c r="C486" s="3" t="s">
        <v>87</v>
      </c>
      <c r="D486" s="3" t="s">
        <v>287</v>
      </c>
      <c r="E486" s="3" t="s">
        <v>31</v>
      </c>
      <c r="F486" s="3" t="b">
        <v>1</v>
      </c>
      <c r="G486" s="3" t="s">
        <v>140</v>
      </c>
      <c r="H486" s="6">
        <v>44949.000439814823</v>
      </c>
      <c r="I486" s="3" t="b">
        <v>1</v>
      </c>
      <c r="J486" s="3" t="b">
        <v>0</v>
      </c>
      <c r="K486" s="3" t="s">
        <v>33</v>
      </c>
      <c r="L486" s="3" t="s">
        <v>34</v>
      </c>
      <c r="M486" s="8">
        <v>51059</v>
      </c>
      <c r="N486" s="11"/>
      <c r="O486" s="3" t="s">
        <v>4155</v>
      </c>
      <c r="P486" s="3" t="s">
        <v>4156</v>
      </c>
    </row>
    <row r="487" spans="1:16" x14ac:dyDescent="0.3">
      <c r="A487" s="3" t="s">
        <v>103</v>
      </c>
      <c r="B487" s="3" t="s">
        <v>4157</v>
      </c>
      <c r="C487" s="3" t="s">
        <v>1877</v>
      </c>
      <c r="D487" s="3" t="s">
        <v>76</v>
      </c>
      <c r="E487" s="3" t="s">
        <v>31</v>
      </c>
      <c r="F487" s="3" t="b">
        <v>0</v>
      </c>
      <c r="G487" s="3" t="s">
        <v>64</v>
      </c>
      <c r="H487" s="6">
        <v>44930.291828703703</v>
      </c>
      <c r="I487" s="3" t="b">
        <v>0</v>
      </c>
      <c r="J487" s="3" t="b">
        <v>1</v>
      </c>
      <c r="K487" s="3" t="s">
        <v>33</v>
      </c>
      <c r="L487" s="3" t="s">
        <v>34</v>
      </c>
      <c r="M487" s="8">
        <v>64105</v>
      </c>
      <c r="N487" s="11"/>
      <c r="O487" s="3" t="s">
        <v>4158</v>
      </c>
      <c r="P487" s="3" t="s">
        <v>2854</v>
      </c>
    </row>
    <row r="488" spans="1:16" x14ac:dyDescent="0.3">
      <c r="A488" s="3" t="s">
        <v>103</v>
      </c>
      <c r="B488" s="3" t="s">
        <v>103</v>
      </c>
      <c r="C488" s="3" t="s">
        <v>57</v>
      </c>
      <c r="D488" s="3" t="s">
        <v>188</v>
      </c>
      <c r="E488" s="3" t="s">
        <v>31</v>
      </c>
      <c r="F488" s="3" t="b">
        <v>0</v>
      </c>
      <c r="G488" s="3" t="s">
        <v>58</v>
      </c>
      <c r="H488" s="6">
        <v>44951.834386574083</v>
      </c>
      <c r="I488" s="3" t="b">
        <v>1</v>
      </c>
      <c r="J488" s="3" t="b">
        <v>0</v>
      </c>
      <c r="K488" s="3" t="s">
        <v>33</v>
      </c>
      <c r="L488" s="3" t="s">
        <v>34</v>
      </c>
      <c r="M488" s="8">
        <v>90000</v>
      </c>
      <c r="N488" s="11"/>
      <c r="O488" s="3" t="s">
        <v>468</v>
      </c>
      <c r="P488" s="3" t="s">
        <v>4159</v>
      </c>
    </row>
    <row r="489" spans="1:16" x14ac:dyDescent="0.3">
      <c r="A489" s="3" t="s">
        <v>103</v>
      </c>
      <c r="B489" s="3" t="s">
        <v>103</v>
      </c>
      <c r="C489" s="3" t="s">
        <v>4160</v>
      </c>
      <c r="D489" s="3" t="s">
        <v>1253</v>
      </c>
      <c r="E489" s="3" t="s">
        <v>31</v>
      </c>
      <c r="F489" s="3" t="b">
        <v>0</v>
      </c>
      <c r="G489" s="3" t="s">
        <v>1252</v>
      </c>
      <c r="H489" s="6">
        <v>44935.011562500003</v>
      </c>
      <c r="I489" s="3" t="b">
        <v>0</v>
      </c>
      <c r="J489" s="3" t="b">
        <v>0</v>
      </c>
      <c r="K489" s="3" t="s">
        <v>1252</v>
      </c>
      <c r="L489" s="3" t="s">
        <v>48</v>
      </c>
      <c r="M489" s="8"/>
      <c r="N489" s="11">
        <v>20</v>
      </c>
      <c r="O489" s="3" t="s">
        <v>4161</v>
      </c>
      <c r="P489" s="3" t="s">
        <v>3821</v>
      </c>
    </row>
    <row r="490" spans="1:16" x14ac:dyDescent="0.3">
      <c r="A490" s="3" t="s">
        <v>103</v>
      </c>
      <c r="B490" s="3" t="s">
        <v>4162</v>
      </c>
      <c r="C490" s="3" t="s">
        <v>329</v>
      </c>
      <c r="D490" s="3" t="s">
        <v>4163</v>
      </c>
      <c r="E490" s="3" t="s">
        <v>31</v>
      </c>
      <c r="F490" s="3" t="b">
        <v>0</v>
      </c>
      <c r="G490" s="3" t="s">
        <v>84</v>
      </c>
      <c r="H490" s="6">
        <v>44935.002488425933</v>
      </c>
      <c r="I490" s="3" t="b">
        <v>0</v>
      </c>
      <c r="J490" s="3" t="b">
        <v>1</v>
      </c>
      <c r="K490" s="3" t="s">
        <v>33</v>
      </c>
      <c r="L490" s="3" t="s">
        <v>34</v>
      </c>
      <c r="M490" s="8">
        <v>130000</v>
      </c>
      <c r="N490" s="11"/>
      <c r="O490" s="3" t="s">
        <v>4164</v>
      </c>
      <c r="P490" s="3" t="s">
        <v>4165</v>
      </c>
    </row>
    <row r="491" spans="1:16" x14ac:dyDescent="0.3">
      <c r="A491" s="3" t="s">
        <v>103</v>
      </c>
      <c r="B491" s="3" t="s">
        <v>4166</v>
      </c>
      <c r="C491" s="3" t="s">
        <v>4167</v>
      </c>
      <c r="D491" s="3" t="s">
        <v>287</v>
      </c>
      <c r="E491" s="3" t="s">
        <v>133</v>
      </c>
      <c r="F491" s="3" t="b">
        <v>0</v>
      </c>
      <c r="G491" s="3" t="s">
        <v>32</v>
      </c>
      <c r="H491" s="6">
        <v>44949.000706018523</v>
      </c>
      <c r="I491" s="3" t="b">
        <v>0</v>
      </c>
      <c r="J491" s="3" t="b">
        <v>1</v>
      </c>
      <c r="K491" s="3" t="s">
        <v>33</v>
      </c>
      <c r="L491" s="3" t="s">
        <v>34</v>
      </c>
      <c r="M491" s="8">
        <v>109735</v>
      </c>
      <c r="N491" s="11"/>
      <c r="O491" s="3" t="s">
        <v>4168</v>
      </c>
      <c r="P491" s="3" t="s">
        <v>3428</v>
      </c>
    </row>
    <row r="492" spans="1:16" x14ac:dyDescent="0.3">
      <c r="A492" s="3" t="s">
        <v>103</v>
      </c>
      <c r="B492" s="3" t="s">
        <v>4169</v>
      </c>
      <c r="C492" s="3" t="s">
        <v>475</v>
      </c>
      <c r="D492" s="3" t="s">
        <v>30</v>
      </c>
      <c r="E492" s="3" t="s">
        <v>31</v>
      </c>
      <c r="F492" s="3" t="b">
        <v>0</v>
      </c>
      <c r="G492" s="3" t="s">
        <v>32</v>
      </c>
      <c r="H492" s="6">
        <v>44938.084930555553</v>
      </c>
      <c r="I492" s="3" t="b">
        <v>0</v>
      </c>
      <c r="J492" s="3" t="b">
        <v>0</v>
      </c>
      <c r="K492" s="3" t="s">
        <v>33</v>
      </c>
      <c r="L492" s="3" t="s">
        <v>34</v>
      </c>
      <c r="M492" s="8">
        <v>100000</v>
      </c>
      <c r="N492" s="11"/>
      <c r="O492" s="3" t="s">
        <v>4170</v>
      </c>
      <c r="P492" s="3" t="s">
        <v>4171</v>
      </c>
    </row>
    <row r="493" spans="1:16" x14ac:dyDescent="0.3">
      <c r="A493" s="3" t="s">
        <v>103</v>
      </c>
      <c r="B493" s="3" t="s">
        <v>103</v>
      </c>
      <c r="C493" s="3" t="s">
        <v>2168</v>
      </c>
      <c r="D493" s="3" t="s">
        <v>30</v>
      </c>
      <c r="E493" s="3" t="s">
        <v>133</v>
      </c>
      <c r="F493" s="3" t="b">
        <v>0</v>
      </c>
      <c r="G493" s="3" t="s">
        <v>110</v>
      </c>
      <c r="H493" s="6">
        <v>44930.623437499999</v>
      </c>
      <c r="I493" s="3" t="b">
        <v>0</v>
      </c>
      <c r="J493" s="3" t="b">
        <v>0</v>
      </c>
      <c r="K493" s="3" t="s">
        <v>110</v>
      </c>
      <c r="L493" s="3" t="s">
        <v>34</v>
      </c>
      <c r="M493" s="8">
        <v>43000</v>
      </c>
      <c r="N493" s="11"/>
      <c r="O493" s="3" t="s">
        <v>589</v>
      </c>
      <c r="P493" s="3" t="s">
        <v>138</v>
      </c>
    </row>
    <row r="494" spans="1:16" x14ac:dyDescent="0.3">
      <c r="A494" s="3" t="s">
        <v>103</v>
      </c>
      <c r="B494" s="3" t="s">
        <v>4174</v>
      </c>
      <c r="C494" s="3" t="s">
        <v>321</v>
      </c>
      <c r="D494" s="3" t="s">
        <v>30</v>
      </c>
      <c r="E494" s="3" t="s">
        <v>133</v>
      </c>
      <c r="F494" s="3" t="b">
        <v>0</v>
      </c>
      <c r="G494" s="3" t="s">
        <v>140</v>
      </c>
      <c r="H494" s="6">
        <v>44944.615706018521</v>
      </c>
      <c r="I494" s="3" t="b">
        <v>0</v>
      </c>
      <c r="J494" s="3" t="b">
        <v>0</v>
      </c>
      <c r="K494" s="3" t="s">
        <v>33</v>
      </c>
      <c r="L494" s="3" t="s">
        <v>48</v>
      </c>
      <c r="M494" s="8"/>
      <c r="N494" s="11">
        <v>62.5</v>
      </c>
      <c r="O494" s="3" t="s">
        <v>502</v>
      </c>
      <c r="P494" s="3" t="s">
        <v>4175</v>
      </c>
    </row>
    <row r="495" spans="1:16" x14ac:dyDescent="0.3">
      <c r="A495" s="3" t="s">
        <v>103</v>
      </c>
      <c r="B495" s="3" t="s">
        <v>103</v>
      </c>
      <c r="C495" s="3" t="s">
        <v>57</v>
      </c>
      <c r="D495" s="3" t="s">
        <v>76</v>
      </c>
      <c r="E495" s="3" t="s">
        <v>133</v>
      </c>
      <c r="F495" s="3" t="b">
        <v>0</v>
      </c>
      <c r="G495" s="3" t="s">
        <v>58</v>
      </c>
      <c r="H495" s="6">
        <v>44936.625925925917</v>
      </c>
      <c r="I495" s="3" t="b">
        <v>0</v>
      </c>
      <c r="J495" s="3" t="b">
        <v>0</v>
      </c>
      <c r="K495" s="3" t="s">
        <v>33</v>
      </c>
      <c r="L495" s="3" t="s">
        <v>48</v>
      </c>
      <c r="M495" s="8"/>
      <c r="N495" s="11">
        <v>77.5</v>
      </c>
      <c r="O495" s="3" t="s">
        <v>4176</v>
      </c>
      <c r="P495" s="3" t="s">
        <v>2573</v>
      </c>
    </row>
    <row r="496" spans="1:16" x14ac:dyDescent="0.3">
      <c r="A496" s="3" t="s">
        <v>103</v>
      </c>
      <c r="B496" s="3" t="s">
        <v>1133</v>
      </c>
      <c r="C496" s="3" t="s">
        <v>109</v>
      </c>
      <c r="D496" s="3" t="s">
        <v>30</v>
      </c>
      <c r="E496" s="3" t="s">
        <v>31</v>
      </c>
      <c r="F496" s="3" t="b">
        <v>0</v>
      </c>
      <c r="G496" s="3" t="s">
        <v>58</v>
      </c>
      <c r="H496" s="6">
        <v>44945.720995370371</v>
      </c>
      <c r="I496" s="3" t="b">
        <v>1</v>
      </c>
      <c r="J496" s="3" t="b">
        <v>1</v>
      </c>
      <c r="K496" s="3" t="s">
        <v>33</v>
      </c>
      <c r="L496" s="3" t="s">
        <v>34</v>
      </c>
      <c r="M496" s="8">
        <v>70000</v>
      </c>
      <c r="N496" s="11"/>
      <c r="O496" s="3" t="s">
        <v>4194</v>
      </c>
      <c r="P496" s="3" t="s">
        <v>4195</v>
      </c>
    </row>
    <row r="497" spans="1:16" x14ac:dyDescent="0.3">
      <c r="A497" s="3" t="s">
        <v>103</v>
      </c>
      <c r="B497" s="3" t="s">
        <v>1382</v>
      </c>
      <c r="C497" s="3" t="s">
        <v>3994</v>
      </c>
      <c r="D497" s="3" t="s">
        <v>76</v>
      </c>
      <c r="E497" s="3" t="s">
        <v>31</v>
      </c>
      <c r="F497" s="3" t="b">
        <v>0</v>
      </c>
      <c r="G497" s="3" t="s">
        <v>88</v>
      </c>
      <c r="H497" s="6">
        <v>44946.638877314806</v>
      </c>
      <c r="I497" s="3" t="b">
        <v>0</v>
      </c>
      <c r="J497" s="3" t="b">
        <v>1</v>
      </c>
      <c r="K497" s="3" t="s">
        <v>33</v>
      </c>
      <c r="L497" s="3" t="s">
        <v>34</v>
      </c>
      <c r="M497" s="8">
        <v>57550</v>
      </c>
      <c r="N497" s="11"/>
      <c r="O497" s="3" t="s">
        <v>4196</v>
      </c>
      <c r="P497" s="3" t="s">
        <v>405</v>
      </c>
    </row>
    <row r="498" spans="1:16" x14ac:dyDescent="0.3">
      <c r="A498" s="3" t="s">
        <v>103</v>
      </c>
      <c r="B498" s="3" t="s">
        <v>4207</v>
      </c>
      <c r="C498" s="3" t="s">
        <v>1330</v>
      </c>
      <c r="D498" s="3" t="s">
        <v>93</v>
      </c>
      <c r="E498" s="3" t="s">
        <v>31</v>
      </c>
      <c r="F498" s="3" t="b">
        <v>0</v>
      </c>
      <c r="G498" s="3" t="s">
        <v>32</v>
      </c>
      <c r="H498" s="6">
        <v>44928.500347222223</v>
      </c>
      <c r="I498" s="3" t="b">
        <v>0</v>
      </c>
      <c r="J498" s="3" t="b">
        <v>0</v>
      </c>
      <c r="K498" s="3" t="s">
        <v>33</v>
      </c>
      <c r="L498" s="3" t="s">
        <v>34</v>
      </c>
      <c r="M498" s="8">
        <v>90000</v>
      </c>
      <c r="N498" s="11"/>
      <c r="O498" s="3" t="s">
        <v>4208</v>
      </c>
      <c r="P498" s="3" t="s">
        <v>405</v>
      </c>
    </row>
    <row r="499" spans="1:16" x14ac:dyDescent="0.3">
      <c r="A499" s="3" t="s">
        <v>103</v>
      </c>
      <c r="B499" s="3" t="s">
        <v>4209</v>
      </c>
      <c r="C499" s="3" t="s">
        <v>1099</v>
      </c>
      <c r="D499" s="3" t="s">
        <v>30</v>
      </c>
      <c r="E499" s="3" t="s">
        <v>31</v>
      </c>
      <c r="F499" s="3" t="b">
        <v>0</v>
      </c>
      <c r="G499" s="3" t="s">
        <v>58</v>
      </c>
      <c r="H499" s="6">
        <v>44946.890752314823</v>
      </c>
      <c r="I499" s="3" t="b">
        <v>0</v>
      </c>
      <c r="J499" s="3" t="b">
        <v>1</v>
      </c>
      <c r="K499" s="3" t="s">
        <v>33</v>
      </c>
      <c r="L499" s="3" t="s">
        <v>34</v>
      </c>
      <c r="M499" s="8">
        <v>87500</v>
      </c>
      <c r="N499" s="11"/>
      <c r="O499" s="3" t="s">
        <v>4210</v>
      </c>
      <c r="P499" s="3" t="s">
        <v>4211</v>
      </c>
    </row>
    <row r="500" spans="1:16" x14ac:dyDescent="0.3">
      <c r="A500" s="3" t="s">
        <v>103</v>
      </c>
      <c r="B500" s="3" t="s">
        <v>4212</v>
      </c>
      <c r="C500" s="3" t="s">
        <v>3130</v>
      </c>
      <c r="D500" s="3" t="s">
        <v>30</v>
      </c>
      <c r="E500" s="3" t="s">
        <v>31</v>
      </c>
      <c r="F500" s="3" t="b">
        <v>0</v>
      </c>
      <c r="G500" s="3" t="s">
        <v>64</v>
      </c>
      <c r="H500" s="6">
        <v>44931.833692129629</v>
      </c>
      <c r="I500" s="3" t="b">
        <v>0</v>
      </c>
      <c r="J500" s="3" t="b">
        <v>1</v>
      </c>
      <c r="K500" s="3" t="s">
        <v>33</v>
      </c>
      <c r="L500" s="3" t="s">
        <v>34</v>
      </c>
      <c r="M500" s="8">
        <v>109159</v>
      </c>
      <c r="N500" s="11"/>
      <c r="O500" s="3" t="s">
        <v>4112</v>
      </c>
      <c r="P500" s="3" t="s">
        <v>4113</v>
      </c>
    </row>
    <row r="501" spans="1:16" x14ac:dyDescent="0.3">
      <c r="A501" s="3" t="s">
        <v>103</v>
      </c>
      <c r="B501" s="3" t="s">
        <v>103</v>
      </c>
      <c r="C501" s="3" t="s">
        <v>164</v>
      </c>
      <c r="D501" s="3" t="s">
        <v>41</v>
      </c>
      <c r="E501" s="3" t="s">
        <v>31</v>
      </c>
      <c r="F501" s="3" t="b">
        <v>0</v>
      </c>
      <c r="G501" s="3" t="s">
        <v>64</v>
      </c>
      <c r="H501" s="6">
        <v>44936.999918981477</v>
      </c>
      <c r="I501" s="3" t="b">
        <v>0</v>
      </c>
      <c r="J501" s="3" t="b">
        <v>0</v>
      </c>
      <c r="K501" s="3" t="s">
        <v>33</v>
      </c>
      <c r="L501" s="3" t="s">
        <v>34</v>
      </c>
      <c r="M501" s="8">
        <v>105000</v>
      </c>
      <c r="N501" s="11"/>
      <c r="O501" s="3" t="s">
        <v>1754</v>
      </c>
      <c r="P501" s="3" t="s">
        <v>1755</v>
      </c>
    </row>
    <row r="502" spans="1:16" x14ac:dyDescent="0.3">
      <c r="A502" s="3" t="s">
        <v>103</v>
      </c>
      <c r="B502" s="3" t="s">
        <v>3054</v>
      </c>
      <c r="C502" s="3" t="s">
        <v>565</v>
      </c>
      <c r="D502" s="3" t="s">
        <v>93</v>
      </c>
      <c r="E502" s="3" t="s">
        <v>31</v>
      </c>
      <c r="F502" s="3" t="b">
        <v>0</v>
      </c>
      <c r="G502" s="3" t="s">
        <v>140</v>
      </c>
      <c r="H502" s="6">
        <v>44943.365624999999</v>
      </c>
      <c r="I502" s="3" t="b">
        <v>0</v>
      </c>
      <c r="J502" s="3" t="b">
        <v>0</v>
      </c>
      <c r="K502" s="3" t="s">
        <v>33</v>
      </c>
      <c r="L502" s="3" t="s">
        <v>34</v>
      </c>
      <c r="M502" s="8">
        <v>90000</v>
      </c>
      <c r="N502" s="11"/>
      <c r="O502" s="3" t="s">
        <v>4220</v>
      </c>
      <c r="P502" s="3" t="s">
        <v>4221</v>
      </c>
    </row>
    <row r="503" spans="1:16" x14ac:dyDescent="0.3">
      <c r="A503" s="3" t="s">
        <v>103</v>
      </c>
      <c r="B503" s="3" t="s">
        <v>4222</v>
      </c>
      <c r="C503" s="3" t="s">
        <v>87</v>
      </c>
      <c r="D503" s="3" t="s">
        <v>30</v>
      </c>
      <c r="E503" s="3" t="s">
        <v>133</v>
      </c>
      <c r="F503" s="3" t="b">
        <v>1</v>
      </c>
      <c r="G503" s="3" t="s">
        <v>110</v>
      </c>
      <c r="H503" s="6">
        <v>44949.936122685183</v>
      </c>
      <c r="I503" s="3" t="b">
        <v>0</v>
      </c>
      <c r="J503" s="3" t="b">
        <v>0</v>
      </c>
      <c r="K503" s="3" t="s">
        <v>110</v>
      </c>
      <c r="L503" s="3" t="s">
        <v>34</v>
      </c>
      <c r="M503" s="8">
        <v>170000</v>
      </c>
      <c r="N503" s="11"/>
      <c r="O503" s="3" t="s">
        <v>4223</v>
      </c>
      <c r="P503" s="3" t="s">
        <v>4224</v>
      </c>
    </row>
    <row r="504" spans="1:16" x14ac:dyDescent="0.3">
      <c r="A504" s="3" t="s">
        <v>103</v>
      </c>
      <c r="B504" s="3" t="s">
        <v>4225</v>
      </c>
      <c r="C504" s="3" t="s">
        <v>75</v>
      </c>
      <c r="D504" s="3" t="s">
        <v>53</v>
      </c>
      <c r="E504" s="3" t="s">
        <v>31</v>
      </c>
      <c r="F504" s="3" t="b">
        <v>0</v>
      </c>
      <c r="G504" s="3" t="s">
        <v>84</v>
      </c>
      <c r="H504" s="6">
        <v>44957.126701388886</v>
      </c>
      <c r="I504" s="3" t="b">
        <v>0</v>
      </c>
      <c r="J504" s="3" t="b">
        <v>1</v>
      </c>
      <c r="K504" s="3" t="s">
        <v>33</v>
      </c>
      <c r="L504" s="3" t="s">
        <v>34</v>
      </c>
      <c r="M504" s="8">
        <v>100000</v>
      </c>
      <c r="N504" s="11"/>
      <c r="O504" s="3" t="s">
        <v>4226</v>
      </c>
      <c r="P504" s="3"/>
    </row>
    <row r="505" spans="1:16" x14ac:dyDescent="0.3">
      <c r="A505" s="3" t="s">
        <v>103</v>
      </c>
      <c r="B505" s="3" t="s">
        <v>4227</v>
      </c>
      <c r="C505" s="3" t="s">
        <v>2502</v>
      </c>
      <c r="D505" s="3" t="s">
        <v>188</v>
      </c>
      <c r="E505" s="3" t="s">
        <v>133</v>
      </c>
      <c r="F505" s="3" t="b">
        <v>0</v>
      </c>
      <c r="G505" s="3" t="s">
        <v>64</v>
      </c>
      <c r="H505" s="6">
        <v>44956.583402777767</v>
      </c>
      <c r="I505" s="3" t="b">
        <v>1</v>
      </c>
      <c r="J505" s="3" t="b">
        <v>0</v>
      </c>
      <c r="K505" s="3" t="s">
        <v>33</v>
      </c>
      <c r="L505" s="3" t="s">
        <v>48</v>
      </c>
      <c r="M505" s="8"/>
      <c r="N505" s="11">
        <v>74.069999694824219</v>
      </c>
      <c r="O505" s="3" t="s">
        <v>1792</v>
      </c>
      <c r="P505" s="3" t="s">
        <v>4228</v>
      </c>
    </row>
    <row r="506" spans="1:16" x14ac:dyDescent="0.3">
      <c r="A506" s="3" t="s">
        <v>103</v>
      </c>
      <c r="B506" s="3" t="s">
        <v>4154</v>
      </c>
      <c r="C506" s="3" t="s">
        <v>4229</v>
      </c>
      <c r="D506" s="3" t="s">
        <v>76</v>
      </c>
      <c r="E506" s="3" t="s">
        <v>31</v>
      </c>
      <c r="F506" s="3" t="b">
        <v>0</v>
      </c>
      <c r="G506" s="3" t="s">
        <v>84</v>
      </c>
      <c r="H506" s="6">
        <v>44930.54315972222</v>
      </c>
      <c r="I506" s="3" t="b">
        <v>0</v>
      </c>
      <c r="J506" s="3" t="b">
        <v>0</v>
      </c>
      <c r="K506" s="3" t="s">
        <v>33</v>
      </c>
      <c r="L506" s="3" t="s">
        <v>34</v>
      </c>
      <c r="M506" s="8">
        <v>96000</v>
      </c>
      <c r="N506" s="11"/>
      <c r="O506" s="3" t="s">
        <v>4230</v>
      </c>
      <c r="P506" s="3" t="s">
        <v>4231</v>
      </c>
    </row>
    <row r="507" spans="1:16" x14ac:dyDescent="0.3">
      <c r="A507" s="3" t="s">
        <v>103</v>
      </c>
      <c r="B507" s="3" t="s">
        <v>4234</v>
      </c>
      <c r="C507" s="3" t="s">
        <v>3089</v>
      </c>
      <c r="D507" s="3" t="s">
        <v>41</v>
      </c>
      <c r="E507" s="3" t="s">
        <v>31</v>
      </c>
      <c r="F507" s="3" t="b">
        <v>0</v>
      </c>
      <c r="G507" s="3" t="s">
        <v>818</v>
      </c>
      <c r="H507" s="6">
        <v>44936.742407407408</v>
      </c>
      <c r="I507" s="3" t="b">
        <v>1</v>
      </c>
      <c r="J507" s="3" t="b">
        <v>0</v>
      </c>
      <c r="K507" s="3" t="s">
        <v>818</v>
      </c>
      <c r="L507" s="3" t="s">
        <v>34</v>
      </c>
      <c r="M507" s="8">
        <v>45000</v>
      </c>
      <c r="N507" s="11"/>
      <c r="O507" s="3" t="s">
        <v>4235</v>
      </c>
      <c r="P507" s="3"/>
    </row>
    <row r="508" spans="1:16" x14ac:dyDescent="0.3">
      <c r="A508" s="3" t="s">
        <v>103</v>
      </c>
      <c r="B508" s="3" t="s">
        <v>4237</v>
      </c>
      <c r="C508" s="3" t="s">
        <v>4238</v>
      </c>
      <c r="D508" s="3" t="s">
        <v>4239</v>
      </c>
      <c r="E508" s="3" t="s">
        <v>31</v>
      </c>
      <c r="F508" s="3" t="b">
        <v>0</v>
      </c>
      <c r="G508" s="3" t="s">
        <v>32</v>
      </c>
      <c r="H508" s="6">
        <v>44928.583703703713</v>
      </c>
      <c r="I508" s="3" t="b">
        <v>0</v>
      </c>
      <c r="J508" s="3" t="b">
        <v>0</v>
      </c>
      <c r="K508" s="3" t="s">
        <v>33</v>
      </c>
      <c r="L508" s="3" t="s">
        <v>48</v>
      </c>
      <c r="M508" s="8"/>
      <c r="N508" s="11">
        <v>34.580001831054688</v>
      </c>
      <c r="O508" s="3" t="s">
        <v>4240</v>
      </c>
      <c r="P508" s="3" t="s">
        <v>4241</v>
      </c>
    </row>
    <row r="509" spans="1:16" x14ac:dyDescent="0.3">
      <c r="A509" s="3" t="s">
        <v>103</v>
      </c>
      <c r="B509" s="3" t="s">
        <v>103</v>
      </c>
      <c r="C509" s="3" t="s">
        <v>3024</v>
      </c>
      <c r="D509" s="3" t="s">
        <v>2761</v>
      </c>
      <c r="E509" s="3" t="s">
        <v>31</v>
      </c>
      <c r="F509" s="3" t="b">
        <v>0</v>
      </c>
      <c r="G509" s="3" t="s">
        <v>32</v>
      </c>
      <c r="H509" s="6">
        <v>44937.000509259262</v>
      </c>
      <c r="I509" s="3" t="b">
        <v>0</v>
      </c>
      <c r="J509" s="3" t="b">
        <v>0</v>
      </c>
      <c r="K509" s="3" t="s">
        <v>33</v>
      </c>
      <c r="L509" s="3" t="s">
        <v>48</v>
      </c>
      <c r="M509" s="8"/>
      <c r="N509" s="11">
        <v>75</v>
      </c>
      <c r="O509" s="3" t="s">
        <v>3671</v>
      </c>
      <c r="P509" s="3" t="s">
        <v>4246</v>
      </c>
    </row>
    <row r="510" spans="1:16" x14ac:dyDescent="0.3">
      <c r="A510" s="3" t="s">
        <v>103</v>
      </c>
      <c r="B510" s="3" t="s">
        <v>4247</v>
      </c>
      <c r="C510" s="3" t="s">
        <v>79</v>
      </c>
      <c r="D510" s="3" t="s">
        <v>53</v>
      </c>
      <c r="E510" s="3" t="s">
        <v>31</v>
      </c>
      <c r="F510" s="3" t="b">
        <v>0</v>
      </c>
      <c r="G510" s="3" t="s">
        <v>58</v>
      </c>
      <c r="H510" s="6">
        <v>44930.603703703702</v>
      </c>
      <c r="I510" s="3" t="b">
        <v>0</v>
      </c>
      <c r="J510" s="3" t="b">
        <v>1</v>
      </c>
      <c r="K510" s="3" t="s">
        <v>33</v>
      </c>
      <c r="L510" s="3" t="s">
        <v>48</v>
      </c>
      <c r="M510" s="8"/>
      <c r="N510" s="11">
        <v>18</v>
      </c>
      <c r="O510" s="3" t="s">
        <v>4248</v>
      </c>
      <c r="P510" s="3" t="s">
        <v>1048</v>
      </c>
    </row>
    <row r="511" spans="1:16" x14ac:dyDescent="0.3">
      <c r="A511" s="3" t="s">
        <v>103</v>
      </c>
      <c r="B511" s="3" t="s">
        <v>4249</v>
      </c>
      <c r="C511" s="3" t="s">
        <v>87</v>
      </c>
      <c r="D511" s="3" t="s">
        <v>76</v>
      </c>
      <c r="E511" s="3" t="s">
        <v>31</v>
      </c>
      <c r="F511" s="3" t="b">
        <v>1</v>
      </c>
      <c r="G511" s="3" t="s">
        <v>32</v>
      </c>
      <c r="H511" s="6">
        <v>44950.959247685183</v>
      </c>
      <c r="I511" s="3" t="b">
        <v>0</v>
      </c>
      <c r="J511" s="3" t="b">
        <v>0</v>
      </c>
      <c r="K511" s="3" t="s">
        <v>33</v>
      </c>
      <c r="L511" s="3" t="s">
        <v>48</v>
      </c>
      <c r="M511" s="8"/>
      <c r="N511" s="11">
        <v>42.880001068115227</v>
      </c>
      <c r="O511" s="3" t="s">
        <v>4250</v>
      </c>
      <c r="P511" s="3" t="s">
        <v>4251</v>
      </c>
    </row>
    <row r="512" spans="1:16" x14ac:dyDescent="0.3">
      <c r="A512" s="3" t="s">
        <v>103</v>
      </c>
      <c r="B512" s="3" t="s">
        <v>103</v>
      </c>
      <c r="C512" s="3" t="s">
        <v>3024</v>
      </c>
      <c r="D512" s="3" t="s">
        <v>53</v>
      </c>
      <c r="E512" s="3"/>
      <c r="F512" s="3" t="b">
        <v>0</v>
      </c>
      <c r="G512" s="3" t="s">
        <v>32</v>
      </c>
      <c r="H512" s="6">
        <v>44951.709131944437</v>
      </c>
      <c r="I512" s="3" t="b">
        <v>0</v>
      </c>
      <c r="J512" s="3" t="b">
        <v>0</v>
      </c>
      <c r="K512" s="3" t="s">
        <v>33</v>
      </c>
      <c r="L512" s="3" t="s">
        <v>48</v>
      </c>
      <c r="M512" s="8"/>
      <c r="N512" s="11">
        <v>27.5</v>
      </c>
      <c r="O512" s="3" t="s">
        <v>114</v>
      </c>
      <c r="P512" s="3" t="s">
        <v>4255</v>
      </c>
    </row>
    <row r="513" spans="1:16" x14ac:dyDescent="0.3">
      <c r="A513" s="3" t="s">
        <v>103</v>
      </c>
      <c r="B513" s="3" t="s">
        <v>103</v>
      </c>
      <c r="C513" s="3" t="s">
        <v>4257</v>
      </c>
      <c r="D513" s="3" t="s">
        <v>76</v>
      </c>
      <c r="E513" s="3" t="s">
        <v>133</v>
      </c>
      <c r="F513" s="3" t="b">
        <v>0</v>
      </c>
      <c r="G513" s="3" t="s">
        <v>84</v>
      </c>
      <c r="H513" s="6">
        <v>44929.771006944437</v>
      </c>
      <c r="I513" s="3" t="b">
        <v>1</v>
      </c>
      <c r="J513" s="3" t="b">
        <v>0</v>
      </c>
      <c r="K513" s="3" t="s">
        <v>33</v>
      </c>
      <c r="L513" s="3" t="s">
        <v>48</v>
      </c>
      <c r="M513" s="8"/>
      <c r="N513" s="11">
        <v>39.349998474121087</v>
      </c>
      <c r="O513" s="3" t="s">
        <v>4258</v>
      </c>
      <c r="P513" s="3" t="s">
        <v>1367</v>
      </c>
    </row>
    <row r="514" spans="1:16" x14ac:dyDescent="0.3">
      <c r="A514" s="3" t="s">
        <v>103</v>
      </c>
      <c r="B514" s="3" t="s">
        <v>909</v>
      </c>
      <c r="C514" s="3" t="s">
        <v>910</v>
      </c>
      <c r="D514" s="3" t="s">
        <v>76</v>
      </c>
      <c r="E514" s="3" t="s">
        <v>1861</v>
      </c>
      <c r="F514" s="3" t="b">
        <v>0</v>
      </c>
      <c r="G514" s="3" t="s">
        <v>32</v>
      </c>
      <c r="H514" s="6">
        <v>44950.375740740739</v>
      </c>
      <c r="I514" s="3" t="b">
        <v>1</v>
      </c>
      <c r="J514" s="3" t="b">
        <v>0</v>
      </c>
      <c r="K514" s="3" t="s">
        <v>33</v>
      </c>
      <c r="L514" s="3" t="s">
        <v>48</v>
      </c>
      <c r="M514" s="8"/>
      <c r="N514" s="11">
        <v>40</v>
      </c>
      <c r="O514" s="3" t="s">
        <v>911</v>
      </c>
      <c r="P514" s="3"/>
    </row>
    <row r="515" spans="1:16" x14ac:dyDescent="0.3">
      <c r="A515" s="3" t="s">
        <v>103</v>
      </c>
      <c r="B515" s="3" t="s">
        <v>388</v>
      </c>
      <c r="C515" s="3" t="s">
        <v>97</v>
      </c>
      <c r="D515" s="3" t="s">
        <v>76</v>
      </c>
      <c r="E515" s="3" t="s">
        <v>31</v>
      </c>
      <c r="F515" s="3" t="b">
        <v>0</v>
      </c>
      <c r="G515" s="3" t="s">
        <v>32</v>
      </c>
      <c r="H515" s="6">
        <v>44946.792673611111</v>
      </c>
      <c r="I515" s="3" t="b">
        <v>0</v>
      </c>
      <c r="J515" s="3" t="b">
        <v>0</v>
      </c>
      <c r="K515" s="3" t="s">
        <v>33</v>
      </c>
      <c r="L515" s="3" t="s">
        <v>48</v>
      </c>
      <c r="M515" s="8"/>
      <c r="N515" s="11">
        <v>23.5</v>
      </c>
      <c r="O515" s="3" t="s">
        <v>4261</v>
      </c>
      <c r="P515" s="3" t="s">
        <v>38</v>
      </c>
    </row>
    <row r="516" spans="1:16" x14ac:dyDescent="0.3">
      <c r="A516" s="3" t="s">
        <v>103</v>
      </c>
      <c r="B516" s="3" t="s">
        <v>230</v>
      </c>
      <c r="C516" s="3" t="s">
        <v>83</v>
      </c>
      <c r="D516" s="3" t="s">
        <v>76</v>
      </c>
      <c r="E516" s="3" t="s">
        <v>31</v>
      </c>
      <c r="F516" s="3" t="b">
        <v>0</v>
      </c>
      <c r="G516" s="3" t="s">
        <v>64</v>
      </c>
      <c r="H516" s="6">
        <v>44930.916828703703</v>
      </c>
      <c r="I516" s="3" t="b">
        <v>0</v>
      </c>
      <c r="J516" s="3" t="b">
        <v>0</v>
      </c>
      <c r="K516" s="3" t="s">
        <v>33</v>
      </c>
      <c r="L516" s="3" t="s">
        <v>34</v>
      </c>
      <c r="M516" s="8">
        <v>105000</v>
      </c>
      <c r="N516" s="11"/>
      <c r="O516" s="3" t="s">
        <v>80</v>
      </c>
      <c r="P516" s="3" t="s">
        <v>4266</v>
      </c>
    </row>
    <row r="517" spans="1:16" x14ac:dyDescent="0.3">
      <c r="A517" s="3" t="s">
        <v>103</v>
      </c>
      <c r="B517" s="3" t="s">
        <v>1133</v>
      </c>
      <c r="C517" s="3" t="s">
        <v>1318</v>
      </c>
      <c r="D517" s="3" t="s">
        <v>4269</v>
      </c>
      <c r="E517" s="3" t="s">
        <v>133</v>
      </c>
      <c r="F517" s="3" t="b">
        <v>0</v>
      </c>
      <c r="G517" s="3" t="s">
        <v>84</v>
      </c>
      <c r="H517" s="6">
        <v>44952.50267361111</v>
      </c>
      <c r="I517" s="3" t="b">
        <v>0</v>
      </c>
      <c r="J517" s="3" t="b">
        <v>0</v>
      </c>
      <c r="K517" s="3" t="s">
        <v>33</v>
      </c>
      <c r="L517" s="3" t="s">
        <v>48</v>
      </c>
      <c r="M517" s="8"/>
      <c r="N517" s="11">
        <v>32.450000762939453</v>
      </c>
      <c r="O517" s="3" t="s">
        <v>4270</v>
      </c>
      <c r="P517" s="3" t="s">
        <v>4271</v>
      </c>
    </row>
    <row r="518" spans="1:16" x14ac:dyDescent="0.3">
      <c r="A518" s="3" t="s">
        <v>103</v>
      </c>
      <c r="B518" s="3" t="s">
        <v>1190</v>
      </c>
      <c r="C518" s="3" t="s">
        <v>258</v>
      </c>
      <c r="D518" s="3" t="s">
        <v>287</v>
      </c>
      <c r="E518" s="3" t="s">
        <v>31</v>
      </c>
      <c r="F518" s="3" t="b">
        <v>0</v>
      </c>
      <c r="G518" s="3" t="s">
        <v>32</v>
      </c>
      <c r="H518" s="6">
        <v>44947.000972222217</v>
      </c>
      <c r="I518" s="3" t="b">
        <v>0</v>
      </c>
      <c r="J518" s="3" t="b">
        <v>0</v>
      </c>
      <c r="K518" s="3" t="s">
        <v>33</v>
      </c>
      <c r="L518" s="3" t="s">
        <v>34</v>
      </c>
      <c r="M518" s="8">
        <v>95000</v>
      </c>
      <c r="N518" s="11"/>
      <c r="O518" s="3" t="s">
        <v>4277</v>
      </c>
      <c r="P518" s="3" t="s">
        <v>374</v>
      </c>
    </row>
    <row r="519" spans="1:16" x14ac:dyDescent="0.3">
      <c r="A519" s="3" t="s">
        <v>103</v>
      </c>
      <c r="B519" s="3" t="s">
        <v>1899</v>
      </c>
      <c r="C519" s="3" t="s">
        <v>1877</v>
      </c>
      <c r="D519" s="3" t="s">
        <v>30</v>
      </c>
      <c r="E519" s="3" t="s">
        <v>133</v>
      </c>
      <c r="F519" s="3" t="b">
        <v>0</v>
      </c>
      <c r="G519" s="3" t="s">
        <v>64</v>
      </c>
      <c r="H519" s="6">
        <v>44937.833969907413</v>
      </c>
      <c r="I519" s="3" t="b">
        <v>0</v>
      </c>
      <c r="J519" s="3" t="b">
        <v>0</v>
      </c>
      <c r="K519" s="3" t="s">
        <v>33</v>
      </c>
      <c r="L519" s="3" t="s">
        <v>48</v>
      </c>
      <c r="M519" s="8"/>
      <c r="N519" s="11">
        <v>20.670000076293949</v>
      </c>
      <c r="O519" s="3" t="s">
        <v>4278</v>
      </c>
      <c r="P519" s="3" t="s">
        <v>405</v>
      </c>
    </row>
    <row r="520" spans="1:16" x14ac:dyDescent="0.3">
      <c r="A520" s="3" t="s">
        <v>103</v>
      </c>
      <c r="B520" s="3" t="s">
        <v>3566</v>
      </c>
      <c r="C520" s="3" t="s">
        <v>718</v>
      </c>
      <c r="D520" s="3" t="s">
        <v>719</v>
      </c>
      <c r="E520" s="3" t="s">
        <v>31</v>
      </c>
      <c r="F520" s="3" t="b">
        <v>0</v>
      </c>
      <c r="G520" s="3" t="s">
        <v>110</v>
      </c>
      <c r="H520" s="6">
        <v>44930.005624999998</v>
      </c>
      <c r="I520" s="3" t="b">
        <v>0</v>
      </c>
      <c r="J520" s="3" t="b">
        <v>0</v>
      </c>
      <c r="K520" s="3" t="s">
        <v>110</v>
      </c>
      <c r="L520" s="3" t="s">
        <v>48</v>
      </c>
      <c r="M520" s="8"/>
      <c r="N520" s="11">
        <v>24</v>
      </c>
      <c r="O520" s="3" t="s">
        <v>4279</v>
      </c>
      <c r="P520" s="3" t="s">
        <v>4280</v>
      </c>
    </row>
    <row r="521" spans="1:16" x14ac:dyDescent="0.3">
      <c r="A521" s="3" t="s">
        <v>103</v>
      </c>
      <c r="B521" s="3" t="s">
        <v>103</v>
      </c>
      <c r="C521" s="3" t="s">
        <v>641</v>
      </c>
      <c r="D521" s="3" t="s">
        <v>41</v>
      </c>
      <c r="E521" s="3" t="s">
        <v>31</v>
      </c>
      <c r="F521" s="3" t="b">
        <v>0</v>
      </c>
      <c r="G521" s="3" t="s">
        <v>88</v>
      </c>
      <c r="H521" s="6">
        <v>44949.25204861111</v>
      </c>
      <c r="I521" s="3" t="b">
        <v>0</v>
      </c>
      <c r="J521" s="3" t="b">
        <v>1</v>
      </c>
      <c r="K521" s="3" t="s">
        <v>33</v>
      </c>
      <c r="L521" s="3" t="s">
        <v>34</v>
      </c>
      <c r="M521" s="8">
        <v>98500</v>
      </c>
      <c r="N521" s="11"/>
      <c r="O521" s="3" t="s">
        <v>4285</v>
      </c>
      <c r="P521" s="3" t="s">
        <v>4286</v>
      </c>
    </row>
    <row r="522" spans="1:16" x14ac:dyDescent="0.3">
      <c r="A522" s="3" t="s">
        <v>103</v>
      </c>
      <c r="B522" s="3" t="s">
        <v>103</v>
      </c>
      <c r="C522" s="3" t="s">
        <v>641</v>
      </c>
      <c r="D522" s="3" t="s">
        <v>76</v>
      </c>
      <c r="E522" s="3" t="s">
        <v>31</v>
      </c>
      <c r="F522" s="3" t="b">
        <v>0</v>
      </c>
      <c r="G522" s="3" t="s">
        <v>88</v>
      </c>
      <c r="H522" s="6">
        <v>44931.710138888891</v>
      </c>
      <c r="I522" s="3" t="b">
        <v>1</v>
      </c>
      <c r="J522" s="3" t="b">
        <v>0</v>
      </c>
      <c r="K522" s="3" t="s">
        <v>33</v>
      </c>
      <c r="L522" s="3" t="s">
        <v>34</v>
      </c>
      <c r="M522" s="8">
        <v>127500</v>
      </c>
      <c r="N522" s="11"/>
      <c r="O522" s="3" t="s">
        <v>1243</v>
      </c>
      <c r="P522" s="3" t="s">
        <v>524</v>
      </c>
    </row>
    <row r="523" spans="1:16" x14ac:dyDescent="0.3">
      <c r="A523" s="3" t="s">
        <v>103</v>
      </c>
      <c r="B523" s="3" t="s">
        <v>1190</v>
      </c>
      <c r="C523" s="3" t="s">
        <v>4295</v>
      </c>
      <c r="D523" s="3" t="s">
        <v>188</v>
      </c>
      <c r="E523" s="3" t="s">
        <v>31</v>
      </c>
      <c r="F523" s="3" t="b">
        <v>0</v>
      </c>
      <c r="G523" s="3" t="s">
        <v>32</v>
      </c>
      <c r="H523" s="6">
        <v>44937.918182870373</v>
      </c>
      <c r="I523" s="3" t="b">
        <v>1</v>
      </c>
      <c r="J523" s="3" t="b">
        <v>0</v>
      </c>
      <c r="K523" s="3" t="s">
        <v>33</v>
      </c>
      <c r="L523" s="3" t="s">
        <v>34</v>
      </c>
      <c r="M523" s="8">
        <v>70000</v>
      </c>
      <c r="N523" s="11"/>
      <c r="O523" s="3" t="s">
        <v>189</v>
      </c>
      <c r="P523" s="3" t="s">
        <v>3322</v>
      </c>
    </row>
    <row r="524" spans="1:16" x14ac:dyDescent="0.3">
      <c r="A524" s="3" t="s">
        <v>103</v>
      </c>
      <c r="B524" s="3" t="s">
        <v>103</v>
      </c>
      <c r="C524" s="3" t="s">
        <v>87</v>
      </c>
      <c r="D524" s="3" t="s">
        <v>287</v>
      </c>
      <c r="E524" s="3" t="s">
        <v>31</v>
      </c>
      <c r="F524" s="3" t="b">
        <v>1</v>
      </c>
      <c r="G524" s="3" t="s">
        <v>88</v>
      </c>
      <c r="H524" s="6">
        <v>44934.001319444447</v>
      </c>
      <c r="I524" s="3" t="b">
        <v>1</v>
      </c>
      <c r="J524" s="3" t="b">
        <v>1</v>
      </c>
      <c r="K524" s="3" t="s">
        <v>33</v>
      </c>
      <c r="L524" s="3" t="s">
        <v>34</v>
      </c>
      <c r="M524" s="8">
        <v>62500</v>
      </c>
      <c r="N524" s="11"/>
      <c r="O524" s="3" t="s">
        <v>4296</v>
      </c>
      <c r="P524" s="3" t="s">
        <v>4297</v>
      </c>
    </row>
    <row r="525" spans="1:16" x14ac:dyDescent="0.3">
      <c r="A525" s="3" t="s">
        <v>103</v>
      </c>
      <c r="B525" s="3" t="s">
        <v>103</v>
      </c>
      <c r="C525" s="3" t="s">
        <v>87</v>
      </c>
      <c r="D525" s="3" t="s">
        <v>76</v>
      </c>
      <c r="E525" s="3" t="s">
        <v>31</v>
      </c>
      <c r="F525" s="3" t="b">
        <v>1</v>
      </c>
      <c r="G525" s="3" t="s">
        <v>84</v>
      </c>
      <c r="H525" s="6">
        <v>44951.793043981481</v>
      </c>
      <c r="I525" s="3" t="b">
        <v>0</v>
      </c>
      <c r="J525" s="3" t="b">
        <v>1</v>
      </c>
      <c r="K525" s="3" t="s">
        <v>33</v>
      </c>
      <c r="L525" s="3" t="s">
        <v>34</v>
      </c>
      <c r="M525" s="8">
        <v>67500</v>
      </c>
      <c r="N525" s="11"/>
      <c r="O525" s="3" t="s">
        <v>4299</v>
      </c>
      <c r="P525" s="3" t="s">
        <v>4300</v>
      </c>
    </row>
    <row r="526" spans="1:16" x14ac:dyDescent="0.3">
      <c r="A526" s="3" t="s">
        <v>103</v>
      </c>
      <c r="B526" s="3" t="s">
        <v>4301</v>
      </c>
      <c r="C526" s="3" t="s">
        <v>4302</v>
      </c>
      <c r="D526" s="3" t="s">
        <v>41</v>
      </c>
      <c r="E526" s="3" t="s">
        <v>31</v>
      </c>
      <c r="F526" s="3" t="b">
        <v>0</v>
      </c>
      <c r="G526" s="3" t="s">
        <v>4302</v>
      </c>
      <c r="H526" s="6">
        <v>44953.192060185182</v>
      </c>
      <c r="I526" s="3" t="b">
        <v>0</v>
      </c>
      <c r="J526" s="3" t="b">
        <v>0</v>
      </c>
      <c r="K526" s="3" t="s">
        <v>4302</v>
      </c>
      <c r="L526" s="3" t="s">
        <v>34</v>
      </c>
      <c r="M526" s="8">
        <v>165000</v>
      </c>
      <c r="N526" s="11"/>
      <c r="O526" s="3" t="s">
        <v>4303</v>
      </c>
      <c r="P526" s="3" t="s">
        <v>4304</v>
      </c>
    </row>
    <row r="527" spans="1:16" x14ac:dyDescent="0.3">
      <c r="A527" s="3" t="s">
        <v>103</v>
      </c>
      <c r="B527" s="3" t="s">
        <v>1190</v>
      </c>
      <c r="C527" s="3" t="s">
        <v>2651</v>
      </c>
      <c r="D527" s="3" t="s">
        <v>30</v>
      </c>
      <c r="E527" s="3" t="s">
        <v>31</v>
      </c>
      <c r="F527" s="3" t="b">
        <v>0</v>
      </c>
      <c r="G527" s="3" t="s">
        <v>140</v>
      </c>
      <c r="H527" s="6">
        <v>44936.624247685177</v>
      </c>
      <c r="I527" s="3" t="b">
        <v>0</v>
      </c>
      <c r="J527" s="3" t="b">
        <v>1</v>
      </c>
      <c r="K527" s="3" t="s">
        <v>33</v>
      </c>
      <c r="L527" s="3" t="s">
        <v>34</v>
      </c>
      <c r="M527" s="8">
        <v>47275.5</v>
      </c>
      <c r="N527" s="11"/>
      <c r="O527" s="3" t="s">
        <v>4305</v>
      </c>
      <c r="P527" s="3" t="s">
        <v>2411</v>
      </c>
    </row>
    <row r="528" spans="1:16" x14ac:dyDescent="0.3">
      <c r="A528" s="3" t="s">
        <v>103</v>
      </c>
      <c r="B528" s="3" t="s">
        <v>4311</v>
      </c>
      <c r="C528" s="3" t="s">
        <v>1005</v>
      </c>
      <c r="D528" s="3" t="s">
        <v>53</v>
      </c>
      <c r="E528" s="3" t="s">
        <v>31</v>
      </c>
      <c r="F528" s="3" t="b">
        <v>0</v>
      </c>
      <c r="G528" s="3" t="s">
        <v>140</v>
      </c>
      <c r="H528" s="6">
        <v>44952.866331018522</v>
      </c>
      <c r="I528" s="3" t="b">
        <v>1</v>
      </c>
      <c r="J528" s="3" t="b">
        <v>0</v>
      </c>
      <c r="K528" s="3" t="s">
        <v>33</v>
      </c>
      <c r="L528" s="3" t="s">
        <v>48</v>
      </c>
      <c r="M528" s="8"/>
      <c r="N528" s="11">
        <v>20</v>
      </c>
      <c r="O528" s="3" t="s">
        <v>4312</v>
      </c>
      <c r="P528" s="3" t="s">
        <v>1597</v>
      </c>
    </row>
    <row r="529" spans="1:16" x14ac:dyDescent="0.3">
      <c r="A529" s="3" t="s">
        <v>103</v>
      </c>
      <c r="B529" s="3" t="s">
        <v>4316</v>
      </c>
      <c r="C529" s="3" t="s">
        <v>87</v>
      </c>
      <c r="D529" s="3" t="s">
        <v>76</v>
      </c>
      <c r="E529" s="3" t="s">
        <v>31</v>
      </c>
      <c r="F529" s="3" t="b">
        <v>1</v>
      </c>
      <c r="G529" s="3" t="s">
        <v>32</v>
      </c>
      <c r="H529" s="6">
        <v>44931.167523148149</v>
      </c>
      <c r="I529" s="3" t="b">
        <v>1</v>
      </c>
      <c r="J529" s="3" t="b">
        <v>1</v>
      </c>
      <c r="K529" s="3" t="s">
        <v>33</v>
      </c>
      <c r="L529" s="3" t="s">
        <v>34</v>
      </c>
      <c r="M529" s="8">
        <v>95680</v>
      </c>
      <c r="N529" s="11"/>
      <c r="O529" s="3" t="s">
        <v>589</v>
      </c>
      <c r="P529" s="3" t="s">
        <v>405</v>
      </c>
    </row>
    <row r="530" spans="1:16" x14ac:dyDescent="0.3">
      <c r="A530" s="3" t="s">
        <v>103</v>
      </c>
      <c r="B530" s="3" t="s">
        <v>103</v>
      </c>
      <c r="C530" s="3" t="s">
        <v>57</v>
      </c>
      <c r="D530" s="3" t="s">
        <v>188</v>
      </c>
      <c r="E530" s="3" t="s">
        <v>31</v>
      </c>
      <c r="F530" s="3" t="b">
        <v>0</v>
      </c>
      <c r="G530" s="3" t="s">
        <v>58</v>
      </c>
      <c r="H530" s="6">
        <v>44943.751539351862</v>
      </c>
      <c r="I530" s="3" t="b">
        <v>0</v>
      </c>
      <c r="J530" s="3" t="b">
        <v>0</v>
      </c>
      <c r="K530" s="3" t="s">
        <v>33</v>
      </c>
      <c r="L530" s="3" t="s">
        <v>48</v>
      </c>
      <c r="M530" s="8"/>
      <c r="N530" s="11">
        <v>45</v>
      </c>
      <c r="O530" s="3" t="s">
        <v>4317</v>
      </c>
      <c r="P530" s="3" t="s">
        <v>4318</v>
      </c>
    </row>
    <row r="531" spans="1:16" x14ac:dyDescent="0.3">
      <c r="A531" s="3" t="s">
        <v>103</v>
      </c>
      <c r="B531" s="3" t="s">
        <v>103</v>
      </c>
      <c r="C531" s="3" t="s">
        <v>4319</v>
      </c>
      <c r="D531" s="3" t="s">
        <v>76</v>
      </c>
      <c r="E531" s="3" t="s">
        <v>31</v>
      </c>
      <c r="F531" s="3" t="b">
        <v>0</v>
      </c>
      <c r="G531" s="3" t="s">
        <v>58</v>
      </c>
      <c r="H531" s="6">
        <v>44951.917604166672</v>
      </c>
      <c r="I531" s="3" t="b">
        <v>0</v>
      </c>
      <c r="J531" s="3" t="b">
        <v>1</v>
      </c>
      <c r="K531" s="3" t="s">
        <v>33</v>
      </c>
      <c r="L531" s="3" t="s">
        <v>34</v>
      </c>
      <c r="M531" s="8">
        <v>62500</v>
      </c>
      <c r="N531" s="11"/>
      <c r="O531" s="3" t="s">
        <v>4320</v>
      </c>
      <c r="P531" s="3" t="s">
        <v>4321</v>
      </c>
    </row>
    <row r="532" spans="1:16" x14ac:dyDescent="0.3">
      <c r="A532" s="3" t="s">
        <v>103</v>
      </c>
      <c r="B532" s="3" t="s">
        <v>1420</v>
      </c>
      <c r="C532" s="3" t="s">
        <v>79</v>
      </c>
      <c r="D532" s="3" t="s">
        <v>30</v>
      </c>
      <c r="E532" s="3" t="s">
        <v>133</v>
      </c>
      <c r="F532" s="3" t="b">
        <v>0</v>
      </c>
      <c r="G532" s="3" t="s">
        <v>58</v>
      </c>
      <c r="H532" s="6">
        <v>44956.918206018519</v>
      </c>
      <c r="I532" s="3" t="b">
        <v>1</v>
      </c>
      <c r="J532" s="3" t="b">
        <v>1</v>
      </c>
      <c r="K532" s="3" t="s">
        <v>33</v>
      </c>
      <c r="L532" s="3" t="s">
        <v>48</v>
      </c>
      <c r="M532" s="8"/>
      <c r="N532" s="11">
        <v>32.5</v>
      </c>
      <c r="O532" s="3" t="s">
        <v>4322</v>
      </c>
      <c r="P532" s="3" t="s">
        <v>4323</v>
      </c>
    </row>
    <row r="533" spans="1:16" x14ac:dyDescent="0.3">
      <c r="A533" s="3" t="s">
        <v>103</v>
      </c>
      <c r="B533" s="3" t="s">
        <v>4333</v>
      </c>
      <c r="C533" s="3" t="s">
        <v>603</v>
      </c>
      <c r="D533" s="3" t="s">
        <v>41</v>
      </c>
      <c r="E533" s="3" t="s">
        <v>31</v>
      </c>
      <c r="F533" s="3" t="b">
        <v>0</v>
      </c>
      <c r="G533" s="3" t="s">
        <v>69</v>
      </c>
      <c r="H533" s="6">
        <v>44952.39167824074</v>
      </c>
      <c r="I533" s="3" t="b">
        <v>0</v>
      </c>
      <c r="J533" s="3" t="b">
        <v>0</v>
      </c>
      <c r="K533" s="3" t="s">
        <v>69</v>
      </c>
      <c r="L533" s="3" t="s">
        <v>34</v>
      </c>
      <c r="M533" s="8">
        <v>51014</v>
      </c>
      <c r="N533" s="11"/>
      <c r="O533" s="3" t="s">
        <v>4334</v>
      </c>
      <c r="P533" s="3" t="s">
        <v>4335</v>
      </c>
    </row>
    <row r="534" spans="1:16" x14ac:dyDescent="0.3">
      <c r="A534" s="3" t="s">
        <v>103</v>
      </c>
      <c r="B534" s="3" t="s">
        <v>2594</v>
      </c>
      <c r="C534" s="3" t="s">
        <v>150</v>
      </c>
      <c r="D534" s="3" t="s">
        <v>220</v>
      </c>
      <c r="E534" s="3" t="s">
        <v>31</v>
      </c>
      <c r="F534" s="3" t="b">
        <v>0</v>
      </c>
      <c r="G534" s="3" t="s">
        <v>110</v>
      </c>
      <c r="H534" s="6">
        <v>44930.37296296296</v>
      </c>
      <c r="I534" s="3" t="b">
        <v>0</v>
      </c>
      <c r="J534" s="3" t="b">
        <v>1</v>
      </c>
      <c r="K534" s="3" t="s">
        <v>110</v>
      </c>
      <c r="L534" s="3" t="s">
        <v>34</v>
      </c>
      <c r="M534" s="8">
        <v>77250</v>
      </c>
      <c r="N534" s="11"/>
      <c r="O534" s="3" t="s">
        <v>4342</v>
      </c>
      <c r="P534" s="3" t="s">
        <v>138</v>
      </c>
    </row>
    <row r="535" spans="1:16" x14ac:dyDescent="0.3">
      <c r="A535" s="3" t="s">
        <v>103</v>
      </c>
      <c r="B535" s="3" t="s">
        <v>4346</v>
      </c>
      <c r="C535" s="3" t="s">
        <v>164</v>
      </c>
      <c r="D535" s="3" t="s">
        <v>30</v>
      </c>
      <c r="E535" s="3" t="s">
        <v>31</v>
      </c>
      <c r="F535" s="3" t="b">
        <v>0</v>
      </c>
      <c r="G535" s="3" t="s">
        <v>64</v>
      </c>
      <c r="H535" s="6">
        <v>44936.458599537043</v>
      </c>
      <c r="I535" s="3" t="b">
        <v>0</v>
      </c>
      <c r="J535" s="3" t="b">
        <v>0</v>
      </c>
      <c r="K535" s="3" t="s">
        <v>33</v>
      </c>
      <c r="L535" s="3" t="s">
        <v>34</v>
      </c>
      <c r="M535" s="8">
        <v>125000</v>
      </c>
      <c r="N535" s="11"/>
      <c r="O535" s="3" t="s">
        <v>4347</v>
      </c>
      <c r="P535" s="3" t="s">
        <v>405</v>
      </c>
    </row>
    <row r="536" spans="1:16" x14ac:dyDescent="0.3">
      <c r="A536" s="3" t="s">
        <v>103</v>
      </c>
      <c r="B536" s="3" t="s">
        <v>103</v>
      </c>
      <c r="C536" s="3" t="s">
        <v>4353</v>
      </c>
      <c r="D536" s="3" t="s">
        <v>53</v>
      </c>
      <c r="E536" s="3" t="s">
        <v>31</v>
      </c>
      <c r="F536" s="3" t="b">
        <v>0</v>
      </c>
      <c r="G536" s="3" t="s">
        <v>32</v>
      </c>
      <c r="H536" s="6">
        <v>44930.709305555552</v>
      </c>
      <c r="I536" s="3" t="b">
        <v>0</v>
      </c>
      <c r="J536" s="3" t="b">
        <v>1</v>
      </c>
      <c r="K536" s="3" t="s">
        <v>33</v>
      </c>
      <c r="L536" s="3" t="s">
        <v>34</v>
      </c>
      <c r="M536" s="8">
        <v>70000</v>
      </c>
      <c r="N536" s="11"/>
      <c r="O536" s="3" t="s">
        <v>1711</v>
      </c>
      <c r="P536" s="3" t="s">
        <v>4354</v>
      </c>
    </row>
    <row r="537" spans="1:16" x14ac:dyDescent="0.3">
      <c r="A537" s="3" t="s">
        <v>103</v>
      </c>
      <c r="B537" s="3" t="s">
        <v>103</v>
      </c>
      <c r="C537" s="3" t="s">
        <v>4358</v>
      </c>
      <c r="D537" s="3" t="s">
        <v>30</v>
      </c>
      <c r="E537" s="3" t="s">
        <v>133</v>
      </c>
      <c r="F537" s="3" t="b">
        <v>0</v>
      </c>
      <c r="G537" s="3" t="s">
        <v>84</v>
      </c>
      <c r="H537" s="6">
        <v>44945.679525462961</v>
      </c>
      <c r="I537" s="3" t="b">
        <v>0</v>
      </c>
      <c r="J537" s="3" t="b">
        <v>0</v>
      </c>
      <c r="K537" s="3" t="s">
        <v>33</v>
      </c>
      <c r="L537" s="3" t="s">
        <v>48</v>
      </c>
      <c r="M537" s="8"/>
      <c r="N537" s="11">
        <v>26</v>
      </c>
      <c r="O537" s="3" t="s">
        <v>3755</v>
      </c>
      <c r="P537" s="3" t="s">
        <v>4359</v>
      </c>
    </row>
    <row r="538" spans="1:16" x14ac:dyDescent="0.3">
      <c r="A538" s="3" t="s">
        <v>103</v>
      </c>
      <c r="B538" s="3" t="s">
        <v>1198</v>
      </c>
      <c r="C538" s="3" t="s">
        <v>641</v>
      </c>
      <c r="D538" s="3" t="s">
        <v>4360</v>
      </c>
      <c r="E538" s="3" t="s">
        <v>31</v>
      </c>
      <c r="F538" s="3" t="b">
        <v>0</v>
      </c>
      <c r="G538" s="3" t="s">
        <v>88</v>
      </c>
      <c r="H538" s="6">
        <v>44940.66878472222</v>
      </c>
      <c r="I538" s="3" t="b">
        <v>1</v>
      </c>
      <c r="J538" s="3" t="b">
        <v>1</v>
      </c>
      <c r="K538" s="3" t="s">
        <v>33</v>
      </c>
      <c r="L538" s="3" t="s">
        <v>48</v>
      </c>
      <c r="M538" s="8"/>
      <c r="N538" s="11">
        <v>19</v>
      </c>
      <c r="O538" s="3" t="s">
        <v>1199</v>
      </c>
      <c r="P538" s="3"/>
    </row>
    <row r="539" spans="1:16" x14ac:dyDescent="0.3">
      <c r="A539" s="3" t="s">
        <v>103</v>
      </c>
      <c r="B539" s="3" t="s">
        <v>4361</v>
      </c>
      <c r="C539" s="3" t="s">
        <v>87</v>
      </c>
      <c r="D539" s="3" t="s">
        <v>30</v>
      </c>
      <c r="E539" s="3" t="s">
        <v>31</v>
      </c>
      <c r="F539" s="3" t="b">
        <v>1</v>
      </c>
      <c r="G539" s="3" t="s">
        <v>64</v>
      </c>
      <c r="H539" s="6">
        <v>44946.708726851852</v>
      </c>
      <c r="I539" s="3" t="b">
        <v>1</v>
      </c>
      <c r="J539" s="3" t="b">
        <v>1</v>
      </c>
      <c r="K539" s="3" t="s">
        <v>33</v>
      </c>
      <c r="L539" s="3" t="s">
        <v>34</v>
      </c>
      <c r="M539" s="8">
        <v>90000</v>
      </c>
      <c r="N539" s="11"/>
      <c r="O539" s="3" t="s">
        <v>80</v>
      </c>
      <c r="P539" s="3" t="s">
        <v>4362</v>
      </c>
    </row>
    <row r="540" spans="1:16" x14ac:dyDescent="0.3">
      <c r="A540" s="3" t="s">
        <v>103</v>
      </c>
      <c r="B540" s="3" t="s">
        <v>4247</v>
      </c>
      <c r="C540" s="3" t="s">
        <v>945</v>
      </c>
      <c r="D540" s="3" t="s">
        <v>76</v>
      </c>
      <c r="E540" s="3" t="s">
        <v>31</v>
      </c>
      <c r="F540" s="3" t="b">
        <v>0</v>
      </c>
      <c r="G540" s="3" t="s">
        <v>32</v>
      </c>
      <c r="H540" s="6">
        <v>44936.792280092603</v>
      </c>
      <c r="I540" s="3" t="b">
        <v>0</v>
      </c>
      <c r="J540" s="3" t="b">
        <v>0</v>
      </c>
      <c r="K540" s="3" t="s">
        <v>33</v>
      </c>
      <c r="L540" s="3" t="s">
        <v>48</v>
      </c>
      <c r="M540" s="8"/>
      <c r="N540" s="11">
        <v>47.5</v>
      </c>
      <c r="O540" s="3" t="s">
        <v>4363</v>
      </c>
      <c r="P540" s="3" t="s">
        <v>2644</v>
      </c>
    </row>
    <row r="541" spans="1:16" x14ac:dyDescent="0.3">
      <c r="A541" s="3" t="s">
        <v>103</v>
      </c>
      <c r="B541" s="3" t="s">
        <v>103</v>
      </c>
      <c r="C541" s="3" t="s">
        <v>4364</v>
      </c>
      <c r="D541" s="3" t="s">
        <v>76</v>
      </c>
      <c r="E541" s="3" t="s">
        <v>31</v>
      </c>
      <c r="F541" s="3" t="b">
        <v>0</v>
      </c>
      <c r="G541" s="3" t="s">
        <v>32</v>
      </c>
      <c r="H541" s="6">
        <v>44957.833761574067</v>
      </c>
      <c r="I541" s="3" t="b">
        <v>0</v>
      </c>
      <c r="J541" s="3" t="b">
        <v>1</v>
      </c>
      <c r="K541" s="3" t="s">
        <v>33</v>
      </c>
      <c r="L541" s="3" t="s">
        <v>34</v>
      </c>
      <c r="M541" s="8">
        <v>87900</v>
      </c>
      <c r="N541" s="11"/>
      <c r="O541" s="3" t="s">
        <v>4365</v>
      </c>
      <c r="P541" s="3" t="s">
        <v>4366</v>
      </c>
    </row>
    <row r="542" spans="1:16" x14ac:dyDescent="0.3">
      <c r="A542" s="3" t="s">
        <v>103</v>
      </c>
      <c r="B542" s="3" t="s">
        <v>4370</v>
      </c>
      <c r="C542" s="3" t="s">
        <v>87</v>
      </c>
      <c r="D542" s="3" t="s">
        <v>76</v>
      </c>
      <c r="E542" s="3" t="s">
        <v>31</v>
      </c>
      <c r="F542" s="3" t="b">
        <v>1</v>
      </c>
      <c r="G542" s="3" t="s">
        <v>64</v>
      </c>
      <c r="H542" s="6">
        <v>44929.166724537034</v>
      </c>
      <c r="I542" s="3" t="b">
        <v>1</v>
      </c>
      <c r="J542" s="3" t="b">
        <v>1</v>
      </c>
      <c r="K542" s="3" t="s">
        <v>33</v>
      </c>
      <c r="L542" s="3" t="s">
        <v>34</v>
      </c>
      <c r="M542" s="8">
        <v>140000</v>
      </c>
      <c r="N542" s="11"/>
      <c r="O542" s="3" t="s">
        <v>4371</v>
      </c>
      <c r="P542" s="3" t="s">
        <v>4372</v>
      </c>
    </row>
    <row r="543" spans="1:16" x14ac:dyDescent="0.3">
      <c r="A543" s="3" t="s">
        <v>103</v>
      </c>
      <c r="B543" s="3" t="s">
        <v>4375</v>
      </c>
      <c r="C543" s="3" t="s">
        <v>164</v>
      </c>
      <c r="D543" s="3" t="s">
        <v>30</v>
      </c>
      <c r="E543" s="3" t="s">
        <v>31</v>
      </c>
      <c r="F543" s="3" t="b">
        <v>0</v>
      </c>
      <c r="G543" s="3" t="s">
        <v>64</v>
      </c>
      <c r="H543" s="6">
        <v>44927.583368055559</v>
      </c>
      <c r="I543" s="3" t="b">
        <v>0</v>
      </c>
      <c r="J543" s="3" t="b">
        <v>1</v>
      </c>
      <c r="K543" s="3" t="s">
        <v>33</v>
      </c>
      <c r="L543" s="3" t="s">
        <v>34</v>
      </c>
      <c r="M543" s="8">
        <v>81167</v>
      </c>
      <c r="N543" s="11"/>
      <c r="O543" s="3" t="s">
        <v>3651</v>
      </c>
      <c r="P543" s="3"/>
    </row>
    <row r="544" spans="1:16" x14ac:dyDescent="0.3">
      <c r="A544" s="3" t="s">
        <v>103</v>
      </c>
      <c r="B544" s="3" t="s">
        <v>4393</v>
      </c>
      <c r="C544" s="3" t="s">
        <v>3030</v>
      </c>
      <c r="D544" s="3" t="s">
        <v>53</v>
      </c>
      <c r="E544" s="3" t="s">
        <v>31</v>
      </c>
      <c r="F544" s="3" t="b">
        <v>0</v>
      </c>
      <c r="G544" s="3" t="s">
        <v>140</v>
      </c>
      <c r="H544" s="6">
        <v>44938.846956018519</v>
      </c>
      <c r="I544" s="3" t="b">
        <v>0</v>
      </c>
      <c r="J544" s="3" t="b">
        <v>1</v>
      </c>
      <c r="K544" s="3" t="s">
        <v>33</v>
      </c>
      <c r="L544" s="3" t="s">
        <v>34</v>
      </c>
      <c r="M544" s="8">
        <v>131900</v>
      </c>
      <c r="N544" s="11"/>
      <c r="O544" s="3" t="s">
        <v>4394</v>
      </c>
      <c r="P544" s="3" t="s">
        <v>4395</v>
      </c>
    </row>
    <row r="545" spans="1:16" x14ac:dyDescent="0.3">
      <c r="A545" s="3" t="s">
        <v>103</v>
      </c>
      <c r="B545" s="3" t="s">
        <v>4396</v>
      </c>
      <c r="C545" s="3" t="s">
        <v>3795</v>
      </c>
      <c r="D545" s="3" t="s">
        <v>106</v>
      </c>
      <c r="E545" s="3" t="s">
        <v>31</v>
      </c>
      <c r="F545" s="3" t="b">
        <v>0</v>
      </c>
      <c r="G545" s="3" t="s">
        <v>58</v>
      </c>
      <c r="H545" s="6">
        <v>44935.292708333327</v>
      </c>
      <c r="I545" s="3" t="b">
        <v>0</v>
      </c>
      <c r="J545" s="3" t="b">
        <v>0</v>
      </c>
      <c r="K545" s="3" t="s">
        <v>33</v>
      </c>
      <c r="L545" s="3" t="s">
        <v>34</v>
      </c>
      <c r="M545" s="8">
        <v>151950</v>
      </c>
      <c r="N545" s="11"/>
      <c r="O545" s="3" t="s">
        <v>119</v>
      </c>
      <c r="P545" s="3" t="s">
        <v>887</v>
      </c>
    </row>
    <row r="546" spans="1:16" x14ac:dyDescent="0.3">
      <c r="A546" s="3" t="s">
        <v>103</v>
      </c>
      <c r="B546" s="3" t="s">
        <v>103</v>
      </c>
      <c r="C546" s="3" t="s">
        <v>97</v>
      </c>
      <c r="D546" s="3" t="s">
        <v>93</v>
      </c>
      <c r="E546" s="3" t="s">
        <v>31</v>
      </c>
      <c r="F546" s="3" t="b">
        <v>0</v>
      </c>
      <c r="G546" s="3" t="s">
        <v>32</v>
      </c>
      <c r="H546" s="6">
        <v>44938.292453703703</v>
      </c>
      <c r="I546" s="3" t="b">
        <v>1</v>
      </c>
      <c r="J546" s="3" t="b">
        <v>0</v>
      </c>
      <c r="K546" s="3" t="s">
        <v>33</v>
      </c>
      <c r="L546" s="3" t="s">
        <v>34</v>
      </c>
      <c r="M546" s="8">
        <v>125000</v>
      </c>
      <c r="N546" s="11"/>
      <c r="O546" s="3" t="s">
        <v>3204</v>
      </c>
      <c r="P546" s="3" t="s">
        <v>4400</v>
      </c>
    </row>
    <row r="547" spans="1:16" x14ac:dyDescent="0.3">
      <c r="A547" s="3" t="s">
        <v>103</v>
      </c>
      <c r="B547" s="3" t="s">
        <v>103</v>
      </c>
      <c r="C547" s="3" t="s">
        <v>3567</v>
      </c>
      <c r="D547" s="3" t="s">
        <v>76</v>
      </c>
      <c r="E547" s="3" t="s">
        <v>31</v>
      </c>
      <c r="F547" s="3" t="b">
        <v>0</v>
      </c>
      <c r="G547" s="3" t="s">
        <v>64</v>
      </c>
      <c r="H547" s="6">
        <v>44931.750219907408</v>
      </c>
      <c r="I547" s="3" t="b">
        <v>0</v>
      </c>
      <c r="J547" s="3" t="b">
        <v>1</v>
      </c>
      <c r="K547" s="3" t="s">
        <v>33</v>
      </c>
      <c r="L547" s="3" t="s">
        <v>48</v>
      </c>
      <c r="M547" s="8"/>
      <c r="N547" s="11">
        <v>25</v>
      </c>
      <c r="O547" s="3" t="s">
        <v>4401</v>
      </c>
      <c r="P547" s="3" t="s">
        <v>4402</v>
      </c>
    </row>
    <row r="548" spans="1:16" x14ac:dyDescent="0.3">
      <c r="A548" s="3" t="s">
        <v>103</v>
      </c>
      <c r="B548" s="3" t="s">
        <v>4415</v>
      </c>
      <c r="C548" s="3" t="s">
        <v>549</v>
      </c>
      <c r="D548" s="3" t="s">
        <v>76</v>
      </c>
      <c r="E548" s="3" t="s">
        <v>31</v>
      </c>
      <c r="F548" s="3" t="b">
        <v>0</v>
      </c>
      <c r="G548" s="3" t="s">
        <v>64</v>
      </c>
      <c r="H548" s="6">
        <v>44957.7500462963</v>
      </c>
      <c r="I548" s="3" t="b">
        <v>1</v>
      </c>
      <c r="J548" s="3" t="b">
        <v>1</v>
      </c>
      <c r="K548" s="3" t="s">
        <v>33</v>
      </c>
      <c r="L548" s="3" t="s">
        <v>34</v>
      </c>
      <c r="M548" s="8">
        <v>94500</v>
      </c>
      <c r="N548" s="11"/>
      <c r="O548" s="3" t="s">
        <v>4416</v>
      </c>
      <c r="P548" s="3" t="s">
        <v>4417</v>
      </c>
    </row>
    <row r="549" spans="1:16" x14ac:dyDescent="0.3">
      <c r="A549" s="3" t="s">
        <v>103</v>
      </c>
      <c r="B549" s="3" t="s">
        <v>2496</v>
      </c>
      <c r="C549" s="3" t="s">
        <v>87</v>
      </c>
      <c r="D549" s="3" t="s">
        <v>188</v>
      </c>
      <c r="E549" s="3" t="s">
        <v>133</v>
      </c>
      <c r="F549" s="3" t="b">
        <v>1</v>
      </c>
      <c r="G549" s="3" t="s">
        <v>32</v>
      </c>
      <c r="H549" s="6">
        <v>44937.876689814817</v>
      </c>
      <c r="I549" s="3" t="b">
        <v>1</v>
      </c>
      <c r="J549" s="3" t="b">
        <v>0</v>
      </c>
      <c r="K549" s="3" t="s">
        <v>33</v>
      </c>
      <c r="L549" s="3" t="s">
        <v>48</v>
      </c>
      <c r="M549" s="8"/>
      <c r="N549" s="11">
        <v>57.5</v>
      </c>
      <c r="O549" s="3" t="s">
        <v>426</v>
      </c>
      <c r="P549" s="3"/>
    </row>
    <row r="550" spans="1:16" x14ac:dyDescent="0.3">
      <c r="A550" s="3" t="s">
        <v>103</v>
      </c>
      <c r="B550" s="3" t="s">
        <v>103</v>
      </c>
      <c r="C550" s="3" t="s">
        <v>2009</v>
      </c>
      <c r="D550" s="3" t="s">
        <v>106</v>
      </c>
      <c r="E550" s="3" t="s">
        <v>31</v>
      </c>
      <c r="F550" s="3" t="b">
        <v>0</v>
      </c>
      <c r="G550" s="3" t="s">
        <v>32</v>
      </c>
      <c r="H550" s="6">
        <v>44957.792118055557</v>
      </c>
      <c r="I550" s="3" t="b">
        <v>1</v>
      </c>
      <c r="J550" s="3" t="b">
        <v>0</v>
      </c>
      <c r="K550" s="3" t="s">
        <v>33</v>
      </c>
      <c r="L550" s="3" t="s">
        <v>48</v>
      </c>
      <c r="M550" s="8"/>
      <c r="N550" s="11">
        <v>51.959999084472663</v>
      </c>
      <c r="O550" s="3" t="s">
        <v>2010</v>
      </c>
      <c r="P550" s="3" t="s">
        <v>268</v>
      </c>
    </row>
    <row r="551" spans="1:16" x14ac:dyDescent="0.3">
      <c r="A551" s="3" t="s">
        <v>103</v>
      </c>
      <c r="B551" s="3" t="s">
        <v>4424</v>
      </c>
      <c r="C551" s="3" t="s">
        <v>164</v>
      </c>
      <c r="D551" s="3" t="s">
        <v>76</v>
      </c>
      <c r="E551" s="3" t="s">
        <v>31</v>
      </c>
      <c r="F551" s="3" t="b">
        <v>0</v>
      </c>
      <c r="G551" s="3" t="s">
        <v>64</v>
      </c>
      <c r="H551" s="6">
        <v>44943.708333333343</v>
      </c>
      <c r="I551" s="3" t="b">
        <v>0</v>
      </c>
      <c r="J551" s="3" t="b">
        <v>1</v>
      </c>
      <c r="K551" s="3" t="s">
        <v>33</v>
      </c>
      <c r="L551" s="3" t="s">
        <v>34</v>
      </c>
      <c r="M551" s="8">
        <v>143000</v>
      </c>
      <c r="N551" s="11"/>
      <c r="O551" s="3" t="s">
        <v>4425</v>
      </c>
      <c r="P551" s="3" t="s">
        <v>4426</v>
      </c>
    </row>
    <row r="552" spans="1:16" x14ac:dyDescent="0.3">
      <c r="A552" s="3" t="s">
        <v>103</v>
      </c>
      <c r="B552" s="3" t="s">
        <v>103</v>
      </c>
      <c r="C552" s="3" t="s">
        <v>565</v>
      </c>
      <c r="D552" s="3" t="s">
        <v>307</v>
      </c>
      <c r="E552" s="3" t="s">
        <v>133</v>
      </c>
      <c r="F552" s="3" t="b">
        <v>0</v>
      </c>
      <c r="G552" s="3" t="s">
        <v>140</v>
      </c>
      <c r="H552" s="6">
        <v>44938.76357638889</v>
      </c>
      <c r="I552" s="3" t="b">
        <v>0</v>
      </c>
      <c r="J552" s="3" t="b">
        <v>0</v>
      </c>
      <c r="K552" s="3" t="s">
        <v>33</v>
      </c>
      <c r="L552" s="3" t="s">
        <v>48</v>
      </c>
      <c r="M552" s="8"/>
      <c r="N552" s="11">
        <v>37.5</v>
      </c>
      <c r="O552" s="3" t="s">
        <v>114</v>
      </c>
      <c r="P552" s="3" t="s">
        <v>4435</v>
      </c>
    </row>
    <row r="553" spans="1:16" x14ac:dyDescent="0.3">
      <c r="A553" s="3" t="s">
        <v>103</v>
      </c>
      <c r="B553" s="3" t="s">
        <v>4437</v>
      </c>
      <c r="C553" s="3" t="s">
        <v>447</v>
      </c>
      <c r="D553" s="3" t="s">
        <v>188</v>
      </c>
      <c r="E553" s="3" t="s">
        <v>133</v>
      </c>
      <c r="F553" s="3" t="b">
        <v>0</v>
      </c>
      <c r="G553" s="3" t="s">
        <v>32</v>
      </c>
      <c r="H553" s="6">
        <v>44939.000972222217</v>
      </c>
      <c r="I553" s="3" t="b">
        <v>1</v>
      </c>
      <c r="J553" s="3" t="b">
        <v>0</v>
      </c>
      <c r="K553" s="3" t="s">
        <v>33</v>
      </c>
      <c r="L553" s="3" t="s">
        <v>48</v>
      </c>
      <c r="M553" s="8"/>
      <c r="N553" s="11">
        <v>64.5</v>
      </c>
      <c r="O553" s="3" t="s">
        <v>426</v>
      </c>
      <c r="P553" s="3" t="s">
        <v>374</v>
      </c>
    </row>
    <row r="554" spans="1:16" x14ac:dyDescent="0.3">
      <c r="A554" s="3" t="s">
        <v>103</v>
      </c>
      <c r="B554" s="3" t="s">
        <v>103</v>
      </c>
      <c r="C554" s="3" t="s">
        <v>520</v>
      </c>
      <c r="D554" s="3" t="s">
        <v>30</v>
      </c>
      <c r="E554" s="3" t="s">
        <v>31</v>
      </c>
      <c r="F554" s="3" t="b">
        <v>0</v>
      </c>
      <c r="G554" s="3" t="s">
        <v>88</v>
      </c>
      <c r="H554" s="6">
        <v>44939.79483796296</v>
      </c>
      <c r="I554" s="3" t="b">
        <v>0</v>
      </c>
      <c r="J554" s="3" t="b">
        <v>1</v>
      </c>
      <c r="K554" s="3" t="s">
        <v>33</v>
      </c>
      <c r="L554" s="3" t="s">
        <v>34</v>
      </c>
      <c r="M554" s="8">
        <v>85000</v>
      </c>
      <c r="N554" s="11"/>
      <c r="O554" s="3" t="s">
        <v>4438</v>
      </c>
      <c r="P554" s="3" t="s">
        <v>1950</v>
      </c>
    </row>
    <row r="555" spans="1:16" x14ac:dyDescent="0.3">
      <c r="A555" s="3" t="s">
        <v>103</v>
      </c>
      <c r="B555" s="3" t="s">
        <v>2172</v>
      </c>
      <c r="C555" s="3" t="s">
        <v>117</v>
      </c>
      <c r="D555" s="3" t="s">
        <v>1666</v>
      </c>
      <c r="E555" s="3" t="s">
        <v>31</v>
      </c>
      <c r="F555" s="3" t="b">
        <v>0</v>
      </c>
      <c r="G555" s="3" t="s">
        <v>88</v>
      </c>
      <c r="H555" s="6">
        <v>44928.334745370368</v>
      </c>
      <c r="I555" s="3" t="b">
        <v>0</v>
      </c>
      <c r="J555" s="3" t="b">
        <v>0</v>
      </c>
      <c r="K555" s="3" t="s">
        <v>33</v>
      </c>
      <c r="L555" s="3" t="s">
        <v>34</v>
      </c>
      <c r="M555" s="8">
        <v>138615</v>
      </c>
      <c r="N555" s="11"/>
      <c r="O555" s="3" t="s">
        <v>119</v>
      </c>
      <c r="P555" s="3" t="s">
        <v>2174</v>
      </c>
    </row>
    <row r="556" spans="1:16" x14ac:dyDescent="0.3">
      <c r="A556" s="3" t="s">
        <v>103</v>
      </c>
      <c r="B556" s="3" t="s">
        <v>4449</v>
      </c>
      <c r="C556" s="3" t="s">
        <v>258</v>
      </c>
      <c r="D556" s="3" t="s">
        <v>30</v>
      </c>
      <c r="E556" s="3" t="s">
        <v>133</v>
      </c>
      <c r="F556" s="3" t="b">
        <v>0</v>
      </c>
      <c r="G556" s="3" t="s">
        <v>32</v>
      </c>
      <c r="H556" s="6">
        <v>44942.762025462973</v>
      </c>
      <c r="I556" s="3" t="b">
        <v>0</v>
      </c>
      <c r="J556" s="3" t="b">
        <v>0</v>
      </c>
      <c r="K556" s="3" t="s">
        <v>33</v>
      </c>
      <c r="L556" s="3" t="s">
        <v>48</v>
      </c>
      <c r="M556" s="8"/>
      <c r="N556" s="11">
        <v>46.5</v>
      </c>
      <c r="O556" s="3" t="s">
        <v>1291</v>
      </c>
      <c r="P556" s="3" t="s">
        <v>4450</v>
      </c>
    </row>
    <row r="557" spans="1:16" x14ac:dyDescent="0.3">
      <c r="A557" s="3" t="s">
        <v>103</v>
      </c>
      <c r="B557" s="3" t="s">
        <v>4451</v>
      </c>
      <c r="C557" s="3" t="s">
        <v>718</v>
      </c>
      <c r="D557" s="3" t="s">
        <v>76</v>
      </c>
      <c r="E557" s="3" t="s">
        <v>31</v>
      </c>
      <c r="F557" s="3" t="b">
        <v>0</v>
      </c>
      <c r="G557" s="3" t="s">
        <v>110</v>
      </c>
      <c r="H557" s="6">
        <v>44931.871203703697</v>
      </c>
      <c r="I557" s="3" t="b">
        <v>0</v>
      </c>
      <c r="J557" s="3" t="b">
        <v>1</v>
      </c>
      <c r="K557" s="3" t="s">
        <v>110</v>
      </c>
      <c r="L557" s="3" t="s">
        <v>34</v>
      </c>
      <c r="M557" s="8">
        <v>57500</v>
      </c>
      <c r="N557" s="11"/>
      <c r="O557" s="3" t="s">
        <v>4452</v>
      </c>
      <c r="P557" s="3" t="s">
        <v>4453</v>
      </c>
    </row>
    <row r="558" spans="1:16" x14ac:dyDescent="0.3">
      <c r="A558" s="3" t="s">
        <v>103</v>
      </c>
      <c r="B558" s="3" t="s">
        <v>4466</v>
      </c>
      <c r="C558" s="3" t="s">
        <v>270</v>
      </c>
      <c r="D558" s="3" t="s">
        <v>53</v>
      </c>
      <c r="E558" s="3" t="s">
        <v>31</v>
      </c>
      <c r="F558" s="3" t="b">
        <v>0</v>
      </c>
      <c r="G558" s="3" t="s">
        <v>32</v>
      </c>
      <c r="H558" s="6">
        <v>44952.000844907408</v>
      </c>
      <c r="I558" s="3" t="b">
        <v>1</v>
      </c>
      <c r="J558" s="3" t="b">
        <v>0</v>
      </c>
      <c r="K558" s="3" t="s">
        <v>33</v>
      </c>
      <c r="L558" s="3" t="s">
        <v>48</v>
      </c>
      <c r="M558" s="8"/>
      <c r="N558" s="11">
        <v>21.04000091552734</v>
      </c>
      <c r="O558" s="3" t="s">
        <v>4467</v>
      </c>
      <c r="P558" s="3" t="s">
        <v>4468</v>
      </c>
    </row>
    <row r="559" spans="1:16" x14ac:dyDescent="0.3">
      <c r="A559" s="3" t="s">
        <v>103</v>
      </c>
      <c r="B559" s="3" t="s">
        <v>3382</v>
      </c>
      <c r="C559" s="3" t="s">
        <v>321</v>
      </c>
      <c r="D559" s="3" t="s">
        <v>188</v>
      </c>
      <c r="E559" s="3" t="s">
        <v>133</v>
      </c>
      <c r="F559" s="3" t="b">
        <v>0</v>
      </c>
      <c r="G559" s="3" t="s">
        <v>140</v>
      </c>
      <c r="H559" s="6">
        <v>44945.771539351852</v>
      </c>
      <c r="I559" s="3" t="b">
        <v>1</v>
      </c>
      <c r="J559" s="3" t="b">
        <v>0</v>
      </c>
      <c r="K559" s="3" t="s">
        <v>33</v>
      </c>
      <c r="L559" s="3" t="s">
        <v>48</v>
      </c>
      <c r="M559" s="8"/>
      <c r="N559" s="11">
        <v>55</v>
      </c>
      <c r="O559" s="3" t="s">
        <v>4469</v>
      </c>
      <c r="P559" s="3"/>
    </row>
    <row r="560" spans="1:16" x14ac:dyDescent="0.3">
      <c r="A560" s="3" t="s">
        <v>103</v>
      </c>
      <c r="B560" s="3" t="s">
        <v>3326</v>
      </c>
      <c r="C560" s="3" t="s">
        <v>3845</v>
      </c>
      <c r="D560" s="3" t="s">
        <v>41</v>
      </c>
      <c r="E560" s="3" t="s">
        <v>31</v>
      </c>
      <c r="F560" s="3" t="b">
        <v>0</v>
      </c>
      <c r="G560" s="3" t="s">
        <v>3846</v>
      </c>
      <c r="H560" s="6">
        <v>44935.682789351849</v>
      </c>
      <c r="I560" s="3" t="b">
        <v>0</v>
      </c>
      <c r="J560" s="3" t="b">
        <v>0</v>
      </c>
      <c r="K560" s="3" t="s">
        <v>3846</v>
      </c>
      <c r="L560" s="3" t="s">
        <v>34</v>
      </c>
      <c r="M560" s="8">
        <v>89100</v>
      </c>
      <c r="N560" s="11"/>
      <c r="O560" s="3" t="s">
        <v>4470</v>
      </c>
      <c r="P560" s="3" t="s">
        <v>4471</v>
      </c>
    </row>
    <row r="561" spans="1:16" x14ac:dyDescent="0.3">
      <c r="A561" s="3" t="s">
        <v>103</v>
      </c>
      <c r="B561" s="3" t="s">
        <v>4473</v>
      </c>
      <c r="C561" s="3" t="s">
        <v>870</v>
      </c>
      <c r="D561" s="3" t="s">
        <v>53</v>
      </c>
      <c r="E561" s="3" t="s">
        <v>31</v>
      </c>
      <c r="F561" s="3" t="b">
        <v>0</v>
      </c>
      <c r="G561" s="3" t="s">
        <v>32</v>
      </c>
      <c r="H561" s="6">
        <v>44954.500740740739</v>
      </c>
      <c r="I561" s="3" t="b">
        <v>0</v>
      </c>
      <c r="J561" s="3" t="b">
        <v>0</v>
      </c>
      <c r="K561" s="3" t="s">
        <v>33</v>
      </c>
      <c r="L561" s="3" t="s">
        <v>48</v>
      </c>
      <c r="M561" s="8"/>
      <c r="N561" s="11">
        <v>68.25</v>
      </c>
      <c r="O561" s="3" t="s">
        <v>4474</v>
      </c>
      <c r="P561" s="3" t="s">
        <v>4475</v>
      </c>
    </row>
    <row r="562" spans="1:16" x14ac:dyDescent="0.3">
      <c r="A562" s="3" t="s">
        <v>103</v>
      </c>
      <c r="B562" s="3" t="s">
        <v>599</v>
      </c>
      <c r="C562" s="3" t="s">
        <v>87</v>
      </c>
      <c r="D562" s="3" t="s">
        <v>30</v>
      </c>
      <c r="E562" s="3" t="s">
        <v>31</v>
      </c>
      <c r="F562" s="3" t="b">
        <v>1</v>
      </c>
      <c r="G562" s="3" t="s">
        <v>64</v>
      </c>
      <c r="H562" s="6">
        <v>44954.458796296298</v>
      </c>
      <c r="I562" s="3" t="b">
        <v>0</v>
      </c>
      <c r="J562" s="3" t="b">
        <v>1</v>
      </c>
      <c r="K562" s="3" t="s">
        <v>33</v>
      </c>
      <c r="L562" s="3" t="s">
        <v>34</v>
      </c>
      <c r="M562" s="8">
        <v>144481.5</v>
      </c>
      <c r="N562" s="11"/>
      <c r="O562" s="3" t="s">
        <v>724</v>
      </c>
      <c r="P562" s="3"/>
    </row>
    <row r="563" spans="1:16" x14ac:dyDescent="0.3">
      <c r="A563" s="3" t="s">
        <v>103</v>
      </c>
      <c r="B563" s="3" t="s">
        <v>103</v>
      </c>
      <c r="C563" s="3" t="s">
        <v>472</v>
      </c>
      <c r="D563" s="3" t="s">
        <v>307</v>
      </c>
      <c r="E563" s="3" t="s">
        <v>31</v>
      </c>
      <c r="F563" s="3" t="b">
        <v>0</v>
      </c>
      <c r="G563" s="3" t="s">
        <v>64</v>
      </c>
      <c r="H563" s="6">
        <v>44951.625104166669</v>
      </c>
      <c r="I563" s="3" t="b">
        <v>0</v>
      </c>
      <c r="J563" s="3" t="b">
        <v>0</v>
      </c>
      <c r="K563" s="3" t="s">
        <v>33</v>
      </c>
      <c r="L563" s="3" t="s">
        <v>34</v>
      </c>
      <c r="M563" s="8">
        <v>60000</v>
      </c>
      <c r="N563" s="11"/>
      <c r="O563" s="3" t="s">
        <v>114</v>
      </c>
      <c r="P563" s="3" t="s">
        <v>405</v>
      </c>
    </row>
    <row r="564" spans="1:16" x14ac:dyDescent="0.3">
      <c r="A564" s="3" t="s">
        <v>103</v>
      </c>
      <c r="B564" s="3" t="s">
        <v>4483</v>
      </c>
      <c r="C564" s="3" t="s">
        <v>2500</v>
      </c>
      <c r="D564" s="3" t="s">
        <v>41</v>
      </c>
      <c r="E564" s="3" t="s">
        <v>31</v>
      </c>
      <c r="F564" s="3" t="b">
        <v>0</v>
      </c>
      <c r="G564" s="3" t="s">
        <v>69</v>
      </c>
      <c r="H564" s="6">
        <v>44957.909687500003</v>
      </c>
      <c r="I564" s="3" t="b">
        <v>0</v>
      </c>
      <c r="J564" s="3" t="b">
        <v>0</v>
      </c>
      <c r="K564" s="3" t="s">
        <v>69</v>
      </c>
      <c r="L564" s="3" t="s">
        <v>34</v>
      </c>
      <c r="M564" s="8">
        <v>200000</v>
      </c>
      <c r="N564" s="11"/>
      <c r="O564" s="3" t="s">
        <v>356</v>
      </c>
      <c r="P564" s="3" t="s">
        <v>4484</v>
      </c>
    </row>
    <row r="565" spans="1:16" x14ac:dyDescent="0.3">
      <c r="A565" s="3" t="s">
        <v>103</v>
      </c>
      <c r="B565" s="3" t="s">
        <v>4487</v>
      </c>
      <c r="C565" s="3" t="s">
        <v>565</v>
      </c>
      <c r="D565" s="3" t="s">
        <v>53</v>
      </c>
      <c r="E565" s="3" t="s">
        <v>31</v>
      </c>
      <c r="F565" s="3" t="b">
        <v>0</v>
      </c>
      <c r="G565" s="3" t="s">
        <v>140</v>
      </c>
      <c r="H565" s="6">
        <v>44952.026747685188</v>
      </c>
      <c r="I565" s="3" t="b">
        <v>1</v>
      </c>
      <c r="J565" s="3" t="b">
        <v>0</v>
      </c>
      <c r="K565" s="3" t="s">
        <v>33</v>
      </c>
      <c r="L565" s="3" t="s">
        <v>34</v>
      </c>
      <c r="M565" s="8">
        <v>97500</v>
      </c>
      <c r="N565" s="11"/>
      <c r="O565" s="3" t="s">
        <v>2132</v>
      </c>
      <c r="P565" s="3" t="s">
        <v>2133</v>
      </c>
    </row>
    <row r="566" spans="1:16" x14ac:dyDescent="0.3">
      <c r="A566" s="3" t="s">
        <v>103</v>
      </c>
      <c r="B566" s="3" t="s">
        <v>4488</v>
      </c>
      <c r="C566" s="3" t="s">
        <v>87</v>
      </c>
      <c r="D566" s="3" t="s">
        <v>30</v>
      </c>
      <c r="E566" s="3" t="s">
        <v>31</v>
      </c>
      <c r="F566" s="3" t="b">
        <v>1</v>
      </c>
      <c r="G566" s="3" t="s">
        <v>58</v>
      </c>
      <c r="H566" s="6">
        <v>44937.668622685182</v>
      </c>
      <c r="I566" s="3" t="b">
        <v>0</v>
      </c>
      <c r="J566" s="3" t="b">
        <v>1</v>
      </c>
      <c r="K566" s="3" t="s">
        <v>33</v>
      </c>
      <c r="L566" s="3" t="s">
        <v>34</v>
      </c>
      <c r="M566" s="8">
        <v>115000</v>
      </c>
      <c r="N566" s="11"/>
      <c r="O566" s="3" t="s">
        <v>4489</v>
      </c>
      <c r="P566" s="3" t="s">
        <v>4490</v>
      </c>
    </row>
    <row r="567" spans="1:16" x14ac:dyDescent="0.3">
      <c r="A567" s="3" t="s">
        <v>103</v>
      </c>
      <c r="B567" s="3" t="s">
        <v>4491</v>
      </c>
      <c r="C567" s="3" t="s">
        <v>4492</v>
      </c>
      <c r="D567" s="3" t="s">
        <v>30</v>
      </c>
      <c r="E567" s="3" t="s">
        <v>31</v>
      </c>
      <c r="F567" s="3" t="b">
        <v>0</v>
      </c>
      <c r="G567" s="3" t="s">
        <v>88</v>
      </c>
      <c r="H567" s="6">
        <v>44951.876712962963</v>
      </c>
      <c r="I567" s="3" t="b">
        <v>0</v>
      </c>
      <c r="J567" s="3" t="b">
        <v>1</v>
      </c>
      <c r="K567" s="3" t="s">
        <v>33</v>
      </c>
      <c r="L567" s="3" t="s">
        <v>34</v>
      </c>
      <c r="M567" s="8">
        <v>65000</v>
      </c>
      <c r="N567" s="11"/>
      <c r="O567" s="3" t="s">
        <v>4493</v>
      </c>
      <c r="P567" s="3" t="s">
        <v>405</v>
      </c>
    </row>
    <row r="568" spans="1:16" x14ac:dyDescent="0.3">
      <c r="A568" s="3" t="s">
        <v>103</v>
      </c>
      <c r="B568" s="3" t="s">
        <v>4494</v>
      </c>
      <c r="C568" s="3" t="s">
        <v>4495</v>
      </c>
      <c r="D568" s="3" t="s">
        <v>76</v>
      </c>
      <c r="E568" s="3" t="s">
        <v>31</v>
      </c>
      <c r="F568" s="3" t="b">
        <v>0</v>
      </c>
      <c r="G568" s="3" t="s">
        <v>88</v>
      </c>
      <c r="H568" s="6">
        <v>44929.896643518521</v>
      </c>
      <c r="I568" s="3" t="b">
        <v>0</v>
      </c>
      <c r="J568" s="3" t="b">
        <v>0</v>
      </c>
      <c r="K568" s="3" t="s">
        <v>33</v>
      </c>
      <c r="L568" s="3" t="s">
        <v>48</v>
      </c>
      <c r="M568" s="8"/>
      <c r="N568" s="11">
        <v>22.610000610351559</v>
      </c>
      <c r="O568" s="3" t="s">
        <v>4496</v>
      </c>
      <c r="P568" s="3" t="s">
        <v>1391</v>
      </c>
    </row>
    <row r="569" spans="1:16" x14ac:dyDescent="0.3">
      <c r="A569" s="3" t="s">
        <v>103</v>
      </c>
      <c r="B569" s="3" t="s">
        <v>4499</v>
      </c>
      <c r="C569" s="3" t="s">
        <v>140</v>
      </c>
      <c r="D569" s="3" t="s">
        <v>30</v>
      </c>
      <c r="E569" s="3" t="s">
        <v>31</v>
      </c>
      <c r="F569" s="3" t="b">
        <v>0</v>
      </c>
      <c r="G569" s="3" t="s">
        <v>84</v>
      </c>
      <c r="H569" s="6">
        <v>44935.878912037027</v>
      </c>
      <c r="I569" s="3" t="b">
        <v>0</v>
      </c>
      <c r="J569" s="3" t="b">
        <v>0</v>
      </c>
      <c r="K569" s="3" t="s">
        <v>33</v>
      </c>
      <c r="L569" s="3" t="s">
        <v>34</v>
      </c>
      <c r="M569" s="8">
        <v>120000</v>
      </c>
      <c r="N569" s="11"/>
      <c r="O569" s="3" t="s">
        <v>4500</v>
      </c>
      <c r="P569" s="3" t="s">
        <v>4501</v>
      </c>
    </row>
    <row r="570" spans="1:16" x14ac:dyDescent="0.3">
      <c r="A570" s="3" t="s">
        <v>103</v>
      </c>
      <c r="B570" s="3" t="s">
        <v>4505</v>
      </c>
      <c r="C570" s="3" t="s">
        <v>4506</v>
      </c>
      <c r="D570" s="3" t="s">
        <v>76</v>
      </c>
      <c r="E570" s="3" t="s">
        <v>133</v>
      </c>
      <c r="F570" s="3" t="b">
        <v>0</v>
      </c>
      <c r="G570" s="3" t="s">
        <v>58</v>
      </c>
      <c r="H570" s="6">
        <v>44945.762465277781</v>
      </c>
      <c r="I570" s="3" t="b">
        <v>0</v>
      </c>
      <c r="J570" s="3" t="b">
        <v>1</v>
      </c>
      <c r="K570" s="3" t="s">
        <v>33</v>
      </c>
      <c r="L570" s="3" t="s">
        <v>48</v>
      </c>
      <c r="M570" s="8"/>
      <c r="N570" s="11">
        <v>50</v>
      </c>
      <c r="O570" s="3" t="s">
        <v>4507</v>
      </c>
      <c r="P570" s="3" t="s">
        <v>4508</v>
      </c>
    </row>
    <row r="571" spans="1:16" x14ac:dyDescent="0.3">
      <c r="A571" s="3" t="s">
        <v>103</v>
      </c>
      <c r="B571" s="3" t="s">
        <v>103</v>
      </c>
      <c r="C571" s="3" t="s">
        <v>3202</v>
      </c>
      <c r="D571" s="3" t="s">
        <v>3203</v>
      </c>
      <c r="E571" s="3" t="s">
        <v>31</v>
      </c>
      <c r="F571" s="3" t="b">
        <v>0</v>
      </c>
      <c r="G571" s="3" t="s">
        <v>1171</v>
      </c>
      <c r="H571" s="6">
        <v>44929.99386574074</v>
      </c>
      <c r="I571" s="3" t="b">
        <v>0</v>
      </c>
      <c r="J571" s="3" t="b">
        <v>0</v>
      </c>
      <c r="K571" s="3" t="s">
        <v>1171</v>
      </c>
      <c r="L571" s="3" t="s">
        <v>48</v>
      </c>
      <c r="M571" s="8"/>
      <c r="N571" s="11">
        <v>20</v>
      </c>
      <c r="O571" s="3" t="s">
        <v>4513</v>
      </c>
      <c r="P571" s="3" t="s">
        <v>4514</v>
      </c>
    </row>
    <row r="572" spans="1:16" x14ac:dyDescent="0.3">
      <c r="A572" s="3" t="s">
        <v>103</v>
      </c>
      <c r="B572" s="3" t="s">
        <v>4516</v>
      </c>
      <c r="C572" s="3" t="s">
        <v>903</v>
      </c>
      <c r="D572" s="3" t="s">
        <v>41</v>
      </c>
      <c r="E572" s="3" t="s">
        <v>31</v>
      </c>
      <c r="F572" s="3" t="b">
        <v>0</v>
      </c>
      <c r="G572" s="3" t="s">
        <v>436</v>
      </c>
      <c r="H572" s="6">
        <v>44938.551979166667</v>
      </c>
      <c r="I572" s="3" t="b">
        <v>1</v>
      </c>
      <c r="J572" s="3" t="b">
        <v>0</v>
      </c>
      <c r="K572" s="3" t="s">
        <v>436</v>
      </c>
      <c r="L572" s="3" t="s">
        <v>34</v>
      </c>
      <c r="M572" s="8">
        <v>165000</v>
      </c>
      <c r="N572" s="11"/>
      <c r="O572" s="3" t="s">
        <v>356</v>
      </c>
      <c r="P572" s="3" t="s">
        <v>4517</v>
      </c>
    </row>
    <row r="573" spans="1:16" x14ac:dyDescent="0.3">
      <c r="A573" s="3" t="s">
        <v>103</v>
      </c>
      <c r="B573" s="3" t="s">
        <v>4518</v>
      </c>
      <c r="C573" s="3" t="s">
        <v>87</v>
      </c>
      <c r="D573" s="3" t="s">
        <v>53</v>
      </c>
      <c r="E573" s="3" t="s">
        <v>133</v>
      </c>
      <c r="F573" s="3" t="b">
        <v>1</v>
      </c>
      <c r="G573" s="3" t="s">
        <v>58</v>
      </c>
      <c r="H573" s="6">
        <v>44953.710046296299</v>
      </c>
      <c r="I573" s="3" t="b">
        <v>0</v>
      </c>
      <c r="J573" s="3" t="b">
        <v>0</v>
      </c>
      <c r="K573" s="3" t="s">
        <v>33</v>
      </c>
      <c r="L573" s="3" t="s">
        <v>48</v>
      </c>
      <c r="M573" s="8"/>
      <c r="N573" s="11">
        <v>26.5</v>
      </c>
      <c r="O573" s="3" t="s">
        <v>4519</v>
      </c>
      <c r="P573" s="3" t="s">
        <v>4520</v>
      </c>
    </row>
    <row r="574" spans="1:16" x14ac:dyDescent="0.3">
      <c r="A574" s="3" t="s">
        <v>103</v>
      </c>
      <c r="B574" s="3" t="s">
        <v>4525</v>
      </c>
      <c r="C574" s="3" t="s">
        <v>75</v>
      </c>
      <c r="D574" s="3" t="s">
        <v>93</v>
      </c>
      <c r="E574" s="3" t="s">
        <v>31</v>
      </c>
      <c r="F574" s="3" t="b">
        <v>0</v>
      </c>
      <c r="G574" s="3" t="s">
        <v>84</v>
      </c>
      <c r="H574" s="6">
        <v>44935.250902777778</v>
      </c>
      <c r="I574" s="3" t="b">
        <v>0</v>
      </c>
      <c r="J574" s="3" t="b">
        <v>0</v>
      </c>
      <c r="K574" s="3" t="s">
        <v>33</v>
      </c>
      <c r="L574" s="3" t="s">
        <v>34</v>
      </c>
      <c r="M574" s="8">
        <v>125000</v>
      </c>
      <c r="N574" s="11"/>
      <c r="O574" s="3" t="s">
        <v>4526</v>
      </c>
      <c r="P574" s="3" t="s">
        <v>4527</v>
      </c>
    </row>
    <row r="575" spans="1:16" x14ac:dyDescent="0.3">
      <c r="A575" s="3" t="s">
        <v>103</v>
      </c>
      <c r="B575" s="3" t="s">
        <v>4531</v>
      </c>
      <c r="C575" s="3" t="s">
        <v>417</v>
      </c>
      <c r="D575" s="3" t="s">
        <v>188</v>
      </c>
      <c r="E575" s="3" t="s">
        <v>133</v>
      </c>
      <c r="F575" s="3" t="b">
        <v>0</v>
      </c>
      <c r="G575" s="3" t="s">
        <v>58</v>
      </c>
      <c r="H575" s="6">
        <v>44936.792812500003</v>
      </c>
      <c r="I575" s="3" t="b">
        <v>1</v>
      </c>
      <c r="J575" s="3" t="b">
        <v>0</v>
      </c>
      <c r="K575" s="3" t="s">
        <v>33</v>
      </c>
      <c r="L575" s="3" t="s">
        <v>34</v>
      </c>
      <c r="M575" s="8">
        <v>32500</v>
      </c>
      <c r="N575" s="11"/>
      <c r="O575" s="3" t="s">
        <v>833</v>
      </c>
      <c r="P575" s="3" t="s">
        <v>2415</v>
      </c>
    </row>
    <row r="576" spans="1:16" x14ac:dyDescent="0.3">
      <c r="A576" s="3" t="s">
        <v>103</v>
      </c>
      <c r="B576" s="3" t="s">
        <v>481</v>
      </c>
      <c r="C576" s="3" t="s">
        <v>4535</v>
      </c>
      <c r="D576" s="3" t="s">
        <v>30</v>
      </c>
      <c r="E576" s="3" t="s">
        <v>31</v>
      </c>
      <c r="F576" s="3" t="b">
        <v>0</v>
      </c>
      <c r="G576" s="3" t="s">
        <v>64</v>
      </c>
      <c r="H576" s="6">
        <v>44953.833819444437</v>
      </c>
      <c r="I576" s="3" t="b">
        <v>1</v>
      </c>
      <c r="J576" s="3" t="b">
        <v>1</v>
      </c>
      <c r="K576" s="3" t="s">
        <v>33</v>
      </c>
      <c r="L576" s="3" t="s">
        <v>34</v>
      </c>
      <c r="M576" s="8">
        <v>55000</v>
      </c>
      <c r="N576" s="11"/>
      <c r="O576" s="3" t="s">
        <v>1068</v>
      </c>
      <c r="P576" s="3" t="s">
        <v>268</v>
      </c>
    </row>
    <row r="577" spans="1:16" x14ac:dyDescent="0.3">
      <c r="A577" s="3" t="s">
        <v>103</v>
      </c>
      <c r="B577" s="3" t="s">
        <v>4538</v>
      </c>
      <c r="C577" s="3" t="s">
        <v>4539</v>
      </c>
      <c r="D577" s="3" t="s">
        <v>4540</v>
      </c>
      <c r="E577" s="3" t="s">
        <v>31</v>
      </c>
      <c r="F577" s="3" t="b">
        <v>0</v>
      </c>
      <c r="G577" s="3" t="s">
        <v>64</v>
      </c>
      <c r="H577" s="6">
        <v>44956.916759259257</v>
      </c>
      <c r="I577" s="3" t="b">
        <v>1</v>
      </c>
      <c r="J577" s="3" t="b">
        <v>0</v>
      </c>
      <c r="K577" s="3" t="s">
        <v>33</v>
      </c>
      <c r="L577" s="3" t="s">
        <v>34</v>
      </c>
      <c r="M577" s="8">
        <v>60500</v>
      </c>
      <c r="N577" s="11"/>
      <c r="O577" s="3" t="s">
        <v>4541</v>
      </c>
      <c r="P577" s="3" t="s">
        <v>920</v>
      </c>
    </row>
    <row r="578" spans="1:16" x14ac:dyDescent="0.3">
      <c r="A578" s="3" t="s">
        <v>103</v>
      </c>
      <c r="B578" s="3" t="s">
        <v>103</v>
      </c>
      <c r="C578" s="3" t="s">
        <v>321</v>
      </c>
      <c r="D578" s="3" t="s">
        <v>76</v>
      </c>
      <c r="E578" s="3" t="s">
        <v>31</v>
      </c>
      <c r="F578" s="3" t="b">
        <v>0</v>
      </c>
      <c r="G578" s="3" t="s">
        <v>140</v>
      </c>
      <c r="H578" s="6">
        <v>44931.666215277779</v>
      </c>
      <c r="I578" s="3" t="b">
        <v>1</v>
      </c>
      <c r="J578" s="3" t="b">
        <v>1</v>
      </c>
      <c r="K578" s="3" t="s">
        <v>33</v>
      </c>
      <c r="L578" s="3" t="s">
        <v>48</v>
      </c>
      <c r="M578" s="8"/>
      <c r="N578" s="11">
        <v>55</v>
      </c>
      <c r="O578" s="3" t="s">
        <v>589</v>
      </c>
      <c r="P578" s="3" t="s">
        <v>4543</v>
      </c>
    </row>
    <row r="579" spans="1:16" x14ac:dyDescent="0.3">
      <c r="A579" s="3" t="s">
        <v>103</v>
      </c>
      <c r="B579" s="3" t="s">
        <v>4556</v>
      </c>
      <c r="C579" s="3" t="s">
        <v>4557</v>
      </c>
      <c r="D579" s="3" t="s">
        <v>370</v>
      </c>
      <c r="E579" s="3" t="s">
        <v>31</v>
      </c>
      <c r="F579" s="3" t="b">
        <v>0</v>
      </c>
      <c r="G579" s="3" t="s">
        <v>64</v>
      </c>
      <c r="H579" s="6">
        <v>44929.125104166669</v>
      </c>
      <c r="I579" s="3" t="b">
        <v>1</v>
      </c>
      <c r="J579" s="3" t="b">
        <v>0</v>
      </c>
      <c r="K579" s="3" t="s">
        <v>33</v>
      </c>
      <c r="L579" s="3" t="s">
        <v>34</v>
      </c>
      <c r="M579" s="8">
        <v>89830</v>
      </c>
      <c r="N579" s="11"/>
      <c r="O579" s="3" t="s">
        <v>119</v>
      </c>
      <c r="P579" s="3" t="s">
        <v>4558</v>
      </c>
    </row>
    <row r="580" spans="1:16" x14ac:dyDescent="0.3">
      <c r="A580" s="3" t="s">
        <v>103</v>
      </c>
      <c r="B580" s="3" t="s">
        <v>103</v>
      </c>
      <c r="C580" s="3" t="s">
        <v>603</v>
      </c>
      <c r="D580" s="3" t="s">
        <v>41</v>
      </c>
      <c r="E580" s="3" t="s">
        <v>31</v>
      </c>
      <c r="F580" s="3" t="b">
        <v>0</v>
      </c>
      <c r="G580" s="3" t="s">
        <v>69</v>
      </c>
      <c r="H580" s="6">
        <v>44942.458321759259</v>
      </c>
      <c r="I580" s="3" t="b">
        <v>0</v>
      </c>
      <c r="J580" s="3" t="b">
        <v>0</v>
      </c>
      <c r="K580" s="3" t="s">
        <v>69</v>
      </c>
      <c r="L580" s="3" t="s">
        <v>34</v>
      </c>
      <c r="M580" s="8">
        <v>102500</v>
      </c>
      <c r="N580" s="11"/>
      <c r="O580" s="3" t="s">
        <v>4559</v>
      </c>
      <c r="P580" s="3" t="s">
        <v>4560</v>
      </c>
    </row>
    <row r="581" spans="1:16" x14ac:dyDescent="0.3">
      <c r="A581" s="3" t="s">
        <v>103</v>
      </c>
      <c r="B581" s="3" t="s">
        <v>103</v>
      </c>
      <c r="C581" s="3" t="s">
        <v>1933</v>
      </c>
      <c r="D581" s="3" t="s">
        <v>53</v>
      </c>
      <c r="E581" s="3" t="s">
        <v>133</v>
      </c>
      <c r="F581" s="3" t="b">
        <v>0</v>
      </c>
      <c r="G581" s="3" t="s">
        <v>64</v>
      </c>
      <c r="H581" s="6">
        <v>44935.625173611108</v>
      </c>
      <c r="I581" s="3" t="b">
        <v>1</v>
      </c>
      <c r="J581" s="3" t="b">
        <v>0</v>
      </c>
      <c r="K581" s="3" t="s">
        <v>33</v>
      </c>
      <c r="L581" s="3" t="s">
        <v>48</v>
      </c>
      <c r="M581" s="8"/>
      <c r="N581" s="11">
        <v>52.5</v>
      </c>
      <c r="O581" s="3" t="s">
        <v>4565</v>
      </c>
      <c r="P581" s="3" t="s">
        <v>1935</v>
      </c>
    </row>
    <row r="582" spans="1:16" x14ac:dyDescent="0.3">
      <c r="A582" s="3" t="s">
        <v>103</v>
      </c>
      <c r="B582" s="3" t="s">
        <v>4570</v>
      </c>
      <c r="C582" s="3" t="s">
        <v>87</v>
      </c>
      <c r="D582" s="3" t="s">
        <v>53</v>
      </c>
      <c r="E582" s="3" t="s">
        <v>31</v>
      </c>
      <c r="F582" s="3" t="b">
        <v>1</v>
      </c>
      <c r="G582" s="3" t="s">
        <v>58</v>
      </c>
      <c r="H582" s="6">
        <v>44956.793252314812</v>
      </c>
      <c r="I582" s="3" t="b">
        <v>1</v>
      </c>
      <c r="J582" s="3" t="b">
        <v>1</v>
      </c>
      <c r="K582" s="3" t="s">
        <v>33</v>
      </c>
      <c r="L582" s="3" t="s">
        <v>34</v>
      </c>
      <c r="M582" s="8">
        <v>72500</v>
      </c>
      <c r="N582" s="11"/>
      <c r="O582" s="3" t="s">
        <v>4571</v>
      </c>
      <c r="P582" s="3" t="s">
        <v>4572</v>
      </c>
    </row>
    <row r="583" spans="1:16" x14ac:dyDescent="0.3">
      <c r="A583" s="3" t="s">
        <v>103</v>
      </c>
      <c r="B583" s="3" t="s">
        <v>4575</v>
      </c>
      <c r="C583" s="3" t="s">
        <v>4576</v>
      </c>
      <c r="D583" s="3" t="s">
        <v>76</v>
      </c>
      <c r="E583" s="3" t="s">
        <v>31</v>
      </c>
      <c r="F583" s="3" t="b">
        <v>0</v>
      </c>
      <c r="G583" s="3" t="s">
        <v>32</v>
      </c>
      <c r="H583" s="6">
        <v>44946.792638888888</v>
      </c>
      <c r="I583" s="3" t="b">
        <v>1</v>
      </c>
      <c r="J583" s="3" t="b">
        <v>0</v>
      </c>
      <c r="K583" s="3" t="s">
        <v>33</v>
      </c>
      <c r="L583" s="3" t="s">
        <v>48</v>
      </c>
      <c r="M583" s="8"/>
      <c r="N583" s="11">
        <v>24.5</v>
      </c>
      <c r="O583" s="3" t="s">
        <v>4577</v>
      </c>
      <c r="P583" s="3" t="s">
        <v>4578</v>
      </c>
    </row>
    <row r="584" spans="1:16" x14ac:dyDescent="0.3">
      <c r="A584" s="3" t="s">
        <v>103</v>
      </c>
      <c r="B584" s="3" t="s">
        <v>4581</v>
      </c>
      <c r="C584" s="3" t="s">
        <v>87</v>
      </c>
      <c r="D584" s="3" t="s">
        <v>30</v>
      </c>
      <c r="E584" s="3" t="s">
        <v>31</v>
      </c>
      <c r="F584" s="3" t="b">
        <v>1</v>
      </c>
      <c r="G584" s="3" t="s">
        <v>84</v>
      </c>
      <c r="H584" s="6">
        <v>44956.084976851853</v>
      </c>
      <c r="I584" s="3" t="b">
        <v>1</v>
      </c>
      <c r="J584" s="3" t="b">
        <v>0</v>
      </c>
      <c r="K584" s="3" t="s">
        <v>33</v>
      </c>
      <c r="L584" s="3" t="s">
        <v>34</v>
      </c>
      <c r="M584" s="8">
        <v>160000</v>
      </c>
      <c r="N584" s="11"/>
      <c r="O584" s="3" t="s">
        <v>114</v>
      </c>
      <c r="P584" s="3" t="s">
        <v>572</v>
      </c>
    </row>
    <row r="585" spans="1:16" x14ac:dyDescent="0.3">
      <c r="A585" s="3" t="s">
        <v>103</v>
      </c>
      <c r="B585" s="3" t="s">
        <v>1125</v>
      </c>
      <c r="C585" s="3" t="s">
        <v>641</v>
      </c>
      <c r="D585" s="3" t="s">
        <v>4588</v>
      </c>
      <c r="E585" s="3" t="s">
        <v>31</v>
      </c>
      <c r="F585" s="3" t="b">
        <v>0</v>
      </c>
      <c r="G585" s="3" t="s">
        <v>88</v>
      </c>
      <c r="H585" s="6">
        <v>44948.585312499999</v>
      </c>
      <c r="I585" s="3" t="b">
        <v>1</v>
      </c>
      <c r="J585" s="3" t="b">
        <v>1</v>
      </c>
      <c r="K585" s="3" t="s">
        <v>33</v>
      </c>
      <c r="L585" s="3" t="s">
        <v>34</v>
      </c>
      <c r="M585" s="8">
        <v>60000</v>
      </c>
      <c r="N585" s="11"/>
      <c r="O585" s="3" t="s">
        <v>3637</v>
      </c>
      <c r="P585" s="3" t="s">
        <v>3638</v>
      </c>
    </row>
    <row r="586" spans="1:16" x14ac:dyDescent="0.3">
      <c r="A586" s="3" t="s">
        <v>103</v>
      </c>
      <c r="B586" s="3" t="s">
        <v>4589</v>
      </c>
      <c r="C586" s="3" t="s">
        <v>3030</v>
      </c>
      <c r="D586" s="3" t="s">
        <v>3225</v>
      </c>
      <c r="E586" s="3" t="s">
        <v>31</v>
      </c>
      <c r="F586" s="3" t="b">
        <v>0</v>
      </c>
      <c r="G586" s="3" t="s">
        <v>140</v>
      </c>
      <c r="H586" s="6">
        <v>44943.015335648153</v>
      </c>
      <c r="I586" s="3" t="b">
        <v>1</v>
      </c>
      <c r="J586" s="3" t="b">
        <v>0</v>
      </c>
      <c r="K586" s="3" t="s">
        <v>33</v>
      </c>
      <c r="L586" s="3" t="s">
        <v>48</v>
      </c>
      <c r="M586" s="8"/>
      <c r="N586" s="11">
        <v>24</v>
      </c>
      <c r="O586" s="3" t="s">
        <v>4590</v>
      </c>
      <c r="P586" s="3"/>
    </row>
    <row r="587" spans="1:16" x14ac:dyDescent="0.3">
      <c r="A587" s="3" t="s">
        <v>103</v>
      </c>
      <c r="B587" s="3" t="s">
        <v>481</v>
      </c>
      <c r="C587" s="3" t="s">
        <v>4535</v>
      </c>
      <c r="D587" s="3" t="s">
        <v>30</v>
      </c>
      <c r="E587" s="3" t="s">
        <v>31</v>
      </c>
      <c r="F587" s="3" t="b">
        <v>0</v>
      </c>
      <c r="G587" s="3" t="s">
        <v>64</v>
      </c>
      <c r="H587" s="6">
        <v>44939.876886574071</v>
      </c>
      <c r="I587" s="3" t="b">
        <v>1</v>
      </c>
      <c r="J587" s="3" t="b">
        <v>1</v>
      </c>
      <c r="K587" s="3" t="s">
        <v>33</v>
      </c>
      <c r="L587" s="3" t="s">
        <v>34</v>
      </c>
      <c r="M587" s="8">
        <v>55000</v>
      </c>
      <c r="N587" s="11"/>
      <c r="O587" s="3" t="s">
        <v>1068</v>
      </c>
      <c r="P587" s="3" t="s">
        <v>268</v>
      </c>
    </row>
    <row r="588" spans="1:16" x14ac:dyDescent="0.3">
      <c r="A588" s="3" t="s">
        <v>103</v>
      </c>
      <c r="B588" s="3" t="s">
        <v>103</v>
      </c>
      <c r="C588" s="3" t="s">
        <v>2053</v>
      </c>
      <c r="D588" s="3" t="s">
        <v>30</v>
      </c>
      <c r="E588" s="3" t="s">
        <v>133</v>
      </c>
      <c r="F588" s="3" t="b">
        <v>0</v>
      </c>
      <c r="G588" s="3" t="s">
        <v>84</v>
      </c>
      <c r="H588" s="6">
        <v>44952.586030092592</v>
      </c>
      <c r="I588" s="3" t="b">
        <v>0</v>
      </c>
      <c r="J588" s="3" t="b">
        <v>0</v>
      </c>
      <c r="K588" s="3" t="s">
        <v>33</v>
      </c>
      <c r="L588" s="3" t="s">
        <v>48</v>
      </c>
      <c r="M588" s="8"/>
      <c r="N588" s="11">
        <v>43.5</v>
      </c>
      <c r="O588" s="3" t="s">
        <v>4600</v>
      </c>
      <c r="P588" s="3" t="s">
        <v>4601</v>
      </c>
    </row>
    <row r="589" spans="1:16" x14ac:dyDescent="0.3">
      <c r="A589" s="3" t="s">
        <v>103</v>
      </c>
      <c r="B589" s="3" t="s">
        <v>4604</v>
      </c>
      <c r="C589" s="3" t="s">
        <v>75</v>
      </c>
      <c r="D589" s="3" t="s">
        <v>2465</v>
      </c>
      <c r="E589" s="3" t="s">
        <v>31</v>
      </c>
      <c r="F589" s="3" t="b">
        <v>0</v>
      </c>
      <c r="G589" s="3" t="s">
        <v>84</v>
      </c>
      <c r="H589" s="6">
        <v>44948.00341435185</v>
      </c>
      <c r="I589" s="3" t="b">
        <v>1</v>
      </c>
      <c r="J589" s="3" t="b">
        <v>0</v>
      </c>
      <c r="K589" s="3" t="s">
        <v>33</v>
      </c>
      <c r="L589" s="3" t="s">
        <v>48</v>
      </c>
      <c r="M589" s="8"/>
      <c r="N589" s="11">
        <v>24</v>
      </c>
      <c r="O589" s="3" t="s">
        <v>4605</v>
      </c>
      <c r="P589" s="3" t="s">
        <v>4606</v>
      </c>
    </row>
    <row r="590" spans="1:16" x14ac:dyDescent="0.3">
      <c r="A590" s="3" t="s">
        <v>103</v>
      </c>
      <c r="B590" s="3" t="s">
        <v>4616</v>
      </c>
      <c r="C590" s="3" t="s">
        <v>164</v>
      </c>
      <c r="D590" s="3" t="s">
        <v>1666</v>
      </c>
      <c r="E590" s="3" t="s">
        <v>31</v>
      </c>
      <c r="F590" s="3" t="b">
        <v>0</v>
      </c>
      <c r="G590" s="3" t="s">
        <v>64</v>
      </c>
      <c r="H590" s="6">
        <v>44935.083287037043</v>
      </c>
      <c r="I590" s="3" t="b">
        <v>0</v>
      </c>
      <c r="J590" s="3" t="b">
        <v>1</v>
      </c>
      <c r="K590" s="3" t="s">
        <v>33</v>
      </c>
      <c r="L590" s="3" t="s">
        <v>34</v>
      </c>
      <c r="M590" s="8">
        <v>137500</v>
      </c>
      <c r="N590" s="11"/>
      <c r="O590" s="3" t="s">
        <v>418</v>
      </c>
      <c r="P590" s="3" t="s">
        <v>4617</v>
      </c>
    </row>
    <row r="591" spans="1:16" x14ac:dyDescent="0.3">
      <c r="A591" s="3" t="s">
        <v>103</v>
      </c>
      <c r="B591" s="3" t="s">
        <v>4622</v>
      </c>
      <c r="C591" s="3" t="s">
        <v>164</v>
      </c>
      <c r="D591" s="3" t="s">
        <v>30</v>
      </c>
      <c r="E591" s="3" t="s">
        <v>31</v>
      </c>
      <c r="F591" s="3" t="b">
        <v>0</v>
      </c>
      <c r="G591" s="3" t="s">
        <v>64</v>
      </c>
      <c r="H591" s="6">
        <v>44954.416643518518</v>
      </c>
      <c r="I591" s="3" t="b">
        <v>0</v>
      </c>
      <c r="J591" s="3" t="b">
        <v>1</v>
      </c>
      <c r="K591" s="3" t="s">
        <v>33</v>
      </c>
      <c r="L591" s="3" t="s">
        <v>34</v>
      </c>
      <c r="M591" s="8">
        <v>64500</v>
      </c>
      <c r="N591" s="11"/>
      <c r="O591" s="3" t="s">
        <v>4623</v>
      </c>
      <c r="P591" s="3" t="s">
        <v>405</v>
      </c>
    </row>
    <row r="592" spans="1:16" x14ac:dyDescent="0.3">
      <c r="A592" s="3" t="s">
        <v>103</v>
      </c>
      <c r="B592" s="3" t="s">
        <v>4624</v>
      </c>
      <c r="C592" s="3" t="s">
        <v>565</v>
      </c>
      <c r="D592" s="3" t="s">
        <v>76</v>
      </c>
      <c r="E592" s="3" t="s">
        <v>31</v>
      </c>
      <c r="F592" s="3" t="b">
        <v>0</v>
      </c>
      <c r="G592" s="3" t="s">
        <v>140</v>
      </c>
      <c r="H592" s="6">
        <v>44937.74082175926</v>
      </c>
      <c r="I592" s="3" t="b">
        <v>0</v>
      </c>
      <c r="J592" s="3" t="b">
        <v>0</v>
      </c>
      <c r="K592" s="3" t="s">
        <v>33</v>
      </c>
      <c r="L592" s="3" t="s">
        <v>34</v>
      </c>
      <c r="M592" s="8">
        <v>83862.5</v>
      </c>
      <c r="N592" s="11"/>
      <c r="O592" s="3" t="s">
        <v>2434</v>
      </c>
      <c r="P592" s="3" t="s">
        <v>2435</v>
      </c>
    </row>
    <row r="593" spans="1:16" x14ac:dyDescent="0.3">
      <c r="A593" s="3" t="s">
        <v>103</v>
      </c>
      <c r="B593" s="3" t="s">
        <v>103</v>
      </c>
      <c r="C593" s="3" t="s">
        <v>29</v>
      </c>
      <c r="D593" s="3" t="s">
        <v>287</v>
      </c>
      <c r="E593" s="3" t="s">
        <v>31</v>
      </c>
      <c r="F593" s="3" t="b">
        <v>0</v>
      </c>
      <c r="G593" s="3" t="s">
        <v>32</v>
      </c>
      <c r="H593" s="6">
        <v>44931.000879629632</v>
      </c>
      <c r="I593" s="3" t="b">
        <v>0</v>
      </c>
      <c r="J593" s="3" t="b">
        <v>1</v>
      </c>
      <c r="K593" s="3" t="s">
        <v>33</v>
      </c>
      <c r="L593" s="3" t="s">
        <v>34</v>
      </c>
      <c r="M593" s="8">
        <v>128356</v>
      </c>
      <c r="N593" s="11"/>
      <c r="O593" s="3" t="s">
        <v>2506</v>
      </c>
      <c r="P593" s="3" t="s">
        <v>38</v>
      </c>
    </row>
    <row r="594" spans="1:16" x14ac:dyDescent="0.3">
      <c r="A594" s="3" t="s">
        <v>103</v>
      </c>
      <c r="B594" s="3" t="s">
        <v>4627</v>
      </c>
      <c r="C594" s="3" t="s">
        <v>164</v>
      </c>
      <c r="D594" s="3" t="s">
        <v>93</v>
      </c>
      <c r="E594" s="3" t="s">
        <v>31</v>
      </c>
      <c r="F594" s="3" t="b">
        <v>0</v>
      </c>
      <c r="G594" s="3" t="s">
        <v>64</v>
      </c>
      <c r="H594" s="6">
        <v>44934.333321759259</v>
      </c>
      <c r="I594" s="3" t="b">
        <v>1</v>
      </c>
      <c r="J594" s="3" t="b">
        <v>1</v>
      </c>
      <c r="K594" s="3" t="s">
        <v>33</v>
      </c>
      <c r="L594" s="3" t="s">
        <v>34</v>
      </c>
      <c r="M594" s="8">
        <v>175000</v>
      </c>
      <c r="N594" s="11"/>
      <c r="O594" s="3" t="s">
        <v>4628</v>
      </c>
      <c r="P594" s="3" t="s">
        <v>4629</v>
      </c>
    </row>
    <row r="595" spans="1:16" x14ac:dyDescent="0.3">
      <c r="A595" s="3" t="s">
        <v>103</v>
      </c>
      <c r="B595" s="3" t="s">
        <v>481</v>
      </c>
      <c r="C595" s="3" t="s">
        <v>1628</v>
      </c>
      <c r="D595" s="3" t="s">
        <v>188</v>
      </c>
      <c r="E595" s="3" t="s">
        <v>31</v>
      </c>
      <c r="F595" s="3" t="b">
        <v>0</v>
      </c>
      <c r="G595" s="3" t="s">
        <v>88</v>
      </c>
      <c r="H595" s="6">
        <v>44945.84652777778</v>
      </c>
      <c r="I595" s="3" t="b">
        <v>1</v>
      </c>
      <c r="J595" s="3" t="b">
        <v>0</v>
      </c>
      <c r="K595" s="3" t="s">
        <v>33</v>
      </c>
      <c r="L595" s="3" t="s">
        <v>48</v>
      </c>
      <c r="M595" s="8"/>
      <c r="N595" s="11">
        <v>28.5</v>
      </c>
      <c r="O595" s="3" t="s">
        <v>114</v>
      </c>
      <c r="P595" s="3" t="s">
        <v>1904</v>
      </c>
    </row>
    <row r="596" spans="1:16" x14ac:dyDescent="0.3">
      <c r="A596" s="3" t="s">
        <v>103</v>
      </c>
      <c r="B596" s="3" t="s">
        <v>4646</v>
      </c>
      <c r="C596" s="3" t="s">
        <v>3089</v>
      </c>
      <c r="D596" s="3" t="s">
        <v>41</v>
      </c>
      <c r="E596" s="3" t="s">
        <v>31</v>
      </c>
      <c r="F596" s="3" t="b">
        <v>0</v>
      </c>
      <c r="G596" s="3" t="s">
        <v>818</v>
      </c>
      <c r="H596" s="6">
        <v>44931.489270833343</v>
      </c>
      <c r="I596" s="3" t="b">
        <v>0</v>
      </c>
      <c r="J596" s="3" t="b">
        <v>0</v>
      </c>
      <c r="K596" s="3" t="s">
        <v>818</v>
      </c>
      <c r="L596" s="3" t="s">
        <v>34</v>
      </c>
      <c r="M596" s="8">
        <v>111202</v>
      </c>
      <c r="N596" s="11"/>
      <c r="O596" s="3" t="s">
        <v>3090</v>
      </c>
      <c r="P596" s="3" t="s">
        <v>873</v>
      </c>
    </row>
    <row r="597" spans="1:16" x14ac:dyDescent="0.3">
      <c r="A597" s="3" t="s">
        <v>103</v>
      </c>
      <c r="B597" s="3" t="s">
        <v>4647</v>
      </c>
      <c r="C597" s="3" t="s">
        <v>75</v>
      </c>
      <c r="D597" s="3" t="s">
        <v>188</v>
      </c>
      <c r="E597" s="3" t="s">
        <v>31</v>
      </c>
      <c r="F597" s="3" t="b">
        <v>0</v>
      </c>
      <c r="G597" s="3" t="s">
        <v>84</v>
      </c>
      <c r="H597" s="6">
        <v>44929.85423611111</v>
      </c>
      <c r="I597" s="3" t="b">
        <v>0</v>
      </c>
      <c r="J597" s="3" t="b">
        <v>0</v>
      </c>
      <c r="K597" s="3" t="s">
        <v>33</v>
      </c>
      <c r="L597" s="3" t="s">
        <v>34</v>
      </c>
      <c r="M597" s="8">
        <v>130000</v>
      </c>
      <c r="N597" s="11"/>
      <c r="O597" s="3" t="s">
        <v>4648</v>
      </c>
      <c r="P597" s="3" t="s">
        <v>4649</v>
      </c>
    </row>
    <row r="598" spans="1:16" x14ac:dyDescent="0.3">
      <c r="A598" s="3" t="s">
        <v>103</v>
      </c>
      <c r="B598" s="3" t="s">
        <v>4650</v>
      </c>
      <c r="C598" s="3" t="s">
        <v>4651</v>
      </c>
      <c r="D598" s="3" t="s">
        <v>76</v>
      </c>
      <c r="E598" s="3" t="s">
        <v>31</v>
      </c>
      <c r="F598" s="3" t="b">
        <v>0</v>
      </c>
      <c r="G598" s="3" t="s">
        <v>64</v>
      </c>
      <c r="H598" s="6">
        <v>44939.125173611108</v>
      </c>
      <c r="I598" s="3" t="b">
        <v>0</v>
      </c>
      <c r="J598" s="3" t="b">
        <v>0</v>
      </c>
      <c r="K598" s="3" t="s">
        <v>33</v>
      </c>
      <c r="L598" s="3" t="s">
        <v>34</v>
      </c>
      <c r="M598" s="8">
        <v>109350</v>
      </c>
      <c r="N598" s="11"/>
      <c r="O598" s="3" t="s">
        <v>2674</v>
      </c>
      <c r="P598" s="3" t="s">
        <v>4652</v>
      </c>
    </row>
    <row r="599" spans="1:16" x14ac:dyDescent="0.3">
      <c r="A599" s="3" t="s">
        <v>103</v>
      </c>
      <c r="B599" s="3" t="s">
        <v>4653</v>
      </c>
      <c r="C599" s="3"/>
      <c r="D599" s="3" t="s">
        <v>30</v>
      </c>
      <c r="E599" s="3" t="s">
        <v>31</v>
      </c>
      <c r="F599" s="3" t="b">
        <v>0</v>
      </c>
      <c r="G599" s="3" t="s">
        <v>64</v>
      </c>
      <c r="H599" s="6">
        <v>44929.852314814823</v>
      </c>
      <c r="I599" s="3" t="b">
        <v>0</v>
      </c>
      <c r="J599" s="3" t="b">
        <v>0</v>
      </c>
      <c r="K599" s="3" t="s">
        <v>33</v>
      </c>
      <c r="L599" s="3" t="s">
        <v>34</v>
      </c>
      <c r="M599" s="8">
        <v>50000</v>
      </c>
      <c r="N599" s="11"/>
      <c r="O599" s="3" t="s">
        <v>4654</v>
      </c>
      <c r="P599" s="3" t="s">
        <v>4655</v>
      </c>
    </row>
    <row r="600" spans="1:16" x14ac:dyDescent="0.3">
      <c r="A600" s="3" t="s">
        <v>103</v>
      </c>
      <c r="B600" s="3" t="s">
        <v>1899</v>
      </c>
      <c r="C600" s="3" t="s">
        <v>4656</v>
      </c>
      <c r="D600" s="3" t="s">
        <v>41</v>
      </c>
      <c r="E600" s="3" t="s">
        <v>31</v>
      </c>
      <c r="F600" s="3" t="b">
        <v>0</v>
      </c>
      <c r="G600" s="3" t="s">
        <v>359</v>
      </c>
      <c r="H600" s="6">
        <v>44927.133206018523</v>
      </c>
      <c r="I600" s="3" t="b">
        <v>1</v>
      </c>
      <c r="J600" s="3" t="b">
        <v>0</v>
      </c>
      <c r="K600" s="3" t="s">
        <v>359</v>
      </c>
      <c r="L600" s="3" t="s">
        <v>34</v>
      </c>
      <c r="M600" s="8">
        <v>51000</v>
      </c>
      <c r="N600" s="11"/>
      <c r="O600" s="3" t="s">
        <v>4657</v>
      </c>
      <c r="P600" s="3"/>
    </row>
    <row r="601" spans="1:16" x14ac:dyDescent="0.3">
      <c r="A601" s="3" t="s">
        <v>103</v>
      </c>
      <c r="B601" s="3" t="s">
        <v>1190</v>
      </c>
      <c r="C601" s="3" t="s">
        <v>173</v>
      </c>
      <c r="D601" s="3" t="s">
        <v>30</v>
      </c>
      <c r="E601" s="3" t="s">
        <v>133</v>
      </c>
      <c r="F601" s="3" t="b">
        <v>0</v>
      </c>
      <c r="G601" s="3" t="s">
        <v>64</v>
      </c>
      <c r="H601" s="6">
        <v>44936.916967592602</v>
      </c>
      <c r="I601" s="3" t="b">
        <v>1</v>
      </c>
      <c r="J601" s="3" t="b">
        <v>0</v>
      </c>
      <c r="K601" s="3" t="s">
        <v>33</v>
      </c>
      <c r="L601" s="3" t="s">
        <v>48</v>
      </c>
      <c r="M601" s="8"/>
      <c r="N601" s="11">
        <v>45</v>
      </c>
      <c r="O601" s="3" t="s">
        <v>4661</v>
      </c>
      <c r="P601" s="3" t="s">
        <v>4662</v>
      </c>
    </row>
    <row r="602" spans="1:16" x14ac:dyDescent="0.3">
      <c r="A602" s="3" t="s">
        <v>103</v>
      </c>
      <c r="B602" s="3" t="s">
        <v>4663</v>
      </c>
      <c r="C602" s="3" t="s">
        <v>164</v>
      </c>
      <c r="D602" s="3" t="s">
        <v>188</v>
      </c>
      <c r="E602" s="3" t="s">
        <v>31</v>
      </c>
      <c r="F602" s="3" t="b">
        <v>0</v>
      </c>
      <c r="G602" s="3" t="s">
        <v>64</v>
      </c>
      <c r="H602" s="6">
        <v>44944.916701388887</v>
      </c>
      <c r="I602" s="3" t="b">
        <v>1</v>
      </c>
      <c r="J602" s="3" t="b">
        <v>0</v>
      </c>
      <c r="K602" s="3" t="s">
        <v>33</v>
      </c>
      <c r="L602" s="3" t="s">
        <v>34</v>
      </c>
      <c r="M602" s="8">
        <v>130000</v>
      </c>
      <c r="N602" s="11"/>
      <c r="O602" s="3" t="s">
        <v>4664</v>
      </c>
      <c r="P602" s="3" t="s">
        <v>873</v>
      </c>
    </row>
    <row r="603" spans="1:16" x14ac:dyDescent="0.3">
      <c r="A603" s="3" t="s">
        <v>103</v>
      </c>
      <c r="B603" s="3" t="s">
        <v>4670</v>
      </c>
      <c r="C603" s="3" t="s">
        <v>164</v>
      </c>
      <c r="D603" s="3" t="s">
        <v>712</v>
      </c>
      <c r="E603" s="3" t="s">
        <v>31</v>
      </c>
      <c r="F603" s="3" t="b">
        <v>0</v>
      </c>
      <c r="G603" s="3" t="s">
        <v>64</v>
      </c>
      <c r="H603" s="6">
        <v>44949.166620370372</v>
      </c>
      <c r="I603" s="3" t="b">
        <v>0</v>
      </c>
      <c r="J603" s="3" t="b">
        <v>1</v>
      </c>
      <c r="K603" s="3" t="s">
        <v>33</v>
      </c>
      <c r="L603" s="3" t="s">
        <v>34</v>
      </c>
      <c r="M603" s="8">
        <v>88000</v>
      </c>
      <c r="N603" s="11"/>
      <c r="O603" s="3" t="s">
        <v>4671</v>
      </c>
      <c r="P603" s="3" t="s">
        <v>4672</v>
      </c>
    </row>
    <row r="604" spans="1:16" x14ac:dyDescent="0.3">
      <c r="A604" s="3" t="s">
        <v>103</v>
      </c>
      <c r="B604" s="3" t="s">
        <v>4676</v>
      </c>
      <c r="C604" s="3" t="s">
        <v>435</v>
      </c>
      <c r="D604" s="3" t="s">
        <v>41</v>
      </c>
      <c r="E604" s="3" t="s">
        <v>31</v>
      </c>
      <c r="F604" s="3" t="b">
        <v>0</v>
      </c>
      <c r="G604" s="3" t="s">
        <v>436</v>
      </c>
      <c r="H604" s="6">
        <v>44944.05023148148</v>
      </c>
      <c r="I604" s="3" t="b">
        <v>0</v>
      </c>
      <c r="J604" s="3" t="b">
        <v>0</v>
      </c>
      <c r="K604" s="3" t="s">
        <v>436</v>
      </c>
      <c r="L604" s="3" t="s">
        <v>34</v>
      </c>
      <c r="M604" s="8">
        <v>64800</v>
      </c>
      <c r="N604" s="11"/>
      <c r="O604" s="3" t="s">
        <v>4677</v>
      </c>
      <c r="P604" s="3" t="s">
        <v>4678</v>
      </c>
    </row>
    <row r="605" spans="1:16" x14ac:dyDescent="0.3">
      <c r="A605" s="3" t="s">
        <v>103</v>
      </c>
      <c r="B605" s="3" t="s">
        <v>4719</v>
      </c>
      <c r="C605" s="3" t="s">
        <v>87</v>
      </c>
      <c r="D605" s="3" t="s">
        <v>30</v>
      </c>
      <c r="E605" s="3" t="s">
        <v>31</v>
      </c>
      <c r="F605" s="3" t="b">
        <v>1</v>
      </c>
      <c r="G605" s="3" t="s">
        <v>58</v>
      </c>
      <c r="H605" s="6">
        <v>44944.960381944453</v>
      </c>
      <c r="I605" s="3" t="b">
        <v>1</v>
      </c>
      <c r="J605" s="3" t="b">
        <v>1</v>
      </c>
      <c r="K605" s="3" t="s">
        <v>33</v>
      </c>
      <c r="L605" s="3" t="s">
        <v>34</v>
      </c>
      <c r="M605" s="8">
        <v>65000</v>
      </c>
      <c r="N605" s="11"/>
      <c r="O605" s="3" t="s">
        <v>589</v>
      </c>
      <c r="P605" s="3" t="s">
        <v>405</v>
      </c>
    </row>
    <row r="606" spans="1:16" x14ac:dyDescent="0.3">
      <c r="A606" s="3" t="s">
        <v>103</v>
      </c>
      <c r="B606" s="3" t="s">
        <v>4722</v>
      </c>
      <c r="C606" s="3" t="s">
        <v>87</v>
      </c>
      <c r="D606" s="3" t="s">
        <v>53</v>
      </c>
      <c r="E606" s="3"/>
      <c r="F606" s="3" t="b">
        <v>1</v>
      </c>
      <c r="G606" s="3" t="s">
        <v>64</v>
      </c>
      <c r="H606" s="6">
        <v>44957.6249537037</v>
      </c>
      <c r="I606" s="3" t="b">
        <v>1</v>
      </c>
      <c r="J606" s="3" t="b">
        <v>0</v>
      </c>
      <c r="K606" s="3" t="s">
        <v>33</v>
      </c>
      <c r="L606" s="3" t="s">
        <v>48</v>
      </c>
      <c r="M606" s="8"/>
      <c r="N606" s="11">
        <v>47.5</v>
      </c>
      <c r="O606" s="3" t="s">
        <v>4723</v>
      </c>
      <c r="P606" s="3" t="s">
        <v>4724</v>
      </c>
    </row>
    <row r="607" spans="1:16" x14ac:dyDescent="0.3">
      <c r="A607" s="3" t="s">
        <v>103</v>
      </c>
      <c r="B607" s="3" t="s">
        <v>4726</v>
      </c>
      <c r="C607" s="3" t="s">
        <v>882</v>
      </c>
      <c r="D607" s="3" t="s">
        <v>4727</v>
      </c>
      <c r="E607" s="3" t="s">
        <v>31</v>
      </c>
      <c r="F607" s="3" t="b">
        <v>0</v>
      </c>
      <c r="G607" s="3" t="s">
        <v>58</v>
      </c>
      <c r="H607" s="6">
        <v>44930.020497685182</v>
      </c>
      <c r="I607" s="3" t="b">
        <v>1</v>
      </c>
      <c r="J607" s="3" t="b">
        <v>0</v>
      </c>
      <c r="K607" s="3" t="s">
        <v>33</v>
      </c>
      <c r="L607" s="3" t="s">
        <v>48</v>
      </c>
      <c r="M607" s="8"/>
      <c r="N607" s="11">
        <v>24</v>
      </c>
      <c r="O607" s="3" t="s">
        <v>657</v>
      </c>
      <c r="P607" s="3"/>
    </row>
    <row r="608" spans="1:16" x14ac:dyDescent="0.3">
      <c r="A608" s="3" t="s">
        <v>103</v>
      </c>
      <c r="B608" s="3" t="s">
        <v>103</v>
      </c>
      <c r="C608" s="3" t="s">
        <v>321</v>
      </c>
      <c r="D608" s="3" t="s">
        <v>307</v>
      </c>
      <c r="E608" s="3" t="s">
        <v>133</v>
      </c>
      <c r="F608" s="3" t="b">
        <v>0</v>
      </c>
      <c r="G608" s="3" t="s">
        <v>140</v>
      </c>
      <c r="H608" s="6">
        <v>44957.605821759258</v>
      </c>
      <c r="I608" s="3" t="b">
        <v>0</v>
      </c>
      <c r="J608" s="3" t="b">
        <v>0</v>
      </c>
      <c r="K608" s="3" t="s">
        <v>33</v>
      </c>
      <c r="L608" s="3" t="s">
        <v>48</v>
      </c>
      <c r="M608" s="8"/>
      <c r="N608" s="11">
        <v>37.5</v>
      </c>
      <c r="O608" s="3" t="s">
        <v>114</v>
      </c>
      <c r="P608" s="3" t="s">
        <v>138</v>
      </c>
    </row>
    <row r="609" spans="1:16" x14ac:dyDescent="0.3">
      <c r="A609" s="3" t="s">
        <v>103</v>
      </c>
      <c r="B609" s="3" t="s">
        <v>4729</v>
      </c>
      <c r="C609" s="3" t="s">
        <v>87</v>
      </c>
      <c r="D609" s="3" t="s">
        <v>76</v>
      </c>
      <c r="E609" s="3"/>
      <c r="F609" s="3" t="b">
        <v>1</v>
      </c>
      <c r="G609" s="3" t="s">
        <v>32</v>
      </c>
      <c r="H609" s="6">
        <v>44938.917662037027</v>
      </c>
      <c r="I609" s="3" t="b">
        <v>1</v>
      </c>
      <c r="J609" s="3" t="b">
        <v>0</v>
      </c>
      <c r="K609" s="3" t="s">
        <v>33</v>
      </c>
      <c r="L609" s="3" t="s">
        <v>48</v>
      </c>
      <c r="M609" s="8"/>
      <c r="N609" s="11">
        <v>63.5</v>
      </c>
      <c r="O609" s="3" t="s">
        <v>3798</v>
      </c>
      <c r="P609" s="3" t="s">
        <v>3799</v>
      </c>
    </row>
    <row r="610" spans="1:16" x14ac:dyDescent="0.3">
      <c r="A610" s="3" t="s">
        <v>103</v>
      </c>
      <c r="B610" s="3" t="s">
        <v>4730</v>
      </c>
      <c r="C610" s="3" t="s">
        <v>254</v>
      </c>
      <c r="D610" s="3" t="s">
        <v>53</v>
      </c>
      <c r="E610" s="3" t="s">
        <v>31</v>
      </c>
      <c r="F610" s="3" t="b">
        <v>0</v>
      </c>
      <c r="G610" s="3" t="s">
        <v>84</v>
      </c>
      <c r="H610" s="6">
        <v>44930.562638888892</v>
      </c>
      <c r="I610" s="3" t="b">
        <v>1</v>
      </c>
      <c r="J610" s="3" t="b">
        <v>1</v>
      </c>
      <c r="K610" s="3" t="s">
        <v>33</v>
      </c>
      <c r="L610" s="3" t="s">
        <v>34</v>
      </c>
      <c r="M610" s="8">
        <v>67500</v>
      </c>
      <c r="N610" s="11"/>
      <c r="O610" s="3" t="s">
        <v>4731</v>
      </c>
      <c r="P610" s="3" t="s">
        <v>4587</v>
      </c>
    </row>
    <row r="611" spans="1:16" x14ac:dyDescent="0.3">
      <c r="A611" s="3" t="s">
        <v>103</v>
      </c>
      <c r="B611" s="3" t="s">
        <v>4732</v>
      </c>
      <c r="C611" s="3" t="s">
        <v>87</v>
      </c>
      <c r="D611" s="3" t="s">
        <v>4733</v>
      </c>
      <c r="E611" s="3" t="s">
        <v>31</v>
      </c>
      <c r="F611" s="3" t="b">
        <v>1</v>
      </c>
      <c r="G611" s="3" t="s">
        <v>64</v>
      </c>
      <c r="H611" s="6">
        <v>44953.708321759259</v>
      </c>
      <c r="I611" s="3" t="b">
        <v>0</v>
      </c>
      <c r="J611" s="3" t="b">
        <v>1</v>
      </c>
      <c r="K611" s="3" t="s">
        <v>33</v>
      </c>
      <c r="L611" s="3" t="s">
        <v>34</v>
      </c>
      <c r="M611" s="8">
        <v>105000</v>
      </c>
      <c r="N611" s="11"/>
      <c r="O611" s="3" t="s">
        <v>4734</v>
      </c>
      <c r="P611" s="3" t="s">
        <v>4735</v>
      </c>
    </row>
    <row r="612" spans="1:16" x14ac:dyDescent="0.3">
      <c r="A612" s="3" t="s">
        <v>103</v>
      </c>
      <c r="B612" s="3" t="s">
        <v>103</v>
      </c>
      <c r="C612" s="3" t="s">
        <v>87</v>
      </c>
      <c r="D612" s="3" t="s">
        <v>76</v>
      </c>
      <c r="E612" s="3" t="s">
        <v>31</v>
      </c>
      <c r="F612" s="3" t="b">
        <v>1</v>
      </c>
      <c r="G612" s="3" t="s">
        <v>64</v>
      </c>
      <c r="H612" s="6">
        <v>44946.125243055547</v>
      </c>
      <c r="I612" s="3" t="b">
        <v>0</v>
      </c>
      <c r="J612" s="3" t="b">
        <v>1</v>
      </c>
      <c r="K612" s="3" t="s">
        <v>33</v>
      </c>
      <c r="L612" s="3" t="s">
        <v>34</v>
      </c>
      <c r="M612" s="8">
        <v>95700</v>
      </c>
      <c r="N612" s="11"/>
      <c r="O612" s="3" t="s">
        <v>784</v>
      </c>
      <c r="P612" s="3" t="s">
        <v>4738</v>
      </c>
    </row>
    <row r="613" spans="1:16" x14ac:dyDescent="0.3">
      <c r="A613" s="3" t="s">
        <v>103</v>
      </c>
      <c r="B613" s="3" t="s">
        <v>103</v>
      </c>
      <c r="C613" s="3" t="s">
        <v>4739</v>
      </c>
      <c r="D613" s="3" t="s">
        <v>53</v>
      </c>
      <c r="E613" s="3"/>
      <c r="F613" s="3" t="b">
        <v>0</v>
      </c>
      <c r="G613" s="3" t="s">
        <v>64</v>
      </c>
      <c r="H613" s="6">
        <v>44936.875104166669</v>
      </c>
      <c r="I613" s="3" t="b">
        <v>0</v>
      </c>
      <c r="J613" s="3" t="b">
        <v>0</v>
      </c>
      <c r="K613" s="3" t="s">
        <v>33</v>
      </c>
      <c r="L613" s="3" t="s">
        <v>48</v>
      </c>
      <c r="M613" s="8"/>
      <c r="N613" s="11">
        <v>35.345001220703118</v>
      </c>
      <c r="O613" s="3" t="s">
        <v>114</v>
      </c>
      <c r="P613" s="3" t="s">
        <v>4255</v>
      </c>
    </row>
    <row r="614" spans="1:16" x14ac:dyDescent="0.3">
      <c r="A614" s="3" t="s">
        <v>103</v>
      </c>
      <c r="B614" s="3" t="s">
        <v>4743</v>
      </c>
      <c r="C614" s="3" t="s">
        <v>447</v>
      </c>
      <c r="D614" s="3" t="s">
        <v>940</v>
      </c>
      <c r="E614" s="3" t="s">
        <v>31</v>
      </c>
      <c r="F614" s="3" t="b">
        <v>0</v>
      </c>
      <c r="G614" s="3" t="s">
        <v>32</v>
      </c>
      <c r="H614" s="6">
        <v>44939.793749999997</v>
      </c>
      <c r="I614" s="3" t="b">
        <v>1</v>
      </c>
      <c r="J614" s="3" t="b">
        <v>0</v>
      </c>
      <c r="K614" s="3" t="s">
        <v>33</v>
      </c>
      <c r="L614" s="3" t="s">
        <v>34</v>
      </c>
      <c r="M614" s="8">
        <v>138516</v>
      </c>
      <c r="N614" s="11"/>
      <c r="O614" s="3" t="s">
        <v>238</v>
      </c>
      <c r="P614" s="3" t="s">
        <v>4744</v>
      </c>
    </row>
    <row r="615" spans="1:16" x14ac:dyDescent="0.3">
      <c r="A615" s="3" t="s">
        <v>103</v>
      </c>
      <c r="B615" s="3" t="s">
        <v>4763</v>
      </c>
      <c r="C615" s="3" t="s">
        <v>1151</v>
      </c>
      <c r="D615" s="3" t="s">
        <v>53</v>
      </c>
      <c r="E615" s="3" t="s">
        <v>1861</v>
      </c>
      <c r="F615" s="3" t="b">
        <v>0</v>
      </c>
      <c r="G615" s="3" t="s">
        <v>32</v>
      </c>
      <c r="H615" s="6">
        <v>44952.334641203714</v>
      </c>
      <c r="I615" s="3" t="b">
        <v>0</v>
      </c>
      <c r="J615" s="3" t="b">
        <v>0</v>
      </c>
      <c r="K615" s="3" t="s">
        <v>33</v>
      </c>
      <c r="L615" s="3" t="s">
        <v>48</v>
      </c>
      <c r="M615" s="8"/>
      <c r="N615" s="11">
        <v>22.5</v>
      </c>
      <c r="O615" s="3" t="s">
        <v>4764</v>
      </c>
      <c r="P615" s="3" t="s">
        <v>958</v>
      </c>
    </row>
    <row r="616" spans="1:16" x14ac:dyDescent="0.3">
      <c r="A616" s="3" t="s">
        <v>103</v>
      </c>
      <c r="B616" s="3" t="s">
        <v>4768</v>
      </c>
      <c r="C616" s="3" t="s">
        <v>4769</v>
      </c>
      <c r="D616" s="3" t="s">
        <v>76</v>
      </c>
      <c r="E616" s="3" t="s">
        <v>31</v>
      </c>
      <c r="F616" s="3" t="b">
        <v>0</v>
      </c>
      <c r="G616" s="3" t="s">
        <v>64</v>
      </c>
      <c r="H616" s="6">
        <v>44944.750115740739</v>
      </c>
      <c r="I616" s="3" t="b">
        <v>0</v>
      </c>
      <c r="J616" s="3" t="b">
        <v>0</v>
      </c>
      <c r="K616" s="3" t="s">
        <v>33</v>
      </c>
      <c r="L616" s="3" t="s">
        <v>34</v>
      </c>
      <c r="M616" s="8">
        <v>109159</v>
      </c>
      <c r="N616" s="11"/>
      <c r="O616" s="3" t="s">
        <v>4770</v>
      </c>
      <c r="P616" s="3" t="s">
        <v>4336</v>
      </c>
    </row>
    <row r="617" spans="1:16" x14ac:dyDescent="0.3">
      <c r="A617" s="3" t="s">
        <v>103</v>
      </c>
      <c r="B617" s="3" t="s">
        <v>1190</v>
      </c>
      <c r="C617" s="3" t="s">
        <v>2948</v>
      </c>
      <c r="D617" s="3" t="s">
        <v>30</v>
      </c>
      <c r="E617" s="3" t="s">
        <v>31</v>
      </c>
      <c r="F617" s="3" t="b">
        <v>0</v>
      </c>
      <c r="G617" s="3" t="s">
        <v>84</v>
      </c>
      <c r="H617" s="6">
        <v>44946.638715277782</v>
      </c>
      <c r="I617" s="3" t="b">
        <v>0</v>
      </c>
      <c r="J617" s="3" t="b">
        <v>0</v>
      </c>
      <c r="K617" s="3" t="s">
        <v>33</v>
      </c>
      <c r="L617" s="3" t="s">
        <v>34</v>
      </c>
      <c r="M617" s="8">
        <v>107500</v>
      </c>
      <c r="N617" s="11"/>
      <c r="O617" s="3" t="s">
        <v>4771</v>
      </c>
      <c r="P617" s="3" t="s">
        <v>4772</v>
      </c>
    </row>
    <row r="618" spans="1:16" x14ac:dyDescent="0.3">
      <c r="A618" s="3" t="s">
        <v>103</v>
      </c>
      <c r="B618" s="3" t="s">
        <v>1089</v>
      </c>
      <c r="C618" s="3" t="s">
        <v>75</v>
      </c>
      <c r="D618" s="3" t="s">
        <v>30</v>
      </c>
      <c r="E618" s="3" t="s">
        <v>31</v>
      </c>
      <c r="F618" s="3" t="b">
        <v>0</v>
      </c>
      <c r="G618" s="3" t="s">
        <v>84</v>
      </c>
      <c r="H618" s="6">
        <v>44937.918854166674</v>
      </c>
      <c r="I618" s="3" t="b">
        <v>0</v>
      </c>
      <c r="J618" s="3" t="b">
        <v>0</v>
      </c>
      <c r="K618" s="3" t="s">
        <v>33</v>
      </c>
      <c r="L618" s="3" t="s">
        <v>34</v>
      </c>
      <c r="M618" s="8">
        <v>95000</v>
      </c>
      <c r="N618" s="11"/>
      <c r="O618" s="3" t="s">
        <v>1090</v>
      </c>
      <c r="P618" s="3" t="s">
        <v>38</v>
      </c>
    </row>
    <row r="619" spans="1:16" x14ac:dyDescent="0.3">
      <c r="A619" s="3" t="s">
        <v>103</v>
      </c>
      <c r="B619" s="3" t="s">
        <v>4776</v>
      </c>
      <c r="C619" s="3" t="s">
        <v>4777</v>
      </c>
      <c r="D619" s="3" t="s">
        <v>30</v>
      </c>
      <c r="E619" s="3" t="s">
        <v>31</v>
      </c>
      <c r="F619" s="3" t="b">
        <v>0</v>
      </c>
      <c r="G619" s="3" t="s">
        <v>64</v>
      </c>
      <c r="H619" s="6">
        <v>44935.583483796298</v>
      </c>
      <c r="I619" s="3" t="b">
        <v>0</v>
      </c>
      <c r="J619" s="3" t="b">
        <v>0</v>
      </c>
      <c r="K619" s="3" t="s">
        <v>33</v>
      </c>
      <c r="L619" s="3" t="s">
        <v>34</v>
      </c>
      <c r="M619" s="8">
        <v>111500</v>
      </c>
      <c r="N619" s="11"/>
      <c r="O619" s="3" t="s">
        <v>4778</v>
      </c>
      <c r="P619" s="3" t="s">
        <v>4779</v>
      </c>
    </row>
    <row r="620" spans="1:16" x14ac:dyDescent="0.3">
      <c r="A620" s="3" t="s">
        <v>103</v>
      </c>
      <c r="B620" s="3" t="s">
        <v>4780</v>
      </c>
      <c r="C620" s="3" t="s">
        <v>417</v>
      </c>
      <c r="D620" s="3" t="s">
        <v>76</v>
      </c>
      <c r="E620" s="3" t="s">
        <v>31</v>
      </c>
      <c r="F620" s="3" t="b">
        <v>0</v>
      </c>
      <c r="G620" s="3" t="s">
        <v>58</v>
      </c>
      <c r="H620" s="6">
        <v>44929.770474537043</v>
      </c>
      <c r="I620" s="3" t="b">
        <v>0</v>
      </c>
      <c r="J620" s="3" t="b">
        <v>0</v>
      </c>
      <c r="K620" s="3" t="s">
        <v>33</v>
      </c>
      <c r="L620" s="3" t="s">
        <v>48</v>
      </c>
      <c r="M620" s="8"/>
      <c r="N620" s="11">
        <v>47.5</v>
      </c>
      <c r="O620" s="3" t="s">
        <v>4781</v>
      </c>
      <c r="P620" s="3" t="s">
        <v>282</v>
      </c>
    </row>
    <row r="621" spans="1:16" x14ac:dyDescent="0.3">
      <c r="A621" s="3" t="s">
        <v>103</v>
      </c>
      <c r="B621" s="3" t="s">
        <v>4792</v>
      </c>
      <c r="C621" s="3" t="s">
        <v>75</v>
      </c>
      <c r="D621" s="3" t="s">
        <v>2465</v>
      </c>
      <c r="E621" s="3" t="s">
        <v>31</v>
      </c>
      <c r="F621" s="3" t="b">
        <v>0</v>
      </c>
      <c r="G621" s="3" t="s">
        <v>84</v>
      </c>
      <c r="H621" s="6">
        <v>44929.97934027778</v>
      </c>
      <c r="I621" s="3" t="b">
        <v>0</v>
      </c>
      <c r="J621" s="3" t="b">
        <v>0</v>
      </c>
      <c r="K621" s="3" t="s">
        <v>33</v>
      </c>
      <c r="L621" s="3" t="s">
        <v>48</v>
      </c>
      <c r="M621" s="8"/>
      <c r="N621" s="11">
        <v>24</v>
      </c>
      <c r="O621" s="3" t="s">
        <v>4793</v>
      </c>
      <c r="P621" s="3" t="s">
        <v>4794</v>
      </c>
    </row>
    <row r="622" spans="1:16" x14ac:dyDescent="0.3">
      <c r="A622" s="3" t="s">
        <v>103</v>
      </c>
      <c r="B622" s="3" t="s">
        <v>4505</v>
      </c>
      <c r="C622" s="3" t="s">
        <v>4796</v>
      </c>
      <c r="D622" s="3" t="s">
        <v>76</v>
      </c>
      <c r="E622" s="3" t="s">
        <v>31</v>
      </c>
      <c r="F622" s="3" t="b">
        <v>0</v>
      </c>
      <c r="G622" s="3" t="s">
        <v>32</v>
      </c>
      <c r="H622" s="6">
        <v>44934.916932870372</v>
      </c>
      <c r="I622" s="3" t="b">
        <v>1</v>
      </c>
      <c r="J622" s="3" t="b">
        <v>1</v>
      </c>
      <c r="K622" s="3" t="s">
        <v>33</v>
      </c>
      <c r="L622" s="3" t="s">
        <v>34</v>
      </c>
      <c r="M622" s="8">
        <v>50000</v>
      </c>
      <c r="N622" s="11"/>
      <c r="O622" s="3" t="s">
        <v>4797</v>
      </c>
      <c r="P622" s="3" t="s">
        <v>4798</v>
      </c>
    </row>
    <row r="623" spans="1:16" x14ac:dyDescent="0.3">
      <c r="A623" s="3" t="s">
        <v>103</v>
      </c>
      <c r="B623" s="3" t="s">
        <v>4799</v>
      </c>
      <c r="C623" s="3" t="s">
        <v>1908</v>
      </c>
      <c r="D623" s="3" t="s">
        <v>1909</v>
      </c>
      <c r="E623" s="3" t="s">
        <v>31</v>
      </c>
      <c r="F623" s="3" t="b">
        <v>0</v>
      </c>
      <c r="G623" s="3" t="s">
        <v>32</v>
      </c>
      <c r="H623" s="6">
        <v>44930.019953703697</v>
      </c>
      <c r="I623" s="3" t="b">
        <v>1</v>
      </c>
      <c r="J623" s="3" t="b">
        <v>0</v>
      </c>
      <c r="K623" s="3" t="s">
        <v>33</v>
      </c>
      <c r="L623" s="3" t="s">
        <v>48</v>
      </c>
      <c r="M623" s="8"/>
      <c r="N623" s="11">
        <v>24</v>
      </c>
      <c r="O623" s="3" t="s">
        <v>657</v>
      </c>
      <c r="P623" s="3"/>
    </row>
    <row r="624" spans="1:16" x14ac:dyDescent="0.3">
      <c r="A624" s="3" t="s">
        <v>103</v>
      </c>
      <c r="B624" s="3" t="s">
        <v>4800</v>
      </c>
      <c r="C624" s="3" t="s">
        <v>75</v>
      </c>
      <c r="D624" s="3" t="s">
        <v>76</v>
      </c>
      <c r="E624" s="3" t="s">
        <v>31</v>
      </c>
      <c r="F624" s="3" t="b">
        <v>0</v>
      </c>
      <c r="G624" s="3" t="s">
        <v>84</v>
      </c>
      <c r="H624" s="6">
        <v>44938.626539351862</v>
      </c>
      <c r="I624" s="3" t="b">
        <v>0</v>
      </c>
      <c r="J624" s="3" t="b">
        <v>0</v>
      </c>
      <c r="K624" s="3" t="s">
        <v>33</v>
      </c>
      <c r="L624" s="3" t="s">
        <v>48</v>
      </c>
      <c r="M624" s="8"/>
      <c r="N624" s="11">
        <v>22.5</v>
      </c>
      <c r="O624" s="3" t="s">
        <v>4801</v>
      </c>
      <c r="P624" s="3" t="s">
        <v>4802</v>
      </c>
    </row>
    <row r="625" spans="1:16" x14ac:dyDescent="0.3">
      <c r="A625" s="3" t="s">
        <v>103</v>
      </c>
      <c r="B625" s="3" t="s">
        <v>4803</v>
      </c>
      <c r="C625" s="3" t="s">
        <v>4804</v>
      </c>
      <c r="D625" s="3" t="s">
        <v>76</v>
      </c>
      <c r="E625" s="3" t="s">
        <v>31</v>
      </c>
      <c r="F625" s="3" t="b">
        <v>0</v>
      </c>
      <c r="G625" s="3" t="s">
        <v>64</v>
      </c>
      <c r="H625" s="6">
        <v>44938.749965277777</v>
      </c>
      <c r="I625" s="3" t="b">
        <v>1</v>
      </c>
      <c r="J625" s="3" t="b">
        <v>1</v>
      </c>
      <c r="K625" s="3" t="s">
        <v>33</v>
      </c>
      <c r="L625" s="3" t="s">
        <v>34</v>
      </c>
      <c r="M625" s="8">
        <v>54000</v>
      </c>
      <c r="N625" s="11"/>
      <c r="O625" s="3" t="s">
        <v>4805</v>
      </c>
      <c r="P625" s="3" t="s">
        <v>405</v>
      </c>
    </row>
    <row r="626" spans="1:16" x14ac:dyDescent="0.3">
      <c r="A626" s="3" t="s">
        <v>103</v>
      </c>
      <c r="B626" s="3" t="s">
        <v>103</v>
      </c>
      <c r="C626" s="3" t="s">
        <v>565</v>
      </c>
      <c r="D626" s="3" t="s">
        <v>76</v>
      </c>
      <c r="E626" s="3" t="s">
        <v>31</v>
      </c>
      <c r="F626" s="3" t="b">
        <v>0</v>
      </c>
      <c r="G626" s="3" t="s">
        <v>140</v>
      </c>
      <c r="H626" s="6">
        <v>44927.386840277781</v>
      </c>
      <c r="I626" s="3" t="b">
        <v>1</v>
      </c>
      <c r="J626" s="3" t="b">
        <v>0</v>
      </c>
      <c r="K626" s="3" t="s">
        <v>33</v>
      </c>
      <c r="L626" s="3" t="s">
        <v>48</v>
      </c>
      <c r="M626" s="8"/>
      <c r="N626" s="11">
        <v>15</v>
      </c>
      <c r="O626" s="3" t="s">
        <v>4806</v>
      </c>
      <c r="P626" s="3"/>
    </row>
    <row r="627" spans="1:16" x14ac:dyDescent="0.3">
      <c r="A627" s="3" t="s">
        <v>103</v>
      </c>
      <c r="B627" s="3" t="s">
        <v>4807</v>
      </c>
      <c r="C627" s="3" t="s">
        <v>417</v>
      </c>
      <c r="D627" s="3" t="s">
        <v>188</v>
      </c>
      <c r="E627" s="3" t="s">
        <v>133</v>
      </c>
      <c r="F627" s="3" t="b">
        <v>0</v>
      </c>
      <c r="G627" s="3" t="s">
        <v>58</v>
      </c>
      <c r="H627" s="6">
        <v>44957.62572916667</v>
      </c>
      <c r="I627" s="3" t="b">
        <v>1</v>
      </c>
      <c r="J627" s="3" t="b">
        <v>0</v>
      </c>
      <c r="K627" s="3" t="s">
        <v>33</v>
      </c>
      <c r="L627" s="3" t="s">
        <v>48</v>
      </c>
      <c r="M627" s="8"/>
      <c r="N627" s="11">
        <v>52.5</v>
      </c>
      <c r="O627" s="3" t="s">
        <v>4808</v>
      </c>
      <c r="P627" s="3" t="s">
        <v>3987</v>
      </c>
    </row>
    <row r="628" spans="1:16" x14ac:dyDescent="0.3">
      <c r="A628" s="3" t="s">
        <v>103</v>
      </c>
      <c r="B628" s="3" t="s">
        <v>2650</v>
      </c>
      <c r="C628" s="3" t="s">
        <v>4809</v>
      </c>
      <c r="D628" s="3" t="s">
        <v>76</v>
      </c>
      <c r="E628" s="3" t="s">
        <v>31</v>
      </c>
      <c r="F628" s="3" t="b">
        <v>0</v>
      </c>
      <c r="G628" s="3" t="s">
        <v>58</v>
      </c>
      <c r="H628" s="6">
        <v>44937.918564814812</v>
      </c>
      <c r="I628" s="3" t="b">
        <v>1</v>
      </c>
      <c r="J628" s="3" t="b">
        <v>0</v>
      </c>
      <c r="K628" s="3" t="s">
        <v>33</v>
      </c>
      <c r="L628" s="3" t="s">
        <v>48</v>
      </c>
      <c r="M628" s="8"/>
      <c r="N628" s="11">
        <v>18</v>
      </c>
      <c r="O628" s="3" t="s">
        <v>4810</v>
      </c>
      <c r="P628" s="3" t="s">
        <v>4811</v>
      </c>
    </row>
    <row r="629" spans="1:16" x14ac:dyDescent="0.3">
      <c r="A629" s="3" t="s">
        <v>103</v>
      </c>
      <c r="B629" s="3" t="s">
        <v>2191</v>
      </c>
      <c r="C629" s="3" t="s">
        <v>87</v>
      </c>
      <c r="D629" s="3" t="s">
        <v>76</v>
      </c>
      <c r="E629" s="3" t="s">
        <v>31</v>
      </c>
      <c r="F629" s="3" t="b">
        <v>1</v>
      </c>
      <c r="G629" s="3" t="s">
        <v>84</v>
      </c>
      <c r="H629" s="6">
        <v>44932.876805555563</v>
      </c>
      <c r="I629" s="3" t="b">
        <v>0</v>
      </c>
      <c r="J629" s="3" t="b">
        <v>0</v>
      </c>
      <c r="K629" s="3" t="s">
        <v>33</v>
      </c>
      <c r="L629" s="3" t="s">
        <v>34</v>
      </c>
      <c r="M629" s="8">
        <v>62500</v>
      </c>
      <c r="N629" s="11"/>
      <c r="O629" s="3" t="s">
        <v>4817</v>
      </c>
      <c r="P629" s="3" t="s">
        <v>4818</v>
      </c>
    </row>
    <row r="630" spans="1:16" x14ac:dyDescent="0.3">
      <c r="A630" s="3" t="s">
        <v>103</v>
      </c>
      <c r="B630" s="3" t="s">
        <v>4819</v>
      </c>
      <c r="C630" s="3" t="s">
        <v>87</v>
      </c>
      <c r="D630" s="3" t="s">
        <v>30</v>
      </c>
      <c r="E630" s="3" t="s">
        <v>31</v>
      </c>
      <c r="F630" s="3" t="b">
        <v>1</v>
      </c>
      <c r="G630" s="3" t="s">
        <v>58</v>
      </c>
      <c r="H630" s="6">
        <v>44946.807488425933</v>
      </c>
      <c r="I630" s="3" t="b">
        <v>0</v>
      </c>
      <c r="J630" s="3" t="b">
        <v>0</v>
      </c>
      <c r="K630" s="3" t="s">
        <v>33</v>
      </c>
      <c r="L630" s="3" t="s">
        <v>34</v>
      </c>
      <c r="M630" s="8">
        <v>122500</v>
      </c>
      <c r="N630" s="11"/>
      <c r="O630" s="3" t="s">
        <v>4189</v>
      </c>
      <c r="P630" s="3" t="s">
        <v>4820</v>
      </c>
    </row>
    <row r="631" spans="1:16" x14ac:dyDescent="0.3">
      <c r="A631" s="3" t="s">
        <v>103</v>
      </c>
      <c r="B631" s="3" t="s">
        <v>388</v>
      </c>
      <c r="C631" s="3" t="s">
        <v>447</v>
      </c>
      <c r="D631" s="3" t="s">
        <v>76</v>
      </c>
      <c r="E631" s="3" t="s">
        <v>31</v>
      </c>
      <c r="F631" s="3" t="b">
        <v>0</v>
      </c>
      <c r="G631" s="3" t="s">
        <v>32</v>
      </c>
      <c r="H631" s="6">
        <v>44931.917337962957</v>
      </c>
      <c r="I631" s="3" t="b">
        <v>0</v>
      </c>
      <c r="J631" s="3" t="b">
        <v>0</v>
      </c>
      <c r="K631" s="3" t="s">
        <v>33</v>
      </c>
      <c r="L631" s="3" t="s">
        <v>48</v>
      </c>
      <c r="M631" s="8"/>
      <c r="N631" s="11">
        <v>35.5</v>
      </c>
      <c r="O631" s="3" t="s">
        <v>4824</v>
      </c>
      <c r="P631" s="3" t="s">
        <v>1545</v>
      </c>
    </row>
    <row r="632" spans="1:16" x14ac:dyDescent="0.3">
      <c r="A632" s="3" t="s">
        <v>103</v>
      </c>
      <c r="B632" s="3" t="s">
        <v>116</v>
      </c>
      <c r="C632" s="3" t="s">
        <v>4825</v>
      </c>
      <c r="D632" s="3" t="s">
        <v>4826</v>
      </c>
      <c r="E632" s="3" t="s">
        <v>31</v>
      </c>
      <c r="F632" s="3" t="b">
        <v>0</v>
      </c>
      <c r="G632" s="3" t="s">
        <v>88</v>
      </c>
      <c r="H632" s="6">
        <v>44954.00267361111</v>
      </c>
      <c r="I632" s="3" t="b">
        <v>0</v>
      </c>
      <c r="J632" s="3" t="b">
        <v>0</v>
      </c>
      <c r="K632" s="3" t="s">
        <v>33</v>
      </c>
      <c r="L632" s="3" t="s">
        <v>48</v>
      </c>
      <c r="M632" s="8"/>
      <c r="N632" s="11">
        <v>24</v>
      </c>
      <c r="O632" s="3" t="s">
        <v>1445</v>
      </c>
      <c r="P632" s="3" t="s">
        <v>120</v>
      </c>
    </row>
    <row r="633" spans="1:16" x14ac:dyDescent="0.3">
      <c r="A633" s="3" t="s">
        <v>103</v>
      </c>
      <c r="B633" s="3" t="s">
        <v>4827</v>
      </c>
      <c r="C633" s="3" t="s">
        <v>2831</v>
      </c>
      <c r="D633" s="3" t="s">
        <v>41</v>
      </c>
      <c r="E633" s="3" t="s">
        <v>31</v>
      </c>
      <c r="F633" s="3" t="b">
        <v>0</v>
      </c>
      <c r="G633" s="3" t="s">
        <v>2831</v>
      </c>
      <c r="H633" s="6">
        <v>44935.812685185178</v>
      </c>
      <c r="I633" s="3" t="b">
        <v>1</v>
      </c>
      <c r="J633" s="3" t="b">
        <v>0</v>
      </c>
      <c r="K633" s="3" t="s">
        <v>2831</v>
      </c>
      <c r="L633" s="3" t="s">
        <v>34</v>
      </c>
      <c r="M633" s="8">
        <v>109500</v>
      </c>
      <c r="N633" s="11"/>
      <c r="O633" s="3" t="s">
        <v>4828</v>
      </c>
      <c r="P633" s="3"/>
    </row>
    <row r="634" spans="1:16" x14ac:dyDescent="0.3">
      <c r="A634" s="3" t="s">
        <v>103</v>
      </c>
      <c r="B634" s="3" t="s">
        <v>4829</v>
      </c>
      <c r="C634" s="3" t="s">
        <v>87</v>
      </c>
      <c r="D634" s="3" t="s">
        <v>76</v>
      </c>
      <c r="E634" s="3" t="s">
        <v>31</v>
      </c>
      <c r="F634" s="3" t="b">
        <v>1</v>
      </c>
      <c r="G634" s="3" t="s">
        <v>84</v>
      </c>
      <c r="H634" s="6">
        <v>44929.979189814818</v>
      </c>
      <c r="I634" s="3" t="b">
        <v>0</v>
      </c>
      <c r="J634" s="3" t="b">
        <v>1</v>
      </c>
      <c r="K634" s="3" t="s">
        <v>33</v>
      </c>
      <c r="L634" s="3" t="s">
        <v>48</v>
      </c>
      <c r="M634" s="8"/>
      <c r="N634" s="11">
        <v>33.5</v>
      </c>
      <c r="O634" s="3" t="s">
        <v>1865</v>
      </c>
      <c r="P634" s="3" t="s">
        <v>374</v>
      </c>
    </row>
    <row r="635" spans="1:16" x14ac:dyDescent="0.3">
      <c r="A635" s="3" t="s">
        <v>103</v>
      </c>
      <c r="B635" s="3" t="s">
        <v>103</v>
      </c>
      <c r="C635" s="3" t="s">
        <v>87</v>
      </c>
      <c r="D635" s="3" t="s">
        <v>53</v>
      </c>
      <c r="E635" s="3" t="s">
        <v>31</v>
      </c>
      <c r="F635" s="3" t="b">
        <v>1</v>
      </c>
      <c r="G635" s="3" t="s">
        <v>140</v>
      </c>
      <c r="H635" s="6">
        <v>44930.712060185193</v>
      </c>
      <c r="I635" s="3" t="b">
        <v>0</v>
      </c>
      <c r="J635" s="3" t="b">
        <v>1</v>
      </c>
      <c r="K635" s="3" t="s">
        <v>33</v>
      </c>
      <c r="L635" s="3" t="s">
        <v>34</v>
      </c>
      <c r="M635" s="8">
        <v>95000</v>
      </c>
      <c r="N635" s="11"/>
      <c r="O635" s="3" t="s">
        <v>255</v>
      </c>
      <c r="P635" s="3" t="s">
        <v>4839</v>
      </c>
    </row>
    <row r="636" spans="1:16" x14ac:dyDescent="0.3">
      <c r="A636" s="3" t="s">
        <v>103</v>
      </c>
      <c r="B636" s="3" t="s">
        <v>4846</v>
      </c>
      <c r="C636" s="3" t="s">
        <v>945</v>
      </c>
      <c r="D636" s="3" t="s">
        <v>106</v>
      </c>
      <c r="E636" s="3" t="s">
        <v>31</v>
      </c>
      <c r="F636" s="3" t="b">
        <v>0</v>
      </c>
      <c r="G636" s="3" t="s">
        <v>32</v>
      </c>
      <c r="H636" s="6">
        <v>44937.668229166673</v>
      </c>
      <c r="I636" s="3" t="b">
        <v>0</v>
      </c>
      <c r="J636" s="3" t="b">
        <v>0</v>
      </c>
      <c r="K636" s="3" t="s">
        <v>33</v>
      </c>
      <c r="L636" s="3" t="s">
        <v>34</v>
      </c>
      <c r="M636" s="8">
        <v>90000</v>
      </c>
      <c r="N636" s="11"/>
      <c r="O636" s="3" t="s">
        <v>4847</v>
      </c>
      <c r="P636" s="3" t="s">
        <v>4848</v>
      </c>
    </row>
    <row r="637" spans="1:16" x14ac:dyDescent="0.3">
      <c r="A637" s="3" t="s">
        <v>103</v>
      </c>
      <c r="B637" s="3" t="s">
        <v>4850</v>
      </c>
      <c r="C637" s="3" t="s">
        <v>800</v>
      </c>
      <c r="D637" s="3" t="s">
        <v>237</v>
      </c>
      <c r="E637" s="3" t="s">
        <v>31</v>
      </c>
      <c r="F637" s="3" t="b">
        <v>0</v>
      </c>
      <c r="G637" s="3" t="s">
        <v>110</v>
      </c>
      <c r="H637" s="6">
        <v>44957.815520833326</v>
      </c>
      <c r="I637" s="3" t="b">
        <v>1</v>
      </c>
      <c r="J637" s="3" t="b">
        <v>0</v>
      </c>
      <c r="K637" s="3" t="s">
        <v>110</v>
      </c>
      <c r="L637" s="3" t="s">
        <v>34</v>
      </c>
      <c r="M637" s="8">
        <v>82430</v>
      </c>
      <c r="N637" s="11"/>
      <c r="O637" s="3" t="s">
        <v>119</v>
      </c>
      <c r="P637" s="3" t="s">
        <v>4851</v>
      </c>
    </row>
    <row r="638" spans="1:16" x14ac:dyDescent="0.3">
      <c r="A638" s="3" t="s">
        <v>103</v>
      </c>
      <c r="B638" s="3" t="s">
        <v>4852</v>
      </c>
      <c r="C638" s="3" t="s">
        <v>641</v>
      </c>
      <c r="D638" s="3" t="s">
        <v>188</v>
      </c>
      <c r="E638" s="3" t="s">
        <v>133</v>
      </c>
      <c r="F638" s="3" t="b">
        <v>0</v>
      </c>
      <c r="G638" s="3" t="s">
        <v>88</v>
      </c>
      <c r="H638" s="6">
        <v>44936.471539351849</v>
      </c>
      <c r="I638" s="3" t="b">
        <v>0</v>
      </c>
      <c r="J638" s="3" t="b">
        <v>1</v>
      </c>
      <c r="K638" s="3" t="s">
        <v>33</v>
      </c>
      <c r="L638" s="3" t="s">
        <v>48</v>
      </c>
      <c r="M638" s="8"/>
      <c r="N638" s="11">
        <v>75.5</v>
      </c>
      <c r="O638" s="3" t="s">
        <v>1677</v>
      </c>
      <c r="P638" s="3" t="s">
        <v>374</v>
      </c>
    </row>
    <row r="639" spans="1:16" x14ac:dyDescent="0.3">
      <c r="A639" s="3" t="s">
        <v>103</v>
      </c>
      <c r="B639" s="3" t="s">
        <v>4853</v>
      </c>
      <c r="C639" s="3" t="s">
        <v>945</v>
      </c>
      <c r="D639" s="3" t="s">
        <v>53</v>
      </c>
      <c r="E639" s="3" t="s">
        <v>31</v>
      </c>
      <c r="F639" s="3" t="b">
        <v>0</v>
      </c>
      <c r="G639" s="3" t="s">
        <v>32</v>
      </c>
      <c r="H639" s="6">
        <v>44931.792337962957</v>
      </c>
      <c r="I639" s="3" t="b">
        <v>1</v>
      </c>
      <c r="J639" s="3" t="b">
        <v>1</v>
      </c>
      <c r="K639" s="3" t="s">
        <v>33</v>
      </c>
      <c r="L639" s="3" t="s">
        <v>34</v>
      </c>
      <c r="M639" s="8">
        <v>82500</v>
      </c>
      <c r="N639" s="11"/>
      <c r="O639" s="3" t="s">
        <v>4854</v>
      </c>
      <c r="P639" s="3"/>
    </row>
    <row r="640" spans="1:16" x14ac:dyDescent="0.3">
      <c r="A640" s="3" t="s">
        <v>103</v>
      </c>
      <c r="B640" s="3" t="s">
        <v>4858</v>
      </c>
      <c r="C640" s="3" t="s">
        <v>4104</v>
      </c>
      <c r="D640" s="3" t="s">
        <v>41</v>
      </c>
      <c r="E640" s="3" t="s">
        <v>31</v>
      </c>
      <c r="F640" s="3" t="b">
        <v>0</v>
      </c>
      <c r="G640" s="3" t="s">
        <v>42</v>
      </c>
      <c r="H640" s="6">
        <v>44952.719155092593</v>
      </c>
      <c r="I640" s="3" t="b">
        <v>0</v>
      </c>
      <c r="J640" s="3" t="b">
        <v>0</v>
      </c>
      <c r="K640" s="3" t="s">
        <v>42</v>
      </c>
      <c r="L640" s="3" t="s">
        <v>34</v>
      </c>
      <c r="M640" s="8">
        <v>51014</v>
      </c>
      <c r="N640" s="11"/>
      <c r="O640" s="3" t="s">
        <v>4105</v>
      </c>
      <c r="P640" s="3"/>
    </row>
    <row r="641" spans="1:16" x14ac:dyDescent="0.3">
      <c r="A641" s="3" t="s">
        <v>103</v>
      </c>
      <c r="B641" s="3" t="s">
        <v>103</v>
      </c>
      <c r="C641" s="3" t="s">
        <v>270</v>
      </c>
      <c r="D641" s="3" t="s">
        <v>53</v>
      </c>
      <c r="E641" s="3" t="s">
        <v>31</v>
      </c>
      <c r="F641" s="3" t="b">
        <v>0</v>
      </c>
      <c r="G641" s="3" t="s">
        <v>32</v>
      </c>
      <c r="H641" s="6">
        <v>44931.001018518517</v>
      </c>
      <c r="I641" s="3" t="b">
        <v>1</v>
      </c>
      <c r="J641" s="3" t="b">
        <v>1</v>
      </c>
      <c r="K641" s="3" t="s">
        <v>33</v>
      </c>
      <c r="L641" s="3" t="s">
        <v>48</v>
      </c>
      <c r="M641" s="8"/>
      <c r="N641" s="11">
        <v>23.5</v>
      </c>
      <c r="O641" s="3" t="s">
        <v>4879</v>
      </c>
      <c r="P641" s="3" t="s">
        <v>405</v>
      </c>
    </row>
    <row r="642" spans="1:16" x14ac:dyDescent="0.3">
      <c r="A642" s="3" t="s">
        <v>103</v>
      </c>
      <c r="B642" s="3" t="s">
        <v>4880</v>
      </c>
      <c r="C642" s="3" t="s">
        <v>1330</v>
      </c>
      <c r="D642" s="3" t="s">
        <v>3598</v>
      </c>
      <c r="E642" s="3" t="s">
        <v>31</v>
      </c>
      <c r="F642" s="3" t="b">
        <v>0</v>
      </c>
      <c r="G642" s="3" t="s">
        <v>32</v>
      </c>
      <c r="H642" s="6">
        <v>44930.019884259258</v>
      </c>
      <c r="I642" s="3" t="b">
        <v>0</v>
      </c>
      <c r="J642" s="3" t="b">
        <v>0</v>
      </c>
      <c r="K642" s="3" t="s">
        <v>33</v>
      </c>
      <c r="L642" s="3" t="s">
        <v>48</v>
      </c>
      <c r="M642" s="8"/>
      <c r="N642" s="11">
        <v>24</v>
      </c>
      <c r="O642" s="3" t="s">
        <v>4881</v>
      </c>
      <c r="P642" s="3" t="s">
        <v>846</v>
      </c>
    </row>
    <row r="643" spans="1:16" x14ac:dyDescent="0.3">
      <c r="A643" s="3" t="s">
        <v>103</v>
      </c>
      <c r="B643" s="3" t="s">
        <v>1903</v>
      </c>
      <c r="C643" s="3" t="s">
        <v>29</v>
      </c>
      <c r="D643" s="3" t="s">
        <v>188</v>
      </c>
      <c r="E643" s="3" t="s">
        <v>133</v>
      </c>
      <c r="F643" s="3" t="b">
        <v>0</v>
      </c>
      <c r="G643" s="3" t="s">
        <v>32</v>
      </c>
      <c r="H643" s="6">
        <v>44931.042557870373</v>
      </c>
      <c r="I643" s="3" t="b">
        <v>1</v>
      </c>
      <c r="J643" s="3" t="b">
        <v>0</v>
      </c>
      <c r="K643" s="3" t="s">
        <v>33</v>
      </c>
      <c r="L643" s="3" t="s">
        <v>48</v>
      </c>
      <c r="M643" s="8"/>
      <c r="N643" s="11">
        <v>27.70999908447266</v>
      </c>
      <c r="O643" s="3" t="s">
        <v>114</v>
      </c>
      <c r="P643" s="3" t="s">
        <v>1904</v>
      </c>
    </row>
    <row r="644" spans="1:16" x14ac:dyDescent="0.3">
      <c r="A644" s="3" t="s">
        <v>103</v>
      </c>
      <c r="B644" s="3" t="s">
        <v>4885</v>
      </c>
      <c r="C644" s="3" t="s">
        <v>2053</v>
      </c>
      <c r="D644" s="3" t="s">
        <v>76</v>
      </c>
      <c r="E644" s="3" t="s">
        <v>133</v>
      </c>
      <c r="F644" s="3" t="b">
        <v>0</v>
      </c>
      <c r="G644" s="3" t="s">
        <v>84</v>
      </c>
      <c r="H644" s="6">
        <v>44930.584965277783</v>
      </c>
      <c r="I644" s="3" t="b">
        <v>0</v>
      </c>
      <c r="J644" s="3" t="b">
        <v>0</v>
      </c>
      <c r="K644" s="3" t="s">
        <v>33</v>
      </c>
      <c r="L644" s="3" t="s">
        <v>48</v>
      </c>
      <c r="M644" s="8"/>
      <c r="N644" s="11">
        <v>37.529998779296882</v>
      </c>
      <c r="O644" s="3" t="s">
        <v>4886</v>
      </c>
      <c r="P644" s="3" t="s">
        <v>4601</v>
      </c>
    </row>
    <row r="645" spans="1:16" x14ac:dyDescent="0.3">
      <c r="A645" s="3" t="s">
        <v>103</v>
      </c>
      <c r="B645" s="3" t="s">
        <v>103</v>
      </c>
      <c r="C645" s="3" t="s">
        <v>565</v>
      </c>
      <c r="D645" s="3" t="s">
        <v>188</v>
      </c>
      <c r="E645" s="3" t="s">
        <v>31</v>
      </c>
      <c r="F645" s="3" t="b">
        <v>0</v>
      </c>
      <c r="G645" s="3" t="s">
        <v>140</v>
      </c>
      <c r="H645" s="6">
        <v>44942.848437499997</v>
      </c>
      <c r="I645" s="3" t="b">
        <v>1</v>
      </c>
      <c r="J645" s="3" t="b">
        <v>0</v>
      </c>
      <c r="K645" s="3" t="s">
        <v>33</v>
      </c>
      <c r="L645" s="3" t="s">
        <v>34</v>
      </c>
      <c r="M645" s="8">
        <v>70000</v>
      </c>
      <c r="N645" s="11"/>
      <c r="O645" s="3" t="s">
        <v>189</v>
      </c>
      <c r="P645" s="3" t="s">
        <v>695</v>
      </c>
    </row>
    <row r="646" spans="1:16" x14ac:dyDescent="0.3">
      <c r="A646" s="3" t="s">
        <v>103</v>
      </c>
      <c r="B646" s="3" t="s">
        <v>103</v>
      </c>
      <c r="C646" s="3" t="s">
        <v>1236</v>
      </c>
      <c r="D646" s="3" t="s">
        <v>188</v>
      </c>
      <c r="E646" s="3" t="s">
        <v>133</v>
      </c>
      <c r="F646" s="3" t="b">
        <v>0</v>
      </c>
      <c r="G646" s="3" t="s">
        <v>140</v>
      </c>
      <c r="H646" s="6">
        <v>44939.84716435185</v>
      </c>
      <c r="I646" s="3" t="b">
        <v>0</v>
      </c>
      <c r="J646" s="3" t="b">
        <v>1</v>
      </c>
      <c r="K646" s="3" t="s">
        <v>33</v>
      </c>
      <c r="L646" s="3" t="s">
        <v>48</v>
      </c>
      <c r="M646" s="8"/>
      <c r="N646" s="11">
        <v>40</v>
      </c>
      <c r="O646" s="3" t="s">
        <v>426</v>
      </c>
      <c r="P646" s="3"/>
    </row>
    <row r="647" spans="1:16" x14ac:dyDescent="0.3">
      <c r="A647" s="3" t="s">
        <v>103</v>
      </c>
      <c r="B647" s="3" t="s">
        <v>4895</v>
      </c>
      <c r="C647" s="3" t="s">
        <v>454</v>
      </c>
      <c r="D647" s="3" t="s">
        <v>41</v>
      </c>
      <c r="E647" s="3" t="s">
        <v>31</v>
      </c>
      <c r="F647" s="3" t="b">
        <v>0</v>
      </c>
      <c r="G647" s="3" t="s">
        <v>455</v>
      </c>
      <c r="H647" s="6">
        <v>44943.164201388892</v>
      </c>
      <c r="I647" s="3" t="b">
        <v>0</v>
      </c>
      <c r="J647" s="3" t="b">
        <v>0</v>
      </c>
      <c r="K647" s="3" t="s">
        <v>455</v>
      </c>
      <c r="L647" s="3" t="s">
        <v>34</v>
      </c>
      <c r="M647" s="8">
        <v>111175</v>
      </c>
      <c r="N647" s="11"/>
      <c r="O647" s="3" t="s">
        <v>2889</v>
      </c>
      <c r="P647" s="3" t="s">
        <v>4896</v>
      </c>
    </row>
    <row r="648" spans="1:16" x14ac:dyDescent="0.3">
      <c r="A648" s="3" t="s">
        <v>103</v>
      </c>
      <c r="B648" s="3" t="s">
        <v>4899</v>
      </c>
      <c r="C648" s="3" t="s">
        <v>79</v>
      </c>
      <c r="D648" s="3" t="s">
        <v>30</v>
      </c>
      <c r="E648" s="3" t="s">
        <v>31</v>
      </c>
      <c r="F648" s="3" t="b">
        <v>0</v>
      </c>
      <c r="G648" s="3" t="s">
        <v>58</v>
      </c>
      <c r="H648" s="6">
        <v>44949.792928240742</v>
      </c>
      <c r="I648" s="3" t="b">
        <v>1</v>
      </c>
      <c r="J648" s="3" t="b">
        <v>1</v>
      </c>
      <c r="K648" s="3" t="s">
        <v>33</v>
      </c>
      <c r="L648" s="3" t="s">
        <v>34</v>
      </c>
      <c r="M648" s="8">
        <v>52500</v>
      </c>
      <c r="N648" s="11"/>
      <c r="O648" s="3" t="s">
        <v>4900</v>
      </c>
      <c r="P648" s="3"/>
    </row>
    <row r="649" spans="1:16" x14ac:dyDescent="0.3">
      <c r="A649" s="3" t="s">
        <v>103</v>
      </c>
      <c r="B649" s="3" t="s">
        <v>4907</v>
      </c>
      <c r="C649" s="3" t="s">
        <v>164</v>
      </c>
      <c r="D649" s="3" t="s">
        <v>76</v>
      </c>
      <c r="E649" s="3" t="s">
        <v>31</v>
      </c>
      <c r="F649" s="3" t="b">
        <v>0</v>
      </c>
      <c r="G649" s="3" t="s">
        <v>64</v>
      </c>
      <c r="H649" s="6">
        <v>44938.874907407408</v>
      </c>
      <c r="I649" s="3" t="b">
        <v>0</v>
      </c>
      <c r="J649" s="3" t="b">
        <v>0</v>
      </c>
      <c r="K649" s="3" t="s">
        <v>33</v>
      </c>
      <c r="L649" s="3" t="s">
        <v>48</v>
      </c>
      <c r="M649" s="8"/>
      <c r="N649" s="11">
        <v>20.39999961853027</v>
      </c>
      <c r="O649" s="3" t="s">
        <v>4908</v>
      </c>
      <c r="P649" s="3" t="s">
        <v>3303</v>
      </c>
    </row>
    <row r="650" spans="1:16" x14ac:dyDescent="0.3">
      <c r="A650" s="3" t="s">
        <v>103</v>
      </c>
      <c r="B650" s="3" t="s">
        <v>4912</v>
      </c>
      <c r="C650" s="3" t="s">
        <v>4913</v>
      </c>
      <c r="D650" s="3" t="s">
        <v>53</v>
      </c>
      <c r="E650" s="3" t="s">
        <v>31</v>
      </c>
      <c r="F650" s="3" t="b">
        <v>0</v>
      </c>
      <c r="G650" s="3" t="s">
        <v>84</v>
      </c>
      <c r="H650" s="6">
        <v>44943.793680555558</v>
      </c>
      <c r="I650" s="3" t="b">
        <v>1</v>
      </c>
      <c r="J650" s="3" t="b">
        <v>0</v>
      </c>
      <c r="K650" s="3" t="s">
        <v>33</v>
      </c>
      <c r="L650" s="3" t="s">
        <v>34</v>
      </c>
      <c r="M650" s="8">
        <v>70000</v>
      </c>
      <c r="N650" s="11"/>
      <c r="O650" s="3" t="s">
        <v>2565</v>
      </c>
      <c r="P650" s="3" t="s">
        <v>374</v>
      </c>
    </row>
    <row r="651" spans="1:16" x14ac:dyDescent="0.3">
      <c r="A651" s="3" t="s">
        <v>103</v>
      </c>
      <c r="B651" s="3" t="s">
        <v>103</v>
      </c>
      <c r="C651" s="3" t="s">
        <v>79</v>
      </c>
      <c r="D651" s="3" t="s">
        <v>188</v>
      </c>
      <c r="E651" s="3" t="s">
        <v>133</v>
      </c>
      <c r="F651" s="3" t="b">
        <v>0</v>
      </c>
      <c r="G651" s="3" t="s">
        <v>58</v>
      </c>
      <c r="H651" s="6">
        <v>44953.96</v>
      </c>
      <c r="I651" s="3" t="b">
        <v>1</v>
      </c>
      <c r="J651" s="3" t="b">
        <v>0</v>
      </c>
      <c r="K651" s="3" t="s">
        <v>33</v>
      </c>
      <c r="L651" s="3" t="s">
        <v>34</v>
      </c>
      <c r="M651" s="8">
        <v>37500</v>
      </c>
      <c r="N651" s="11"/>
      <c r="O651" s="3" t="s">
        <v>833</v>
      </c>
      <c r="P651" s="3" t="s">
        <v>4323</v>
      </c>
    </row>
    <row r="652" spans="1:16" x14ac:dyDescent="0.3">
      <c r="A652" s="3" t="s">
        <v>103</v>
      </c>
      <c r="B652" s="3" t="s">
        <v>4914</v>
      </c>
      <c r="C652" s="3" t="s">
        <v>4915</v>
      </c>
      <c r="D652" s="3" t="s">
        <v>30</v>
      </c>
      <c r="E652" s="3" t="s">
        <v>31</v>
      </c>
      <c r="F652" s="3" t="b">
        <v>0</v>
      </c>
      <c r="G652" s="3" t="s">
        <v>32</v>
      </c>
      <c r="H652" s="6">
        <v>44949.959305555552</v>
      </c>
      <c r="I652" s="3" t="b">
        <v>0</v>
      </c>
      <c r="J652" s="3" t="b">
        <v>0</v>
      </c>
      <c r="K652" s="3" t="s">
        <v>33</v>
      </c>
      <c r="L652" s="3" t="s">
        <v>34</v>
      </c>
      <c r="M652" s="8">
        <v>159133</v>
      </c>
      <c r="N652" s="11"/>
      <c r="O652" s="3" t="s">
        <v>4916</v>
      </c>
      <c r="P652" s="3" t="s">
        <v>405</v>
      </c>
    </row>
    <row r="653" spans="1:16" x14ac:dyDescent="0.3">
      <c r="A653" s="3" t="s">
        <v>103</v>
      </c>
      <c r="B653" s="3" t="s">
        <v>4920</v>
      </c>
      <c r="C653" s="3" t="s">
        <v>173</v>
      </c>
      <c r="D653" s="3" t="s">
        <v>1795</v>
      </c>
      <c r="E653" s="3" t="s">
        <v>31</v>
      </c>
      <c r="F653" s="3" t="b">
        <v>0</v>
      </c>
      <c r="G653" s="3" t="s">
        <v>64</v>
      </c>
      <c r="H653" s="6">
        <v>44935.333368055559</v>
      </c>
      <c r="I653" s="3" t="b">
        <v>1</v>
      </c>
      <c r="J653" s="3" t="b">
        <v>0</v>
      </c>
      <c r="K653" s="3" t="s">
        <v>33</v>
      </c>
      <c r="L653" s="3" t="s">
        <v>34</v>
      </c>
      <c r="M653" s="8">
        <v>90000</v>
      </c>
      <c r="N653" s="11"/>
      <c r="O653" s="3" t="s">
        <v>1796</v>
      </c>
      <c r="P653" s="3" t="s">
        <v>4921</v>
      </c>
    </row>
    <row r="654" spans="1:16" x14ac:dyDescent="0.3">
      <c r="A654" s="3" t="s">
        <v>103</v>
      </c>
      <c r="B654" s="3" t="s">
        <v>4924</v>
      </c>
      <c r="C654" s="3" t="s">
        <v>4651</v>
      </c>
      <c r="D654" s="3" t="s">
        <v>827</v>
      </c>
      <c r="E654" s="3" t="s">
        <v>31</v>
      </c>
      <c r="F654" s="3" t="b">
        <v>0</v>
      </c>
      <c r="G654" s="3" t="s">
        <v>64</v>
      </c>
      <c r="H654" s="6">
        <v>44934.583368055559</v>
      </c>
      <c r="I654" s="3" t="b">
        <v>0</v>
      </c>
      <c r="J654" s="3" t="b">
        <v>1</v>
      </c>
      <c r="K654" s="3" t="s">
        <v>33</v>
      </c>
      <c r="L654" s="3" t="s">
        <v>34</v>
      </c>
      <c r="M654" s="8">
        <v>88000</v>
      </c>
      <c r="N654" s="11"/>
      <c r="O654" s="3" t="s">
        <v>4925</v>
      </c>
      <c r="P654" s="3" t="s">
        <v>4926</v>
      </c>
    </row>
    <row r="655" spans="1:16" x14ac:dyDescent="0.3">
      <c r="A655" s="3" t="s">
        <v>103</v>
      </c>
      <c r="B655" s="3" t="s">
        <v>103</v>
      </c>
      <c r="C655" s="3" t="s">
        <v>4927</v>
      </c>
      <c r="D655" s="3" t="s">
        <v>307</v>
      </c>
      <c r="E655" s="3" t="s">
        <v>133</v>
      </c>
      <c r="F655" s="3" t="b">
        <v>0</v>
      </c>
      <c r="G655" s="3" t="s">
        <v>64</v>
      </c>
      <c r="H655" s="6">
        <v>44946.541689814818</v>
      </c>
      <c r="I655" s="3" t="b">
        <v>0</v>
      </c>
      <c r="J655" s="3" t="b">
        <v>0</v>
      </c>
      <c r="K655" s="3" t="s">
        <v>33</v>
      </c>
      <c r="L655" s="3" t="s">
        <v>48</v>
      </c>
      <c r="M655" s="8"/>
      <c r="N655" s="11">
        <v>20.5</v>
      </c>
      <c r="O655" s="3" t="s">
        <v>114</v>
      </c>
      <c r="P655" s="3" t="s">
        <v>4255</v>
      </c>
    </row>
    <row r="656" spans="1:16" x14ac:dyDescent="0.3">
      <c r="A656" s="3" t="s">
        <v>103</v>
      </c>
      <c r="B656" s="3" t="s">
        <v>4928</v>
      </c>
      <c r="C656" s="3" t="s">
        <v>83</v>
      </c>
      <c r="D656" s="3" t="s">
        <v>53</v>
      </c>
      <c r="E656" s="3" t="s">
        <v>133</v>
      </c>
      <c r="F656" s="3" t="b">
        <v>0</v>
      </c>
      <c r="G656" s="3" t="s">
        <v>64</v>
      </c>
      <c r="H656" s="6">
        <v>44937.83384259259</v>
      </c>
      <c r="I656" s="3" t="b">
        <v>1</v>
      </c>
      <c r="J656" s="3" t="b">
        <v>0</v>
      </c>
      <c r="K656" s="3" t="s">
        <v>33</v>
      </c>
      <c r="L656" s="3" t="s">
        <v>48</v>
      </c>
      <c r="M656" s="8"/>
      <c r="N656" s="11">
        <v>57.5</v>
      </c>
      <c r="O656" s="3" t="s">
        <v>482</v>
      </c>
      <c r="P656" s="3" t="s">
        <v>1130</v>
      </c>
    </row>
    <row r="657" spans="1:16" x14ac:dyDescent="0.3">
      <c r="A657" s="3" t="s">
        <v>103</v>
      </c>
      <c r="B657" s="3" t="s">
        <v>103</v>
      </c>
      <c r="C657" s="3" t="s">
        <v>57</v>
      </c>
      <c r="D657" s="3" t="s">
        <v>30</v>
      </c>
      <c r="E657" s="3" t="s">
        <v>133</v>
      </c>
      <c r="F657" s="3" t="b">
        <v>0</v>
      </c>
      <c r="G657" s="3" t="s">
        <v>58</v>
      </c>
      <c r="H657" s="6">
        <v>44929.853668981479</v>
      </c>
      <c r="I657" s="3" t="b">
        <v>0</v>
      </c>
      <c r="J657" s="3" t="b">
        <v>0</v>
      </c>
      <c r="K657" s="3" t="s">
        <v>33</v>
      </c>
      <c r="L657" s="3" t="s">
        <v>48</v>
      </c>
      <c r="M657" s="8"/>
      <c r="N657" s="11">
        <v>50</v>
      </c>
      <c r="O657" s="3" t="s">
        <v>3852</v>
      </c>
      <c r="P657" s="3" t="s">
        <v>1793</v>
      </c>
    </row>
    <row r="658" spans="1:16" x14ac:dyDescent="0.3">
      <c r="A658" s="3" t="s">
        <v>103</v>
      </c>
      <c r="B658" s="3" t="s">
        <v>103</v>
      </c>
      <c r="C658" s="3" t="s">
        <v>472</v>
      </c>
      <c r="D658" s="3" t="s">
        <v>76</v>
      </c>
      <c r="E658" s="3" t="s">
        <v>31</v>
      </c>
      <c r="F658" s="3" t="b">
        <v>0</v>
      </c>
      <c r="G658" s="3" t="s">
        <v>64</v>
      </c>
      <c r="H658" s="6">
        <v>44930.583379629628</v>
      </c>
      <c r="I658" s="3" t="b">
        <v>1</v>
      </c>
      <c r="J658" s="3" t="b">
        <v>1</v>
      </c>
      <c r="K658" s="3" t="s">
        <v>33</v>
      </c>
      <c r="L658" s="3" t="s">
        <v>48</v>
      </c>
      <c r="M658" s="8"/>
      <c r="N658" s="11">
        <v>55.269996643066413</v>
      </c>
      <c r="O658" s="3" t="s">
        <v>4940</v>
      </c>
      <c r="P658" s="3" t="s">
        <v>4941</v>
      </c>
    </row>
    <row r="659" spans="1:16" x14ac:dyDescent="0.3">
      <c r="A659" s="3" t="s">
        <v>103</v>
      </c>
      <c r="B659" s="3" t="s">
        <v>103</v>
      </c>
      <c r="C659" s="3" t="s">
        <v>4942</v>
      </c>
      <c r="D659" s="3" t="s">
        <v>30</v>
      </c>
      <c r="E659" s="3" t="s">
        <v>31</v>
      </c>
      <c r="F659" s="3" t="b">
        <v>0</v>
      </c>
      <c r="G659" s="3" t="s">
        <v>64</v>
      </c>
      <c r="H659" s="6">
        <v>44957.750023148154</v>
      </c>
      <c r="I659" s="3" t="b">
        <v>0</v>
      </c>
      <c r="J659" s="3" t="b">
        <v>0</v>
      </c>
      <c r="K659" s="3" t="s">
        <v>33</v>
      </c>
      <c r="L659" s="3" t="s">
        <v>34</v>
      </c>
      <c r="M659" s="8">
        <v>85000</v>
      </c>
      <c r="N659" s="11"/>
      <c r="O659" s="3" t="s">
        <v>2242</v>
      </c>
      <c r="P659" s="3" t="s">
        <v>4943</v>
      </c>
    </row>
    <row r="660" spans="1:16" x14ac:dyDescent="0.3">
      <c r="A660" s="3" t="s">
        <v>103</v>
      </c>
      <c r="B660" s="3" t="s">
        <v>1903</v>
      </c>
      <c r="C660" s="3" t="s">
        <v>4290</v>
      </c>
      <c r="D660" s="3" t="s">
        <v>307</v>
      </c>
      <c r="E660" s="3" t="s">
        <v>133</v>
      </c>
      <c r="F660" s="3" t="b">
        <v>0</v>
      </c>
      <c r="G660" s="3" t="s">
        <v>64</v>
      </c>
      <c r="H660" s="6">
        <v>44945.625081018523</v>
      </c>
      <c r="I660" s="3" t="b">
        <v>1</v>
      </c>
      <c r="J660" s="3" t="b">
        <v>0</v>
      </c>
      <c r="K660" s="3" t="s">
        <v>33</v>
      </c>
      <c r="L660" s="3" t="s">
        <v>48</v>
      </c>
      <c r="M660" s="8"/>
      <c r="N660" s="11">
        <v>55.525001525878913</v>
      </c>
      <c r="O660" s="3" t="s">
        <v>114</v>
      </c>
      <c r="P660" s="3" t="s">
        <v>1597</v>
      </c>
    </row>
    <row r="661" spans="1:16" x14ac:dyDescent="0.3">
      <c r="A661" s="3" t="s">
        <v>103</v>
      </c>
      <c r="B661" s="3" t="s">
        <v>4944</v>
      </c>
      <c r="C661" s="3" t="s">
        <v>1324</v>
      </c>
      <c r="D661" s="3" t="s">
        <v>41</v>
      </c>
      <c r="E661" s="3" t="s">
        <v>31</v>
      </c>
      <c r="F661" s="3" t="b">
        <v>0</v>
      </c>
      <c r="G661" s="3" t="s">
        <v>1324</v>
      </c>
      <c r="H661" s="6">
        <v>44949.932129629633</v>
      </c>
      <c r="I661" s="3" t="b">
        <v>0</v>
      </c>
      <c r="J661" s="3" t="b">
        <v>0</v>
      </c>
      <c r="K661" s="3" t="s">
        <v>1324</v>
      </c>
      <c r="L661" s="3" t="s">
        <v>34</v>
      </c>
      <c r="M661" s="8">
        <v>111175</v>
      </c>
      <c r="N661" s="11"/>
      <c r="O661" s="3" t="s">
        <v>4945</v>
      </c>
      <c r="P661" s="3" t="s">
        <v>4946</v>
      </c>
    </row>
    <row r="662" spans="1:16" x14ac:dyDescent="0.3">
      <c r="A662" s="3" t="s">
        <v>103</v>
      </c>
      <c r="B662" s="3" t="s">
        <v>4953</v>
      </c>
      <c r="C662" s="3" t="s">
        <v>454</v>
      </c>
      <c r="D662" s="3" t="s">
        <v>41</v>
      </c>
      <c r="E662" s="3" t="s">
        <v>31</v>
      </c>
      <c r="F662" s="3" t="b">
        <v>0</v>
      </c>
      <c r="G662" s="3" t="s">
        <v>455</v>
      </c>
      <c r="H662" s="6">
        <v>44942.664340277777</v>
      </c>
      <c r="I662" s="3" t="b">
        <v>0</v>
      </c>
      <c r="J662" s="3" t="b">
        <v>0</v>
      </c>
      <c r="K662" s="3" t="s">
        <v>455</v>
      </c>
      <c r="L662" s="3" t="s">
        <v>34</v>
      </c>
      <c r="M662" s="8">
        <v>111175</v>
      </c>
      <c r="N662" s="11"/>
      <c r="O662" s="3" t="s">
        <v>2889</v>
      </c>
      <c r="P662" s="3" t="s">
        <v>4954</v>
      </c>
    </row>
    <row r="663" spans="1:16" x14ac:dyDescent="0.3">
      <c r="A663" s="3" t="s">
        <v>103</v>
      </c>
      <c r="B663" s="3" t="s">
        <v>4959</v>
      </c>
      <c r="C663" s="3" t="s">
        <v>491</v>
      </c>
      <c r="D663" s="3" t="s">
        <v>994</v>
      </c>
      <c r="E663" s="3" t="s">
        <v>31</v>
      </c>
      <c r="F663" s="3" t="b">
        <v>0</v>
      </c>
      <c r="G663" s="3" t="s">
        <v>110</v>
      </c>
      <c r="H663" s="6">
        <v>44949.002083333333</v>
      </c>
      <c r="I663" s="3" t="b">
        <v>0</v>
      </c>
      <c r="J663" s="3" t="b">
        <v>0</v>
      </c>
      <c r="K663" s="3" t="s">
        <v>110</v>
      </c>
      <c r="L663" s="3" t="s">
        <v>48</v>
      </c>
      <c r="M663" s="8"/>
      <c r="N663" s="11">
        <v>24</v>
      </c>
      <c r="O663" s="3" t="s">
        <v>1445</v>
      </c>
      <c r="P663" s="3" t="s">
        <v>4960</v>
      </c>
    </row>
    <row r="664" spans="1:16" x14ac:dyDescent="0.3">
      <c r="A664" s="3" t="s">
        <v>103</v>
      </c>
      <c r="B664" s="3" t="s">
        <v>4961</v>
      </c>
      <c r="C664" s="3" t="s">
        <v>33</v>
      </c>
      <c r="D664" s="3" t="s">
        <v>41</v>
      </c>
      <c r="E664" s="3" t="s">
        <v>31</v>
      </c>
      <c r="F664" s="3" t="b">
        <v>0</v>
      </c>
      <c r="G664" s="3" t="s">
        <v>58</v>
      </c>
      <c r="H664" s="6">
        <v>44938.921157407407</v>
      </c>
      <c r="I664" s="3" t="b">
        <v>0</v>
      </c>
      <c r="J664" s="3" t="b">
        <v>0</v>
      </c>
      <c r="K664" s="3" t="s">
        <v>33</v>
      </c>
      <c r="L664" s="3" t="s">
        <v>34</v>
      </c>
      <c r="M664" s="8">
        <v>100000</v>
      </c>
      <c r="N664" s="11"/>
      <c r="O664" s="3" t="s">
        <v>2747</v>
      </c>
      <c r="P664" s="3" t="s">
        <v>4286</v>
      </c>
    </row>
    <row r="665" spans="1:16" x14ac:dyDescent="0.3">
      <c r="A665" s="3" t="s">
        <v>103</v>
      </c>
      <c r="B665" s="3" t="s">
        <v>103</v>
      </c>
      <c r="C665" s="3" t="s">
        <v>4964</v>
      </c>
      <c r="D665" s="3" t="s">
        <v>30</v>
      </c>
      <c r="E665" s="3" t="s">
        <v>133</v>
      </c>
      <c r="F665" s="3" t="b">
        <v>0</v>
      </c>
      <c r="G665" s="3" t="s">
        <v>64</v>
      </c>
      <c r="H665" s="6">
        <v>44952.875023148154</v>
      </c>
      <c r="I665" s="3" t="b">
        <v>1</v>
      </c>
      <c r="J665" s="3" t="b">
        <v>0</v>
      </c>
      <c r="K665" s="3" t="s">
        <v>33</v>
      </c>
      <c r="L665" s="3" t="s">
        <v>48</v>
      </c>
      <c r="M665" s="8"/>
      <c r="N665" s="11">
        <v>55</v>
      </c>
      <c r="O665" s="3" t="s">
        <v>502</v>
      </c>
      <c r="P665" s="3" t="s">
        <v>4965</v>
      </c>
    </row>
    <row r="666" spans="1:16" x14ac:dyDescent="0.3">
      <c r="A666" s="3" t="s">
        <v>103</v>
      </c>
      <c r="B666" s="3" t="s">
        <v>4970</v>
      </c>
      <c r="C666" s="3" t="s">
        <v>4971</v>
      </c>
      <c r="D666" s="3" t="s">
        <v>307</v>
      </c>
      <c r="E666" s="3" t="s">
        <v>31</v>
      </c>
      <c r="F666" s="3" t="b">
        <v>0</v>
      </c>
      <c r="G666" s="3" t="s">
        <v>32</v>
      </c>
      <c r="H666" s="6">
        <v>44929.894687499997</v>
      </c>
      <c r="I666" s="3" t="b">
        <v>1</v>
      </c>
      <c r="J666" s="3" t="b">
        <v>0</v>
      </c>
      <c r="K666" s="3" t="s">
        <v>33</v>
      </c>
      <c r="L666" s="3" t="s">
        <v>34</v>
      </c>
      <c r="M666" s="8">
        <v>90000</v>
      </c>
      <c r="N666" s="11"/>
      <c r="O666" s="3" t="s">
        <v>114</v>
      </c>
      <c r="P666" s="3" t="s">
        <v>4395</v>
      </c>
    </row>
    <row r="667" spans="1:16" x14ac:dyDescent="0.3">
      <c r="A667" s="3" t="s">
        <v>103</v>
      </c>
      <c r="B667" s="3" t="s">
        <v>3832</v>
      </c>
      <c r="C667" s="3" t="s">
        <v>173</v>
      </c>
      <c r="D667" s="3" t="s">
        <v>93</v>
      </c>
      <c r="E667" s="3" t="s">
        <v>31</v>
      </c>
      <c r="F667" s="3" t="b">
        <v>0</v>
      </c>
      <c r="G667" s="3" t="s">
        <v>64</v>
      </c>
      <c r="H667" s="6">
        <v>44940.291863425933</v>
      </c>
      <c r="I667" s="3" t="b">
        <v>0</v>
      </c>
      <c r="J667" s="3" t="b">
        <v>1</v>
      </c>
      <c r="K667" s="3" t="s">
        <v>33</v>
      </c>
      <c r="L667" s="3" t="s">
        <v>34</v>
      </c>
      <c r="M667" s="8">
        <v>90000</v>
      </c>
      <c r="N667" s="11"/>
      <c r="O667" s="3" t="s">
        <v>784</v>
      </c>
      <c r="P667" s="3" t="s">
        <v>4979</v>
      </c>
    </row>
    <row r="668" spans="1:16" x14ac:dyDescent="0.3">
      <c r="A668" s="3" t="s">
        <v>103</v>
      </c>
      <c r="B668" s="3" t="s">
        <v>103</v>
      </c>
      <c r="C668" s="3" t="s">
        <v>641</v>
      </c>
      <c r="D668" s="3" t="s">
        <v>76</v>
      </c>
      <c r="E668" s="3" t="s">
        <v>31</v>
      </c>
      <c r="F668" s="3" t="b">
        <v>0</v>
      </c>
      <c r="G668" s="3" t="s">
        <v>88</v>
      </c>
      <c r="H668" s="6">
        <v>44944.752615740741</v>
      </c>
      <c r="I668" s="3" t="b">
        <v>0</v>
      </c>
      <c r="J668" s="3" t="b">
        <v>1</v>
      </c>
      <c r="K668" s="3" t="s">
        <v>33</v>
      </c>
      <c r="L668" s="3" t="s">
        <v>48</v>
      </c>
      <c r="M668" s="8"/>
      <c r="N668" s="11">
        <v>21.5</v>
      </c>
      <c r="O668" s="3" t="s">
        <v>4980</v>
      </c>
      <c r="P668" s="3" t="s">
        <v>3206</v>
      </c>
    </row>
    <row r="669" spans="1:16" x14ac:dyDescent="0.3">
      <c r="A669" s="3" t="s">
        <v>103</v>
      </c>
      <c r="B669" s="3" t="s">
        <v>4983</v>
      </c>
      <c r="C669" s="3" t="s">
        <v>2874</v>
      </c>
      <c r="D669" s="3" t="s">
        <v>41</v>
      </c>
      <c r="E669" s="3" t="s">
        <v>31</v>
      </c>
      <c r="F669" s="3" t="b">
        <v>0</v>
      </c>
      <c r="G669" s="3" t="s">
        <v>32</v>
      </c>
      <c r="H669" s="6">
        <v>44935.875856481478</v>
      </c>
      <c r="I669" s="3" t="b">
        <v>0</v>
      </c>
      <c r="J669" s="3" t="b">
        <v>1</v>
      </c>
      <c r="K669" s="3" t="s">
        <v>33</v>
      </c>
      <c r="L669" s="3" t="s">
        <v>34</v>
      </c>
      <c r="M669" s="8">
        <v>187875</v>
      </c>
      <c r="N669" s="11"/>
      <c r="O669" s="3" t="s">
        <v>4984</v>
      </c>
      <c r="P669" s="3" t="s">
        <v>4124</v>
      </c>
    </row>
    <row r="670" spans="1:16" x14ac:dyDescent="0.3">
      <c r="A670" s="3" t="s">
        <v>103</v>
      </c>
      <c r="B670" s="3" t="s">
        <v>1896</v>
      </c>
      <c r="C670" s="3" t="s">
        <v>3577</v>
      </c>
      <c r="D670" s="3" t="s">
        <v>53</v>
      </c>
      <c r="E670" s="3" t="s">
        <v>31</v>
      </c>
      <c r="F670" s="3" t="b">
        <v>0</v>
      </c>
      <c r="G670" s="3" t="s">
        <v>84</v>
      </c>
      <c r="H670" s="6">
        <v>44936.762881944444</v>
      </c>
      <c r="I670" s="3" t="b">
        <v>0</v>
      </c>
      <c r="J670" s="3" t="b">
        <v>0</v>
      </c>
      <c r="K670" s="3" t="s">
        <v>33</v>
      </c>
      <c r="L670" s="3" t="s">
        <v>48</v>
      </c>
      <c r="M670" s="8"/>
      <c r="N670" s="11">
        <v>31.204999923706051</v>
      </c>
      <c r="O670" s="3" t="s">
        <v>4985</v>
      </c>
      <c r="P670" s="3" t="s">
        <v>4986</v>
      </c>
    </row>
    <row r="671" spans="1:16" x14ac:dyDescent="0.3">
      <c r="A671" s="3" t="s">
        <v>103</v>
      </c>
      <c r="B671" s="3" t="s">
        <v>4996</v>
      </c>
      <c r="C671" s="3" t="s">
        <v>57</v>
      </c>
      <c r="D671" s="3" t="s">
        <v>41</v>
      </c>
      <c r="E671" s="3" t="s">
        <v>31</v>
      </c>
      <c r="F671" s="3" t="b">
        <v>0</v>
      </c>
      <c r="G671" s="3" t="s">
        <v>110</v>
      </c>
      <c r="H671" s="6">
        <v>44935.399027777778</v>
      </c>
      <c r="I671" s="3" t="b">
        <v>0</v>
      </c>
      <c r="J671" s="3" t="b">
        <v>0</v>
      </c>
      <c r="K671" s="3" t="s">
        <v>110</v>
      </c>
      <c r="L671" s="3" t="s">
        <v>34</v>
      </c>
      <c r="M671" s="8">
        <v>139246.5</v>
      </c>
      <c r="N671" s="11"/>
      <c r="O671" s="3" t="s">
        <v>875</v>
      </c>
      <c r="P671" s="3" t="s">
        <v>4997</v>
      </c>
    </row>
    <row r="672" spans="1:16" x14ac:dyDescent="0.3">
      <c r="A672" s="3" t="s">
        <v>103</v>
      </c>
      <c r="B672" s="3" t="s">
        <v>5000</v>
      </c>
      <c r="C672" s="3" t="s">
        <v>164</v>
      </c>
      <c r="D672" s="3" t="s">
        <v>30</v>
      </c>
      <c r="E672" s="3" t="s">
        <v>133</v>
      </c>
      <c r="F672" s="3" t="b">
        <v>0</v>
      </c>
      <c r="G672" s="3" t="s">
        <v>64</v>
      </c>
      <c r="H672" s="6">
        <v>44950.041678240741</v>
      </c>
      <c r="I672" s="3" t="b">
        <v>1</v>
      </c>
      <c r="J672" s="3" t="b">
        <v>0</v>
      </c>
      <c r="K672" s="3" t="s">
        <v>33</v>
      </c>
      <c r="L672" s="3" t="s">
        <v>48</v>
      </c>
      <c r="M672" s="8"/>
      <c r="N672" s="11">
        <v>35</v>
      </c>
      <c r="O672" s="3" t="s">
        <v>5001</v>
      </c>
      <c r="P672" s="3"/>
    </row>
    <row r="673" spans="1:16" x14ac:dyDescent="0.3">
      <c r="A673" s="3" t="s">
        <v>103</v>
      </c>
      <c r="B673" s="3" t="s">
        <v>103</v>
      </c>
      <c r="C673" s="3" t="s">
        <v>270</v>
      </c>
      <c r="D673" s="3" t="s">
        <v>76</v>
      </c>
      <c r="E673" s="3" t="s">
        <v>31</v>
      </c>
      <c r="F673" s="3" t="b">
        <v>0</v>
      </c>
      <c r="G673" s="3" t="s">
        <v>32</v>
      </c>
      <c r="H673" s="6">
        <v>44950.959027777782</v>
      </c>
      <c r="I673" s="3" t="b">
        <v>0</v>
      </c>
      <c r="J673" s="3" t="b">
        <v>1</v>
      </c>
      <c r="K673" s="3" t="s">
        <v>33</v>
      </c>
      <c r="L673" s="3" t="s">
        <v>48</v>
      </c>
      <c r="M673" s="8"/>
      <c r="N673" s="11">
        <v>31</v>
      </c>
      <c r="O673" s="3" t="s">
        <v>5011</v>
      </c>
      <c r="P673" s="3" t="s">
        <v>707</v>
      </c>
    </row>
    <row r="674" spans="1:16" x14ac:dyDescent="0.3">
      <c r="A674" s="3" t="s">
        <v>103</v>
      </c>
      <c r="B674" s="3" t="s">
        <v>5014</v>
      </c>
      <c r="C674" s="3" t="s">
        <v>4358</v>
      </c>
      <c r="D674" s="3" t="s">
        <v>1419</v>
      </c>
      <c r="E674" s="3" t="s">
        <v>31</v>
      </c>
      <c r="F674" s="3" t="b">
        <v>0</v>
      </c>
      <c r="G674" s="3" t="s">
        <v>84</v>
      </c>
      <c r="H674" s="6">
        <v>44928.751076388893</v>
      </c>
      <c r="I674" s="3" t="b">
        <v>0</v>
      </c>
      <c r="J674" s="3" t="b">
        <v>0</v>
      </c>
      <c r="K674" s="3" t="s">
        <v>33</v>
      </c>
      <c r="L674" s="3" t="s">
        <v>34</v>
      </c>
      <c r="M674" s="8">
        <v>188675</v>
      </c>
      <c r="N674" s="11"/>
      <c r="O674" s="3" t="s">
        <v>119</v>
      </c>
      <c r="P674" s="3"/>
    </row>
    <row r="675" spans="1:16" x14ac:dyDescent="0.3">
      <c r="A675" s="3" t="s">
        <v>103</v>
      </c>
      <c r="B675" s="3" t="s">
        <v>103</v>
      </c>
      <c r="C675" s="3" t="s">
        <v>1364</v>
      </c>
      <c r="D675" s="3" t="s">
        <v>30</v>
      </c>
      <c r="E675" s="3" t="s">
        <v>133</v>
      </c>
      <c r="F675" s="3" t="b">
        <v>0</v>
      </c>
      <c r="G675" s="3" t="s">
        <v>88</v>
      </c>
      <c r="H675" s="6">
        <v>44950.588067129633</v>
      </c>
      <c r="I675" s="3" t="b">
        <v>1</v>
      </c>
      <c r="J675" s="3" t="b">
        <v>0</v>
      </c>
      <c r="K675" s="3" t="s">
        <v>33</v>
      </c>
      <c r="L675" s="3" t="s">
        <v>48</v>
      </c>
      <c r="M675" s="8"/>
      <c r="N675" s="11">
        <v>62.5</v>
      </c>
      <c r="O675" s="3" t="s">
        <v>5017</v>
      </c>
      <c r="P675" s="3" t="s">
        <v>5018</v>
      </c>
    </row>
    <row r="676" spans="1:16" x14ac:dyDescent="0.3">
      <c r="A676" s="3" t="s">
        <v>103</v>
      </c>
      <c r="B676" s="3" t="s">
        <v>5025</v>
      </c>
      <c r="C676" s="3" t="s">
        <v>164</v>
      </c>
      <c r="D676" s="3" t="s">
        <v>30</v>
      </c>
      <c r="E676" s="3" t="s">
        <v>31</v>
      </c>
      <c r="F676" s="3" t="b">
        <v>0</v>
      </c>
      <c r="G676" s="3" t="s">
        <v>64</v>
      </c>
      <c r="H676" s="6">
        <v>44930.625185185178</v>
      </c>
      <c r="I676" s="3" t="b">
        <v>1</v>
      </c>
      <c r="J676" s="3" t="b">
        <v>1</v>
      </c>
      <c r="K676" s="3" t="s">
        <v>33</v>
      </c>
      <c r="L676" s="3" t="s">
        <v>34</v>
      </c>
      <c r="M676" s="8">
        <v>157000</v>
      </c>
      <c r="N676" s="11"/>
      <c r="O676" s="3" t="s">
        <v>609</v>
      </c>
      <c r="P676" s="3" t="s">
        <v>5026</v>
      </c>
    </row>
    <row r="677" spans="1:16" x14ac:dyDescent="0.3">
      <c r="A677" s="3" t="s">
        <v>103</v>
      </c>
      <c r="B677" s="3" t="s">
        <v>103</v>
      </c>
      <c r="C677" s="3" t="s">
        <v>1628</v>
      </c>
      <c r="D677" s="3" t="s">
        <v>41</v>
      </c>
      <c r="E677" s="3" t="s">
        <v>31</v>
      </c>
      <c r="F677" s="3" t="b">
        <v>0</v>
      </c>
      <c r="G677" s="3" t="s">
        <v>88</v>
      </c>
      <c r="H677" s="6">
        <v>44952.671886574077</v>
      </c>
      <c r="I677" s="3" t="b">
        <v>0</v>
      </c>
      <c r="J677" s="3" t="b">
        <v>0</v>
      </c>
      <c r="K677" s="3" t="s">
        <v>33</v>
      </c>
      <c r="L677" s="3" t="s">
        <v>34</v>
      </c>
      <c r="M677" s="8">
        <v>98500</v>
      </c>
      <c r="N677" s="11"/>
      <c r="O677" s="3" t="s">
        <v>5040</v>
      </c>
      <c r="P677" s="3" t="s">
        <v>5041</v>
      </c>
    </row>
    <row r="678" spans="1:16" x14ac:dyDescent="0.3">
      <c r="A678" s="3" t="s">
        <v>103</v>
      </c>
      <c r="B678" s="3" t="s">
        <v>5050</v>
      </c>
      <c r="C678" s="3" t="s">
        <v>504</v>
      </c>
      <c r="D678" s="3" t="s">
        <v>41</v>
      </c>
      <c r="E678" s="3" t="s">
        <v>31</v>
      </c>
      <c r="F678" s="3" t="b">
        <v>0</v>
      </c>
      <c r="G678" s="3" t="s">
        <v>505</v>
      </c>
      <c r="H678" s="6">
        <v>44928.35869212963</v>
      </c>
      <c r="I678" s="3" t="b">
        <v>0</v>
      </c>
      <c r="J678" s="3" t="b">
        <v>0</v>
      </c>
      <c r="K678" s="3" t="s">
        <v>505</v>
      </c>
      <c r="L678" s="3" t="s">
        <v>34</v>
      </c>
      <c r="M678" s="8">
        <v>100500</v>
      </c>
      <c r="N678" s="11"/>
      <c r="O678" s="3" t="s">
        <v>3147</v>
      </c>
      <c r="P678" s="3" t="s">
        <v>374</v>
      </c>
    </row>
    <row r="679" spans="1:16" x14ac:dyDescent="0.3">
      <c r="A679" s="3" t="s">
        <v>103</v>
      </c>
      <c r="B679" s="3" t="s">
        <v>5051</v>
      </c>
      <c r="C679" s="3" t="s">
        <v>3061</v>
      </c>
      <c r="D679" s="3" t="s">
        <v>30</v>
      </c>
      <c r="E679" s="3" t="s">
        <v>133</v>
      </c>
      <c r="F679" s="3" t="b">
        <v>0</v>
      </c>
      <c r="G679" s="3" t="s">
        <v>88</v>
      </c>
      <c r="H679" s="6">
        <v>44952.085173611107</v>
      </c>
      <c r="I679" s="3" t="b">
        <v>1</v>
      </c>
      <c r="J679" s="3" t="b">
        <v>0</v>
      </c>
      <c r="K679" s="3" t="s">
        <v>33</v>
      </c>
      <c r="L679" s="3" t="s">
        <v>48</v>
      </c>
      <c r="M679" s="8"/>
      <c r="N679" s="11">
        <v>25.625</v>
      </c>
      <c r="O679" s="3" t="s">
        <v>114</v>
      </c>
      <c r="P679" s="3" t="s">
        <v>1048</v>
      </c>
    </row>
    <row r="680" spans="1:16" x14ac:dyDescent="0.3">
      <c r="A680" s="3" t="s">
        <v>103</v>
      </c>
      <c r="B680" s="3" t="s">
        <v>103</v>
      </c>
      <c r="C680" s="3" t="s">
        <v>83</v>
      </c>
      <c r="D680" s="3" t="s">
        <v>30</v>
      </c>
      <c r="E680" s="3" t="s">
        <v>133</v>
      </c>
      <c r="F680" s="3" t="b">
        <v>0</v>
      </c>
      <c r="G680" s="3" t="s">
        <v>64</v>
      </c>
      <c r="H680" s="6">
        <v>44932.083761574067</v>
      </c>
      <c r="I680" s="3" t="b">
        <v>0</v>
      </c>
      <c r="J680" s="3" t="b">
        <v>0</v>
      </c>
      <c r="K680" s="3" t="s">
        <v>33</v>
      </c>
      <c r="L680" s="3" t="s">
        <v>48</v>
      </c>
      <c r="M680" s="8"/>
      <c r="N680" s="11">
        <v>25.625</v>
      </c>
      <c r="O680" s="3" t="s">
        <v>114</v>
      </c>
      <c r="P680" s="3" t="s">
        <v>5052</v>
      </c>
    </row>
    <row r="681" spans="1:16" x14ac:dyDescent="0.3">
      <c r="A681" s="3" t="s">
        <v>103</v>
      </c>
      <c r="B681" s="3" t="s">
        <v>2825</v>
      </c>
      <c r="C681" s="3" t="s">
        <v>75</v>
      </c>
      <c r="D681" s="3" t="s">
        <v>2465</v>
      </c>
      <c r="E681" s="3" t="s">
        <v>31</v>
      </c>
      <c r="F681" s="3" t="b">
        <v>0</v>
      </c>
      <c r="G681" s="3" t="s">
        <v>84</v>
      </c>
      <c r="H681" s="6">
        <v>44942.001504629632</v>
      </c>
      <c r="I681" s="3" t="b">
        <v>0</v>
      </c>
      <c r="J681" s="3" t="b">
        <v>0</v>
      </c>
      <c r="K681" s="3" t="s">
        <v>33</v>
      </c>
      <c r="L681" s="3" t="s">
        <v>48</v>
      </c>
      <c r="M681" s="8"/>
      <c r="N681" s="11">
        <v>24</v>
      </c>
      <c r="O681" s="3" t="s">
        <v>49</v>
      </c>
      <c r="P681" s="3" t="s">
        <v>5053</v>
      </c>
    </row>
    <row r="682" spans="1:16" x14ac:dyDescent="0.3">
      <c r="A682" s="3" t="s">
        <v>103</v>
      </c>
      <c r="B682" s="3" t="s">
        <v>5064</v>
      </c>
      <c r="C682" s="3" t="s">
        <v>620</v>
      </c>
      <c r="D682" s="3" t="s">
        <v>93</v>
      </c>
      <c r="E682" s="3" t="s">
        <v>31</v>
      </c>
      <c r="F682" s="3" t="b">
        <v>0</v>
      </c>
      <c r="G682" s="3" t="s">
        <v>58</v>
      </c>
      <c r="H682" s="6">
        <v>44944.45989583333</v>
      </c>
      <c r="I682" s="3" t="b">
        <v>1</v>
      </c>
      <c r="J682" s="3" t="b">
        <v>0</v>
      </c>
      <c r="K682" s="3" t="s">
        <v>33</v>
      </c>
      <c r="L682" s="3" t="s">
        <v>34</v>
      </c>
      <c r="M682" s="8">
        <v>125000</v>
      </c>
      <c r="N682" s="11"/>
      <c r="O682" s="3" t="s">
        <v>1084</v>
      </c>
      <c r="P682" s="3" t="s">
        <v>4744</v>
      </c>
    </row>
    <row r="683" spans="1:16" x14ac:dyDescent="0.3">
      <c r="A683" s="3" t="s">
        <v>103</v>
      </c>
      <c r="B683" s="3" t="s">
        <v>103</v>
      </c>
      <c r="C683" s="3" t="s">
        <v>173</v>
      </c>
      <c r="D683" s="3" t="s">
        <v>30</v>
      </c>
      <c r="E683" s="3" t="s">
        <v>31</v>
      </c>
      <c r="F683" s="3" t="b">
        <v>0</v>
      </c>
      <c r="G683" s="3" t="s">
        <v>64</v>
      </c>
      <c r="H683" s="6">
        <v>44936.625324074077</v>
      </c>
      <c r="I683" s="3" t="b">
        <v>0</v>
      </c>
      <c r="J683" s="3" t="b">
        <v>1</v>
      </c>
      <c r="K683" s="3" t="s">
        <v>33</v>
      </c>
      <c r="L683" s="3" t="s">
        <v>34</v>
      </c>
      <c r="M683" s="8">
        <v>75000</v>
      </c>
      <c r="N683" s="11"/>
      <c r="O683" s="3" t="s">
        <v>5065</v>
      </c>
      <c r="P683" s="3" t="s">
        <v>4851</v>
      </c>
    </row>
    <row r="684" spans="1:16" x14ac:dyDescent="0.3">
      <c r="A684" s="3" t="s">
        <v>103</v>
      </c>
      <c r="B684" s="3" t="s">
        <v>1133</v>
      </c>
      <c r="C684" s="3" t="s">
        <v>1488</v>
      </c>
      <c r="D684" s="3" t="s">
        <v>30</v>
      </c>
      <c r="E684" s="3" t="s">
        <v>31</v>
      </c>
      <c r="F684" s="3" t="b">
        <v>0</v>
      </c>
      <c r="G684" s="3" t="s">
        <v>84</v>
      </c>
      <c r="H684" s="6">
        <v>44948.751504629632</v>
      </c>
      <c r="I684" s="3" t="b">
        <v>0</v>
      </c>
      <c r="J684" s="3" t="b">
        <v>0</v>
      </c>
      <c r="K684" s="3" t="s">
        <v>33</v>
      </c>
      <c r="L684" s="3" t="s">
        <v>48</v>
      </c>
      <c r="M684" s="8"/>
      <c r="N684" s="11">
        <v>57.5</v>
      </c>
      <c r="O684" s="3" t="s">
        <v>5066</v>
      </c>
      <c r="P684" s="3" t="s">
        <v>5067</v>
      </c>
    </row>
    <row r="685" spans="1:16" x14ac:dyDescent="0.3">
      <c r="A685" s="3" t="s">
        <v>103</v>
      </c>
      <c r="B685" s="3" t="s">
        <v>5068</v>
      </c>
      <c r="C685" s="3" t="s">
        <v>650</v>
      </c>
      <c r="D685" s="3" t="s">
        <v>41</v>
      </c>
      <c r="E685" s="3" t="s">
        <v>31</v>
      </c>
      <c r="F685" s="3" t="b">
        <v>0</v>
      </c>
      <c r="G685" s="3" t="s">
        <v>651</v>
      </c>
      <c r="H685" s="6">
        <v>44943.510844907411</v>
      </c>
      <c r="I685" s="3" t="b">
        <v>0</v>
      </c>
      <c r="J685" s="3" t="b">
        <v>0</v>
      </c>
      <c r="K685" s="3" t="s">
        <v>651</v>
      </c>
      <c r="L685" s="3" t="s">
        <v>34</v>
      </c>
      <c r="M685" s="8">
        <v>51014</v>
      </c>
      <c r="N685" s="11"/>
      <c r="O685" s="3" t="s">
        <v>652</v>
      </c>
      <c r="P685" s="3" t="s">
        <v>5069</v>
      </c>
    </row>
    <row r="686" spans="1:16" x14ac:dyDescent="0.3">
      <c r="A686" s="3" t="s">
        <v>103</v>
      </c>
      <c r="B686" s="3" t="s">
        <v>5070</v>
      </c>
      <c r="C686" s="3" t="s">
        <v>894</v>
      </c>
      <c r="D686" s="3" t="s">
        <v>41</v>
      </c>
      <c r="E686" s="3" t="s">
        <v>31</v>
      </c>
      <c r="F686" s="3" t="b">
        <v>0</v>
      </c>
      <c r="G686" s="3" t="s">
        <v>842</v>
      </c>
      <c r="H686" s="6">
        <v>44931.118252314824</v>
      </c>
      <c r="I686" s="3" t="b">
        <v>1</v>
      </c>
      <c r="J686" s="3" t="b">
        <v>0</v>
      </c>
      <c r="K686" s="3" t="s">
        <v>842</v>
      </c>
      <c r="L686" s="3" t="s">
        <v>34</v>
      </c>
      <c r="M686" s="8">
        <v>45000</v>
      </c>
      <c r="N686" s="11"/>
      <c r="O686" s="3" t="s">
        <v>414</v>
      </c>
      <c r="P686" s="3"/>
    </row>
    <row r="687" spans="1:16" x14ac:dyDescent="0.3">
      <c r="A687" s="3" t="s">
        <v>103</v>
      </c>
      <c r="B687" s="3" t="s">
        <v>103</v>
      </c>
      <c r="C687" s="3" t="s">
        <v>164</v>
      </c>
      <c r="D687" s="3" t="s">
        <v>760</v>
      </c>
      <c r="E687" s="3" t="s">
        <v>31</v>
      </c>
      <c r="F687" s="3" t="b">
        <v>0</v>
      </c>
      <c r="G687" s="3" t="s">
        <v>64</v>
      </c>
      <c r="H687" s="6">
        <v>44930.708240740743</v>
      </c>
      <c r="I687" s="3" t="b">
        <v>1</v>
      </c>
      <c r="J687" s="3" t="b">
        <v>0</v>
      </c>
      <c r="K687" s="3" t="s">
        <v>33</v>
      </c>
      <c r="L687" s="3" t="s">
        <v>48</v>
      </c>
      <c r="M687" s="8"/>
      <c r="N687" s="11">
        <v>105</v>
      </c>
      <c r="O687" s="3" t="s">
        <v>761</v>
      </c>
      <c r="P687" s="3" t="s">
        <v>463</v>
      </c>
    </row>
    <row r="688" spans="1:16" x14ac:dyDescent="0.3">
      <c r="A688" s="3" t="s">
        <v>103</v>
      </c>
      <c r="B688" s="3" t="s">
        <v>5073</v>
      </c>
      <c r="C688" s="3" t="s">
        <v>29</v>
      </c>
      <c r="D688" s="3" t="s">
        <v>188</v>
      </c>
      <c r="E688" s="3" t="s">
        <v>133</v>
      </c>
      <c r="F688" s="3" t="b">
        <v>0</v>
      </c>
      <c r="G688" s="3" t="s">
        <v>32</v>
      </c>
      <c r="H688" s="6">
        <v>44938.001562500001</v>
      </c>
      <c r="I688" s="3" t="b">
        <v>1</v>
      </c>
      <c r="J688" s="3" t="b">
        <v>0</v>
      </c>
      <c r="K688" s="3" t="s">
        <v>33</v>
      </c>
      <c r="L688" s="3" t="s">
        <v>48</v>
      </c>
      <c r="M688" s="8"/>
      <c r="N688" s="11">
        <v>55.305000305175781</v>
      </c>
      <c r="O688" s="3" t="s">
        <v>426</v>
      </c>
      <c r="P688" s="3" t="s">
        <v>5074</v>
      </c>
    </row>
    <row r="689" spans="1:16" x14ac:dyDescent="0.3">
      <c r="A689" s="3" t="s">
        <v>103</v>
      </c>
      <c r="B689" s="3" t="s">
        <v>5081</v>
      </c>
      <c r="C689" s="3" t="s">
        <v>5082</v>
      </c>
      <c r="D689" s="3" t="s">
        <v>30</v>
      </c>
      <c r="E689" s="3" t="s">
        <v>31</v>
      </c>
      <c r="F689" s="3" t="b">
        <v>0</v>
      </c>
      <c r="G689" s="3" t="s">
        <v>64</v>
      </c>
      <c r="H689" s="6">
        <v>44953.875497685192</v>
      </c>
      <c r="I689" s="3" t="b">
        <v>0</v>
      </c>
      <c r="J689" s="3" t="b">
        <v>0</v>
      </c>
      <c r="K689" s="3" t="s">
        <v>33</v>
      </c>
      <c r="L689" s="3" t="s">
        <v>48</v>
      </c>
      <c r="M689" s="8"/>
      <c r="N689" s="11">
        <v>24.5</v>
      </c>
      <c r="O689" s="3" t="s">
        <v>5083</v>
      </c>
      <c r="P689" s="3" t="s">
        <v>2415</v>
      </c>
    </row>
    <row r="690" spans="1:16" x14ac:dyDescent="0.3">
      <c r="A690" s="3" t="s">
        <v>103</v>
      </c>
      <c r="B690" s="3" t="s">
        <v>103</v>
      </c>
      <c r="C690" s="3"/>
      <c r="D690" s="3" t="s">
        <v>30</v>
      </c>
      <c r="E690" s="3" t="s">
        <v>133</v>
      </c>
      <c r="F690" s="3" t="b">
        <v>0</v>
      </c>
      <c r="G690" s="3" t="s">
        <v>140</v>
      </c>
      <c r="H690" s="6">
        <v>44935.652696759258</v>
      </c>
      <c r="I690" s="3" t="b">
        <v>0</v>
      </c>
      <c r="J690" s="3" t="b">
        <v>0</v>
      </c>
      <c r="K690" s="3" t="s">
        <v>33</v>
      </c>
      <c r="L690" s="3" t="s">
        <v>48</v>
      </c>
      <c r="M690" s="8"/>
      <c r="N690" s="11">
        <v>50</v>
      </c>
      <c r="O690" s="3" t="s">
        <v>502</v>
      </c>
      <c r="P690" s="3" t="s">
        <v>2595</v>
      </c>
    </row>
    <row r="691" spans="1:16" x14ac:dyDescent="0.3">
      <c r="A691" s="3" t="s">
        <v>103</v>
      </c>
      <c r="B691" s="3" t="s">
        <v>103</v>
      </c>
      <c r="C691" s="3" t="s">
        <v>231</v>
      </c>
      <c r="D691" s="3" t="s">
        <v>93</v>
      </c>
      <c r="E691" s="3" t="s">
        <v>31</v>
      </c>
      <c r="F691" s="3" t="b">
        <v>0</v>
      </c>
      <c r="G691" s="3" t="s">
        <v>64</v>
      </c>
      <c r="H691" s="6">
        <v>44942.375081018523</v>
      </c>
      <c r="I691" s="3" t="b">
        <v>0</v>
      </c>
      <c r="J691" s="3" t="b">
        <v>0</v>
      </c>
      <c r="K691" s="3" t="s">
        <v>33</v>
      </c>
      <c r="L691" s="3" t="s">
        <v>34</v>
      </c>
      <c r="M691" s="8">
        <v>115000</v>
      </c>
      <c r="N691" s="11"/>
      <c r="O691" s="3" t="s">
        <v>5087</v>
      </c>
      <c r="P691" s="3" t="s">
        <v>5088</v>
      </c>
    </row>
    <row r="692" spans="1:16" x14ac:dyDescent="0.3">
      <c r="A692" s="3" t="s">
        <v>103</v>
      </c>
      <c r="B692" s="3" t="s">
        <v>5101</v>
      </c>
      <c r="C692" s="3"/>
      <c r="D692" s="3" t="s">
        <v>30</v>
      </c>
      <c r="E692" s="3" t="s">
        <v>31</v>
      </c>
      <c r="F692" s="3" t="b">
        <v>0</v>
      </c>
      <c r="G692" s="3" t="s">
        <v>64</v>
      </c>
      <c r="H692" s="6">
        <v>44945.916678240741</v>
      </c>
      <c r="I692" s="3" t="b">
        <v>0</v>
      </c>
      <c r="J692" s="3" t="b">
        <v>0</v>
      </c>
      <c r="K692" s="3" t="s">
        <v>33</v>
      </c>
      <c r="L692" s="3" t="s">
        <v>34</v>
      </c>
      <c r="M692" s="8">
        <v>105900</v>
      </c>
      <c r="N692" s="11"/>
      <c r="O692" s="3" t="s">
        <v>5102</v>
      </c>
      <c r="P692" s="3"/>
    </row>
    <row r="693" spans="1:16" x14ac:dyDescent="0.3">
      <c r="A693" s="3" t="s">
        <v>103</v>
      </c>
      <c r="B693" s="3" t="s">
        <v>103</v>
      </c>
      <c r="C693" s="3" t="s">
        <v>3030</v>
      </c>
      <c r="D693" s="3" t="s">
        <v>188</v>
      </c>
      <c r="E693" s="3" t="s">
        <v>31</v>
      </c>
      <c r="F693" s="3" t="b">
        <v>0</v>
      </c>
      <c r="G693" s="3" t="s">
        <v>140</v>
      </c>
      <c r="H693" s="6">
        <v>44953.032962962963</v>
      </c>
      <c r="I693" s="3" t="b">
        <v>1</v>
      </c>
      <c r="J693" s="3" t="b">
        <v>0</v>
      </c>
      <c r="K693" s="3" t="s">
        <v>33</v>
      </c>
      <c r="L693" s="3" t="s">
        <v>48</v>
      </c>
      <c r="M693" s="8"/>
      <c r="N693" s="11">
        <v>19.79000091552734</v>
      </c>
      <c r="O693" s="3" t="s">
        <v>114</v>
      </c>
      <c r="P693" s="3" t="s">
        <v>1904</v>
      </c>
    </row>
    <row r="694" spans="1:16" x14ac:dyDescent="0.3">
      <c r="A694" s="3" t="s">
        <v>103</v>
      </c>
      <c r="B694" s="3" t="s">
        <v>103</v>
      </c>
      <c r="C694" s="3" t="s">
        <v>396</v>
      </c>
      <c r="D694" s="3" t="s">
        <v>30</v>
      </c>
      <c r="E694" s="3" t="s">
        <v>133</v>
      </c>
      <c r="F694" s="3" t="b">
        <v>0</v>
      </c>
      <c r="G694" s="3" t="s">
        <v>58</v>
      </c>
      <c r="H694" s="6">
        <v>44952.920868055553</v>
      </c>
      <c r="I694" s="3" t="b">
        <v>0</v>
      </c>
      <c r="J694" s="3" t="b">
        <v>0</v>
      </c>
      <c r="K694" s="3" t="s">
        <v>33</v>
      </c>
      <c r="L694" s="3" t="s">
        <v>48</v>
      </c>
      <c r="M694" s="8"/>
      <c r="N694" s="11">
        <v>37.5</v>
      </c>
      <c r="O694" s="3" t="s">
        <v>589</v>
      </c>
      <c r="P694" s="3" t="s">
        <v>5105</v>
      </c>
    </row>
    <row r="695" spans="1:16" x14ac:dyDescent="0.3">
      <c r="A695" s="3" t="s">
        <v>103</v>
      </c>
      <c r="B695" s="3" t="s">
        <v>2005</v>
      </c>
      <c r="C695" s="3" t="s">
        <v>641</v>
      </c>
      <c r="D695" s="3" t="s">
        <v>30</v>
      </c>
      <c r="E695" s="3" t="s">
        <v>133</v>
      </c>
      <c r="F695" s="3" t="b">
        <v>0</v>
      </c>
      <c r="G695" s="3" t="s">
        <v>88</v>
      </c>
      <c r="H695" s="6">
        <v>44949.877071759263</v>
      </c>
      <c r="I695" s="3" t="b">
        <v>0</v>
      </c>
      <c r="J695" s="3" t="b">
        <v>0</v>
      </c>
      <c r="K695" s="3" t="s">
        <v>33</v>
      </c>
      <c r="L695" s="3" t="s">
        <v>48</v>
      </c>
      <c r="M695" s="8"/>
      <c r="N695" s="11">
        <v>40</v>
      </c>
      <c r="O695" s="3" t="s">
        <v>5106</v>
      </c>
      <c r="P695" s="3" t="s">
        <v>405</v>
      </c>
    </row>
    <row r="696" spans="1:16" x14ac:dyDescent="0.3">
      <c r="A696" s="3" t="s">
        <v>103</v>
      </c>
      <c r="B696" s="3" t="s">
        <v>1815</v>
      </c>
      <c r="C696" s="3" t="s">
        <v>1816</v>
      </c>
      <c r="D696" s="3" t="s">
        <v>53</v>
      </c>
      <c r="E696" s="3"/>
      <c r="F696" s="3" t="b">
        <v>0</v>
      </c>
      <c r="G696" s="3" t="s">
        <v>88</v>
      </c>
      <c r="H696" s="6">
        <v>44951.710138888891</v>
      </c>
      <c r="I696" s="3" t="b">
        <v>1</v>
      </c>
      <c r="J696" s="3" t="b">
        <v>0</v>
      </c>
      <c r="K696" s="3" t="s">
        <v>33</v>
      </c>
      <c r="L696" s="3" t="s">
        <v>48</v>
      </c>
      <c r="M696" s="8"/>
      <c r="N696" s="11">
        <v>17.090000152587891</v>
      </c>
      <c r="O696" s="3" t="s">
        <v>114</v>
      </c>
      <c r="P696" s="3"/>
    </row>
    <row r="697" spans="1:16" x14ac:dyDescent="0.3">
      <c r="A697" s="3" t="s">
        <v>103</v>
      </c>
      <c r="B697" s="3" t="s">
        <v>103</v>
      </c>
      <c r="C697" s="3" t="s">
        <v>83</v>
      </c>
      <c r="D697" s="3" t="s">
        <v>93</v>
      </c>
      <c r="E697" s="3" t="s">
        <v>31</v>
      </c>
      <c r="F697" s="3" t="b">
        <v>0</v>
      </c>
      <c r="G697" s="3" t="s">
        <v>64</v>
      </c>
      <c r="H697" s="6">
        <v>44953.291886574072</v>
      </c>
      <c r="I697" s="3" t="b">
        <v>0</v>
      </c>
      <c r="J697" s="3" t="b">
        <v>0</v>
      </c>
      <c r="K697" s="3" t="s">
        <v>33</v>
      </c>
      <c r="L697" s="3" t="s">
        <v>34</v>
      </c>
      <c r="M697" s="8">
        <v>90000</v>
      </c>
      <c r="N697" s="11"/>
      <c r="O697" s="3" t="s">
        <v>5110</v>
      </c>
      <c r="P697" s="3" t="s">
        <v>5111</v>
      </c>
    </row>
    <row r="698" spans="1:16" x14ac:dyDescent="0.3">
      <c r="A698" s="3" t="s">
        <v>103</v>
      </c>
      <c r="B698" s="3" t="s">
        <v>1899</v>
      </c>
      <c r="C698" s="3" t="s">
        <v>402</v>
      </c>
      <c r="D698" s="3" t="s">
        <v>41</v>
      </c>
      <c r="E698" s="3" t="s">
        <v>31</v>
      </c>
      <c r="F698" s="3" t="b">
        <v>0</v>
      </c>
      <c r="G698" s="3" t="s">
        <v>403</v>
      </c>
      <c r="H698" s="6">
        <v>44943.482372685183</v>
      </c>
      <c r="I698" s="3" t="b">
        <v>1</v>
      </c>
      <c r="J698" s="3" t="b">
        <v>0</v>
      </c>
      <c r="K698" s="3" t="s">
        <v>403</v>
      </c>
      <c r="L698" s="3" t="s">
        <v>34</v>
      </c>
      <c r="M698" s="8">
        <v>51014</v>
      </c>
      <c r="N698" s="11"/>
      <c r="O698" s="3" t="s">
        <v>356</v>
      </c>
      <c r="P698" s="3"/>
    </row>
    <row r="699" spans="1:16" x14ac:dyDescent="0.3">
      <c r="A699" s="3" t="s">
        <v>103</v>
      </c>
      <c r="B699" s="3" t="s">
        <v>5118</v>
      </c>
      <c r="C699" s="3" t="s">
        <v>5119</v>
      </c>
      <c r="D699" s="3" t="s">
        <v>76</v>
      </c>
      <c r="E699" s="3" t="s">
        <v>31</v>
      </c>
      <c r="F699" s="3" t="b">
        <v>0</v>
      </c>
      <c r="G699" s="3" t="s">
        <v>64</v>
      </c>
      <c r="H699" s="6">
        <v>44931.791574074072</v>
      </c>
      <c r="I699" s="3" t="b">
        <v>1</v>
      </c>
      <c r="J699" s="3" t="b">
        <v>0</v>
      </c>
      <c r="K699" s="3" t="s">
        <v>33</v>
      </c>
      <c r="L699" s="3" t="s">
        <v>48</v>
      </c>
      <c r="M699" s="8"/>
      <c r="N699" s="11">
        <v>32.5</v>
      </c>
      <c r="O699" s="3" t="s">
        <v>5120</v>
      </c>
      <c r="P699" s="3" t="s">
        <v>5121</v>
      </c>
    </row>
    <row r="700" spans="1:16" x14ac:dyDescent="0.3">
      <c r="A700" s="3" t="s">
        <v>103</v>
      </c>
      <c r="B700" s="3" t="s">
        <v>5122</v>
      </c>
      <c r="C700" s="3" t="s">
        <v>270</v>
      </c>
      <c r="D700" s="3" t="s">
        <v>30</v>
      </c>
      <c r="E700" s="3" t="s">
        <v>31</v>
      </c>
      <c r="F700" s="3" t="b">
        <v>0</v>
      </c>
      <c r="G700" s="3" t="s">
        <v>32</v>
      </c>
      <c r="H700" s="6">
        <v>44952.084074074082</v>
      </c>
      <c r="I700" s="3" t="b">
        <v>0</v>
      </c>
      <c r="J700" s="3" t="b">
        <v>0</v>
      </c>
      <c r="K700" s="3" t="s">
        <v>33</v>
      </c>
      <c r="L700" s="3" t="s">
        <v>34</v>
      </c>
      <c r="M700" s="8">
        <v>77500</v>
      </c>
      <c r="N700" s="11"/>
      <c r="O700" s="3" t="s">
        <v>445</v>
      </c>
      <c r="P700" s="3"/>
    </row>
    <row r="701" spans="1:16" x14ac:dyDescent="0.3">
      <c r="A701" s="3" t="s">
        <v>103</v>
      </c>
      <c r="B701" s="3" t="s">
        <v>5133</v>
      </c>
      <c r="C701" s="3" t="s">
        <v>79</v>
      </c>
      <c r="D701" s="3" t="s">
        <v>76</v>
      </c>
      <c r="E701" s="3" t="s">
        <v>31</v>
      </c>
      <c r="F701" s="3" t="b">
        <v>0</v>
      </c>
      <c r="G701" s="3" t="s">
        <v>58</v>
      </c>
      <c r="H701" s="6">
        <v>44933.043113425927</v>
      </c>
      <c r="I701" s="3" t="b">
        <v>0</v>
      </c>
      <c r="J701" s="3" t="b">
        <v>0</v>
      </c>
      <c r="K701" s="3" t="s">
        <v>33</v>
      </c>
      <c r="L701" s="3" t="s">
        <v>48</v>
      </c>
      <c r="M701" s="8"/>
      <c r="N701" s="11">
        <v>19.52499961853027</v>
      </c>
      <c r="O701" s="3" t="s">
        <v>5134</v>
      </c>
      <c r="P701" s="3"/>
    </row>
    <row r="702" spans="1:16" x14ac:dyDescent="0.3">
      <c r="A702" s="3" t="s">
        <v>103</v>
      </c>
      <c r="B702" s="3" t="s">
        <v>103</v>
      </c>
      <c r="C702" s="3" t="s">
        <v>5138</v>
      </c>
      <c r="D702" s="3" t="s">
        <v>307</v>
      </c>
      <c r="E702" s="3" t="s">
        <v>133</v>
      </c>
      <c r="F702" s="3" t="b">
        <v>0</v>
      </c>
      <c r="G702" s="3" t="s">
        <v>64</v>
      </c>
      <c r="H702" s="6">
        <v>44957.708449074067</v>
      </c>
      <c r="I702" s="3" t="b">
        <v>0</v>
      </c>
      <c r="J702" s="3" t="b">
        <v>0</v>
      </c>
      <c r="K702" s="3" t="s">
        <v>33</v>
      </c>
      <c r="L702" s="3" t="s">
        <v>48</v>
      </c>
      <c r="M702" s="8"/>
      <c r="N702" s="11">
        <v>20.5</v>
      </c>
      <c r="O702" s="3" t="s">
        <v>114</v>
      </c>
      <c r="P702" s="3" t="s">
        <v>4255</v>
      </c>
    </row>
    <row r="703" spans="1:16" x14ac:dyDescent="0.3">
      <c r="A703" s="3" t="s">
        <v>103</v>
      </c>
      <c r="B703" s="3" t="s">
        <v>103</v>
      </c>
      <c r="C703" s="3" t="s">
        <v>5139</v>
      </c>
      <c r="D703" s="3" t="s">
        <v>53</v>
      </c>
      <c r="E703" s="3" t="s">
        <v>31</v>
      </c>
      <c r="F703" s="3" t="b">
        <v>0</v>
      </c>
      <c r="G703" s="3" t="s">
        <v>32</v>
      </c>
      <c r="H703" s="6">
        <v>44930.875856481478</v>
      </c>
      <c r="I703" s="3" t="b">
        <v>1</v>
      </c>
      <c r="J703" s="3" t="b">
        <v>0</v>
      </c>
      <c r="K703" s="3" t="s">
        <v>33</v>
      </c>
      <c r="L703" s="3" t="s">
        <v>34</v>
      </c>
      <c r="M703" s="8">
        <v>137500</v>
      </c>
      <c r="N703" s="11"/>
      <c r="O703" s="3" t="s">
        <v>5140</v>
      </c>
      <c r="P703" s="3" t="s">
        <v>5141</v>
      </c>
    </row>
    <row r="704" spans="1:16" x14ac:dyDescent="0.3">
      <c r="A704" s="3" t="s">
        <v>103</v>
      </c>
      <c r="B704" s="3" t="s">
        <v>5147</v>
      </c>
      <c r="C704" s="3" t="s">
        <v>87</v>
      </c>
      <c r="D704" s="3" t="s">
        <v>76</v>
      </c>
      <c r="E704" s="3" t="s">
        <v>31</v>
      </c>
      <c r="F704" s="3" t="b">
        <v>1</v>
      </c>
      <c r="G704" s="3" t="s">
        <v>58</v>
      </c>
      <c r="H704" s="6">
        <v>44951.042962962973</v>
      </c>
      <c r="I704" s="3" t="b">
        <v>0</v>
      </c>
      <c r="J704" s="3" t="b">
        <v>0</v>
      </c>
      <c r="K704" s="3" t="s">
        <v>33</v>
      </c>
      <c r="L704" s="3" t="s">
        <v>34</v>
      </c>
      <c r="M704" s="8">
        <v>76000</v>
      </c>
      <c r="N704" s="11"/>
      <c r="O704" s="3" t="s">
        <v>5148</v>
      </c>
      <c r="P704" s="3" t="s">
        <v>1496</v>
      </c>
    </row>
    <row r="705" spans="1:16" x14ac:dyDescent="0.3">
      <c r="A705" s="3" t="s">
        <v>103</v>
      </c>
      <c r="B705" s="3" t="s">
        <v>599</v>
      </c>
      <c r="C705" s="3" t="s">
        <v>475</v>
      </c>
      <c r="D705" s="3" t="s">
        <v>287</v>
      </c>
      <c r="E705" s="3" t="s">
        <v>31</v>
      </c>
      <c r="F705" s="3" t="b">
        <v>0</v>
      </c>
      <c r="G705" s="3" t="s">
        <v>32</v>
      </c>
      <c r="H705" s="6">
        <v>44949.000821759262</v>
      </c>
      <c r="I705" s="3" t="b">
        <v>1</v>
      </c>
      <c r="J705" s="3" t="b">
        <v>0</v>
      </c>
      <c r="K705" s="3" t="s">
        <v>33</v>
      </c>
      <c r="L705" s="3" t="s">
        <v>34</v>
      </c>
      <c r="M705" s="8">
        <v>73481</v>
      </c>
      <c r="N705" s="11"/>
      <c r="O705" s="3" t="s">
        <v>5153</v>
      </c>
      <c r="P705" s="3"/>
    </row>
    <row r="706" spans="1:16" x14ac:dyDescent="0.3">
      <c r="A706" s="3" t="s">
        <v>103</v>
      </c>
      <c r="B706" s="3" t="s">
        <v>5154</v>
      </c>
      <c r="C706" s="3" t="s">
        <v>960</v>
      </c>
      <c r="D706" s="3" t="s">
        <v>41</v>
      </c>
      <c r="E706" s="3" t="s">
        <v>31</v>
      </c>
      <c r="F706" s="3" t="b">
        <v>0</v>
      </c>
      <c r="G706" s="3" t="s">
        <v>961</v>
      </c>
      <c r="H706" s="6">
        <v>44953.966284722221</v>
      </c>
      <c r="I706" s="3" t="b">
        <v>0</v>
      </c>
      <c r="J706" s="3" t="b">
        <v>0</v>
      </c>
      <c r="K706" s="3" t="s">
        <v>961</v>
      </c>
      <c r="L706" s="3" t="s">
        <v>34</v>
      </c>
      <c r="M706" s="8">
        <v>89100</v>
      </c>
      <c r="N706" s="11"/>
      <c r="O706" s="3" t="s">
        <v>2611</v>
      </c>
      <c r="P706" s="3"/>
    </row>
    <row r="707" spans="1:16" x14ac:dyDescent="0.3">
      <c r="A707" s="3" t="s">
        <v>103</v>
      </c>
      <c r="B707" s="3" t="s">
        <v>103</v>
      </c>
      <c r="C707" s="3" t="s">
        <v>4651</v>
      </c>
      <c r="D707" s="3" t="s">
        <v>30</v>
      </c>
      <c r="E707" s="3" t="s">
        <v>31</v>
      </c>
      <c r="F707" s="3" t="b">
        <v>0</v>
      </c>
      <c r="G707" s="3" t="s">
        <v>64</v>
      </c>
      <c r="H707" s="6">
        <v>44940.002002314817</v>
      </c>
      <c r="I707" s="3" t="b">
        <v>0</v>
      </c>
      <c r="J707" s="3" t="b">
        <v>0</v>
      </c>
      <c r="K707" s="3" t="s">
        <v>33</v>
      </c>
      <c r="L707" s="3" t="s">
        <v>34</v>
      </c>
      <c r="M707" s="8">
        <v>71500</v>
      </c>
      <c r="N707" s="11"/>
      <c r="O707" s="3" t="s">
        <v>4925</v>
      </c>
      <c r="P707" s="3" t="s">
        <v>4926</v>
      </c>
    </row>
    <row r="708" spans="1:16" x14ac:dyDescent="0.3">
      <c r="A708" s="3" t="s">
        <v>103</v>
      </c>
      <c r="B708" s="3" t="s">
        <v>103</v>
      </c>
      <c r="C708" s="3" t="s">
        <v>173</v>
      </c>
      <c r="D708" s="3" t="s">
        <v>188</v>
      </c>
      <c r="E708" s="3" t="s">
        <v>31</v>
      </c>
      <c r="F708" s="3" t="b">
        <v>0</v>
      </c>
      <c r="G708" s="3" t="s">
        <v>64</v>
      </c>
      <c r="H708" s="6">
        <v>44944.708518518521</v>
      </c>
      <c r="I708" s="3" t="b">
        <v>0</v>
      </c>
      <c r="J708" s="3" t="b">
        <v>0</v>
      </c>
      <c r="K708" s="3" t="s">
        <v>33</v>
      </c>
      <c r="L708" s="3" t="s">
        <v>34</v>
      </c>
      <c r="M708" s="8">
        <v>100000</v>
      </c>
      <c r="N708" s="11"/>
      <c r="O708" s="3" t="s">
        <v>5157</v>
      </c>
      <c r="P708" s="3" t="s">
        <v>5158</v>
      </c>
    </row>
    <row r="709" spans="1:16" x14ac:dyDescent="0.3">
      <c r="A709" s="3" t="s">
        <v>103</v>
      </c>
      <c r="B709" s="3" t="s">
        <v>5160</v>
      </c>
      <c r="C709" s="3" t="s">
        <v>1283</v>
      </c>
      <c r="D709" s="3" t="s">
        <v>53</v>
      </c>
      <c r="E709" s="3" t="s">
        <v>31</v>
      </c>
      <c r="F709" s="3" t="b">
        <v>0</v>
      </c>
      <c r="G709" s="3" t="s">
        <v>88</v>
      </c>
      <c r="H709" s="6">
        <v>44936.888171296298</v>
      </c>
      <c r="I709" s="3" t="b">
        <v>0</v>
      </c>
      <c r="J709" s="3" t="b">
        <v>0</v>
      </c>
      <c r="K709" s="3" t="s">
        <v>33</v>
      </c>
      <c r="L709" s="3" t="s">
        <v>34</v>
      </c>
      <c r="M709" s="8">
        <v>45000</v>
      </c>
      <c r="N709" s="11"/>
      <c r="O709" s="3" t="s">
        <v>5161</v>
      </c>
      <c r="P709" s="3" t="s">
        <v>5162</v>
      </c>
    </row>
    <row r="710" spans="1:16" x14ac:dyDescent="0.3">
      <c r="A710" s="3" t="s">
        <v>103</v>
      </c>
      <c r="B710" s="3" t="s">
        <v>103</v>
      </c>
      <c r="C710" s="3" t="s">
        <v>79</v>
      </c>
      <c r="D710" s="3" t="s">
        <v>296</v>
      </c>
      <c r="E710" s="3" t="s">
        <v>31</v>
      </c>
      <c r="F710" s="3" t="b">
        <v>0</v>
      </c>
      <c r="G710" s="3" t="s">
        <v>58</v>
      </c>
      <c r="H710" s="6">
        <v>44955.001319444447</v>
      </c>
      <c r="I710" s="3" t="b">
        <v>1</v>
      </c>
      <c r="J710" s="3" t="b">
        <v>0</v>
      </c>
      <c r="K710" s="3" t="s">
        <v>33</v>
      </c>
      <c r="L710" s="3" t="s">
        <v>48</v>
      </c>
      <c r="M710" s="8"/>
      <c r="N710" s="11">
        <v>24</v>
      </c>
      <c r="O710" s="3" t="s">
        <v>297</v>
      </c>
      <c r="P710" s="3" t="s">
        <v>5163</v>
      </c>
    </row>
    <row r="711" spans="1:16" x14ac:dyDescent="0.3">
      <c r="A711" s="3" t="s">
        <v>103</v>
      </c>
      <c r="B711" s="3" t="s">
        <v>5165</v>
      </c>
      <c r="C711" s="3" t="s">
        <v>549</v>
      </c>
      <c r="D711" s="3" t="s">
        <v>41</v>
      </c>
      <c r="E711" s="3" t="s">
        <v>31</v>
      </c>
      <c r="F711" s="3" t="b">
        <v>0</v>
      </c>
      <c r="G711" s="3" t="s">
        <v>64</v>
      </c>
      <c r="H711" s="6">
        <v>44934.833391203712</v>
      </c>
      <c r="I711" s="3" t="b">
        <v>0</v>
      </c>
      <c r="J711" s="3" t="b">
        <v>0</v>
      </c>
      <c r="K711" s="3" t="s">
        <v>33</v>
      </c>
      <c r="L711" s="3" t="s">
        <v>34</v>
      </c>
      <c r="M711" s="8">
        <v>111202</v>
      </c>
      <c r="N711" s="11"/>
      <c r="O711" s="3" t="s">
        <v>2946</v>
      </c>
      <c r="P711" s="3" t="s">
        <v>5166</v>
      </c>
    </row>
    <row r="712" spans="1:16" x14ac:dyDescent="0.3">
      <c r="A712" s="3" t="s">
        <v>103</v>
      </c>
      <c r="B712" s="3" t="s">
        <v>5167</v>
      </c>
      <c r="C712" s="3" t="s">
        <v>5168</v>
      </c>
      <c r="D712" s="3" t="s">
        <v>76</v>
      </c>
      <c r="E712" s="3" t="s">
        <v>31</v>
      </c>
      <c r="F712" s="3" t="b">
        <v>0</v>
      </c>
      <c r="G712" s="3" t="s">
        <v>32</v>
      </c>
      <c r="H712" s="6">
        <v>44934.125381944446</v>
      </c>
      <c r="I712" s="3" t="b">
        <v>0</v>
      </c>
      <c r="J712" s="3" t="b">
        <v>1</v>
      </c>
      <c r="K712" s="3" t="s">
        <v>33</v>
      </c>
      <c r="L712" s="3" t="s">
        <v>34</v>
      </c>
      <c r="M712" s="8">
        <v>90792</v>
      </c>
      <c r="N712" s="11"/>
      <c r="O712" s="3" t="s">
        <v>5169</v>
      </c>
      <c r="P712" s="3" t="s">
        <v>5170</v>
      </c>
    </row>
    <row r="713" spans="1:16" x14ac:dyDescent="0.3">
      <c r="A713" s="3" t="s">
        <v>103</v>
      </c>
      <c r="B713" s="3" t="s">
        <v>481</v>
      </c>
      <c r="C713" s="3" t="s">
        <v>87</v>
      </c>
      <c r="D713" s="3" t="s">
        <v>53</v>
      </c>
      <c r="E713" s="3" t="s">
        <v>31</v>
      </c>
      <c r="F713" s="3" t="b">
        <v>1</v>
      </c>
      <c r="G713" s="3" t="s">
        <v>32</v>
      </c>
      <c r="H713" s="6">
        <v>44940.168796296297</v>
      </c>
      <c r="I713" s="3" t="b">
        <v>0</v>
      </c>
      <c r="J713" s="3" t="b">
        <v>0</v>
      </c>
      <c r="K713" s="3" t="s">
        <v>33</v>
      </c>
      <c r="L713" s="3" t="s">
        <v>34</v>
      </c>
      <c r="M713" s="8">
        <v>85000</v>
      </c>
      <c r="N713" s="11"/>
      <c r="O713" s="3" t="s">
        <v>1065</v>
      </c>
      <c r="P713" s="3" t="s">
        <v>5177</v>
      </c>
    </row>
    <row r="714" spans="1:16" x14ac:dyDescent="0.3">
      <c r="A714" s="3" t="s">
        <v>103</v>
      </c>
      <c r="B714" s="3" t="s">
        <v>103</v>
      </c>
      <c r="C714" s="3" t="s">
        <v>4458</v>
      </c>
      <c r="D714" s="3" t="s">
        <v>30</v>
      </c>
      <c r="E714" s="3" t="s">
        <v>133</v>
      </c>
      <c r="F714" s="3" t="b">
        <v>0</v>
      </c>
      <c r="G714" s="3" t="s">
        <v>64</v>
      </c>
      <c r="H714" s="6">
        <v>44951.666701388887</v>
      </c>
      <c r="I714" s="3" t="b">
        <v>0</v>
      </c>
      <c r="J714" s="3" t="b">
        <v>0</v>
      </c>
      <c r="K714" s="3" t="s">
        <v>33</v>
      </c>
      <c r="L714" s="3" t="s">
        <v>48</v>
      </c>
      <c r="M714" s="8"/>
      <c r="N714" s="11">
        <v>45</v>
      </c>
      <c r="O714" s="3" t="s">
        <v>624</v>
      </c>
      <c r="P714" s="3" t="s">
        <v>138</v>
      </c>
    </row>
    <row r="715" spans="1:16" x14ac:dyDescent="0.3">
      <c r="A715" s="3" t="s">
        <v>103</v>
      </c>
      <c r="B715" s="3" t="s">
        <v>103</v>
      </c>
      <c r="C715" s="3" t="s">
        <v>173</v>
      </c>
      <c r="D715" s="3" t="s">
        <v>30</v>
      </c>
      <c r="E715" s="3" t="s">
        <v>133</v>
      </c>
      <c r="F715" s="3" t="b">
        <v>0</v>
      </c>
      <c r="G715" s="3" t="s">
        <v>64</v>
      </c>
      <c r="H715" s="6">
        <v>44929.810995370368</v>
      </c>
      <c r="I715" s="3" t="b">
        <v>0</v>
      </c>
      <c r="J715" s="3" t="b">
        <v>0</v>
      </c>
      <c r="K715" s="3" t="s">
        <v>33</v>
      </c>
      <c r="L715" s="3" t="s">
        <v>48</v>
      </c>
      <c r="M715" s="8"/>
      <c r="N715" s="11">
        <v>24.59999847412109</v>
      </c>
      <c r="O715" s="3" t="s">
        <v>114</v>
      </c>
      <c r="P715" s="3" t="s">
        <v>5052</v>
      </c>
    </row>
    <row r="716" spans="1:16" x14ac:dyDescent="0.3">
      <c r="A716" s="3" t="s">
        <v>103</v>
      </c>
      <c r="B716" s="3" t="s">
        <v>5186</v>
      </c>
      <c r="C716" s="3" t="s">
        <v>3668</v>
      </c>
      <c r="D716" s="3" t="s">
        <v>53</v>
      </c>
      <c r="E716" s="3" t="s">
        <v>31</v>
      </c>
      <c r="F716" s="3" t="b">
        <v>0</v>
      </c>
      <c r="G716" s="3" t="s">
        <v>58</v>
      </c>
      <c r="H716" s="6">
        <v>44944.835046296299</v>
      </c>
      <c r="I716" s="3" t="b">
        <v>0</v>
      </c>
      <c r="J716" s="3" t="b">
        <v>1</v>
      </c>
      <c r="K716" s="3" t="s">
        <v>33</v>
      </c>
      <c r="L716" s="3" t="s">
        <v>34</v>
      </c>
      <c r="M716" s="8">
        <v>117550</v>
      </c>
      <c r="N716" s="11"/>
      <c r="O716" s="3" t="s">
        <v>245</v>
      </c>
      <c r="P716" s="3" t="s">
        <v>5187</v>
      </c>
    </row>
    <row r="717" spans="1:16" x14ac:dyDescent="0.3">
      <c r="A717" s="3" t="s">
        <v>103</v>
      </c>
      <c r="B717" s="3" t="s">
        <v>5014</v>
      </c>
      <c r="C717" s="3" t="s">
        <v>5191</v>
      </c>
      <c r="D717" s="3" t="s">
        <v>237</v>
      </c>
      <c r="E717" s="3" t="s">
        <v>31</v>
      </c>
      <c r="F717" s="3" t="b">
        <v>0</v>
      </c>
      <c r="G717" s="3" t="s">
        <v>84</v>
      </c>
      <c r="H717" s="6">
        <v>44929.126087962963</v>
      </c>
      <c r="I717" s="3" t="b">
        <v>0</v>
      </c>
      <c r="J717" s="3" t="b">
        <v>0</v>
      </c>
      <c r="K717" s="3" t="s">
        <v>33</v>
      </c>
      <c r="L717" s="3" t="s">
        <v>34</v>
      </c>
      <c r="M717" s="8">
        <v>181425</v>
      </c>
      <c r="N717" s="11"/>
      <c r="O717" s="3" t="s">
        <v>119</v>
      </c>
      <c r="P717" s="3"/>
    </row>
    <row r="718" spans="1:16" x14ac:dyDescent="0.3">
      <c r="A718" s="3" t="s">
        <v>103</v>
      </c>
      <c r="B718" s="3" t="s">
        <v>795</v>
      </c>
      <c r="C718" s="3" t="s">
        <v>1167</v>
      </c>
      <c r="D718" s="3" t="s">
        <v>30</v>
      </c>
      <c r="E718" s="3" t="s">
        <v>133</v>
      </c>
      <c r="F718" s="3" t="b">
        <v>0</v>
      </c>
      <c r="G718" s="3" t="s">
        <v>84</v>
      </c>
      <c r="H718" s="6">
        <v>44957.625983796293</v>
      </c>
      <c r="I718" s="3" t="b">
        <v>0</v>
      </c>
      <c r="J718" s="3" t="b">
        <v>0</v>
      </c>
      <c r="K718" s="3" t="s">
        <v>33</v>
      </c>
      <c r="L718" s="3" t="s">
        <v>48</v>
      </c>
      <c r="M718" s="8"/>
      <c r="N718" s="11">
        <v>23.279998779296879</v>
      </c>
      <c r="O718" s="3" t="s">
        <v>3688</v>
      </c>
      <c r="P718" s="3" t="s">
        <v>5202</v>
      </c>
    </row>
    <row r="719" spans="1:16" x14ac:dyDescent="0.3">
      <c r="A719" s="3" t="s">
        <v>103</v>
      </c>
      <c r="B719" s="3" t="s">
        <v>5208</v>
      </c>
      <c r="C719" s="3" t="s">
        <v>57</v>
      </c>
      <c r="D719" s="3" t="s">
        <v>93</v>
      </c>
      <c r="E719" s="3" t="s">
        <v>31</v>
      </c>
      <c r="F719" s="3" t="b">
        <v>0</v>
      </c>
      <c r="G719" s="3" t="s">
        <v>58</v>
      </c>
      <c r="H719" s="6">
        <v>44929.167604166672</v>
      </c>
      <c r="I719" s="3" t="b">
        <v>0</v>
      </c>
      <c r="J719" s="3" t="b">
        <v>0</v>
      </c>
      <c r="K719" s="3" t="s">
        <v>33</v>
      </c>
      <c r="L719" s="3" t="s">
        <v>34</v>
      </c>
      <c r="M719" s="8">
        <v>150000</v>
      </c>
      <c r="N719" s="11"/>
      <c r="O719" s="3" t="s">
        <v>119</v>
      </c>
      <c r="P719" s="3" t="s">
        <v>2174</v>
      </c>
    </row>
    <row r="720" spans="1:16" x14ac:dyDescent="0.3">
      <c r="A720" s="3" t="s">
        <v>103</v>
      </c>
      <c r="B720" s="3" t="s">
        <v>5211</v>
      </c>
      <c r="C720" s="3" t="s">
        <v>5212</v>
      </c>
      <c r="D720" s="3" t="s">
        <v>93</v>
      </c>
      <c r="E720" s="3" t="s">
        <v>31</v>
      </c>
      <c r="F720" s="3" t="b">
        <v>0</v>
      </c>
      <c r="G720" s="3" t="s">
        <v>32</v>
      </c>
      <c r="H720" s="6">
        <v>44939.502071759263</v>
      </c>
      <c r="I720" s="3" t="b">
        <v>0</v>
      </c>
      <c r="J720" s="3" t="b">
        <v>0</v>
      </c>
      <c r="K720" s="3" t="s">
        <v>33</v>
      </c>
      <c r="L720" s="3" t="s">
        <v>34</v>
      </c>
      <c r="M720" s="8">
        <v>150000</v>
      </c>
      <c r="N720" s="11"/>
      <c r="O720" s="3" t="s">
        <v>5213</v>
      </c>
      <c r="P720" s="3" t="s">
        <v>5214</v>
      </c>
    </row>
    <row r="721" spans="1:16" x14ac:dyDescent="0.3">
      <c r="A721" s="3" t="s">
        <v>103</v>
      </c>
      <c r="B721" s="3" t="s">
        <v>5224</v>
      </c>
      <c r="C721" s="3" t="s">
        <v>4128</v>
      </c>
      <c r="D721" s="3" t="s">
        <v>41</v>
      </c>
      <c r="E721" s="3" t="s">
        <v>31</v>
      </c>
      <c r="F721" s="3" t="b">
        <v>0</v>
      </c>
      <c r="G721" s="3" t="s">
        <v>69</v>
      </c>
      <c r="H721" s="6">
        <v>44951.098611111112</v>
      </c>
      <c r="I721" s="3" t="b">
        <v>0</v>
      </c>
      <c r="J721" s="3" t="b">
        <v>0</v>
      </c>
      <c r="K721" s="3" t="s">
        <v>69</v>
      </c>
      <c r="L721" s="3" t="s">
        <v>34</v>
      </c>
      <c r="M721" s="8">
        <v>200000</v>
      </c>
      <c r="N721" s="11"/>
      <c r="O721" s="3" t="s">
        <v>356</v>
      </c>
      <c r="P721" s="3" t="s">
        <v>576</v>
      </c>
    </row>
    <row r="722" spans="1:16" x14ac:dyDescent="0.3">
      <c r="A722" s="3" t="s">
        <v>103</v>
      </c>
      <c r="B722" s="3" t="s">
        <v>5227</v>
      </c>
      <c r="C722" s="3" t="s">
        <v>1488</v>
      </c>
      <c r="D722" s="3" t="s">
        <v>53</v>
      </c>
      <c r="E722" s="3" t="s">
        <v>31</v>
      </c>
      <c r="F722" s="3" t="b">
        <v>0</v>
      </c>
      <c r="G722" s="3" t="s">
        <v>84</v>
      </c>
      <c r="H722" s="6">
        <v>44952.919004629628</v>
      </c>
      <c r="I722" s="3" t="b">
        <v>1</v>
      </c>
      <c r="J722" s="3" t="b">
        <v>0</v>
      </c>
      <c r="K722" s="3" t="s">
        <v>33</v>
      </c>
      <c r="L722" s="3" t="s">
        <v>34</v>
      </c>
      <c r="M722" s="8">
        <v>52500</v>
      </c>
      <c r="N722" s="11"/>
      <c r="O722" s="3" t="s">
        <v>5228</v>
      </c>
      <c r="P722" s="3"/>
    </row>
    <row r="723" spans="1:16" x14ac:dyDescent="0.3">
      <c r="A723" s="3" t="s">
        <v>103</v>
      </c>
      <c r="B723" s="3" t="s">
        <v>104</v>
      </c>
      <c r="C723" s="3" t="s">
        <v>5231</v>
      </c>
      <c r="D723" s="3" t="s">
        <v>106</v>
      </c>
      <c r="E723" s="3" t="s">
        <v>31</v>
      </c>
      <c r="F723" s="3" t="b">
        <v>0</v>
      </c>
      <c r="G723" s="3" t="s">
        <v>84</v>
      </c>
      <c r="H723" s="6">
        <v>44943.418773148151</v>
      </c>
      <c r="I723" s="3" t="b">
        <v>0</v>
      </c>
      <c r="J723" s="3" t="b">
        <v>1</v>
      </c>
      <c r="K723" s="3" t="s">
        <v>33</v>
      </c>
      <c r="L723" s="3" t="s">
        <v>34</v>
      </c>
      <c r="M723" s="8">
        <v>144481.5</v>
      </c>
      <c r="N723" s="11"/>
      <c r="O723" s="3" t="s">
        <v>107</v>
      </c>
      <c r="P723" s="3"/>
    </row>
    <row r="724" spans="1:16" x14ac:dyDescent="0.3">
      <c r="A724" s="3" t="s">
        <v>103</v>
      </c>
      <c r="B724" s="3" t="s">
        <v>103</v>
      </c>
      <c r="C724" s="3" t="s">
        <v>164</v>
      </c>
      <c r="D724" s="3" t="s">
        <v>30</v>
      </c>
      <c r="E724" s="3" t="s">
        <v>133</v>
      </c>
      <c r="F724" s="3" t="b">
        <v>0</v>
      </c>
      <c r="G724" s="3" t="s">
        <v>64</v>
      </c>
      <c r="H724" s="6">
        <v>44930.749907407408</v>
      </c>
      <c r="I724" s="3" t="b">
        <v>1</v>
      </c>
      <c r="J724" s="3" t="b">
        <v>0</v>
      </c>
      <c r="K724" s="3" t="s">
        <v>33</v>
      </c>
      <c r="L724" s="3" t="s">
        <v>48</v>
      </c>
      <c r="M724" s="8"/>
      <c r="N724" s="11">
        <v>23.5</v>
      </c>
      <c r="O724" s="3" t="s">
        <v>5237</v>
      </c>
      <c r="P724" s="3"/>
    </row>
    <row r="725" spans="1:16" x14ac:dyDescent="0.3">
      <c r="A725" s="3" t="s">
        <v>103</v>
      </c>
      <c r="B725" s="3" t="s">
        <v>103</v>
      </c>
      <c r="C725" s="3" t="s">
        <v>87</v>
      </c>
      <c r="D725" s="3" t="s">
        <v>1795</v>
      </c>
      <c r="E725" s="3" t="s">
        <v>31</v>
      </c>
      <c r="F725" s="3" t="b">
        <v>1</v>
      </c>
      <c r="G725" s="3" t="s">
        <v>64</v>
      </c>
      <c r="H725" s="6">
        <v>44936.333402777767</v>
      </c>
      <c r="I725" s="3" t="b">
        <v>1</v>
      </c>
      <c r="J725" s="3" t="b">
        <v>1</v>
      </c>
      <c r="K725" s="3" t="s">
        <v>33</v>
      </c>
      <c r="L725" s="3" t="s">
        <v>34</v>
      </c>
      <c r="M725" s="8">
        <v>90000</v>
      </c>
      <c r="N725" s="11"/>
      <c r="O725" s="3" t="s">
        <v>1796</v>
      </c>
      <c r="P725" s="3" t="s">
        <v>5241</v>
      </c>
    </row>
    <row r="726" spans="1:16" x14ac:dyDescent="0.3">
      <c r="A726" s="3" t="s">
        <v>103</v>
      </c>
      <c r="B726" s="3" t="s">
        <v>103</v>
      </c>
      <c r="C726" s="3" t="s">
        <v>2898</v>
      </c>
      <c r="D726" s="3" t="s">
        <v>41</v>
      </c>
      <c r="E726" s="3" t="s">
        <v>31</v>
      </c>
      <c r="F726" s="3" t="b">
        <v>0</v>
      </c>
      <c r="G726" s="3" t="s">
        <v>961</v>
      </c>
      <c r="H726" s="6">
        <v>44938.755115740743</v>
      </c>
      <c r="I726" s="3" t="b">
        <v>0</v>
      </c>
      <c r="J726" s="3" t="b">
        <v>0</v>
      </c>
      <c r="K726" s="3" t="s">
        <v>961</v>
      </c>
      <c r="L726" s="3" t="s">
        <v>34</v>
      </c>
      <c r="M726" s="8">
        <v>98500</v>
      </c>
      <c r="N726" s="11"/>
      <c r="O726" s="3" t="s">
        <v>5245</v>
      </c>
      <c r="P726" s="3" t="s">
        <v>2644</v>
      </c>
    </row>
    <row r="727" spans="1:16" x14ac:dyDescent="0.3">
      <c r="A727" s="3" t="s">
        <v>103</v>
      </c>
      <c r="B727" s="3" t="s">
        <v>5246</v>
      </c>
      <c r="C727" s="3" t="s">
        <v>5247</v>
      </c>
      <c r="D727" s="3" t="s">
        <v>76</v>
      </c>
      <c r="E727" s="3" t="s">
        <v>31</v>
      </c>
      <c r="F727" s="3" t="b">
        <v>0</v>
      </c>
      <c r="G727" s="3" t="s">
        <v>88</v>
      </c>
      <c r="H727" s="6">
        <v>44937.627523148149</v>
      </c>
      <c r="I727" s="3" t="b">
        <v>0</v>
      </c>
      <c r="J727" s="3" t="b">
        <v>1</v>
      </c>
      <c r="K727" s="3" t="s">
        <v>33</v>
      </c>
      <c r="L727" s="3" t="s">
        <v>34</v>
      </c>
      <c r="M727" s="8">
        <v>55000</v>
      </c>
      <c r="N727" s="11"/>
      <c r="O727" s="3" t="s">
        <v>5248</v>
      </c>
      <c r="P727" s="3" t="s">
        <v>405</v>
      </c>
    </row>
    <row r="728" spans="1:16" x14ac:dyDescent="0.3">
      <c r="A728" s="3" t="s">
        <v>103</v>
      </c>
      <c r="B728" s="3" t="s">
        <v>3326</v>
      </c>
      <c r="C728" s="3" t="s">
        <v>1244</v>
      </c>
      <c r="D728" s="3" t="s">
        <v>188</v>
      </c>
      <c r="E728" s="3" t="s">
        <v>31</v>
      </c>
      <c r="F728" s="3" t="b">
        <v>0</v>
      </c>
      <c r="G728" s="3" t="s">
        <v>32</v>
      </c>
      <c r="H728" s="6">
        <v>44953.917986111112</v>
      </c>
      <c r="I728" s="3" t="b">
        <v>1</v>
      </c>
      <c r="J728" s="3" t="b">
        <v>0</v>
      </c>
      <c r="K728" s="3" t="s">
        <v>33</v>
      </c>
      <c r="L728" s="3" t="s">
        <v>34</v>
      </c>
      <c r="M728" s="8">
        <v>70000</v>
      </c>
      <c r="N728" s="11"/>
      <c r="O728" s="3" t="s">
        <v>189</v>
      </c>
      <c r="P728" s="3" t="s">
        <v>3322</v>
      </c>
    </row>
    <row r="729" spans="1:16" x14ac:dyDescent="0.3">
      <c r="A729" s="3" t="s">
        <v>103</v>
      </c>
      <c r="B729" s="3" t="s">
        <v>103</v>
      </c>
      <c r="C729" s="3" t="s">
        <v>5251</v>
      </c>
      <c r="D729" s="3" t="s">
        <v>30</v>
      </c>
      <c r="E729" s="3" t="s">
        <v>31</v>
      </c>
      <c r="F729" s="3" t="b">
        <v>0</v>
      </c>
      <c r="G729" s="3" t="s">
        <v>64</v>
      </c>
      <c r="H729" s="6">
        <v>44956.583368055559</v>
      </c>
      <c r="I729" s="3" t="b">
        <v>0</v>
      </c>
      <c r="J729" s="3" t="b">
        <v>0</v>
      </c>
      <c r="K729" s="3" t="s">
        <v>33</v>
      </c>
      <c r="L729" s="3" t="s">
        <v>34</v>
      </c>
      <c r="M729" s="8">
        <v>52500</v>
      </c>
      <c r="N729" s="11"/>
      <c r="O729" s="3" t="s">
        <v>624</v>
      </c>
      <c r="P729" s="3" t="s">
        <v>1950</v>
      </c>
    </row>
    <row r="730" spans="1:16" x14ac:dyDescent="0.3">
      <c r="A730" s="3" t="s">
        <v>103</v>
      </c>
      <c r="B730" s="3" t="s">
        <v>5252</v>
      </c>
      <c r="C730" s="3" t="s">
        <v>620</v>
      </c>
      <c r="D730" s="3" t="s">
        <v>5253</v>
      </c>
      <c r="E730" s="3" t="s">
        <v>31</v>
      </c>
      <c r="F730" s="3" t="b">
        <v>0</v>
      </c>
      <c r="G730" s="3" t="s">
        <v>58</v>
      </c>
      <c r="H730" s="6">
        <v>44955.001342592594</v>
      </c>
      <c r="I730" s="3" t="b">
        <v>0</v>
      </c>
      <c r="J730" s="3" t="b">
        <v>1</v>
      </c>
      <c r="K730" s="3" t="s">
        <v>33</v>
      </c>
      <c r="L730" s="3" t="s">
        <v>48</v>
      </c>
      <c r="M730" s="8"/>
      <c r="N730" s="11">
        <v>24</v>
      </c>
      <c r="O730" s="3" t="s">
        <v>4134</v>
      </c>
      <c r="P730" s="3" t="s">
        <v>3719</v>
      </c>
    </row>
    <row r="731" spans="1:16" x14ac:dyDescent="0.3">
      <c r="A731" s="3" t="s">
        <v>103</v>
      </c>
      <c r="B731" s="3" t="s">
        <v>1420</v>
      </c>
      <c r="C731" s="3" t="s">
        <v>3567</v>
      </c>
      <c r="D731" s="3" t="s">
        <v>188</v>
      </c>
      <c r="E731" s="3" t="s">
        <v>31</v>
      </c>
      <c r="F731" s="3" t="b">
        <v>0</v>
      </c>
      <c r="G731" s="3" t="s">
        <v>64</v>
      </c>
      <c r="H731" s="6">
        <v>44944.708611111113</v>
      </c>
      <c r="I731" s="3" t="b">
        <v>1</v>
      </c>
      <c r="J731" s="3" t="b">
        <v>0</v>
      </c>
      <c r="K731" s="3" t="s">
        <v>33</v>
      </c>
      <c r="L731" s="3" t="s">
        <v>34</v>
      </c>
      <c r="M731" s="8">
        <v>65000</v>
      </c>
      <c r="N731" s="11"/>
      <c r="O731" s="3" t="s">
        <v>5254</v>
      </c>
      <c r="P731" s="3" t="s">
        <v>5255</v>
      </c>
    </row>
    <row r="732" spans="1:16" x14ac:dyDescent="0.3">
      <c r="A732" s="3" t="s">
        <v>103</v>
      </c>
      <c r="B732" s="3" t="s">
        <v>103</v>
      </c>
      <c r="C732" s="3" t="s">
        <v>46</v>
      </c>
      <c r="D732" s="3" t="s">
        <v>76</v>
      </c>
      <c r="E732" s="3" t="s">
        <v>133</v>
      </c>
      <c r="F732" s="3" t="b">
        <v>0</v>
      </c>
      <c r="G732" s="3" t="s">
        <v>32</v>
      </c>
      <c r="H732" s="6">
        <v>44947.084305555552</v>
      </c>
      <c r="I732" s="3" t="b">
        <v>1</v>
      </c>
      <c r="J732" s="3" t="b">
        <v>0</v>
      </c>
      <c r="K732" s="3" t="s">
        <v>33</v>
      </c>
      <c r="L732" s="3" t="s">
        <v>48</v>
      </c>
      <c r="M732" s="8"/>
      <c r="N732" s="11">
        <v>25.79999923706055</v>
      </c>
      <c r="O732" s="3" t="s">
        <v>5256</v>
      </c>
      <c r="P732" s="3" t="s">
        <v>5257</v>
      </c>
    </row>
    <row r="733" spans="1:16" x14ac:dyDescent="0.3">
      <c r="A733" s="3" t="s">
        <v>103</v>
      </c>
      <c r="B733" s="3" t="s">
        <v>1896</v>
      </c>
      <c r="C733" s="3" t="s">
        <v>5271</v>
      </c>
      <c r="D733" s="3" t="s">
        <v>287</v>
      </c>
      <c r="E733" s="3" t="s">
        <v>133</v>
      </c>
      <c r="F733" s="3" t="b">
        <v>0</v>
      </c>
      <c r="G733" s="3" t="s">
        <v>32</v>
      </c>
      <c r="H733" s="6">
        <v>44950.00105324074</v>
      </c>
      <c r="I733" s="3" t="b">
        <v>1</v>
      </c>
      <c r="J733" s="3" t="b">
        <v>0</v>
      </c>
      <c r="K733" s="3" t="s">
        <v>33</v>
      </c>
      <c r="L733" s="3" t="s">
        <v>34</v>
      </c>
      <c r="M733" s="8">
        <v>58017</v>
      </c>
      <c r="N733" s="11"/>
      <c r="O733" s="3" t="s">
        <v>5272</v>
      </c>
      <c r="P733" s="3" t="s">
        <v>5273</v>
      </c>
    </row>
    <row r="734" spans="1:16" x14ac:dyDescent="0.3">
      <c r="A734" s="3" t="s">
        <v>103</v>
      </c>
      <c r="B734" s="3" t="s">
        <v>5276</v>
      </c>
      <c r="C734" s="3" t="s">
        <v>5277</v>
      </c>
      <c r="D734" s="3" t="s">
        <v>76</v>
      </c>
      <c r="E734" s="3" t="s">
        <v>31</v>
      </c>
      <c r="F734" s="3" t="b">
        <v>0</v>
      </c>
      <c r="G734" s="3" t="s">
        <v>64</v>
      </c>
      <c r="H734" s="6">
        <v>44936.625277777777</v>
      </c>
      <c r="I734" s="3" t="b">
        <v>1</v>
      </c>
      <c r="J734" s="3" t="b">
        <v>1</v>
      </c>
      <c r="K734" s="3" t="s">
        <v>33</v>
      </c>
      <c r="L734" s="3" t="s">
        <v>48</v>
      </c>
      <c r="M734" s="8"/>
      <c r="N734" s="11">
        <v>21.5</v>
      </c>
      <c r="O734" s="3" t="s">
        <v>5278</v>
      </c>
      <c r="P734" s="3" t="s">
        <v>405</v>
      </c>
    </row>
    <row r="735" spans="1:16" x14ac:dyDescent="0.3">
      <c r="A735" s="3" t="s">
        <v>103</v>
      </c>
      <c r="B735" s="3" t="s">
        <v>5285</v>
      </c>
      <c r="C735" s="3" t="s">
        <v>68</v>
      </c>
      <c r="D735" s="3" t="s">
        <v>41</v>
      </c>
      <c r="E735" s="3" t="s">
        <v>31</v>
      </c>
      <c r="F735" s="3" t="b">
        <v>0</v>
      </c>
      <c r="G735" s="3" t="s">
        <v>69</v>
      </c>
      <c r="H735" s="6">
        <v>44953.293564814812</v>
      </c>
      <c r="I735" s="3" t="b">
        <v>0</v>
      </c>
      <c r="J735" s="3" t="b">
        <v>0</v>
      </c>
      <c r="K735" s="3" t="s">
        <v>69</v>
      </c>
      <c r="L735" s="3" t="s">
        <v>34</v>
      </c>
      <c r="M735" s="8">
        <v>89100</v>
      </c>
      <c r="N735" s="11"/>
      <c r="O735" s="3" t="s">
        <v>70</v>
      </c>
      <c r="P735" s="3" t="s">
        <v>5286</v>
      </c>
    </row>
    <row r="736" spans="1:16" x14ac:dyDescent="0.3">
      <c r="A736" s="3" t="s">
        <v>103</v>
      </c>
      <c r="B736" s="3" t="s">
        <v>5287</v>
      </c>
      <c r="C736" s="3" t="s">
        <v>2241</v>
      </c>
      <c r="D736" s="3" t="s">
        <v>188</v>
      </c>
      <c r="E736" s="3" t="s">
        <v>31</v>
      </c>
      <c r="F736" s="3" t="b">
        <v>0</v>
      </c>
      <c r="G736" s="3" t="s">
        <v>64</v>
      </c>
      <c r="H736" s="6">
        <v>44938.625</v>
      </c>
      <c r="I736" s="3" t="b">
        <v>1</v>
      </c>
      <c r="J736" s="3" t="b">
        <v>0</v>
      </c>
      <c r="K736" s="3" t="s">
        <v>33</v>
      </c>
      <c r="L736" s="3" t="s">
        <v>34</v>
      </c>
      <c r="M736" s="8">
        <v>80000</v>
      </c>
      <c r="N736" s="11"/>
      <c r="O736" s="3" t="s">
        <v>5288</v>
      </c>
      <c r="P736" s="3" t="s">
        <v>5289</v>
      </c>
    </row>
    <row r="737" spans="1:16" x14ac:dyDescent="0.3">
      <c r="A737" s="3" t="s">
        <v>103</v>
      </c>
      <c r="B737" s="3" t="s">
        <v>103</v>
      </c>
      <c r="C737" s="3" t="s">
        <v>3024</v>
      </c>
      <c r="D737" s="3" t="s">
        <v>5290</v>
      </c>
      <c r="E737" s="3" t="s">
        <v>31</v>
      </c>
      <c r="F737" s="3" t="b">
        <v>0</v>
      </c>
      <c r="G737" s="3" t="s">
        <v>32</v>
      </c>
      <c r="H737" s="6">
        <v>44949.000902777778</v>
      </c>
      <c r="I737" s="3" t="b">
        <v>0</v>
      </c>
      <c r="J737" s="3" t="b">
        <v>0</v>
      </c>
      <c r="K737" s="3" t="s">
        <v>33</v>
      </c>
      <c r="L737" s="3" t="s">
        <v>48</v>
      </c>
      <c r="M737" s="8"/>
      <c r="N737" s="11">
        <v>24</v>
      </c>
      <c r="O737" s="3" t="s">
        <v>5291</v>
      </c>
      <c r="P737" s="3" t="s">
        <v>4246</v>
      </c>
    </row>
    <row r="738" spans="1:16" x14ac:dyDescent="0.3">
      <c r="A738" s="3" t="s">
        <v>103</v>
      </c>
      <c r="B738" s="3" t="s">
        <v>5302</v>
      </c>
      <c r="C738" s="3" t="s">
        <v>417</v>
      </c>
      <c r="D738" s="3" t="s">
        <v>5303</v>
      </c>
      <c r="E738" s="3" t="s">
        <v>31</v>
      </c>
      <c r="F738" s="3" t="b">
        <v>0</v>
      </c>
      <c r="G738" s="3" t="s">
        <v>58</v>
      </c>
      <c r="H738" s="6">
        <v>44935.917870370373</v>
      </c>
      <c r="I738" s="3" t="b">
        <v>0</v>
      </c>
      <c r="J738" s="3" t="b">
        <v>0</v>
      </c>
      <c r="K738" s="3" t="s">
        <v>33</v>
      </c>
      <c r="L738" s="3" t="s">
        <v>34</v>
      </c>
      <c r="M738" s="8">
        <v>105000</v>
      </c>
      <c r="N738" s="11"/>
      <c r="O738" s="3" t="s">
        <v>5304</v>
      </c>
      <c r="P738" s="3" t="s">
        <v>5305</v>
      </c>
    </row>
    <row r="739" spans="1:16" x14ac:dyDescent="0.3">
      <c r="A739" s="3" t="s">
        <v>103</v>
      </c>
      <c r="B739" s="3" t="s">
        <v>103</v>
      </c>
      <c r="C739" s="3" t="s">
        <v>75</v>
      </c>
      <c r="D739" s="3" t="s">
        <v>30</v>
      </c>
      <c r="E739" s="3" t="s">
        <v>133</v>
      </c>
      <c r="F739" s="3" t="b">
        <v>0</v>
      </c>
      <c r="G739" s="3" t="s">
        <v>84</v>
      </c>
      <c r="H739" s="6">
        <v>44932.960034722222</v>
      </c>
      <c r="I739" s="3" t="b">
        <v>1</v>
      </c>
      <c r="J739" s="3" t="b">
        <v>0</v>
      </c>
      <c r="K739" s="3" t="s">
        <v>33</v>
      </c>
      <c r="L739" s="3" t="s">
        <v>48</v>
      </c>
      <c r="M739" s="8"/>
      <c r="N739" s="11">
        <v>29</v>
      </c>
      <c r="O739" s="3" t="s">
        <v>589</v>
      </c>
      <c r="P739" s="3" t="s">
        <v>1048</v>
      </c>
    </row>
    <row r="740" spans="1:16" x14ac:dyDescent="0.3">
      <c r="A740" s="3" t="s">
        <v>103</v>
      </c>
      <c r="B740" s="3" t="s">
        <v>5309</v>
      </c>
      <c r="C740" s="3" t="s">
        <v>321</v>
      </c>
      <c r="D740" s="3" t="s">
        <v>53</v>
      </c>
      <c r="E740" s="3" t="s">
        <v>31</v>
      </c>
      <c r="F740" s="3" t="b">
        <v>0</v>
      </c>
      <c r="G740" s="3" t="s">
        <v>140</v>
      </c>
      <c r="H740" s="6">
        <v>44932.166365740741</v>
      </c>
      <c r="I740" s="3" t="b">
        <v>0</v>
      </c>
      <c r="J740" s="3" t="b">
        <v>1</v>
      </c>
      <c r="K740" s="3" t="s">
        <v>33</v>
      </c>
      <c r="L740" s="3" t="s">
        <v>34</v>
      </c>
      <c r="M740" s="8">
        <v>127100</v>
      </c>
      <c r="N740" s="11"/>
      <c r="O740" s="3" t="s">
        <v>245</v>
      </c>
      <c r="P740" s="3" t="s">
        <v>5310</v>
      </c>
    </row>
    <row r="741" spans="1:16" x14ac:dyDescent="0.3">
      <c r="A741" s="3" t="s">
        <v>103</v>
      </c>
      <c r="B741" s="3" t="s">
        <v>5311</v>
      </c>
      <c r="C741" s="3" t="s">
        <v>585</v>
      </c>
      <c r="D741" s="3" t="s">
        <v>950</v>
      </c>
      <c r="E741" s="3" t="s">
        <v>31</v>
      </c>
      <c r="F741" s="3" t="b">
        <v>0</v>
      </c>
      <c r="G741" s="3" t="s">
        <v>32</v>
      </c>
      <c r="H741" s="6">
        <v>44940.667766203696</v>
      </c>
      <c r="I741" s="3" t="b">
        <v>1</v>
      </c>
      <c r="J741" s="3" t="b">
        <v>1</v>
      </c>
      <c r="K741" s="3" t="s">
        <v>33</v>
      </c>
      <c r="L741" s="3" t="s">
        <v>48</v>
      </c>
      <c r="M741" s="8"/>
      <c r="N741" s="11">
        <v>46.860000610351563</v>
      </c>
      <c r="O741" s="3" t="s">
        <v>586</v>
      </c>
      <c r="P741" s="3" t="s">
        <v>587</v>
      </c>
    </row>
    <row r="742" spans="1:16" x14ac:dyDescent="0.3">
      <c r="A742" s="3" t="s">
        <v>103</v>
      </c>
      <c r="B742" s="3" t="s">
        <v>5319</v>
      </c>
      <c r="C742" s="3" t="s">
        <v>164</v>
      </c>
      <c r="D742" s="3" t="s">
        <v>30</v>
      </c>
      <c r="E742" s="3" t="s">
        <v>31</v>
      </c>
      <c r="F742" s="3" t="b">
        <v>0</v>
      </c>
      <c r="G742" s="3" t="s">
        <v>64</v>
      </c>
      <c r="H742" s="6">
        <v>44945.583460648151</v>
      </c>
      <c r="I742" s="3" t="b">
        <v>0</v>
      </c>
      <c r="J742" s="3" t="b">
        <v>0</v>
      </c>
      <c r="K742" s="3" t="s">
        <v>33</v>
      </c>
      <c r="L742" s="3" t="s">
        <v>34</v>
      </c>
      <c r="M742" s="8">
        <v>90000</v>
      </c>
      <c r="N742" s="11"/>
      <c r="O742" s="3" t="s">
        <v>196</v>
      </c>
      <c r="P742" s="3" t="s">
        <v>1545</v>
      </c>
    </row>
    <row r="743" spans="1:16" x14ac:dyDescent="0.3">
      <c r="A743" s="3" t="s">
        <v>103</v>
      </c>
      <c r="B743" s="3" t="s">
        <v>103</v>
      </c>
      <c r="C743" s="3" t="s">
        <v>321</v>
      </c>
      <c r="D743" s="3" t="s">
        <v>76</v>
      </c>
      <c r="E743" s="3" t="s">
        <v>31</v>
      </c>
      <c r="F743" s="3" t="b">
        <v>0</v>
      </c>
      <c r="G743" s="3" t="s">
        <v>140</v>
      </c>
      <c r="H743" s="6">
        <v>44935.611030092587</v>
      </c>
      <c r="I743" s="3" t="b">
        <v>1</v>
      </c>
      <c r="J743" s="3" t="b">
        <v>0</v>
      </c>
      <c r="K743" s="3" t="s">
        <v>33</v>
      </c>
      <c r="L743" s="3" t="s">
        <v>48</v>
      </c>
      <c r="M743" s="8"/>
      <c r="N743" s="11">
        <v>62.5</v>
      </c>
      <c r="O743" s="3" t="s">
        <v>5320</v>
      </c>
      <c r="P743" s="3" t="s">
        <v>5321</v>
      </c>
    </row>
    <row r="744" spans="1:16" x14ac:dyDescent="0.3">
      <c r="A744" s="3" t="s">
        <v>103</v>
      </c>
      <c r="B744" s="3" t="s">
        <v>5325</v>
      </c>
      <c r="C744" s="3" t="s">
        <v>258</v>
      </c>
      <c r="D744" s="3" t="s">
        <v>950</v>
      </c>
      <c r="E744" s="3" t="s">
        <v>31</v>
      </c>
      <c r="F744" s="3" t="b">
        <v>0</v>
      </c>
      <c r="G744" s="3" t="s">
        <v>32</v>
      </c>
      <c r="H744" s="6">
        <v>44940.667766203696</v>
      </c>
      <c r="I744" s="3" t="b">
        <v>1</v>
      </c>
      <c r="J744" s="3" t="b">
        <v>0</v>
      </c>
      <c r="K744" s="3" t="s">
        <v>33</v>
      </c>
      <c r="L744" s="3" t="s">
        <v>34</v>
      </c>
      <c r="M744" s="8">
        <v>81350</v>
      </c>
      <c r="N744" s="11"/>
      <c r="O744" s="3" t="s">
        <v>1558</v>
      </c>
      <c r="P744" s="3" t="s">
        <v>374</v>
      </c>
    </row>
    <row r="745" spans="1:16" x14ac:dyDescent="0.3">
      <c r="A745" s="3" t="s">
        <v>103</v>
      </c>
      <c r="B745" s="3" t="s">
        <v>1190</v>
      </c>
      <c r="C745" s="3" t="s">
        <v>910</v>
      </c>
      <c r="D745" s="3" t="s">
        <v>30</v>
      </c>
      <c r="E745" s="3" t="s">
        <v>133</v>
      </c>
      <c r="F745" s="3" t="b">
        <v>0</v>
      </c>
      <c r="G745" s="3" t="s">
        <v>32</v>
      </c>
      <c r="H745" s="6">
        <v>44946.011967592603</v>
      </c>
      <c r="I745" s="3" t="b">
        <v>0</v>
      </c>
      <c r="J745" s="3" t="b">
        <v>0</v>
      </c>
      <c r="K745" s="3" t="s">
        <v>33</v>
      </c>
      <c r="L745" s="3" t="s">
        <v>48</v>
      </c>
      <c r="M745" s="8"/>
      <c r="N745" s="11">
        <v>67.5</v>
      </c>
      <c r="O745" s="3" t="s">
        <v>589</v>
      </c>
      <c r="P745" s="3" t="s">
        <v>3945</v>
      </c>
    </row>
    <row r="746" spans="1:16" x14ac:dyDescent="0.3">
      <c r="A746" s="3" t="s">
        <v>103</v>
      </c>
      <c r="B746" s="3" t="s">
        <v>635</v>
      </c>
      <c r="C746" s="3" t="s">
        <v>1283</v>
      </c>
      <c r="D746" s="3" t="s">
        <v>390</v>
      </c>
      <c r="E746" s="3" t="s">
        <v>31</v>
      </c>
      <c r="F746" s="3" t="b">
        <v>0</v>
      </c>
      <c r="G746" s="3" t="s">
        <v>88</v>
      </c>
      <c r="H746" s="6">
        <v>44929.084745370368</v>
      </c>
      <c r="I746" s="3" t="b">
        <v>0</v>
      </c>
      <c r="J746" s="3" t="b">
        <v>0</v>
      </c>
      <c r="K746" s="3" t="s">
        <v>33</v>
      </c>
      <c r="L746" s="3" t="s">
        <v>34</v>
      </c>
      <c r="M746" s="8">
        <v>101540</v>
      </c>
      <c r="N746" s="11"/>
      <c r="O746" s="3" t="s">
        <v>119</v>
      </c>
      <c r="P746" s="3" t="s">
        <v>374</v>
      </c>
    </row>
    <row r="747" spans="1:16" x14ac:dyDescent="0.3">
      <c r="A747" s="3" t="s">
        <v>103</v>
      </c>
      <c r="B747" s="3" t="s">
        <v>5327</v>
      </c>
      <c r="C747" s="3" t="s">
        <v>5328</v>
      </c>
      <c r="D747" s="3" t="s">
        <v>93</v>
      </c>
      <c r="E747" s="3" t="s">
        <v>31</v>
      </c>
      <c r="F747" s="3" t="b">
        <v>0</v>
      </c>
      <c r="G747" s="3" t="s">
        <v>64</v>
      </c>
      <c r="H747" s="6">
        <v>44943.500208333331</v>
      </c>
      <c r="I747" s="3" t="b">
        <v>1</v>
      </c>
      <c r="J747" s="3" t="b">
        <v>0</v>
      </c>
      <c r="K747" s="3" t="s">
        <v>33</v>
      </c>
      <c r="L747" s="3" t="s">
        <v>34</v>
      </c>
      <c r="M747" s="8">
        <v>125000</v>
      </c>
      <c r="N747" s="11"/>
      <c r="O747" s="3" t="s">
        <v>5329</v>
      </c>
      <c r="P747" s="3" t="s">
        <v>5330</v>
      </c>
    </row>
    <row r="748" spans="1:16" x14ac:dyDescent="0.3">
      <c r="A748" s="3" t="s">
        <v>103</v>
      </c>
      <c r="B748" s="3" t="s">
        <v>5333</v>
      </c>
      <c r="C748" s="3" t="s">
        <v>910</v>
      </c>
      <c r="D748" s="3" t="s">
        <v>76</v>
      </c>
      <c r="E748" s="3" t="s">
        <v>31</v>
      </c>
      <c r="F748" s="3" t="b">
        <v>0</v>
      </c>
      <c r="G748" s="3" t="s">
        <v>32</v>
      </c>
      <c r="H748" s="6">
        <v>44955.792291666658</v>
      </c>
      <c r="I748" s="3" t="b">
        <v>1</v>
      </c>
      <c r="J748" s="3" t="b">
        <v>1</v>
      </c>
      <c r="K748" s="3" t="s">
        <v>33</v>
      </c>
      <c r="L748" s="3" t="s">
        <v>34</v>
      </c>
      <c r="M748" s="8">
        <v>49500</v>
      </c>
      <c r="N748" s="11"/>
      <c r="O748" s="3" t="s">
        <v>5334</v>
      </c>
      <c r="P748" s="3" t="s">
        <v>374</v>
      </c>
    </row>
    <row r="749" spans="1:16" x14ac:dyDescent="0.3">
      <c r="A749" s="3" t="s">
        <v>103</v>
      </c>
      <c r="B749" s="3" t="s">
        <v>103</v>
      </c>
      <c r="C749" s="3" t="s">
        <v>258</v>
      </c>
      <c r="D749" s="3" t="s">
        <v>30</v>
      </c>
      <c r="E749" s="3" t="s">
        <v>133</v>
      </c>
      <c r="F749" s="3" t="b">
        <v>0</v>
      </c>
      <c r="G749" s="3" t="s">
        <v>32</v>
      </c>
      <c r="H749" s="6">
        <v>44927.875821759262</v>
      </c>
      <c r="I749" s="3" t="b">
        <v>0</v>
      </c>
      <c r="J749" s="3" t="b">
        <v>0</v>
      </c>
      <c r="K749" s="3" t="s">
        <v>33</v>
      </c>
      <c r="L749" s="3" t="s">
        <v>34</v>
      </c>
      <c r="M749" s="8">
        <v>92500</v>
      </c>
      <c r="N749" s="11"/>
      <c r="O749" s="3" t="s">
        <v>114</v>
      </c>
      <c r="P749" s="3" t="s">
        <v>873</v>
      </c>
    </row>
    <row r="750" spans="1:16" x14ac:dyDescent="0.3">
      <c r="A750" s="3" t="s">
        <v>103</v>
      </c>
      <c r="B750" s="3" t="s">
        <v>5342</v>
      </c>
      <c r="C750" s="3" t="s">
        <v>3030</v>
      </c>
      <c r="D750" s="3" t="s">
        <v>93</v>
      </c>
      <c r="E750" s="3" t="s">
        <v>31</v>
      </c>
      <c r="F750" s="3" t="b">
        <v>0</v>
      </c>
      <c r="G750" s="3" t="s">
        <v>88</v>
      </c>
      <c r="H750" s="6">
        <v>44942.404953703714</v>
      </c>
      <c r="I750" s="3" t="b">
        <v>0</v>
      </c>
      <c r="J750" s="3" t="b">
        <v>1</v>
      </c>
      <c r="K750" s="3" t="s">
        <v>33</v>
      </c>
      <c r="L750" s="3" t="s">
        <v>34</v>
      </c>
      <c r="M750" s="8">
        <v>150000</v>
      </c>
      <c r="N750" s="11"/>
      <c r="O750" s="3" t="s">
        <v>1739</v>
      </c>
      <c r="P750" s="3"/>
    </row>
    <row r="751" spans="1:16" x14ac:dyDescent="0.3">
      <c r="A751" s="3" t="s">
        <v>103</v>
      </c>
      <c r="B751" s="3" t="s">
        <v>4589</v>
      </c>
      <c r="C751" s="3" t="s">
        <v>1036</v>
      </c>
      <c r="D751" s="3" t="s">
        <v>30</v>
      </c>
      <c r="E751" s="3" t="s">
        <v>31</v>
      </c>
      <c r="F751" s="3" t="b">
        <v>0</v>
      </c>
      <c r="G751" s="3" t="s">
        <v>140</v>
      </c>
      <c r="H751" s="6">
        <v>44946.651967592603</v>
      </c>
      <c r="I751" s="3" t="b">
        <v>0</v>
      </c>
      <c r="J751" s="3" t="b">
        <v>0</v>
      </c>
      <c r="K751" s="3" t="s">
        <v>33</v>
      </c>
      <c r="L751" s="3" t="s">
        <v>34</v>
      </c>
      <c r="M751" s="8">
        <v>70000</v>
      </c>
      <c r="N751" s="11"/>
      <c r="O751" s="3" t="s">
        <v>5343</v>
      </c>
      <c r="P751" s="3" t="s">
        <v>5344</v>
      </c>
    </row>
    <row r="752" spans="1:16" x14ac:dyDescent="0.3">
      <c r="A752" s="3" t="s">
        <v>103</v>
      </c>
      <c r="B752" s="3" t="s">
        <v>4780</v>
      </c>
      <c r="C752" s="3" t="s">
        <v>5345</v>
      </c>
      <c r="D752" s="3" t="s">
        <v>30</v>
      </c>
      <c r="E752" s="3" t="s">
        <v>31</v>
      </c>
      <c r="F752" s="3" t="b">
        <v>0</v>
      </c>
      <c r="G752" s="3" t="s">
        <v>84</v>
      </c>
      <c r="H752" s="6">
        <v>44930.96</v>
      </c>
      <c r="I752" s="3" t="b">
        <v>0</v>
      </c>
      <c r="J752" s="3" t="b">
        <v>0</v>
      </c>
      <c r="K752" s="3" t="s">
        <v>33</v>
      </c>
      <c r="L752" s="3" t="s">
        <v>34</v>
      </c>
      <c r="M752" s="8">
        <v>85000</v>
      </c>
      <c r="N752" s="11"/>
      <c r="O752" s="3" t="s">
        <v>5346</v>
      </c>
      <c r="P752" s="3" t="s">
        <v>5347</v>
      </c>
    </row>
    <row r="753" spans="1:16" x14ac:dyDescent="0.3">
      <c r="A753" s="3" t="s">
        <v>103</v>
      </c>
      <c r="B753" s="3" t="s">
        <v>5348</v>
      </c>
      <c r="C753" s="3" t="s">
        <v>164</v>
      </c>
      <c r="D753" s="3" t="s">
        <v>93</v>
      </c>
      <c r="E753" s="3" t="s">
        <v>31</v>
      </c>
      <c r="F753" s="3" t="b">
        <v>0</v>
      </c>
      <c r="G753" s="3" t="s">
        <v>64</v>
      </c>
      <c r="H753" s="6">
        <v>44942.2500462963</v>
      </c>
      <c r="I753" s="3" t="b">
        <v>1</v>
      </c>
      <c r="J753" s="3" t="b">
        <v>0</v>
      </c>
      <c r="K753" s="3" t="s">
        <v>33</v>
      </c>
      <c r="L753" s="3" t="s">
        <v>34</v>
      </c>
      <c r="M753" s="8">
        <v>150000</v>
      </c>
      <c r="N753" s="11"/>
      <c r="O753" s="3" t="s">
        <v>786</v>
      </c>
      <c r="P753" s="3" t="s">
        <v>5349</v>
      </c>
    </row>
    <row r="754" spans="1:16" x14ac:dyDescent="0.3">
      <c r="A754" s="3" t="s">
        <v>103</v>
      </c>
      <c r="B754" s="3" t="s">
        <v>5358</v>
      </c>
      <c r="C754" s="3" t="s">
        <v>5359</v>
      </c>
      <c r="D754" s="3" t="s">
        <v>76</v>
      </c>
      <c r="E754" s="3" t="s">
        <v>31</v>
      </c>
      <c r="F754" s="3" t="b">
        <v>0</v>
      </c>
      <c r="G754" s="3" t="s">
        <v>32</v>
      </c>
      <c r="H754" s="6">
        <v>44956.667557870373</v>
      </c>
      <c r="I754" s="3" t="b">
        <v>1</v>
      </c>
      <c r="J754" s="3" t="b">
        <v>0</v>
      </c>
      <c r="K754" s="3" t="s">
        <v>33</v>
      </c>
      <c r="L754" s="3" t="s">
        <v>34</v>
      </c>
      <c r="M754" s="8">
        <v>115000</v>
      </c>
      <c r="N754" s="11"/>
      <c r="O754" s="3" t="s">
        <v>5360</v>
      </c>
      <c r="P754" s="3" t="s">
        <v>3153</v>
      </c>
    </row>
    <row r="755" spans="1:16" x14ac:dyDescent="0.3">
      <c r="A755" s="3" t="s">
        <v>103</v>
      </c>
      <c r="B755" s="3" t="s">
        <v>5363</v>
      </c>
      <c r="C755" s="3" t="s">
        <v>109</v>
      </c>
      <c r="D755" s="3" t="s">
        <v>76</v>
      </c>
      <c r="E755" s="3" t="s">
        <v>1861</v>
      </c>
      <c r="F755" s="3" t="b">
        <v>0</v>
      </c>
      <c r="G755" s="3" t="s">
        <v>58</v>
      </c>
      <c r="H755" s="6">
        <v>44950.95957175926</v>
      </c>
      <c r="I755" s="3" t="b">
        <v>1</v>
      </c>
      <c r="J755" s="3" t="b">
        <v>0</v>
      </c>
      <c r="K755" s="3" t="s">
        <v>33</v>
      </c>
      <c r="L755" s="3" t="s">
        <v>48</v>
      </c>
      <c r="M755" s="8"/>
      <c r="N755" s="11">
        <v>10</v>
      </c>
      <c r="O755" s="3" t="s">
        <v>5364</v>
      </c>
      <c r="P755" s="3" t="s">
        <v>5365</v>
      </c>
    </row>
    <row r="756" spans="1:16" x14ac:dyDescent="0.3">
      <c r="A756" s="3" t="s">
        <v>103</v>
      </c>
      <c r="B756" s="3" t="s">
        <v>5370</v>
      </c>
      <c r="C756" s="3" t="s">
        <v>3367</v>
      </c>
      <c r="D756" s="3" t="s">
        <v>93</v>
      </c>
      <c r="E756" s="3" t="s">
        <v>31</v>
      </c>
      <c r="F756" s="3" t="b">
        <v>0</v>
      </c>
      <c r="G756" s="3" t="s">
        <v>88</v>
      </c>
      <c r="H756" s="6">
        <v>44943.252349537041</v>
      </c>
      <c r="I756" s="3" t="b">
        <v>0</v>
      </c>
      <c r="J756" s="3" t="b">
        <v>1</v>
      </c>
      <c r="K756" s="3" t="s">
        <v>33</v>
      </c>
      <c r="L756" s="3" t="s">
        <v>34</v>
      </c>
      <c r="M756" s="8">
        <v>115000</v>
      </c>
      <c r="N756" s="11"/>
      <c r="O756" s="3" t="s">
        <v>727</v>
      </c>
      <c r="P756" s="3" t="s">
        <v>5371</v>
      </c>
    </row>
    <row r="757" spans="1:16" x14ac:dyDescent="0.3">
      <c r="A757" s="3" t="s">
        <v>103</v>
      </c>
      <c r="B757" s="3" t="s">
        <v>103</v>
      </c>
      <c r="C757" s="3" t="s">
        <v>87</v>
      </c>
      <c r="D757" s="3" t="s">
        <v>307</v>
      </c>
      <c r="E757" s="3" t="s">
        <v>31</v>
      </c>
      <c r="F757" s="3" t="b">
        <v>1</v>
      </c>
      <c r="G757" s="3" t="s">
        <v>64</v>
      </c>
      <c r="H757" s="6">
        <v>44945.708414351851</v>
      </c>
      <c r="I757" s="3" t="b">
        <v>0</v>
      </c>
      <c r="J757" s="3" t="b">
        <v>0</v>
      </c>
      <c r="K757" s="3" t="s">
        <v>33</v>
      </c>
      <c r="L757" s="3" t="s">
        <v>34</v>
      </c>
      <c r="M757" s="8">
        <v>115000</v>
      </c>
      <c r="N757" s="11"/>
      <c r="O757" s="3" t="s">
        <v>114</v>
      </c>
      <c r="P757" s="3" t="s">
        <v>5372</v>
      </c>
    </row>
    <row r="758" spans="1:16" x14ac:dyDescent="0.3">
      <c r="A758" s="3" t="s">
        <v>103</v>
      </c>
      <c r="B758" s="3" t="s">
        <v>5376</v>
      </c>
      <c r="C758" s="3" t="s">
        <v>5377</v>
      </c>
      <c r="D758" s="3" t="s">
        <v>30</v>
      </c>
      <c r="E758" s="3" t="s">
        <v>133</v>
      </c>
      <c r="F758" s="3" t="b">
        <v>0</v>
      </c>
      <c r="G758" s="3" t="s">
        <v>64</v>
      </c>
      <c r="H758" s="6">
        <v>44927.961423611108</v>
      </c>
      <c r="I758" s="3" t="b">
        <v>0</v>
      </c>
      <c r="J758" s="3" t="b">
        <v>0</v>
      </c>
      <c r="K758" s="3" t="s">
        <v>33</v>
      </c>
      <c r="L758" s="3" t="s">
        <v>48</v>
      </c>
      <c r="M758" s="8"/>
      <c r="N758" s="11">
        <v>55</v>
      </c>
      <c r="O758" s="3" t="s">
        <v>5378</v>
      </c>
      <c r="P758" s="3" t="s">
        <v>374</v>
      </c>
    </row>
    <row r="759" spans="1:16" x14ac:dyDescent="0.3">
      <c r="A759" s="3" t="s">
        <v>103</v>
      </c>
      <c r="B759" s="3" t="s">
        <v>103</v>
      </c>
      <c r="C759" s="3" t="s">
        <v>2009</v>
      </c>
      <c r="D759" s="3" t="s">
        <v>5380</v>
      </c>
      <c r="E759" s="3" t="s">
        <v>31</v>
      </c>
      <c r="F759" s="3" t="b">
        <v>0</v>
      </c>
      <c r="G759" s="3" t="s">
        <v>32</v>
      </c>
      <c r="H759" s="6">
        <v>44936.000648148147</v>
      </c>
      <c r="I759" s="3" t="b">
        <v>0</v>
      </c>
      <c r="J759" s="3" t="b">
        <v>1</v>
      </c>
      <c r="K759" s="3" t="s">
        <v>33</v>
      </c>
      <c r="L759" s="3" t="s">
        <v>48</v>
      </c>
      <c r="M759" s="8"/>
      <c r="N759" s="11">
        <v>38</v>
      </c>
      <c r="O759" s="3" t="s">
        <v>5083</v>
      </c>
      <c r="P759" s="3" t="s">
        <v>5381</v>
      </c>
    </row>
    <row r="760" spans="1:16" x14ac:dyDescent="0.3">
      <c r="A760" s="3" t="s">
        <v>103</v>
      </c>
      <c r="B760" s="3" t="s">
        <v>5385</v>
      </c>
      <c r="C760" s="3" t="s">
        <v>565</v>
      </c>
      <c r="D760" s="3" t="s">
        <v>53</v>
      </c>
      <c r="E760" s="3" t="s">
        <v>31</v>
      </c>
      <c r="F760" s="3" t="b">
        <v>0</v>
      </c>
      <c r="G760" s="3" t="s">
        <v>140</v>
      </c>
      <c r="H760" s="6">
        <v>44949.850462962961</v>
      </c>
      <c r="I760" s="3" t="b">
        <v>0</v>
      </c>
      <c r="J760" s="3" t="b">
        <v>1</v>
      </c>
      <c r="K760" s="3" t="s">
        <v>33</v>
      </c>
      <c r="L760" s="3" t="s">
        <v>48</v>
      </c>
      <c r="M760" s="8"/>
      <c r="N760" s="11">
        <v>56</v>
      </c>
      <c r="O760" s="3" t="s">
        <v>5386</v>
      </c>
      <c r="P760" s="3" t="s">
        <v>5387</v>
      </c>
    </row>
    <row r="761" spans="1:16" x14ac:dyDescent="0.3">
      <c r="A761" s="3" t="s">
        <v>103</v>
      </c>
      <c r="B761" s="3" t="s">
        <v>5390</v>
      </c>
      <c r="C761" s="3" t="s">
        <v>5391</v>
      </c>
      <c r="D761" s="3" t="s">
        <v>76</v>
      </c>
      <c r="E761" s="3" t="s">
        <v>31</v>
      </c>
      <c r="F761" s="3" t="b">
        <v>0</v>
      </c>
      <c r="G761" s="3" t="s">
        <v>88</v>
      </c>
      <c r="H761" s="6">
        <v>44932.502164351848</v>
      </c>
      <c r="I761" s="3" t="b">
        <v>1</v>
      </c>
      <c r="J761" s="3" t="b">
        <v>1</v>
      </c>
      <c r="K761" s="3" t="s">
        <v>33</v>
      </c>
      <c r="L761" s="3" t="s">
        <v>34</v>
      </c>
      <c r="M761" s="8">
        <v>50289.1796875</v>
      </c>
      <c r="N761" s="11"/>
      <c r="O761" s="3" t="s">
        <v>5392</v>
      </c>
      <c r="P761" s="3" t="s">
        <v>5393</v>
      </c>
    </row>
    <row r="762" spans="1:16" x14ac:dyDescent="0.3">
      <c r="A762" s="3" t="s">
        <v>103</v>
      </c>
      <c r="B762" s="3" t="s">
        <v>5394</v>
      </c>
      <c r="C762" s="3" t="s">
        <v>192</v>
      </c>
      <c r="D762" s="3" t="s">
        <v>76</v>
      </c>
      <c r="E762" s="3" t="s">
        <v>31</v>
      </c>
      <c r="F762" s="3" t="b">
        <v>0</v>
      </c>
      <c r="G762" s="3" t="s">
        <v>88</v>
      </c>
      <c r="H762" s="6">
        <v>44957.917916666673</v>
      </c>
      <c r="I762" s="3" t="b">
        <v>0</v>
      </c>
      <c r="J762" s="3" t="b">
        <v>0</v>
      </c>
      <c r="K762" s="3" t="s">
        <v>33</v>
      </c>
      <c r="L762" s="3" t="s">
        <v>34</v>
      </c>
      <c r="M762" s="8">
        <v>42120</v>
      </c>
      <c r="N762" s="11"/>
      <c r="O762" s="3" t="s">
        <v>5395</v>
      </c>
      <c r="P762" s="3" t="s">
        <v>5396</v>
      </c>
    </row>
    <row r="763" spans="1:16" x14ac:dyDescent="0.3">
      <c r="A763" s="3" t="s">
        <v>103</v>
      </c>
      <c r="B763" s="3" t="s">
        <v>103</v>
      </c>
      <c r="C763" s="3" t="s">
        <v>87</v>
      </c>
      <c r="D763" s="3" t="s">
        <v>53</v>
      </c>
      <c r="E763" s="3" t="s">
        <v>31</v>
      </c>
      <c r="F763" s="3" t="b">
        <v>1</v>
      </c>
      <c r="G763" s="3" t="s">
        <v>84</v>
      </c>
      <c r="H763" s="6">
        <v>44953.627164351848</v>
      </c>
      <c r="I763" s="3" t="b">
        <v>0</v>
      </c>
      <c r="J763" s="3" t="b">
        <v>0</v>
      </c>
      <c r="K763" s="3" t="s">
        <v>33</v>
      </c>
      <c r="L763" s="3" t="s">
        <v>48</v>
      </c>
      <c r="M763" s="8"/>
      <c r="N763" s="11">
        <v>29</v>
      </c>
      <c r="O763" s="3" t="s">
        <v>5407</v>
      </c>
      <c r="P763" s="3" t="s">
        <v>405</v>
      </c>
    </row>
    <row r="764" spans="1:16" x14ac:dyDescent="0.3">
      <c r="A764" s="3" t="s">
        <v>103</v>
      </c>
      <c r="B764" s="3" t="s">
        <v>5414</v>
      </c>
      <c r="C764" s="3" t="s">
        <v>848</v>
      </c>
      <c r="D764" s="3" t="s">
        <v>41</v>
      </c>
      <c r="E764" s="3" t="s">
        <v>31</v>
      </c>
      <c r="F764" s="3" t="b">
        <v>0</v>
      </c>
      <c r="G764" s="3" t="s">
        <v>849</v>
      </c>
      <c r="H764" s="6">
        <v>44936.658194444448</v>
      </c>
      <c r="I764" s="3" t="b">
        <v>0</v>
      </c>
      <c r="J764" s="3" t="b">
        <v>0</v>
      </c>
      <c r="K764" s="3" t="s">
        <v>849</v>
      </c>
      <c r="L764" s="3" t="s">
        <v>34</v>
      </c>
      <c r="M764" s="8">
        <v>45000</v>
      </c>
      <c r="N764" s="11"/>
      <c r="O764" s="3" t="s">
        <v>875</v>
      </c>
      <c r="P764" s="3" t="s">
        <v>405</v>
      </c>
    </row>
    <row r="765" spans="1:16" x14ac:dyDescent="0.3">
      <c r="A765" s="3" t="s">
        <v>103</v>
      </c>
      <c r="B765" s="3" t="s">
        <v>103</v>
      </c>
      <c r="C765" s="3" t="s">
        <v>5415</v>
      </c>
      <c r="D765" s="3" t="s">
        <v>188</v>
      </c>
      <c r="E765" s="3" t="s">
        <v>31</v>
      </c>
      <c r="F765" s="3" t="b">
        <v>0</v>
      </c>
      <c r="G765" s="3" t="s">
        <v>140</v>
      </c>
      <c r="H765" s="6">
        <v>44939.888935185183</v>
      </c>
      <c r="I765" s="3" t="b">
        <v>1</v>
      </c>
      <c r="J765" s="3" t="b">
        <v>0</v>
      </c>
      <c r="K765" s="3" t="s">
        <v>33</v>
      </c>
      <c r="L765" s="3" t="s">
        <v>34</v>
      </c>
      <c r="M765" s="8">
        <v>70000</v>
      </c>
      <c r="N765" s="11"/>
      <c r="O765" s="3" t="s">
        <v>189</v>
      </c>
      <c r="P765" s="3" t="s">
        <v>374</v>
      </c>
    </row>
    <row r="766" spans="1:16" x14ac:dyDescent="0.3">
      <c r="A766" s="3" t="s">
        <v>103</v>
      </c>
      <c r="B766" s="3" t="s">
        <v>1166</v>
      </c>
      <c r="C766" s="3" t="s">
        <v>87</v>
      </c>
      <c r="D766" s="3" t="s">
        <v>30</v>
      </c>
      <c r="E766" s="3" t="s">
        <v>31</v>
      </c>
      <c r="F766" s="3" t="b">
        <v>1</v>
      </c>
      <c r="G766" s="3" t="s">
        <v>32</v>
      </c>
      <c r="H766" s="6">
        <v>44938.292453703703</v>
      </c>
      <c r="I766" s="3" t="b">
        <v>1</v>
      </c>
      <c r="J766" s="3" t="b">
        <v>0</v>
      </c>
      <c r="K766" s="3" t="s">
        <v>33</v>
      </c>
      <c r="L766" s="3" t="s">
        <v>34</v>
      </c>
      <c r="M766" s="8">
        <v>87000</v>
      </c>
      <c r="N766" s="11"/>
      <c r="O766" s="3" t="s">
        <v>1366</v>
      </c>
      <c r="P766" s="3" t="s">
        <v>2644</v>
      </c>
    </row>
    <row r="767" spans="1:16" x14ac:dyDescent="0.3">
      <c r="A767" s="3" t="s">
        <v>103</v>
      </c>
      <c r="B767" s="3" t="s">
        <v>103</v>
      </c>
      <c r="C767" s="3" t="s">
        <v>1244</v>
      </c>
      <c r="D767" s="3" t="s">
        <v>30</v>
      </c>
      <c r="E767" s="3" t="s">
        <v>31</v>
      </c>
      <c r="F767" s="3" t="b">
        <v>0</v>
      </c>
      <c r="G767" s="3" t="s">
        <v>32</v>
      </c>
      <c r="H767" s="6">
        <v>44927.959189814806</v>
      </c>
      <c r="I767" s="3" t="b">
        <v>0</v>
      </c>
      <c r="J767" s="3" t="b">
        <v>1</v>
      </c>
      <c r="K767" s="3" t="s">
        <v>33</v>
      </c>
      <c r="L767" s="3" t="s">
        <v>48</v>
      </c>
      <c r="M767" s="8"/>
      <c r="N767" s="11">
        <v>36</v>
      </c>
      <c r="O767" s="3" t="s">
        <v>5423</v>
      </c>
      <c r="P767" s="3" t="s">
        <v>5424</v>
      </c>
    </row>
    <row r="768" spans="1:16" x14ac:dyDescent="0.3">
      <c r="A768" s="3" t="s">
        <v>103</v>
      </c>
      <c r="B768" s="3" t="s">
        <v>5428</v>
      </c>
      <c r="C768" s="3" t="s">
        <v>3030</v>
      </c>
      <c r="D768" s="3" t="s">
        <v>53</v>
      </c>
      <c r="E768" s="3" t="s">
        <v>31</v>
      </c>
      <c r="F768" s="3" t="b">
        <v>0</v>
      </c>
      <c r="G768" s="3" t="s">
        <v>140</v>
      </c>
      <c r="H768" s="6">
        <v>44944.199282407397</v>
      </c>
      <c r="I768" s="3" t="b">
        <v>1</v>
      </c>
      <c r="J768" s="3" t="b">
        <v>0</v>
      </c>
      <c r="K768" s="3" t="s">
        <v>33</v>
      </c>
      <c r="L768" s="3" t="s">
        <v>48</v>
      </c>
      <c r="M768" s="8"/>
      <c r="N768" s="11">
        <v>21.120000839233398</v>
      </c>
      <c r="O768" s="3" t="s">
        <v>5429</v>
      </c>
      <c r="P768" s="3" t="s">
        <v>5430</v>
      </c>
    </row>
    <row r="769" spans="1:16" x14ac:dyDescent="0.3">
      <c r="A769" s="3" t="s">
        <v>103</v>
      </c>
      <c r="B769" s="3" t="s">
        <v>103</v>
      </c>
      <c r="C769" s="3" t="s">
        <v>417</v>
      </c>
      <c r="D769" s="3" t="s">
        <v>76</v>
      </c>
      <c r="E769" s="3" t="s">
        <v>31</v>
      </c>
      <c r="F769" s="3" t="b">
        <v>0</v>
      </c>
      <c r="G769" s="3" t="s">
        <v>58</v>
      </c>
      <c r="H769" s="6">
        <v>44945.76258101852</v>
      </c>
      <c r="I769" s="3" t="b">
        <v>1</v>
      </c>
      <c r="J769" s="3" t="b">
        <v>1</v>
      </c>
      <c r="K769" s="3" t="s">
        <v>33</v>
      </c>
      <c r="L769" s="3" t="s">
        <v>34</v>
      </c>
      <c r="M769" s="8">
        <v>110240.109375</v>
      </c>
      <c r="N769" s="11"/>
      <c r="O769" s="3" t="s">
        <v>3835</v>
      </c>
      <c r="P769" s="3" t="s">
        <v>5436</v>
      </c>
    </row>
    <row r="770" spans="1:16" x14ac:dyDescent="0.3">
      <c r="A770" s="3" t="s">
        <v>103</v>
      </c>
      <c r="B770" s="3" t="s">
        <v>5437</v>
      </c>
      <c r="C770" s="3" t="s">
        <v>79</v>
      </c>
      <c r="D770" s="3" t="s">
        <v>5438</v>
      </c>
      <c r="E770" s="3" t="s">
        <v>133</v>
      </c>
      <c r="F770" s="3" t="b">
        <v>0</v>
      </c>
      <c r="G770" s="3" t="s">
        <v>58</v>
      </c>
      <c r="H770" s="6">
        <v>44939.335914351846</v>
      </c>
      <c r="I770" s="3" t="b">
        <v>1</v>
      </c>
      <c r="J770" s="3" t="b">
        <v>0</v>
      </c>
      <c r="K770" s="3" t="s">
        <v>33</v>
      </c>
      <c r="L770" s="3" t="s">
        <v>48</v>
      </c>
      <c r="M770" s="8"/>
      <c r="N770" s="11">
        <v>40</v>
      </c>
      <c r="O770" s="3" t="s">
        <v>5439</v>
      </c>
      <c r="P770" s="3" t="s">
        <v>5440</v>
      </c>
    </row>
    <row r="771" spans="1:16" x14ac:dyDescent="0.3">
      <c r="A771" s="3" t="s">
        <v>103</v>
      </c>
      <c r="B771" s="3" t="s">
        <v>481</v>
      </c>
      <c r="C771" s="3" t="s">
        <v>87</v>
      </c>
      <c r="D771" s="3" t="s">
        <v>30</v>
      </c>
      <c r="E771" s="3" t="s">
        <v>133</v>
      </c>
      <c r="F771" s="3" t="b">
        <v>1</v>
      </c>
      <c r="G771" s="3" t="s">
        <v>64</v>
      </c>
      <c r="H771" s="6">
        <v>44946.583356481482</v>
      </c>
      <c r="I771" s="3" t="b">
        <v>1</v>
      </c>
      <c r="J771" s="3" t="b">
        <v>0</v>
      </c>
      <c r="K771" s="3" t="s">
        <v>33</v>
      </c>
      <c r="L771" s="3" t="s">
        <v>48</v>
      </c>
      <c r="M771" s="8"/>
      <c r="N771" s="11">
        <v>45</v>
      </c>
      <c r="O771" s="3" t="s">
        <v>5443</v>
      </c>
      <c r="P771" s="3" t="s">
        <v>5444</v>
      </c>
    </row>
    <row r="772" spans="1:16" x14ac:dyDescent="0.3">
      <c r="A772" s="3" t="s">
        <v>103</v>
      </c>
      <c r="B772" s="3" t="s">
        <v>103</v>
      </c>
      <c r="C772" s="3" t="s">
        <v>5445</v>
      </c>
      <c r="D772" s="3" t="s">
        <v>76</v>
      </c>
      <c r="E772" s="3" t="s">
        <v>31</v>
      </c>
      <c r="F772" s="3" t="b">
        <v>0</v>
      </c>
      <c r="G772" s="3" t="s">
        <v>64</v>
      </c>
      <c r="H772" s="6">
        <v>44940.875069444453</v>
      </c>
      <c r="I772" s="3" t="b">
        <v>0</v>
      </c>
      <c r="J772" s="3" t="b">
        <v>1</v>
      </c>
      <c r="K772" s="3" t="s">
        <v>33</v>
      </c>
      <c r="L772" s="3" t="s">
        <v>34</v>
      </c>
      <c r="M772" s="8">
        <v>39500</v>
      </c>
      <c r="N772" s="11"/>
      <c r="O772" s="3" t="s">
        <v>5446</v>
      </c>
      <c r="P772" s="3" t="s">
        <v>5337</v>
      </c>
    </row>
    <row r="773" spans="1:16" x14ac:dyDescent="0.3">
      <c r="A773" s="3" t="s">
        <v>103</v>
      </c>
      <c r="B773" s="3" t="s">
        <v>103</v>
      </c>
      <c r="C773" s="3" t="s">
        <v>1057</v>
      </c>
      <c r="D773" s="3" t="s">
        <v>5447</v>
      </c>
      <c r="E773" s="3" t="s">
        <v>31</v>
      </c>
      <c r="F773" s="3" t="b">
        <v>0</v>
      </c>
      <c r="G773" s="3" t="s">
        <v>58</v>
      </c>
      <c r="H773" s="6">
        <v>44955.001319444447</v>
      </c>
      <c r="I773" s="3" t="b">
        <v>0</v>
      </c>
      <c r="J773" s="3" t="b">
        <v>1</v>
      </c>
      <c r="K773" s="3" t="s">
        <v>33</v>
      </c>
      <c r="L773" s="3" t="s">
        <v>48</v>
      </c>
      <c r="M773" s="8"/>
      <c r="N773" s="11">
        <v>24</v>
      </c>
      <c r="O773" s="3" t="s">
        <v>5448</v>
      </c>
      <c r="P773" s="3" t="s">
        <v>5449</v>
      </c>
    </row>
    <row r="774" spans="1:16" x14ac:dyDescent="0.3">
      <c r="A774" s="3" t="s">
        <v>103</v>
      </c>
      <c r="B774" s="3" t="s">
        <v>5450</v>
      </c>
      <c r="C774" s="3" t="s">
        <v>565</v>
      </c>
      <c r="D774" s="3" t="s">
        <v>566</v>
      </c>
      <c r="E774" s="3" t="s">
        <v>31</v>
      </c>
      <c r="F774" s="3" t="b">
        <v>0</v>
      </c>
      <c r="G774" s="3" t="s">
        <v>88</v>
      </c>
      <c r="H774" s="6">
        <v>44929.982974537037</v>
      </c>
      <c r="I774" s="3" t="b">
        <v>0</v>
      </c>
      <c r="J774" s="3" t="b">
        <v>0</v>
      </c>
      <c r="K774" s="3" t="s">
        <v>33</v>
      </c>
      <c r="L774" s="3" t="s">
        <v>48</v>
      </c>
      <c r="M774" s="8"/>
      <c r="N774" s="11">
        <v>24</v>
      </c>
      <c r="O774" s="3" t="s">
        <v>5451</v>
      </c>
      <c r="P774" s="3" t="s">
        <v>5452</v>
      </c>
    </row>
    <row r="775" spans="1:16" x14ac:dyDescent="0.3">
      <c r="A775" s="3" t="s">
        <v>103</v>
      </c>
      <c r="B775" s="3" t="s">
        <v>5459</v>
      </c>
      <c r="C775" s="3" t="s">
        <v>5460</v>
      </c>
      <c r="D775" s="3" t="s">
        <v>76</v>
      </c>
      <c r="E775" s="3" t="s">
        <v>31</v>
      </c>
      <c r="F775" s="3" t="b">
        <v>0</v>
      </c>
      <c r="G775" s="3" t="s">
        <v>84</v>
      </c>
      <c r="H775" s="6">
        <v>44938.584814814807</v>
      </c>
      <c r="I775" s="3" t="b">
        <v>1</v>
      </c>
      <c r="J775" s="3" t="b">
        <v>0</v>
      </c>
      <c r="K775" s="3" t="s">
        <v>33</v>
      </c>
      <c r="L775" s="3" t="s">
        <v>34</v>
      </c>
      <c r="M775" s="8">
        <v>61500</v>
      </c>
      <c r="N775" s="11"/>
      <c r="O775" s="3" t="s">
        <v>5461</v>
      </c>
      <c r="P775" s="3" t="s">
        <v>1391</v>
      </c>
    </row>
    <row r="776" spans="1:16" x14ac:dyDescent="0.3">
      <c r="A776" s="3" t="s">
        <v>103</v>
      </c>
      <c r="B776" s="3" t="s">
        <v>5462</v>
      </c>
      <c r="C776" s="3" t="s">
        <v>164</v>
      </c>
      <c r="D776" s="3" t="s">
        <v>30</v>
      </c>
      <c r="E776" s="3" t="s">
        <v>31</v>
      </c>
      <c r="F776" s="3" t="b">
        <v>0</v>
      </c>
      <c r="G776" s="3" t="s">
        <v>64</v>
      </c>
      <c r="H776" s="6">
        <v>44938.583541666667</v>
      </c>
      <c r="I776" s="3" t="b">
        <v>0</v>
      </c>
      <c r="J776" s="3" t="b">
        <v>0</v>
      </c>
      <c r="K776" s="3" t="s">
        <v>33</v>
      </c>
      <c r="L776" s="3" t="s">
        <v>34</v>
      </c>
      <c r="M776" s="8">
        <v>70000</v>
      </c>
      <c r="N776" s="11"/>
      <c r="O776" s="3" t="s">
        <v>5463</v>
      </c>
      <c r="P776" s="3"/>
    </row>
    <row r="777" spans="1:16" x14ac:dyDescent="0.3">
      <c r="A777" s="3" t="s">
        <v>103</v>
      </c>
      <c r="B777" s="3" t="s">
        <v>5464</v>
      </c>
      <c r="C777" s="3" t="s">
        <v>3939</v>
      </c>
      <c r="D777" s="3" t="s">
        <v>76</v>
      </c>
      <c r="E777" s="3" t="s">
        <v>31</v>
      </c>
      <c r="F777" s="3" t="b">
        <v>0</v>
      </c>
      <c r="G777" s="3" t="s">
        <v>3940</v>
      </c>
      <c r="H777" s="6">
        <v>44936.707152777781</v>
      </c>
      <c r="I777" s="3" t="b">
        <v>1</v>
      </c>
      <c r="J777" s="3" t="b">
        <v>0</v>
      </c>
      <c r="K777" s="3" t="s">
        <v>3940</v>
      </c>
      <c r="L777" s="3" t="s">
        <v>34</v>
      </c>
      <c r="M777" s="8">
        <v>60000</v>
      </c>
      <c r="N777" s="11"/>
      <c r="O777" s="3" t="s">
        <v>5465</v>
      </c>
      <c r="P777" s="3" t="s">
        <v>5466</v>
      </c>
    </row>
    <row r="778" spans="1:16" x14ac:dyDescent="0.3">
      <c r="A778" s="3" t="s">
        <v>103</v>
      </c>
      <c r="B778" s="3" t="s">
        <v>5469</v>
      </c>
      <c r="C778" s="3" t="s">
        <v>87</v>
      </c>
      <c r="D778" s="3" t="s">
        <v>30</v>
      </c>
      <c r="E778" s="3" t="s">
        <v>31</v>
      </c>
      <c r="F778" s="3" t="b">
        <v>1</v>
      </c>
      <c r="G778" s="3" t="s">
        <v>84</v>
      </c>
      <c r="H778" s="6">
        <v>44943.668888888889</v>
      </c>
      <c r="I778" s="3" t="b">
        <v>1</v>
      </c>
      <c r="J778" s="3" t="b">
        <v>0</v>
      </c>
      <c r="K778" s="3" t="s">
        <v>33</v>
      </c>
      <c r="L778" s="3" t="s">
        <v>48</v>
      </c>
      <c r="M778" s="8"/>
      <c r="N778" s="11">
        <v>52.5</v>
      </c>
      <c r="O778" s="3" t="s">
        <v>589</v>
      </c>
      <c r="P778" s="3" t="s">
        <v>2072</v>
      </c>
    </row>
    <row r="779" spans="1:16" x14ac:dyDescent="0.3">
      <c r="A779" s="3" t="s">
        <v>103</v>
      </c>
      <c r="B779" s="3" t="s">
        <v>103</v>
      </c>
      <c r="C779" s="3" t="s">
        <v>5191</v>
      </c>
      <c r="D779" s="3" t="s">
        <v>30</v>
      </c>
      <c r="E779" s="3" t="s">
        <v>31</v>
      </c>
      <c r="F779" s="3" t="b">
        <v>0</v>
      </c>
      <c r="G779" s="3" t="s">
        <v>84</v>
      </c>
      <c r="H779" s="6">
        <v>44942.721087962957</v>
      </c>
      <c r="I779" s="3" t="b">
        <v>0</v>
      </c>
      <c r="J779" s="3" t="b">
        <v>0</v>
      </c>
      <c r="K779" s="3" t="s">
        <v>33</v>
      </c>
      <c r="L779" s="3" t="s">
        <v>34</v>
      </c>
      <c r="M779" s="8">
        <v>75000</v>
      </c>
      <c r="N779" s="11"/>
      <c r="O779" s="3" t="s">
        <v>5470</v>
      </c>
      <c r="P779" s="3" t="s">
        <v>3094</v>
      </c>
    </row>
    <row r="780" spans="1:16" x14ac:dyDescent="0.3">
      <c r="A780" s="3" t="s">
        <v>103</v>
      </c>
      <c r="B780" s="3" t="s">
        <v>5471</v>
      </c>
      <c r="C780" s="3" t="s">
        <v>641</v>
      </c>
      <c r="D780" s="3" t="s">
        <v>950</v>
      </c>
      <c r="E780" s="3" t="s">
        <v>31</v>
      </c>
      <c r="F780" s="3" t="b">
        <v>0</v>
      </c>
      <c r="G780" s="3" t="s">
        <v>88</v>
      </c>
      <c r="H780" s="6">
        <v>44955.668553240743</v>
      </c>
      <c r="I780" s="3" t="b">
        <v>1</v>
      </c>
      <c r="J780" s="3" t="b">
        <v>1</v>
      </c>
      <c r="K780" s="3" t="s">
        <v>33</v>
      </c>
      <c r="L780" s="3" t="s">
        <v>34</v>
      </c>
      <c r="M780" s="8">
        <v>60000</v>
      </c>
      <c r="N780" s="11"/>
      <c r="O780" s="3" t="s">
        <v>3637</v>
      </c>
      <c r="P780" s="3" t="s">
        <v>3638</v>
      </c>
    </row>
    <row r="781" spans="1:16" x14ac:dyDescent="0.3">
      <c r="A781" s="3" t="s">
        <v>103</v>
      </c>
      <c r="B781" s="3" t="s">
        <v>5474</v>
      </c>
      <c r="C781" s="3" t="s">
        <v>5475</v>
      </c>
      <c r="D781" s="3" t="s">
        <v>126</v>
      </c>
      <c r="E781" s="3" t="s">
        <v>31</v>
      </c>
      <c r="F781" s="3" t="b">
        <v>0</v>
      </c>
      <c r="G781" s="3" t="s">
        <v>64</v>
      </c>
      <c r="H781" s="6">
        <v>44937.958819444437</v>
      </c>
      <c r="I781" s="3" t="b">
        <v>1</v>
      </c>
      <c r="J781" s="3" t="b">
        <v>1</v>
      </c>
      <c r="K781" s="3" t="s">
        <v>33</v>
      </c>
      <c r="L781" s="3" t="s">
        <v>34</v>
      </c>
      <c r="M781" s="8">
        <v>137500</v>
      </c>
      <c r="N781" s="11"/>
      <c r="O781" s="3" t="s">
        <v>5476</v>
      </c>
      <c r="P781" s="3" t="s">
        <v>1528</v>
      </c>
    </row>
    <row r="782" spans="1:16" x14ac:dyDescent="0.3">
      <c r="A782" s="3" t="s">
        <v>103</v>
      </c>
      <c r="B782" s="3" t="s">
        <v>5477</v>
      </c>
      <c r="C782" s="3" t="s">
        <v>164</v>
      </c>
      <c r="D782" s="3" t="s">
        <v>30</v>
      </c>
      <c r="E782" s="3" t="s">
        <v>31</v>
      </c>
      <c r="F782" s="3" t="b">
        <v>0</v>
      </c>
      <c r="G782" s="3" t="s">
        <v>64</v>
      </c>
      <c r="H782" s="6">
        <v>44931.83326388889</v>
      </c>
      <c r="I782" s="3" t="b">
        <v>0</v>
      </c>
      <c r="J782" s="3" t="b">
        <v>1</v>
      </c>
      <c r="K782" s="3" t="s">
        <v>33</v>
      </c>
      <c r="L782" s="3" t="s">
        <v>34</v>
      </c>
      <c r="M782" s="8">
        <v>89833.5</v>
      </c>
      <c r="N782" s="11"/>
      <c r="O782" s="3" t="s">
        <v>4112</v>
      </c>
      <c r="P782" s="3" t="s">
        <v>4113</v>
      </c>
    </row>
    <row r="783" spans="1:16" x14ac:dyDescent="0.3">
      <c r="A783" s="3" t="s">
        <v>103</v>
      </c>
      <c r="B783" s="3" t="s">
        <v>5478</v>
      </c>
      <c r="C783" s="3" t="s">
        <v>87</v>
      </c>
      <c r="D783" s="3" t="s">
        <v>76</v>
      </c>
      <c r="E783" s="3" t="s">
        <v>133</v>
      </c>
      <c r="F783" s="3" t="b">
        <v>1</v>
      </c>
      <c r="G783" s="3" t="s">
        <v>84</v>
      </c>
      <c r="H783" s="6">
        <v>44928.917696759258</v>
      </c>
      <c r="I783" s="3" t="b">
        <v>1</v>
      </c>
      <c r="J783" s="3" t="b">
        <v>0</v>
      </c>
      <c r="K783" s="3" t="s">
        <v>33</v>
      </c>
      <c r="L783" s="3" t="s">
        <v>48</v>
      </c>
      <c r="M783" s="8"/>
      <c r="N783" s="11">
        <v>60</v>
      </c>
      <c r="O783" s="3" t="s">
        <v>5479</v>
      </c>
      <c r="P783" s="3" t="s">
        <v>5480</v>
      </c>
    </row>
    <row r="784" spans="1:16" x14ac:dyDescent="0.3">
      <c r="A784" s="3" t="s">
        <v>103</v>
      </c>
      <c r="B784" s="3" t="s">
        <v>103</v>
      </c>
      <c r="C784" s="3" t="s">
        <v>173</v>
      </c>
      <c r="D784" s="3" t="s">
        <v>30</v>
      </c>
      <c r="E784" s="3" t="s">
        <v>31</v>
      </c>
      <c r="F784" s="3" t="b">
        <v>0</v>
      </c>
      <c r="G784" s="3" t="s">
        <v>64</v>
      </c>
      <c r="H784" s="6">
        <v>44946.875451388893</v>
      </c>
      <c r="I784" s="3" t="b">
        <v>1</v>
      </c>
      <c r="J784" s="3" t="b">
        <v>1</v>
      </c>
      <c r="K784" s="3" t="s">
        <v>33</v>
      </c>
      <c r="L784" s="3" t="s">
        <v>34</v>
      </c>
      <c r="M784" s="8">
        <v>74801.5</v>
      </c>
      <c r="N784" s="11"/>
      <c r="O784" s="3" t="s">
        <v>5481</v>
      </c>
      <c r="P784" s="3" t="s">
        <v>5482</v>
      </c>
    </row>
    <row r="785" spans="1:16" x14ac:dyDescent="0.3">
      <c r="A785" s="3" t="s">
        <v>103</v>
      </c>
      <c r="B785" s="3" t="s">
        <v>103</v>
      </c>
      <c r="C785" s="3" t="s">
        <v>565</v>
      </c>
      <c r="D785" s="3" t="s">
        <v>76</v>
      </c>
      <c r="E785" s="3" t="s">
        <v>133</v>
      </c>
      <c r="F785" s="3" t="b">
        <v>0</v>
      </c>
      <c r="G785" s="3" t="s">
        <v>140</v>
      </c>
      <c r="H785" s="6">
        <v>44939.763831018521</v>
      </c>
      <c r="I785" s="3" t="b">
        <v>0</v>
      </c>
      <c r="J785" s="3" t="b">
        <v>0</v>
      </c>
      <c r="K785" s="3" t="s">
        <v>33</v>
      </c>
      <c r="L785" s="3" t="s">
        <v>48</v>
      </c>
      <c r="M785" s="8"/>
      <c r="N785" s="11">
        <v>24.5</v>
      </c>
      <c r="O785" s="3" t="s">
        <v>5483</v>
      </c>
      <c r="P785" s="3" t="s">
        <v>5484</v>
      </c>
    </row>
    <row r="786" spans="1:16" x14ac:dyDescent="0.3">
      <c r="A786" s="3" t="s">
        <v>103</v>
      </c>
      <c r="B786" s="3" t="s">
        <v>5489</v>
      </c>
      <c r="C786" s="3" t="s">
        <v>641</v>
      </c>
      <c r="D786" s="3" t="s">
        <v>5490</v>
      </c>
      <c r="E786" s="3" t="s">
        <v>31</v>
      </c>
      <c r="F786" s="3" t="b">
        <v>0</v>
      </c>
      <c r="G786" s="3" t="s">
        <v>88</v>
      </c>
      <c r="H786" s="6">
        <v>44949.002141203702</v>
      </c>
      <c r="I786" s="3" t="b">
        <v>0</v>
      </c>
      <c r="J786" s="3" t="b">
        <v>0</v>
      </c>
      <c r="K786" s="3" t="s">
        <v>33</v>
      </c>
      <c r="L786" s="3" t="s">
        <v>48</v>
      </c>
      <c r="M786" s="8"/>
      <c r="N786" s="11">
        <v>24</v>
      </c>
      <c r="O786" s="3" t="s">
        <v>1445</v>
      </c>
      <c r="P786" s="3" t="s">
        <v>5491</v>
      </c>
    </row>
    <row r="787" spans="1:16" x14ac:dyDescent="0.3">
      <c r="A787" s="3" t="s">
        <v>103</v>
      </c>
      <c r="B787" s="3" t="s">
        <v>103</v>
      </c>
      <c r="C787" s="3" t="s">
        <v>75</v>
      </c>
      <c r="D787" s="3" t="s">
        <v>30</v>
      </c>
      <c r="E787" s="3" t="s">
        <v>133</v>
      </c>
      <c r="F787" s="3" t="b">
        <v>0</v>
      </c>
      <c r="G787" s="3" t="s">
        <v>84</v>
      </c>
      <c r="H787" s="6">
        <v>44943.877060185187</v>
      </c>
      <c r="I787" s="3" t="b">
        <v>0</v>
      </c>
      <c r="J787" s="3" t="b">
        <v>0</v>
      </c>
      <c r="K787" s="3" t="s">
        <v>33</v>
      </c>
      <c r="L787" s="3" t="s">
        <v>48</v>
      </c>
      <c r="M787" s="8"/>
      <c r="N787" s="11">
        <v>29.5</v>
      </c>
      <c r="O787" s="3" t="s">
        <v>1090</v>
      </c>
      <c r="P787" s="3" t="s">
        <v>5492</v>
      </c>
    </row>
    <row r="788" spans="1:16" x14ac:dyDescent="0.3">
      <c r="A788" s="3" t="s">
        <v>103</v>
      </c>
      <c r="B788" s="3" t="s">
        <v>1420</v>
      </c>
      <c r="C788" s="3" t="s">
        <v>57</v>
      </c>
      <c r="D788" s="3" t="s">
        <v>76</v>
      </c>
      <c r="E788" s="3" t="s">
        <v>31</v>
      </c>
      <c r="F788" s="3" t="b">
        <v>0</v>
      </c>
      <c r="G788" s="3" t="s">
        <v>58</v>
      </c>
      <c r="H788" s="6">
        <v>44957.792395833327</v>
      </c>
      <c r="I788" s="3" t="b">
        <v>1</v>
      </c>
      <c r="J788" s="3" t="b">
        <v>0</v>
      </c>
      <c r="K788" s="3" t="s">
        <v>33</v>
      </c>
      <c r="L788" s="3" t="s">
        <v>34</v>
      </c>
      <c r="M788" s="8">
        <v>50000</v>
      </c>
      <c r="N788" s="11"/>
      <c r="O788" s="3" t="s">
        <v>5493</v>
      </c>
      <c r="P788" s="3" t="s">
        <v>374</v>
      </c>
    </row>
    <row r="789" spans="1:16" x14ac:dyDescent="0.3">
      <c r="A789" s="3" t="s">
        <v>103</v>
      </c>
      <c r="B789" s="3" t="s">
        <v>103</v>
      </c>
      <c r="C789" s="3" t="s">
        <v>4557</v>
      </c>
      <c r="D789" s="3" t="s">
        <v>30</v>
      </c>
      <c r="E789" s="3" t="s">
        <v>31</v>
      </c>
      <c r="F789" s="3" t="b">
        <v>0</v>
      </c>
      <c r="G789" s="3" t="s">
        <v>64</v>
      </c>
      <c r="H789" s="6">
        <v>44945.625509259262</v>
      </c>
      <c r="I789" s="3" t="b">
        <v>1</v>
      </c>
      <c r="J789" s="3" t="b">
        <v>0</v>
      </c>
      <c r="K789" s="3" t="s">
        <v>33</v>
      </c>
      <c r="L789" s="3" t="s">
        <v>34</v>
      </c>
      <c r="M789" s="8">
        <v>60000</v>
      </c>
      <c r="N789" s="11"/>
      <c r="O789" s="3" t="s">
        <v>5494</v>
      </c>
      <c r="P789" s="3"/>
    </row>
    <row r="790" spans="1:16" x14ac:dyDescent="0.3">
      <c r="A790" s="3" t="s">
        <v>103</v>
      </c>
      <c r="B790" s="3" t="s">
        <v>103</v>
      </c>
      <c r="C790" s="3" t="s">
        <v>5495</v>
      </c>
      <c r="D790" s="3" t="s">
        <v>307</v>
      </c>
      <c r="E790" s="3" t="s">
        <v>31</v>
      </c>
      <c r="F790" s="3" t="b">
        <v>0</v>
      </c>
      <c r="G790" s="3" t="s">
        <v>88</v>
      </c>
      <c r="H790" s="6">
        <v>44949.543692129628</v>
      </c>
      <c r="I790" s="3" t="b">
        <v>0</v>
      </c>
      <c r="J790" s="3" t="b">
        <v>0</v>
      </c>
      <c r="K790" s="3" t="s">
        <v>33</v>
      </c>
      <c r="L790" s="3" t="s">
        <v>34</v>
      </c>
      <c r="M790" s="8">
        <v>97500</v>
      </c>
      <c r="N790" s="11"/>
      <c r="O790" s="3" t="s">
        <v>114</v>
      </c>
      <c r="P790" s="3" t="s">
        <v>138</v>
      </c>
    </row>
    <row r="791" spans="1:16" x14ac:dyDescent="0.3">
      <c r="A791" s="3" t="s">
        <v>103</v>
      </c>
      <c r="B791" s="3" t="s">
        <v>5502</v>
      </c>
      <c r="C791" s="3" t="s">
        <v>1045</v>
      </c>
      <c r="D791" s="3" t="s">
        <v>41</v>
      </c>
      <c r="E791" s="3" t="s">
        <v>31</v>
      </c>
      <c r="F791" s="3" t="b">
        <v>0</v>
      </c>
      <c r="G791" s="3" t="s">
        <v>1046</v>
      </c>
      <c r="H791" s="6">
        <v>44953.058263888888</v>
      </c>
      <c r="I791" s="3" t="b">
        <v>0</v>
      </c>
      <c r="J791" s="3" t="b">
        <v>0</v>
      </c>
      <c r="K791" s="3" t="s">
        <v>1046</v>
      </c>
      <c r="L791" s="3" t="s">
        <v>34</v>
      </c>
      <c r="M791" s="8">
        <v>56700</v>
      </c>
      <c r="N791" s="11"/>
      <c r="O791" s="3" t="s">
        <v>5503</v>
      </c>
      <c r="P791" s="3" t="s">
        <v>524</v>
      </c>
    </row>
    <row r="792" spans="1:16" x14ac:dyDescent="0.3">
      <c r="A792" s="3" t="s">
        <v>103</v>
      </c>
      <c r="B792" s="3" t="s">
        <v>5504</v>
      </c>
      <c r="C792" s="3" t="s">
        <v>305</v>
      </c>
      <c r="D792" s="3" t="s">
        <v>41</v>
      </c>
      <c r="E792" s="3" t="s">
        <v>31</v>
      </c>
      <c r="F792" s="3" t="b">
        <v>0</v>
      </c>
      <c r="G792" s="3" t="s">
        <v>32</v>
      </c>
      <c r="H792" s="6">
        <v>44952.002789351849</v>
      </c>
      <c r="I792" s="3" t="b">
        <v>0</v>
      </c>
      <c r="J792" s="3" t="b">
        <v>1</v>
      </c>
      <c r="K792" s="3" t="s">
        <v>33</v>
      </c>
      <c r="L792" s="3" t="s">
        <v>34</v>
      </c>
      <c r="M792" s="8">
        <v>51014</v>
      </c>
      <c r="N792" s="11"/>
      <c r="O792" s="3" t="s">
        <v>5505</v>
      </c>
      <c r="P792" s="3" t="s">
        <v>268</v>
      </c>
    </row>
    <row r="793" spans="1:16" x14ac:dyDescent="0.3">
      <c r="A793" s="3" t="s">
        <v>103</v>
      </c>
      <c r="B793" s="3" t="s">
        <v>4852</v>
      </c>
      <c r="C793" s="3" t="s">
        <v>321</v>
      </c>
      <c r="D793" s="3" t="s">
        <v>30</v>
      </c>
      <c r="E793" s="3" t="s">
        <v>133</v>
      </c>
      <c r="F793" s="3" t="b">
        <v>0</v>
      </c>
      <c r="G793" s="3" t="s">
        <v>140</v>
      </c>
      <c r="H793" s="6">
        <v>44944.657407407409</v>
      </c>
      <c r="I793" s="3" t="b">
        <v>1</v>
      </c>
      <c r="J793" s="3" t="b">
        <v>0</v>
      </c>
      <c r="K793" s="3" t="s">
        <v>33</v>
      </c>
      <c r="L793" s="3" t="s">
        <v>48</v>
      </c>
      <c r="M793" s="8"/>
      <c r="N793" s="11">
        <v>67.5</v>
      </c>
      <c r="O793" s="3" t="s">
        <v>502</v>
      </c>
      <c r="P793" s="3"/>
    </row>
    <row r="794" spans="1:16" x14ac:dyDescent="0.3">
      <c r="A794" s="3" t="s">
        <v>103</v>
      </c>
      <c r="B794" s="3" t="s">
        <v>1420</v>
      </c>
      <c r="C794" s="3" t="s">
        <v>3030</v>
      </c>
      <c r="D794" s="3" t="s">
        <v>3225</v>
      </c>
      <c r="E794" s="3" t="s">
        <v>31</v>
      </c>
      <c r="F794" s="3" t="b">
        <v>0</v>
      </c>
      <c r="G794" s="3" t="s">
        <v>140</v>
      </c>
      <c r="H794" s="6">
        <v>44946.985462962963</v>
      </c>
      <c r="I794" s="3" t="b">
        <v>1</v>
      </c>
      <c r="J794" s="3" t="b">
        <v>0</v>
      </c>
      <c r="K794" s="3" t="s">
        <v>33</v>
      </c>
      <c r="L794" s="3" t="s">
        <v>48</v>
      </c>
      <c r="M794" s="8"/>
      <c r="N794" s="11">
        <v>24</v>
      </c>
      <c r="O794" s="3" t="s">
        <v>4590</v>
      </c>
      <c r="P794" s="3"/>
    </row>
    <row r="795" spans="1:16" x14ac:dyDescent="0.3">
      <c r="A795" s="3" t="s">
        <v>103</v>
      </c>
      <c r="B795" s="3" t="s">
        <v>5073</v>
      </c>
      <c r="C795" s="3" t="s">
        <v>87</v>
      </c>
      <c r="D795" s="3" t="s">
        <v>188</v>
      </c>
      <c r="E795" s="3" t="s">
        <v>133</v>
      </c>
      <c r="F795" s="3" t="b">
        <v>1</v>
      </c>
      <c r="G795" s="3" t="s">
        <v>32</v>
      </c>
      <c r="H795" s="6">
        <v>44950.000972222217</v>
      </c>
      <c r="I795" s="3" t="b">
        <v>1</v>
      </c>
      <c r="J795" s="3" t="b">
        <v>1</v>
      </c>
      <c r="K795" s="3" t="s">
        <v>33</v>
      </c>
      <c r="L795" s="3" t="s">
        <v>48</v>
      </c>
      <c r="M795" s="8"/>
      <c r="N795" s="11">
        <v>34.444999694824219</v>
      </c>
      <c r="O795" s="3" t="s">
        <v>426</v>
      </c>
      <c r="P795" s="3" t="s">
        <v>5508</v>
      </c>
    </row>
    <row r="796" spans="1:16" x14ac:dyDescent="0.3">
      <c r="A796" s="3" t="s">
        <v>103</v>
      </c>
      <c r="B796" s="3" t="s">
        <v>5509</v>
      </c>
      <c r="C796" s="3" t="s">
        <v>1023</v>
      </c>
      <c r="D796" s="3" t="s">
        <v>287</v>
      </c>
      <c r="E796" s="3" t="s">
        <v>31</v>
      </c>
      <c r="F796" s="3" t="b">
        <v>0</v>
      </c>
      <c r="G796" s="3" t="s">
        <v>84</v>
      </c>
      <c r="H796" s="6">
        <v>44949.001666666663</v>
      </c>
      <c r="I796" s="3" t="b">
        <v>1</v>
      </c>
      <c r="J796" s="3" t="b">
        <v>0</v>
      </c>
      <c r="K796" s="3" t="s">
        <v>33</v>
      </c>
      <c r="L796" s="3" t="s">
        <v>34</v>
      </c>
      <c r="M796" s="8">
        <v>63211</v>
      </c>
      <c r="N796" s="11"/>
      <c r="O796" s="3" t="s">
        <v>288</v>
      </c>
      <c r="P796" s="3" t="s">
        <v>756</v>
      </c>
    </row>
    <row r="797" spans="1:16" x14ac:dyDescent="0.3">
      <c r="A797" s="3" t="s">
        <v>103</v>
      </c>
      <c r="B797" s="3" t="s">
        <v>2594</v>
      </c>
      <c r="C797" s="3" t="s">
        <v>75</v>
      </c>
      <c r="D797" s="3" t="s">
        <v>2465</v>
      </c>
      <c r="E797" s="3" t="s">
        <v>31</v>
      </c>
      <c r="F797" s="3" t="b">
        <v>0</v>
      </c>
      <c r="G797" s="3" t="s">
        <v>84</v>
      </c>
      <c r="H797" s="6">
        <v>44929.979328703703</v>
      </c>
      <c r="I797" s="3" t="b">
        <v>0</v>
      </c>
      <c r="J797" s="3" t="b">
        <v>1</v>
      </c>
      <c r="K797" s="3" t="s">
        <v>33</v>
      </c>
      <c r="L797" s="3" t="s">
        <v>48</v>
      </c>
      <c r="M797" s="8"/>
      <c r="N797" s="11">
        <v>24</v>
      </c>
      <c r="O797" s="3" t="s">
        <v>5510</v>
      </c>
      <c r="P797" s="3" t="s">
        <v>374</v>
      </c>
    </row>
    <row r="798" spans="1:16" x14ac:dyDescent="0.3">
      <c r="A798" s="3" t="s">
        <v>103</v>
      </c>
      <c r="B798" s="3" t="s">
        <v>103</v>
      </c>
      <c r="C798" s="3" t="s">
        <v>4814</v>
      </c>
      <c r="D798" s="3" t="s">
        <v>30</v>
      </c>
      <c r="E798" s="3" t="s">
        <v>133</v>
      </c>
      <c r="F798" s="3" t="b">
        <v>0</v>
      </c>
      <c r="G798" s="3" t="s">
        <v>84</v>
      </c>
      <c r="H798" s="6">
        <v>44931.918067129627</v>
      </c>
      <c r="I798" s="3" t="b">
        <v>0</v>
      </c>
      <c r="J798" s="3" t="b">
        <v>0</v>
      </c>
      <c r="K798" s="3" t="s">
        <v>33</v>
      </c>
      <c r="L798" s="3" t="s">
        <v>34</v>
      </c>
      <c r="M798" s="8">
        <v>91000</v>
      </c>
      <c r="N798" s="11"/>
      <c r="O798" s="3" t="s">
        <v>3476</v>
      </c>
      <c r="P798" s="3" t="s">
        <v>5511</v>
      </c>
    </row>
    <row r="799" spans="1:16" x14ac:dyDescent="0.3">
      <c r="A799" s="3" t="s">
        <v>103</v>
      </c>
      <c r="B799" s="3" t="s">
        <v>1190</v>
      </c>
      <c r="C799" s="3" t="s">
        <v>164</v>
      </c>
      <c r="D799" s="3" t="s">
        <v>76</v>
      </c>
      <c r="E799" s="3" t="s">
        <v>133</v>
      </c>
      <c r="F799" s="3" t="b">
        <v>0</v>
      </c>
      <c r="G799" s="3" t="s">
        <v>64</v>
      </c>
      <c r="H799" s="6">
        <v>44937.749895833331</v>
      </c>
      <c r="I799" s="3" t="b">
        <v>0</v>
      </c>
      <c r="J799" s="3" t="b">
        <v>1</v>
      </c>
      <c r="K799" s="3" t="s">
        <v>33</v>
      </c>
      <c r="L799" s="3" t="s">
        <v>48</v>
      </c>
      <c r="M799" s="8"/>
      <c r="N799" s="11">
        <v>55</v>
      </c>
      <c r="O799" s="3" t="s">
        <v>5514</v>
      </c>
      <c r="P799" s="3" t="s">
        <v>374</v>
      </c>
    </row>
    <row r="800" spans="1:16" x14ac:dyDescent="0.3">
      <c r="A800" s="3" t="s">
        <v>103</v>
      </c>
      <c r="B800" s="3" t="s">
        <v>103</v>
      </c>
      <c r="C800" s="3" t="s">
        <v>2241</v>
      </c>
      <c r="D800" s="3" t="s">
        <v>30</v>
      </c>
      <c r="E800" s="3" t="s">
        <v>133</v>
      </c>
      <c r="F800" s="3" t="b">
        <v>0</v>
      </c>
      <c r="G800" s="3" t="s">
        <v>64</v>
      </c>
      <c r="H800" s="6">
        <v>44935.833414351851</v>
      </c>
      <c r="I800" s="3" t="b">
        <v>0</v>
      </c>
      <c r="J800" s="3" t="b">
        <v>0</v>
      </c>
      <c r="K800" s="3" t="s">
        <v>33</v>
      </c>
      <c r="L800" s="3" t="s">
        <v>48</v>
      </c>
      <c r="M800" s="8"/>
      <c r="N800" s="11">
        <v>37.5</v>
      </c>
      <c r="O800" s="3" t="s">
        <v>589</v>
      </c>
      <c r="P800" s="3" t="s">
        <v>138</v>
      </c>
    </row>
    <row r="801" spans="1:16" x14ac:dyDescent="0.3">
      <c r="A801" s="3" t="s">
        <v>103</v>
      </c>
      <c r="B801" s="3" t="s">
        <v>5521</v>
      </c>
      <c r="C801" s="3" t="s">
        <v>974</v>
      </c>
      <c r="D801" s="3" t="s">
        <v>41</v>
      </c>
      <c r="E801" s="3" t="s">
        <v>31</v>
      </c>
      <c r="F801" s="3" t="b">
        <v>0</v>
      </c>
      <c r="G801" s="3" t="s">
        <v>532</v>
      </c>
      <c r="H801" s="6">
        <v>44943.895254629628</v>
      </c>
      <c r="I801" s="3" t="b">
        <v>0</v>
      </c>
      <c r="J801" s="3" t="b">
        <v>0</v>
      </c>
      <c r="K801" s="3" t="s">
        <v>532</v>
      </c>
      <c r="L801" s="3" t="s">
        <v>34</v>
      </c>
      <c r="M801" s="8">
        <v>56700</v>
      </c>
      <c r="N801" s="11"/>
      <c r="O801" s="3" t="s">
        <v>414</v>
      </c>
      <c r="P801" s="3" t="s">
        <v>756</v>
      </c>
    </row>
    <row r="802" spans="1:16" x14ac:dyDescent="0.3">
      <c r="A802" s="3" t="s">
        <v>103</v>
      </c>
      <c r="B802" s="3" t="s">
        <v>5414</v>
      </c>
      <c r="C802" s="3" t="s">
        <v>5082</v>
      </c>
      <c r="D802" s="3" t="s">
        <v>30</v>
      </c>
      <c r="E802" s="3" t="s">
        <v>31</v>
      </c>
      <c r="F802" s="3" t="b">
        <v>0</v>
      </c>
      <c r="G802" s="3" t="s">
        <v>64</v>
      </c>
      <c r="H802" s="6">
        <v>44957.042025462957</v>
      </c>
      <c r="I802" s="3" t="b">
        <v>0</v>
      </c>
      <c r="J802" s="3" t="b">
        <v>0</v>
      </c>
      <c r="K802" s="3" t="s">
        <v>33</v>
      </c>
      <c r="L802" s="3" t="s">
        <v>34</v>
      </c>
      <c r="M802" s="8">
        <v>59000</v>
      </c>
      <c r="N802" s="11"/>
      <c r="O802" s="3" t="s">
        <v>1865</v>
      </c>
      <c r="P802" s="3" t="s">
        <v>405</v>
      </c>
    </row>
    <row r="803" spans="1:16" x14ac:dyDescent="0.3">
      <c r="A803" s="3" t="s">
        <v>103</v>
      </c>
      <c r="B803" s="3" t="s">
        <v>5527</v>
      </c>
      <c r="C803" s="3" t="s">
        <v>1023</v>
      </c>
      <c r="D803" s="3" t="s">
        <v>287</v>
      </c>
      <c r="E803" s="3" t="s">
        <v>31</v>
      </c>
      <c r="F803" s="3" t="b">
        <v>0</v>
      </c>
      <c r="G803" s="3" t="s">
        <v>84</v>
      </c>
      <c r="H803" s="6">
        <v>44932.001597222217</v>
      </c>
      <c r="I803" s="3" t="b">
        <v>1</v>
      </c>
      <c r="J803" s="3" t="b">
        <v>0</v>
      </c>
      <c r="K803" s="3" t="s">
        <v>33</v>
      </c>
      <c r="L803" s="3" t="s">
        <v>34</v>
      </c>
      <c r="M803" s="8">
        <v>64998</v>
      </c>
      <c r="N803" s="11"/>
      <c r="O803" s="3" t="s">
        <v>5528</v>
      </c>
      <c r="P803" s="3"/>
    </row>
    <row r="804" spans="1:16" x14ac:dyDescent="0.3">
      <c r="A804" s="3" t="s">
        <v>103</v>
      </c>
      <c r="B804" s="3" t="s">
        <v>103</v>
      </c>
      <c r="C804" s="3" t="s">
        <v>1324</v>
      </c>
      <c r="D804" s="3" t="s">
        <v>41</v>
      </c>
      <c r="E804" s="3" t="s">
        <v>31</v>
      </c>
      <c r="F804" s="3" t="b">
        <v>0</v>
      </c>
      <c r="G804" s="3" t="s">
        <v>1324</v>
      </c>
      <c r="H804" s="6">
        <v>44931.199201388888</v>
      </c>
      <c r="I804" s="3" t="b">
        <v>1</v>
      </c>
      <c r="J804" s="3" t="b">
        <v>0</v>
      </c>
      <c r="K804" s="3" t="s">
        <v>1324</v>
      </c>
      <c r="L804" s="3" t="s">
        <v>34</v>
      </c>
      <c r="M804" s="8">
        <v>45000</v>
      </c>
      <c r="N804" s="11"/>
      <c r="O804" s="3" t="s">
        <v>875</v>
      </c>
      <c r="P804" s="3" t="s">
        <v>5529</v>
      </c>
    </row>
    <row r="805" spans="1:16" x14ac:dyDescent="0.3">
      <c r="A805" s="3" t="s">
        <v>103</v>
      </c>
      <c r="B805" s="3" t="s">
        <v>103</v>
      </c>
      <c r="C805" s="3" t="s">
        <v>87</v>
      </c>
      <c r="D805" s="3" t="s">
        <v>307</v>
      </c>
      <c r="E805" s="3" t="s">
        <v>133</v>
      </c>
      <c r="F805" s="3" t="b">
        <v>1</v>
      </c>
      <c r="G805" s="3" t="s">
        <v>32</v>
      </c>
      <c r="H805" s="6">
        <v>44944.042638888888</v>
      </c>
      <c r="I805" s="3" t="b">
        <v>1</v>
      </c>
      <c r="J805" s="3" t="b">
        <v>0</v>
      </c>
      <c r="K805" s="3" t="s">
        <v>33</v>
      </c>
      <c r="L805" s="3" t="s">
        <v>48</v>
      </c>
      <c r="M805" s="8"/>
      <c r="N805" s="11">
        <v>55</v>
      </c>
      <c r="O805" s="3" t="s">
        <v>114</v>
      </c>
      <c r="P805" s="3" t="s">
        <v>5532</v>
      </c>
    </row>
    <row r="806" spans="1:16" x14ac:dyDescent="0.3">
      <c r="A806" s="3" t="s">
        <v>103</v>
      </c>
      <c r="B806" s="3" t="s">
        <v>103</v>
      </c>
      <c r="C806" s="3" t="s">
        <v>87</v>
      </c>
      <c r="D806" s="3" t="s">
        <v>53</v>
      </c>
      <c r="E806" s="3" t="s">
        <v>133</v>
      </c>
      <c r="F806" s="3" t="b">
        <v>1</v>
      </c>
      <c r="G806" s="3" t="s">
        <v>84</v>
      </c>
      <c r="H806" s="6">
        <v>44939.669560185182</v>
      </c>
      <c r="I806" s="3" t="b">
        <v>0</v>
      </c>
      <c r="J806" s="3" t="b">
        <v>1</v>
      </c>
      <c r="K806" s="3" t="s">
        <v>33</v>
      </c>
      <c r="L806" s="3" t="s">
        <v>48</v>
      </c>
      <c r="M806" s="8"/>
      <c r="N806" s="11">
        <v>55</v>
      </c>
      <c r="O806" s="3" t="s">
        <v>5533</v>
      </c>
      <c r="P806" s="3" t="s">
        <v>5534</v>
      </c>
    </row>
    <row r="807" spans="1:16" x14ac:dyDescent="0.3">
      <c r="A807" s="3" t="s">
        <v>103</v>
      </c>
      <c r="B807" s="3" t="s">
        <v>481</v>
      </c>
      <c r="C807" s="3" t="s">
        <v>520</v>
      </c>
      <c r="D807" s="3" t="s">
        <v>30</v>
      </c>
      <c r="E807" s="3" t="s">
        <v>31</v>
      </c>
      <c r="F807" s="3" t="b">
        <v>0</v>
      </c>
      <c r="G807" s="3" t="s">
        <v>88</v>
      </c>
      <c r="H807" s="6">
        <v>44938.835104166668</v>
      </c>
      <c r="I807" s="3" t="b">
        <v>1</v>
      </c>
      <c r="J807" s="3" t="b">
        <v>0</v>
      </c>
      <c r="K807" s="3" t="s">
        <v>33</v>
      </c>
      <c r="L807" s="3" t="s">
        <v>34</v>
      </c>
      <c r="M807" s="8">
        <v>85000</v>
      </c>
      <c r="N807" s="11"/>
      <c r="O807" s="3" t="s">
        <v>589</v>
      </c>
      <c r="P807" s="3" t="s">
        <v>1950</v>
      </c>
    </row>
    <row r="808" spans="1:16" x14ac:dyDescent="0.3">
      <c r="A808" s="3" t="s">
        <v>103</v>
      </c>
      <c r="B808" s="3" t="s">
        <v>5543</v>
      </c>
      <c r="C808" s="3" t="s">
        <v>3030</v>
      </c>
      <c r="D808" s="3" t="s">
        <v>3225</v>
      </c>
      <c r="E808" s="3" t="s">
        <v>31</v>
      </c>
      <c r="F808" s="3" t="b">
        <v>0</v>
      </c>
      <c r="G808" s="3" t="s">
        <v>88</v>
      </c>
      <c r="H808" s="6">
        <v>44929.979907407411</v>
      </c>
      <c r="I808" s="3" t="b">
        <v>0</v>
      </c>
      <c r="J808" s="3" t="b">
        <v>1</v>
      </c>
      <c r="K808" s="3" t="s">
        <v>33</v>
      </c>
      <c r="L808" s="3" t="s">
        <v>48</v>
      </c>
      <c r="M808" s="8"/>
      <c r="N808" s="11">
        <v>24</v>
      </c>
      <c r="O808" s="3" t="s">
        <v>5544</v>
      </c>
      <c r="P808" s="3" t="s">
        <v>3799</v>
      </c>
    </row>
    <row r="809" spans="1:16" x14ac:dyDescent="0.3">
      <c r="A809" s="3" t="s">
        <v>103</v>
      </c>
      <c r="B809" s="3" t="s">
        <v>5548</v>
      </c>
      <c r="C809" s="3" t="s">
        <v>87</v>
      </c>
      <c r="D809" s="3" t="s">
        <v>1013</v>
      </c>
      <c r="E809" s="3" t="s">
        <v>31</v>
      </c>
      <c r="F809" s="3" t="b">
        <v>1</v>
      </c>
      <c r="G809" s="3" t="s">
        <v>58</v>
      </c>
      <c r="H809" s="6">
        <v>44954.336759259262</v>
      </c>
      <c r="I809" s="3" t="b">
        <v>0</v>
      </c>
      <c r="J809" s="3" t="b">
        <v>1</v>
      </c>
      <c r="K809" s="3" t="s">
        <v>33</v>
      </c>
      <c r="L809" s="3" t="s">
        <v>34</v>
      </c>
      <c r="M809" s="8">
        <v>132500</v>
      </c>
      <c r="N809" s="11"/>
      <c r="O809" s="3" t="s">
        <v>5549</v>
      </c>
      <c r="P809" s="3" t="s">
        <v>932</v>
      </c>
    </row>
    <row r="810" spans="1:16" x14ac:dyDescent="0.3">
      <c r="A810" s="3" t="s">
        <v>103</v>
      </c>
      <c r="B810" s="3" t="s">
        <v>266</v>
      </c>
      <c r="C810" s="3" t="s">
        <v>5550</v>
      </c>
      <c r="D810" s="3" t="s">
        <v>479</v>
      </c>
      <c r="E810" s="3" t="s">
        <v>31</v>
      </c>
      <c r="F810" s="3" t="b">
        <v>0</v>
      </c>
      <c r="G810" s="3" t="s">
        <v>88</v>
      </c>
      <c r="H810" s="6">
        <v>44943.585810185177</v>
      </c>
      <c r="I810" s="3" t="b">
        <v>0</v>
      </c>
      <c r="J810" s="3" t="b">
        <v>0</v>
      </c>
      <c r="K810" s="3" t="s">
        <v>33</v>
      </c>
      <c r="L810" s="3" t="s">
        <v>34</v>
      </c>
      <c r="M810" s="8">
        <v>82430</v>
      </c>
      <c r="N810" s="11"/>
      <c r="O810" s="3" t="s">
        <v>119</v>
      </c>
      <c r="P810" s="3" t="s">
        <v>5551</v>
      </c>
    </row>
    <row r="811" spans="1:16" x14ac:dyDescent="0.3">
      <c r="A811" s="3" t="s">
        <v>103</v>
      </c>
      <c r="B811" s="3" t="s">
        <v>103</v>
      </c>
      <c r="C811" s="3" t="s">
        <v>565</v>
      </c>
      <c r="D811" s="3" t="s">
        <v>188</v>
      </c>
      <c r="E811" s="3" t="s">
        <v>31</v>
      </c>
      <c r="F811" s="3" t="b">
        <v>0</v>
      </c>
      <c r="G811" s="3" t="s">
        <v>140</v>
      </c>
      <c r="H811" s="6">
        <v>44952.824629629627</v>
      </c>
      <c r="I811" s="3" t="b">
        <v>1</v>
      </c>
      <c r="J811" s="3" t="b">
        <v>0</v>
      </c>
      <c r="K811" s="3" t="s">
        <v>33</v>
      </c>
      <c r="L811" s="3" t="s">
        <v>34</v>
      </c>
      <c r="M811" s="8">
        <v>70000</v>
      </c>
      <c r="N811" s="11"/>
      <c r="O811" s="3" t="s">
        <v>189</v>
      </c>
      <c r="P811" s="3" t="s">
        <v>5558</v>
      </c>
    </row>
    <row r="812" spans="1:16" x14ac:dyDescent="0.3">
      <c r="A812" s="3" t="s">
        <v>103</v>
      </c>
      <c r="B812" s="3" t="s">
        <v>5570</v>
      </c>
      <c r="C812" s="3" t="s">
        <v>87</v>
      </c>
      <c r="D812" s="3" t="s">
        <v>30</v>
      </c>
      <c r="E812" s="3" t="s">
        <v>31</v>
      </c>
      <c r="F812" s="3" t="b">
        <v>1</v>
      </c>
      <c r="G812" s="3" t="s">
        <v>32</v>
      </c>
      <c r="H812" s="6">
        <v>44952.667974537027</v>
      </c>
      <c r="I812" s="3" t="b">
        <v>1</v>
      </c>
      <c r="J812" s="3" t="b">
        <v>0</v>
      </c>
      <c r="K812" s="3" t="s">
        <v>33</v>
      </c>
      <c r="L812" s="3" t="s">
        <v>34</v>
      </c>
      <c r="M812" s="8">
        <v>140000</v>
      </c>
      <c r="N812" s="11"/>
      <c r="O812" s="3" t="s">
        <v>589</v>
      </c>
      <c r="P812" s="3" t="s">
        <v>5571</v>
      </c>
    </row>
    <row r="813" spans="1:16" x14ac:dyDescent="0.3">
      <c r="A813" s="3" t="s">
        <v>103</v>
      </c>
      <c r="B813" s="3" t="s">
        <v>1896</v>
      </c>
      <c r="C813" s="3" t="s">
        <v>5573</v>
      </c>
      <c r="D813" s="3" t="s">
        <v>76</v>
      </c>
      <c r="E813" s="3" t="s">
        <v>133</v>
      </c>
      <c r="F813" s="3" t="b">
        <v>0</v>
      </c>
      <c r="G813" s="3" t="s">
        <v>32</v>
      </c>
      <c r="H813" s="6">
        <v>44931.250613425917</v>
      </c>
      <c r="I813" s="3" t="b">
        <v>1</v>
      </c>
      <c r="J813" s="3" t="b">
        <v>0</v>
      </c>
      <c r="K813" s="3" t="s">
        <v>33</v>
      </c>
      <c r="L813" s="3" t="s">
        <v>48</v>
      </c>
      <c r="M813" s="8"/>
      <c r="N813" s="11">
        <v>34</v>
      </c>
      <c r="O813" s="3" t="s">
        <v>761</v>
      </c>
      <c r="P813" s="3" t="s">
        <v>1367</v>
      </c>
    </row>
    <row r="814" spans="1:16" x14ac:dyDescent="0.3">
      <c r="A814" s="3" t="s">
        <v>103</v>
      </c>
      <c r="B814" s="3" t="s">
        <v>5580</v>
      </c>
      <c r="C814" s="3" t="s">
        <v>1908</v>
      </c>
      <c r="D814" s="3" t="s">
        <v>93</v>
      </c>
      <c r="E814" s="3" t="s">
        <v>31</v>
      </c>
      <c r="F814" s="3" t="b">
        <v>0</v>
      </c>
      <c r="G814" s="3" t="s">
        <v>32</v>
      </c>
      <c r="H814" s="6">
        <v>44937.543194444443</v>
      </c>
      <c r="I814" s="3" t="b">
        <v>1</v>
      </c>
      <c r="J814" s="3" t="b">
        <v>1</v>
      </c>
      <c r="K814" s="3" t="s">
        <v>33</v>
      </c>
      <c r="L814" s="3" t="s">
        <v>34</v>
      </c>
      <c r="M814" s="8">
        <v>115000</v>
      </c>
      <c r="N814" s="11"/>
      <c r="O814" s="3" t="s">
        <v>1484</v>
      </c>
      <c r="P814" s="3"/>
    </row>
    <row r="815" spans="1:16" x14ac:dyDescent="0.3">
      <c r="A815" s="3" t="s">
        <v>103</v>
      </c>
      <c r="B815" s="3" t="s">
        <v>1190</v>
      </c>
      <c r="C815" s="3" t="s">
        <v>87</v>
      </c>
      <c r="D815" s="3" t="s">
        <v>30</v>
      </c>
      <c r="E815" s="3" t="s">
        <v>133</v>
      </c>
      <c r="F815" s="3" t="b">
        <v>1</v>
      </c>
      <c r="G815" s="3" t="s">
        <v>32</v>
      </c>
      <c r="H815" s="6">
        <v>44946.751018518517</v>
      </c>
      <c r="I815" s="3" t="b">
        <v>1</v>
      </c>
      <c r="J815" s="3" t="b">
        <v>0</v>
      </c>
      <c r="K815" s="3" t="s">
        <v>33</v>
      </c>
      <c r="L815" s="3" t="s">
        <v>48</v>
      </c>
      <c r="M815" s="8"/>
      <c r="N815" s="11">
        <v>48.549999237060547</v>
      </c>
      <c r="O815" s="3" t="s">
        <v>1796</v>
      </c>
      <c r="P815" s="3" t="s">
        <v>5581</v>
      </c>
    </row>
    <row r="816" spans="1:16" x14ac:dyDescent="0.3">
      <c r="A816" s="3" t="s">
        <v>103</v>
      </c>
      <c r="B816" s="3" t="s">
        <v>5582</v>
      </c>
      <c r="C816" s="3" t="s">
        <v>2336</v>
      </c>
      <c r="D816" s="3" t="s">
        <v>41</v>
      </c>
      <c r="E816" s="3" t="s">
        <v>31</v>
      </c>
      <c r="F816" s="3" t="b">
        <v>0</v>
      </c>
      <c r="G816" s="3" t="s">
        <v>597</v>
      </c>
      <c r="H816" s="6">
        <v>44944.347372685188</v>
      </c>
      <c r="I816" s="3" t="b">
        <v>0</v>
      </c>
      <c r="J816" s="3" t="b">
        <v>0</v>
      </c>
      <c r="K816" s="3" t="s">
        <v>597</v>
      </c>
      <c r="L816" s="3" t="s">
        <v>34</v>
      </c>
      <c r="M816" s="8">
        <v>89100</v>
      </c>
      <c r="N816" s="11"/>
      <c r="O816" s="3" t="s">
        <v>5583</v>
      </c>
      <c r="P816" s="3" t="s">
        <v>5584</v>
      </c>
    </row>
    <row r="817" spans="1:16" x14ac:dyDescent="0.3">
      <c r="A817" s="3" t="s">
        <v>103</v>
      </c>
      <c r="B817" s="3" t="s">
        <v>5593</v>
      </c>
      <c r="C817" s="3" t="s">
        <v>270</v>
      </c>
      <c r="D817" s="3" t="s">
        <v>53</v>
      </c>
      <c r="E817" s="3" t="s">
        <v>31</v>
      </c>
      <c r="F817" s="3" t="b">
        <v>0</v>
      </c>
      <c r="G817" s="3" t="s">
        <v>32</v>
      </c>
      <c r="H817" s="6">
        <v>44930.667638888888</v>
      </c>
      <c r="I817" s="3" t="b">
        <v>1</v>
      </c>
      <c r="J817" s="3" t="b">
        <v>0</v>
      </c>
      <c r="K817" s="3" t="s">
        <v>33</v>
      </c>
      <c r="L817" s="3" t="s">
        <v>48</v>
      </c>
      <c r="M817" s="8"/>
      <c r="N817" s="11">
        <v>22</v>
      </c>
      <c r="O817" s="3" t="s">
        <v>5594</v>
      </c>
      <c r="P817" s="3" t="s">
        <v>4460</v>
      </c>
    </row>
    <row r="818" spans="1:16" x14ac:dyDescent="0.3">
      <c r="A818" s="3" t="s">
        <v>103</v>
      </c>
      <c r="B818" s="3" t="s">
        <v>103</v>
      </c>
      <c r="C818" s="3" t="s">
        <v>87</v>
      </c>
      <c r="D818" s="3" t="s">
        <v>53</v>
      </c>
      <c r="E818" s="3" t="s">
        <v>31</v>
      </c>
      <c r="F818" s="3" t="b">
        <v>1</v>
      </c>
      <c r="G818" s="3" t="s">
        <v>58</v>
      </c>
      <c r="H818" s="6">
        <v>44932.793113425927</v>
      </c>
      <c r="I818" s="3" t="b">
        <v>0</v>
      </c>
      <c r="J818" s="3" t="b">
        <v>0</v>
      </c>
      <c r="K818" s="3" t="s">
        <v>33</v>
      </c>
      <c r="L818" s="3" t="s">
        <v>48</v>
      </c>
      <c r="M818" s="8"/>
      <c r="N818" s="11">
        <v>26.5</v>
      </c>
      <c r="O818" s="3" t="s">
        <v>5602</v>
      </c>
      <c r="P818" s="3" t="s">
        <v>5603</v>
      </c>
    </row>
    <row r="819" spans="1:16" x14ac:dyDescent="0.3">
      <c r="A819" s="3" t="s">
        <v>103</v>
      </c>
      <c r="B819" s="3" t="s">
        <v>103</v>
      </c>
      <c r="C819" s="3" t="s">
        <v>164</v>
      </c>
      <c r="D819" s="3" t="s">
        <v>30</v>
      </c>
      <c r="E819" s="3" t="s">
        <v>133</v>
      </c>
      <c r="F819" s="3" t="b">
        <v>0</v>
      </c>
      <c r="G819" s="3" t="s">
        <v>64</v>
      </c>
      <c r="H819" s="6">
        <v>44932.000219907408</v>
      </c>
      <c r="I819" s="3" t="b">
        <v>0</v>
      </c>
      <c r="J819" s="3" t="b">
        <v>0</v>
      </c>
      <c r="K819" s="3" t="s">
        <v>33</v>
      </c>
      <c r="L819" s="3" t="s">
        <v>48</v>
      </c>
      <c r="M819" s="8"/>
      <c r="N819" s="11">
        <v>19.5</v>
      </c>
      <c r="O819" s="3" t="s">
        <v>5611</v>
      </c>
      <c r="P819" s="3" t="s">
        <v>4460</v>
      </c>
    </row>
    <row r="820" spans="1:16" x14ac:dyDescent="0.3">
      <c r="A820" s="3" t="s">
        <v>103</v>
      </c>
      <c r="B820" s="3" t="s">
        <v>5619</v>
      </c>
      <c r="C820" s="3" t="s">
        <v>1547</v>
      </c>
      <c r="D820" s="3" t="s">
        <v>41</v>
      </c>
      <c r="E820" s="3" t="s">
        <v>31</v>
      </c>
      <c r="F820" s="3" t="b">
        <v>0</v>
      </c>
      <c r="G820" s="3" t="s">
        <v>1548</v>
      </c>
      <c r="H820" s="6">
        <v>44944.309490740743</v>
      </c>
      <c r="I820" s="3" t="b">
        <v>0</v>
      </c>
      <c r="J820" s="3" t="b">
        <v>0</v>
      </c>
      <c r="K820" s="3" t="s">
        <v>1548</v>
      </c>
      <c r="L820" s="3" t="s">
        <v>34</v>
      </c>
      <c r="M820" s="8">
        <v>63000</v>
      </c>
      <c r="N820" s="11"/>
      <c r="O820" s="3" t="s">
        <v>1549</v>
      </c>
      <c r="P820" s="3" t="s">
        <v>5620</v>
      </c>
    </row>
    <row r="821" spans="1:16" x14ac:dyDescent="0.3">
      <c r="A821" s="3" t="s">
        <v>103</v>
      </c>
      <c r="B821" s="3" t="s">
        <v>5621</v>
      </c>
      <c r="C821" s="3" t="s">
        <v>87</v>
      </c>
      <c r="D821" s="3" t="s">
        <v>830</v>
      </c>
      <c r="E821" s="3" t="s">
        <v>133</v>
      </c>
      <c r="F821" s="3" t="b">
        <v>1</v>
      </c>
      <c r="G821" s="3" t="s">
        <v>1171</v>
      </c>
      <c r="H821" s="6">
        <v>44945.06144675926</v>
      </c>
      <c r="I821" s="3" t="b">
        <v>0</v>
      </c>
      <c r="J821" s="3" t="b">
        <v>1</v>
      </c>
      <c r="K821" s="3" t="s">
        <v>1171</v>
      </c>
      <c r="L821" s="3" t="s">
        <v>34</v>
      </c>
      <c r="M821" s="8">
        <v>47500</v>
      </c>
      <c r="N821" s="11"/>
      <c r="O821" s="3" t="s">
        <v>5622</v>
      </c>
      <c r="P821" s="3" t="s">
        <v>5623</v>
      </c>
    </row>
    <row r="822" spans="1:16" x14ac:dyDescent="0.3">
      <c r="A822" s="3" t="s">
        <v>103</v>
      </c>
      <c r="B822" s="3" t="s">
        <v>5630</v>
      </c>
      <c r="C822" s="3" t="s">
        <v>223</v>
      </c>
      <c r="D822" s="3" t="s">
        <v>53</v>
      </c>
      <c r="E822" s="3" t="s">
        <v>31</v>
      </c>
      <c r="F822" s="3" t="b">
        <v>0</v>
      </c>
      <c r="G822" s="3" t="s">
        <v>64</v>
      </c>
      <c r="H822" s="6">
        <v>44952.33388888889</v>
      </c>
      <c r="I822" s="3" t="b">
        <v>1</v>
      </c>
      <c r="J822" s="3" t="b">
        <v>0</v>
      </c>
      <c r="K822" s="3" t="s">
        <v>33</v>
      </c>
      <c r="L822" s="3" t="s">
        <v>48</v>
      </c>
      <c r="M822" s="8"/>
      <c r="N822" s="11">
        <v>27</v>
      </c>
      <c r="O822" s="3" t="s">
        <v>5631</v>
      </c>
      <c r="P822" s="3"/>
    </row>
    <row r="823" spans="1:16" x14ac:dyDescent="0.3">
      <c r="A823" s="3" t="s">
        <v>103</v>
      </c>
      <c r="B823" s="3" t="s">
        <v>3922</v>
      </c>
      <c r="C823" s="3" t="s">
        <v>3061</v>
      </c>
      <c r="D823" s="3" t="s">
        <v>287</v>
      </c>
      <c r="E823" s="3" t="s">
        <v>31</v>
      </c>
      <c r="F823" s="3" t="b">
        <v>0</v>
      </c>
      <c r="G823" s="3" t="s">
        <v>88</v>
      </c>
      <c r="H823" s="6">
        <v>44949.001979166656</v>
      </c>
      <c r="I823" s="3" t="b">
        <v>0</v>
      </c>
      <c r="J823" s="3" t="b">
        <v>0</v>
      </c>
      <c r="K823" s="3" t="s">
        <v>33</v>
      </c>
      <c r="L823" s="3" t="s">
        <v>34</v>
      </c>
      <c r="M823" s="8">
        <v>67431</v>
      </c>
      <c r="N823" s="11"/>
      <c r="O823" s="3" t="s">
        <v>2931</v>
      </c>
      <c r="P823" s="3" t="s">
        <v>374</v>
      </c>
    </row>
    <row r="824" spans="1:16" x14ac:dyDescent="0.3">
      <c r="A824" s="3" t="s">
        <v>103</v>
      </c>
      <c r="B824" s="3" t="s">
        <v>5632</v>
      </c>
      <c r="C824" s="3" t="s">
        <v>314</v>
      </c>
      <c r="D824" s="3" t="s">
        <v>30</v>
      </c>
      <c r="E824" s="3" t="s">
        <v>31</v>
      </c>
      <c r="F824" s="3" t="b">
        <v>0</v>
      </c>
      <c r="G824" s="3" t="s">
        <v>64</v>
      </c>
      <c r="H824" s="6">
        <v>44930.91710648148</v>
      </c>
      <c r="I824" s="3" t="b">
        <v>0</v>
      </c>
      <c r="J824" s="3" t="b">
        <v>0</v>
      </c>
      <c r="K824" s="3" t="s">
        <v>33</v>
      </c>
      <c r="L824" s="3" t="s">
        <v>34</v>
      </c>
      <c r="M824" s="8">
        <v>115000</v>
      </c>
      <c r="N824" s="11"/>
      <c r="O824" s="3" t="s">
        <v>5633</v>
      </c>
      <c r="P824" s="3" t="s">
        <v>5634</v>
      </c>
    </row>
    <row r="825" spans="1:16" x14ac:dyDescent="0.3">
      <c r="A825" s="3" t="s">
        <v>103</v>
      </c>
      <c r="B825" s="3" t="s">
        <v>3738</v>
      </c>
      <c r="C825" s="3" t="s">
        <v>3105</v>
      </c>
      <c r="D825" s="3" t="s">
        <v>3814</v>
      </c>
      <c r="E825" s="3" t="s">
        <v>31</v>
      </c>
      <c r="F825" s="3" t="b">
        <v>0</v>
      </c>
      <c r="G825" s="3" t="s">
        <v>84</v>
      </c>
      <c r="H825" s="6">
        <v>44947.587291666663</v>
      </c>
      <c r="I825" s="3" t="b">
        <v>0</v>
      </c>
      <c r="J825" s="3" t="b">
        <v>0</v>
      </c>
      <c r="K825" s="3" t="s">
        <v>33</v>
      </c>
      <c r="L825" s="3" t="s">
        <v>48</v>
      </c>
      <c r="M825" s="8"/>
      <c r="N825" s="11">
        <v>23</v>
      </c>
      <c r="O825" s="3" t="s">
        <v>3106</v>
      </c>
      <c r="P825" s="3"/>
    </row>
    <row r="826" spans="1:16" x14ac:dyDescent="0.3">
      <c r="A826" s="3" t="s">
        <v>103</v>
      </c>
      <c r="B826" s="3" t="s">
        <v>5252</v>
      </c>
      <c r="C826" s="3" t="s">
        <v>87</v>
      </c>
      <c r="D826" s="3" t="s">
        <v>76</v>
      </c>
      <c r="E826" s="3" t="s">
        <v>31</v>
      </c>
      <c r="F826" s="3" t="b">
        <v>1</v>
      </c>
      <c r="G826" s="3" t="s">
        <v>58</v>
      </c>
      <c r="H826" s="6">
        <v>44935.834398148138</v>
      </c>
      <c r="I826" s="3" t="b">
        <v>0</v>
      </c>
      <c r="J826" s="3" t="b">
        <v>1</v>
      </c>
      <c r="K826" s="3" t="s">
        <v>33</v>
      </c>
      <c r="L826" s="3" t="s">
        <v>34</v>
      </c>
      <c r="M826" s="8">
        <v>97500</v>
      </c>
      <c r="N826" s="11"/>
      <c r="O826" s="3" t="s">
        <v>5643</v>
      </c>
      <c r="P826" s="3" t="s">
        <v>3719</v>
      </c>
    </row>
    <row r="827" spans="1:16" x14ac:dyDescent="0.3">
      <c r="A827" s="3" t="s">
        <v>103</v>
      </c>
      <c r="B827" s="3" t="s">
        <v>5644</v>
      </c>
      <c r="C827" s="3" t="s">
        <v>5645</v>
      </c>
      <c r="D827" s="3" t="s">
        <v>76</v>
      </c>
      <c r="E827" s="3" t="s">
        <v>31</v>
      </c>
      <c r="F827" s="3" t="b">
        <v>0</v>
      </c>
      <c r="G827" s="3" t="s">
        <v>84</v>
      </c>
      <c r="H827" s="6">
        <v>44956.793368055558</v>
      </c>
      <c r="I827" s="3" t="b">
        <v>0</v>
      </c>
      <c r="J827" s="3" t="b">
        <v>1</v>
      </c>
      <c r="K827" s="3" t="s">
        <v>33</v>
      </c>
      <c r="L827" s="3" t="s">
        <v>48</v>
      </c>
      <c r="M827" s="8"/>
      <c r="N827" s="11">
        <v>20</v>
      </c>
      <c r="O827" s="3" t="s">
        <v>5646</v>
      </c>
      <c r="P827" s="3"/>
    </row>
    <row r="828" spans="1:16" x14ac:dyDescent="0.3">
      <c r="A828" s="3" t="s">
        <v>103</v>
      </c>
      <c r="B828" s="3" t="s">
        <v>4589</v>
      </c>
      <c r="C828" s="3" t="s">
        <v>87</v>
      </c>
      <c r="D828" s="3" t="s">
        <v>30</v>
      </c>
      <c r="E828" s="3" t="s">
        <v>133</v>
      </c>
      <c r="F828" s="3" t="b">
        <v>1</v>
      </c>
      <c r="G828" s="3" t="s">
        <v>64</v>
      </c>
      <c r="H828" s="6">
        <v>44951.708622685182</v>
      </c>
      <c r="I828" s="3" t="b">
        <v>0</v>
      </c>
      <c r="J828" s="3" t="b">
        <v>0</v>
      </c>
      <c r="K828" s="3" t="s">
        <v>33</v>
      </c>
      <c r="L828" s="3" t="s">
        <v>48</v>
      </c>
      <c r="M828" s="8"/>
      <c r="N828" s="11">
        <v>55</v>
      </c>
      <c r="O828" s="3" t="s">
        <v>5647</v>
      </c>
      <c r="P828" s="3" t="s">
        <v>5648</v>
      </c>
    </row>
    <row r="829" spans="1:16" x14ac:dyDescent="0.3">
      <c r="A829" s="3" t="s">
        <v>103</v>
      </c>
      <c r="B829" s="3" t="s">
        <v>103</v>
      </c>
      <c r="C829" s="3" t="s">
        <v>3165</v>
      </c>
      <c r="D829" s="3" t="s">
        <v>53</v>
      </c>
      <c r="E829" s="3" t="s">
        <v>31</v>
      </c>
      <c r="F829" s="3" t="b">
        <v>0</v>
      </c>
      <c r="G829" s="3" t="s">
        <v>58</v>
      </c>
      <c r="H829" s="6">
        <v>44932.001064814824</v>
      </c>
      <c r="I829" s="3" t="b">
        <v>0</v>
      </c>
      <c r="J829" s="3" t="b">
        <v>1</v>
      </c>
      <c r="K829" s="3" t="s">
        <v>33</v>
      </c>
      <c r="L829" s="3" t="s">
        <v>48</v>
      </c>
      <c r="M829" s="8"/>
      <c r="N829" s="11">
        <v>49</v>
      </c>
      <c r="O829" s="3" t="s">
        <v>423</v>
      </c>
      <c r="P829" s="3" t="s">
        <v>5649</v>
      </c>
    </row>
    <row r="830" spans="1:16" x14ac:dyDescent="0.3">
      <c r="A830" s="3" t="s">
        <v>103</v>
      </c>
      <c r="B830" s="3" t="s">
        <v>103</v>
      </c>
      <c r="C830" s="3" t="s">
        <v>5654</v>
      </c>
      <c r="D830" s="3" t="s">
        <v>5655</v>
      </c>
      <c r="E830" s="3" t="s">
        <v>31</v>
      </c>
      <c r="F830" s="3" t="b">
        <v>0</v>
      </c>
      <c r="G830" s="3" t="s">
        <v>84</v>
      </c>
      <c r="H830" s="6">
        <v>44949.001828703702</v>
      </c>
      <c r="I830" s="3" t="b">
        <v>0</v>
      </c>
      <c r="J830" s="3" t="b">
        <v>1</v>
      </c>
      <c r="K830" s="3" t="s">
        <v>33</v>
      </c>
      <c r="L830" s="3" t="s">
        <v>48</v>
      </c>
      <c r="M830" s="8"/>
      <c r="N830" s="11">
        <v>24</v>
      </c>
      <c r="O830" s="3" t="s">
        <v>5656</v>
      </c>
      <c r="P830" s="3" t="s">
        <v>405</v>
      </c>
    </row>
    <row r="831" spans="1:16" x14ac:dyDescent="0.3">
      <c r="A831" s="3" t="s">
        <v>103</v>
      </c>
      <c r="B831" s="3" t="s">
        <v>103</v>
      </c>
      <c r="C831" s="3" t="s">
        <v>813</v>
      </c>
      <c r="D831" s="3" t="s">
        <v>53</v>
      </c>
      <c r="E831" s="3" t="s">
        <v>31</v>
      </c>
      <c r="F831" s="3" t="b">
        <v>0</v>
      </c>
      <c r="G831" s="3" t="s">
        <v>64</v>
      </c>
      <c r="H831" s="6">
        <v>44937.541689814818</v>
      </c>
      <c r="I831" s="3" t="b">
        <v>1</v>
      </c>
      <c r="J831" s="3" t="b">
        <v>0</v>
      </c>
      <c r="K831" s="3" t="s">
        <v>33</v>
      </c>
      <c r="L831" s="3" t="s">
        <v>48</v>
      </c>
      <c r="M831" s="8"/>
      <c r="N831" s="11">
        <v>24.5</v>
      </c>
      <c r="O831" s="3" t="s">
        <v>5660</v>
      </c>
      <c r="P831" s="3"/>
    </row>
    <row r="832" spans="1:16" x14ac:dyDescent="0.3">
      <c r="A832" s="3" t="s">
        <v>103</v>
      </c>
      <c r="B832" s="3" t="s">
        <v>103</v>
      </c>
      <c r="C832" s="3" t="s">
        <v>800</v>
      </c>
      <c r="D832" s="3" t="s">
        <v>30</v>
      </c>
      <c r="E832" s="3" t="s">
        <v>31</v>
      </c>
      <c r="F832" s="3" t="b">
        <v>0</v>
      </c>
      <c r="G832" s="3" t="s">
        <v>58</v>
      </c>
      <c r="H832" s="6">
        <v>44946.917997685188</v>
      </c>
      <c r="I832" s="3" t="b">
        <v>0</v>
      </c>
      <c r="J832" s="3" t="b">
        <v>0</v>
      </c>
      <c r="K832" s="3" t="s">
        <v>33</v>
      </c>
      <c r="L832" s="3" t="s">
        <v>48</v>
      </c>
      <c r="M832" s="8"/>
      <c r="N832" s="11">
        <v>26.875</v>
      </c>
      <c r="O832" s="3" t="s">
        <v>5661</v>
      </c>
      <c r="P832" s="3" t="s">
        <v>5662</v>
      </c>
    </row>
    <row r="833" spans="1:16" x14ac:dyDescent="0.3">
      <c r="A833" s="3" t="s">
        <v>103</v>
      </c>
      <c r="B833" s="3" t="s">
        <v>103</v>
      </c>
      <c r="C833" s="3" t="s">
        <v>270</v>
      </c>
      <c r="D833" s="3" t="s">
        <v>5664</v>
      </c>
      <c r="E833" s="3" t="s">
        <v>31</v>
      </c>
      <c r="F833" s="3" t="b">
        <v>0</v>
      </c>
      <c r="G833" s="3" t="s">
        <v>32</v>
      </c>
      <c r="H833" s="6">
        <v>44955.000960648147</v>
      </c>
      <c r="I833" s="3" t="b">
        <v>1</v>
      </c>
      <c r="J833" s="3" t="b">
        <v>1</v>
      </c>
      <c r="K833" s="3" t="s">
        <v>33</v>
      </c>
      <c r="L833" s="3" t="s">
        <v>48</v>
      </c>
      <c r="M833" s="8"/>
      <c r="N833" s="11">
        <v>24</v>
      </c>
      <c r="O833" s="3" t="s">
        <v>5665</v>
      </c>
      <c r="P833" s="3" t="s">
        <v>723</v>
      </c>
    </row>
    <row r="834" spans="1:16" x14ac:dyDescent="0.3">
      <c r="A834" s="3" t="s">
        <v>103</v>
      </c>
      <c r="B834" s="3" t="s">
        <v>5666</v>
      </c>
      <c r="C834" s="3" t="s">
        <v>83</v>
      </c>
      <c r="D834" s="3" t="s">
        <v>30</v>
      </c>
      <c r="E834" s="3" t="s">
        <v>133</v>
      </c>
      <c r="F834" s="3" t="b">
        <v>0</v>
      </c>
      <c r="G834" s="3" t="s">
        <v>64</v>
      </c>
      <c r="H834" s="6">
        <v>44952.917407407411</v>
      </c>
      <c r="I834" s="3" t="b">
        <v>1</v>
      </c>
      <c r="J834" s="3" t="b">
        <v>0</v>
      </c>
      <c r="K834" s="3" t="s">
        <v>33</v>
      </c>
      <c r="L834" s="3" t="s">
        <v>48</v>
      </c>
      <c r="M834" s="8"/>
      <c r="N834" s="11">
        <v>62.5</v>
      </c>
      <c r="O834" s="3" t="s">
        <v>3671</v>
      </c>
      <c r="P834" s="3" t="s">
        <v>5667</v>
      </c>
    </row>
    <row r="835" spans="1:16" x14ac:dyDescent="0.3">
      <c r="A835" s="3" t="s">
        <v>103</v>
      </c>
      <c r="B835" s="3" t="s">
        <v>5668</v>
      </c>
      <c r="C835" s="3" t="s">
        <v>79</v>
      </c>
      <c r="D835" s="3" t="s">
        <v>296</v>
      </c>
      <c r="E835" s="3" t="s">
        <v>31</v>
      </c>
      <c r="F835" s="3" t="b">
        <v>0</v>
      </c>
      <c r="G835" s="3" t="s">
        <v>58</v>
      </c>
      <c r="H835" s="6">
        <v>44930.020578703698</v>
      </c>
      <c r="I835" s="3" t="b">
        <v>1</v>
      </c>
      <c r="J835" s="3" t="b">
        <v>0</v>
      </c>
      <c r="K835" s="3" t="s">
        <v>33</v>
      </c>
      <c r="L835" s="3" t="s">
        <v>48</v>
      </c>
      <c r="M835" s="8"/>
      <c r="N835" s="11">
        <v>24</v>
      </c>
      <c r="O835" s="3" t="s">
        <v>5669</v>
      </c>
      <c r="P835" s="3" t="s">
        <v>5670</v>
      </c>
    </row>
    <row r="836" spans="1:16" x14ac:dyDescent="0.3">
      <c r="A836" s="3" t="s">
        <v>103</v>
      </c>
      <c r="B836" s="3" t="s">
        <v>1224</v>
      </c>
      <c r="C836" s="3" t="s">
        <v>5679</v>
      </c>
      <c r="D836" s="3" t="s">
        <v>106</v>
      </c>
      <c r="E836" s="3" t="s">
        <v>31</v>
      </c>
      <c r="F836" s="3" t="b">
        <v>0</v>
      </c>
      <c r="G836" s="3" t="s">
        <v>58</v>
      </c>
      <c r="H836" s="6">
        <v>44943.418240740742</v>
      </c>
      <c r="I836" s="3" t="b">
        <v>0</v>
      </c>
      <c r="J836" s="3" t="b">
        <v>0</v>
      </c>
      <c r="K836" s="3" t="s">
        <v>33</v>
      </c>
      <c r="L836" s="3" t="s">
        <v>34</v>
      </c>
      <c r="M836" s="8">
        <v>146100</v>
      </c>
      <c r="N836" s="11"/>
      <c r="O836" s="3" t="s">
        <v>119</v>
      </c>
      <c r="P836" s="3" t="s">
        <v>1226</v>
      </c>
    </row>
    <row r="837" spans="1:16" x14ac:dyDescent="0.3">
      <c r="A837" s="3" t="s">
        <v>103</v>
      </c>
      <c r="B837" s="3" t="s">
        <v>103</v>
      </c>
      <c r="C837" s="3" t="s">
        <v>321</v>
      </c>
      <c r="D837" s="3" t="s">
        <v>30</v>
      </c>
      <c r="E837" s="3" t="s">
        <v>133</v>
      </c>
      <c r="F837" s="3" t="b">
        <v>0</v>
      </c>
      <c r="G837" s="3" t="s">
        <v>140</v>
      </c>
      <c r="H837" s="6">
        <v>44937.78261574074</v>
      </c>
      <c r="I837" s="3" t="b">
        <v>0</v>
      </c>
      <c r="J837" s="3" t="b">
        <v>0</v>
      </c>
      <c r="K837" s="3" t="s">
        <v>33</v>
      </c>
      <c r="L837" s="3" t="s">
        <v>48</v>
      </c>
      <c r="M837" s="8"/>
      <c r="N837" s="11">
        <v>60</v>
      </c>
      <c r="O837" s="3" t="s">
        <v>502</v>
      </c>
      <c r="P837" s="3" t="s">
        <v>5697</v>
      </c>
    </row>
    <row r="838" spans="1:16" x14ac:dyDescent="0.3">
      <c r="A838" s="3" t="s">
        <v>103</v>
      </c>
      <c r="B838" s="3" t="s">
        <v>5698</v>
      </c>
      <c r="C838" s="3" t="s">
        <v>5699</v>
      </c>
      <c r="D838" s="3" t="s">
        <v>76</v>
      </c>
      <c r="E838" s="3" t="s">
        <v>31</v>
      </c>
      <c r="F838" s="3" t="b">
        <v>0</v>
      </c>
      <c r="G838" s="3" t="s">
        <v>32</v>
      </c>
      <c r="H838" s="6">
        <v>44952.417754629627</v>
      </c>
      <c r="I838" s="3" t="b">
        <v>1</v>
      </c>
      <c r="J838" s="3" t="b">
        <v>1</v>
      </c>
      <c r="K838" s="3" t="s">
        <v>33</v>
      </c>
      <c r="L838" s="3" t="s">
        <v>48</v>
      </c>
      <c r="M838" s="8"/>
      <c r="N838" s="11">
        <v>22.204999923706051</v>
      </c>
      <c r="O838" s="3" t="s">
        <v>5700</v>
      </c>
      <c r="P838" s="3" t="s">
        <v>4460</v>
      </c>
    </row>
    <row r="839" spans="1:16" x14ac:dyDescent="0.3">
      <c r="A839" s="3" t="s">
        <v>103</v>
      </c>
      <c r="B839" s="3" t="s">
        <v>4154</v>
      </c>
      <c r="C839" s="3" t="s">
        <v>140</v>
      </c>
      <c r="D839" s="3" t="s">
        <v>30</v>
      </c>
      <c r="E839" s="3" t="s">
        <v>31</v>
      </c>
      <c r="F839" s="3" t="b">
        <v>0</v>
      </c>
      <c r="G839" s="3" t="s">
        <v>140</v>
      </c>
      <c r="H839" s="6">
        <v>44949.600497685176</v>
      </c>
      <c r="I839" s="3" t="b">
        <v>0</v>
      </c>
      <c r="J839" s="3" t="b">
        <v>0</v>
      </c>
      <c r="K839" s="3" t="s">
        <v>33</v>
      </c>
      <c r="L839" s="3" t="s">
        <v>34</v>
      </c>
      <c r="M839" s="8">
        <v>112500</v>
      </c>
      <c r="N839" s="11"/>
      <c r="O839" s="3" t="s">
        <v>5705</v>
      </c>
      <c r="P839" s="3" t="s">
        <v>374</v>
      </c>
    </row>
    <row r="840" spans="1:16" x14ac:dyDescent="0.3">
      <c r="A840" s="3" t="s">
        <v>103</v>
      </c>
      <c r="B840" s="3" t="s">
        <v>5708</v>
      </c>
      <c r="C840" s="3" t="s">
        <v>87</v>
      </c>
      <c r="D840" s="3" t="s">
        <v>76</v>
      </c>
      <c r="E840" s="3" t="s">
        <v>31</v>
      </c>
      <c r="F840" s="3" t="b">
        <v>1</v>
      </c>
      <c r="G840" s="3" t="s">
        <v>140</v>
      </c>
      <c r="H840" s="6">
        <v>44930.148761574077</v>
      </c>
      <c r="I840" s="3" t="b">
        <v>0</v>
      </c>
      <c r="J840" s="3" t="b">
        <v>0</v>
      </c>
      <c r="K840" s="3" t="s">
        <v>33</v>
      </c>
      <c r="L840" s="3" t="s">
        <v>34</v>
      </c>
      <c r="M840" s="8">
        <v>90000</v>
      </c>
      <c r="N840" s="11"/>
      <c r="O840" s="3" t="s">
        <v>638</v>
      </c>
      <c r="P840" s="3" t="s">
        <v>1678</v>
      </c>
    </row>
    <row r="841" spans="1:16" x14ac:dyDescent="0.3">
      <c r="A841" s="3" t="s">
        <v>103</v>
      </c>
      <c r="B841" s="3" t="s">
        <v>103</v>
      </c>
      <c r="C841" s="3" t="s">
        <v>87</v>
      </c>
      <c r="D841" s="3" t="s">
        <v>188</v>
      </c>
      <c r="E841" s="3" t="s">
        <v>133</v>
      </c>
      <c r="F841" s="3" t="b">
        <v>1</v>
      </c>
      <c r="G841" s="3" t="s">
        <v>84</v>
      </c>
      <c r="H841" s="6">
        <v>44933.50105324074</v>
      </c>
      <c r="I841" s="3" t="b">
        <v>0</v>
      </c>
      <c r="J841" s="3" t="b">
        <v>0</v>
      </c>
      <c r="K841" s="3" t="s">
        <v>33</v>
      </c>
      <c r="L841" s="3" t="s">
        <v>34</v>
      </c>
      <c r="M841" s="8">
        <v>87500</v>
      </c>
      <c r="N841" s="11"/>
      <c r="O841" s="3" t="s">
        <v>5709</v>
      </c>
      <c r="P841" s="3"/>
    </row>
    <row r="842" spans="1:16" x14ac:dyDescent="0.3">
      <c r="A842" s="3" t="s">
        <v>103</v>
      </c>
      <c r="B842" s="3" t="s">
        <v>103</v>
      </c>
      <c r="C842" s="3" t="s">
        <v>4927</v>
      </c>
      <c r="D842" s="3" t="s">
        <v>53</v>
      </c>
      <c r="E842" s="3"/>
      <c r="F842" s="3" t="b">
        <v>0</v>
      </c>
      <c r="G842" s="3" t="s">
        <v>64</v>
      </c>
      <c r="H842" s="6">
        <v>44947.708553240736</v>
      </c>
      <c r="I842" s="3" t="b">
        <v>0</v>
      </c>
      <c r="J842" s="3" t="b">
        <v>0</v>
      </c>
      <c r="K842" s="3" t="s">
        <v>33</v>
      </c>
      <c r="L842" s="3" t="s">
        <v>48</v>
      </c>
      <c r="M842" s="8"/>
      <c r="N842" s="11">
        <v>20.5</v>
      </c>
      <c r="O842" s="3" t="s">
        <v>114</v>
      </c>
      <c r="P842" s="3" t="s">
        <v>4255</v>
      </c>
    </row>
    <row r="843" spans="1:16" x14ac:dyDescent="0.3">
      <c r="A843" s="3" t="s">
        <v>103</v>
      </c>
      <c r="B843" s="3" t="s">
        <v>5716</v>
      </c>
      <c r="C843" s="3" t="s">
        <v>3130</v>
      </c>
      <c r="D843" s="3" t="s">
        <v>30</v>
      </c>
      <c r="E843" s="3" t="s">
        <v>31</v>
      </c>
      <c r="F843" s="3" t="b">
        <v>0</v>
      </c>
      <c r="G843" s="3" t="s">
        <v>64</v>
      </c>
      <c r="H843" s="6">
        <v>44952.83357638889</v>
      </c>
      <c r="I843" s="3" t="b">
        <v>0</v>
      </c>
      <c r="J843" s="3" t="b">
        <v>1</v>
      </c>
      <c r="K843" s="3" t="s">
        <v>33</v>
      </c>
      <c r="L843" s="3" t="s">
        <v>34</v>
      </c>
      <c r="M843" s="8">
        <v>89833.5</v>
      </c>
      <c r="N843" s="11"/>
      <c r="O843" s="3" t="s">
        <v>4112</v>
      </c>
      <c r="P843" s="3" t="s">
        <v>4113</v>
      </c>
    </row>
    <row r="844" spans="1:16" x14ac:dyDescent="0.3">
      <c r="A844" s="3" t="s">
        <v>103</v>
      </c>
      <c r="B844" s="3" t="s">
        <v>5722</v>
      </c>
      <c r="C844" s="3" t="s">
        <v>1321</v>
      </c>
      <c r="D844" s="3" t="s">
        <v>30</v>
      </c>
      <c r="E844" s="3" t="s">
        <v>31</v>
      </c>
      <c r="F844" s="3" t="b">
        <v>0</v>
      </c>
      <c r="G844" s="3" t="s">
        <v>32</v>
      </c>
      <c r="H844" s="6">
        <v>44950.04246527778</v>
      </c>
      <c r="I844" s="3" t="b">
        <v>1</v>
      </c>
      <c r="J844" s="3" t="b">
        <v>0</v>
      </c>
      <c r="K844" s="3" t="s">
        <v>33</v>
      </c>
      <c r="L844" s="3" t="s">
        <v>34</v>
      </c>
      <c r="M844" s="8">
        <v>67500</v>
      </c>
      <c r="N844" s="11"/>
      <c r="O844" s="3" t="s">
        <v>114</v>
      </c>
      <c r="P844" s="3" t="s">
        <v>5723</v>
      </c>
    </row>
    <row r="845" spans="1:16" x14ac:dyDescent="0.3">
      <c r="A845" s="3" t="s">
        <v>103</v>
      </c>
      <c r="B845" s="3" t="s">
        <v>103</v>
      </c>
      <c r="C845" s="3" t="s">
        <v>164</v>
      </c>
      <c r="D845" s="3" t="s">
        <v>76</v>
      </c>
      <c r="E845" s="3" t="s">
        <v>133</v>
      </c>
      <c r="F845" s="3" t="b">
        <v>0</v>
      </c>
      <c r="G845" s="3" t="s">
        <v>64</v>
      </c>
      <c r="H845" s="6">
        <v>44937.499895833331</v>
      </c>
      <c r="I845" s="3" t="b">
        <v>1</v>
      </c>
      <c r="J845" s="3" t="b">
        <v>0</v>
      </c>
      <c r="K845" s="3" t="s">
        <v>33</v>
      </c>
      <c r="L845" s="3" t="s">
        <v>48</v>
      </c>
      <c r="M845" s="8"/>
      <c r="N845" s="11">
        <v>29</v>
      </c>
      <c r="O845" s="3" t="s">
        <v>5120</v>
      </c>
      <c r="P845" s="3" t="s">
        <v>5724</v>
      </c>
    </row>
    <row r="846" spans="1:16" x14ac:dyDescent="0.3">
      <c r="A846" s="3" t="s">
        <v>103</v>
      </c>
      <c r="B846" s="3" t="s">
        <v>5726</v>
      </c>
      <c r="C846" s="3" t="s">
        <v>4547</v>
      </c>
      <c r="D846" s="3" t="s">
        <v>41</v>
      </c>
      <c r="E846" s="3" t="s">
        <v>31</v>
      </c>
      <c r="F846" s="3" t="b">
        <v>0</v>
      </c>
      <c r="G846" s="3" t="s">
        <v>4548</v>
      </c>
      <c r="H846" s="6">
        <v>44951.632881944453</v>
      </c>
      <c r="I846" s="3" t="b">
        <v>0</v>
      </c>
      <c r="J846" s="3" t="b">
        <v>0</v>
      </c>
      <c r="K846" s="3" t="s">
        <v>4548</v>
      </c>
      <c r="L846" s="3" t="s">
        <v>34</v>
      </c>
      <c r="M846" s="8">
        <v>89100</v>
      </c>
      <c r="N846" s="11"/>
      <c r="O846" s="3" t="s">
        <v>5727</v>
      </c>
      <c r="P846" s="3" t="s">
        <v>5728</v>
      </c>
    </row>
    <row r="847" spans="1:16" x14ac:dyDescent="0.3">
      <c r="A847" s="3" t="s">
        <v>103</v>
      </c>
      <c r="B847" s="3" t="s">
        <v>1190</v>
      </c>
      <c r="C847" s="3" t="s">
        <v>3367</v>
      </c>
      <c r="D847" s="3" t="s">
        <v>76</v>
      </c>
      <c r="E847" s="3" t="s">
        <v>31</v>
      </c>
      <c r="F847" s="3" t="b">
        <v>0</v>
      </c>
      <c r="G847" s="3" t="s">
        <v>88</v>
      </c>
      <c r="H847" s="6">
        <v>44950.710277777784</v>
      </c>
      <c r="I847" s="3" t="b">
        <v>0</v>
      </c>
      <c r="J847" s="3" t="b">
        <v>0</v>
      </c>
      <c r="K847" s="3" t="s">
        <v>33</v>
      </c>
      <c r="L847" s="3" t="s">
        <v>48</v>
      </c>
      <c r="M847" s="8"/>
      <c r="N847" s="11">
        <v>24</v>
      </c>
      <c r="O847" s="3" t="s">
        <v>3592</v>
      </c>
      <c r="P847" s="3" t="s">
        <v>2642</v>
      </c>
    </row>
    <row r="848" spans="1:16" x14ac:dyDescent="0.3">
      <c r="A848" s="3" t="s">
        <v>103</v>
      </c>
      <c r="B848" s="3" t="s">
        <v>103</v>
      </c>
      <c r="C848" s="3"/>
      <c r="D848" s="3" t="s">
        <v>30</v>
      </c>
      <c r="E848" s="3" t="s">
        <v>31</v>
      </c>
      <c r="F848" s="3" t="b">
        <v>0</v>
      </c>
      <c r="G848" s="3" t="s">
        <v>64</v>
      </c>
      <c r="H848" s="6">
        <v>44936.875300925924</v>
      </c>
      <c r="I848" s="3" t="b">
        <v>1</v>
      </c>
      <c r="J848" s="3" t="b">
        <v>0</v>
      </c>
      <c r="K848" s="3" t="s">
        <v>33</v>
      </c>
      <c r="L848" s="3" t="s">
        <v>48</v>
      </c>
      <c r="M848" s="8"/>
      <c r="N848" s="11">
        <v>27.5</v>
      </c>
      <c r="O848" s="3" t="s">
        <v>1796</v>
      </c>
      <c r="P848" s="3"/>
    </row>
    <row r="849" spans="1:16" x14ac:dyDescent="0.3">
      <c r="A849" s="3" t="s">
        <v>103</v>
      </c>
      <c r="B849" s="3" t="s">
        <v>103</v>
      </c>
      <c r="C849" s="3" t="s">
        <v>5738</v>
      </c>
      <c r="D849" s="3" t="s">
        <v>76</v>
      </c>
      <c r="E849" s="3" t="s">
        <v>31</v>
      </c>
      <c r="F849" s="3" t="b">
        <v>0</v>
      </c>
      <c r="G849" s="3" t="s">
        <v>64</v>
      </c>
      <c r="H849" s="6">
        <v>44948.916689814818</v>
      </c>
      <c r="I849" s="3" t="b">
        <v>0</v>
      </c>
      <c r="J849" s="3" t="b">
        <v>1</v>
      </c>
      <c r="K849" s="3" t="s">
        <v>33</v>
      </c>
      <c r="L849" s="3" t="s">
        <v>34</v>
      </c>
      <c r="M849" s="8">
        <v>65000</v>
      </c>
      <c r="N849" s="11"/>
      <c r="O849" s="3" t="s">
        <v>5739</v>
      </c>
      <c r="P849" s="3" t="s">
        <v>5740</v>
      </c>
    </row>
    <row r="850" spans="1:16" x14ac:dyDescent="0.3">
      <c r="A850" s="3" t="s">
        <v>103</v>
      </c>
      <c r="B850" s="3" t="s">
        <v>103</v>
      </c>
      <c r="C850" s="3" t="s">
        <v>2948</v>
      </c>
      <c r="D850" s="3" t="s">
        <v>76</v>
      </c>
      <c r="E850" s="3" t="s">
        <v>31</v>
      </c>
      <c r="F850" s="3" t="b">
        <v>0</v>
      </c>
      <c r="G850" s="3" t="s">
        <v>84</v>
      </c>
      <c r="H850" s="6">
        <v>44930.876608796287</v>
      </c>
      <c r="I850" s="3" t="b">
        <v>0</v>
      </c>
      <c r="J850" s="3" t="b">
        <v>1</v>
      </c>
      <c r="K850" s="3" t="s">
        <v>33</v>
      </c>
      <c r="L850" s="3" t="s">
        <v>34</v>
      </c>
      <c r="M850" s="8">
        <v>100000</v>
      </c>
      <c r="N850" s="11"/>
      <c r="O850" s="3" t="s">
        <v>2949</v>
      </c>
      <c r="P850" s="3" t="s">
        <v>2950</v>
      </c>
    </row>
    <row r="851" spans="1:16" x14ac:dyDescent="0.3">
      <c r="A851" s="3" t="s">
        <v>103</v>
      </c>
      <c r="B851" s="3" t="s">
        <v>5741</v>
      </c>
      <c r="C851" s="3" t="s">
        <v>4084</v>
      </c>
      <c r="D851" s="3" t="s">
        <v>188</v>
      </c>
      <c r="E851" s="3" t="s">
        <v>31</v>
      </c>
      <c r="F851" s="3" t="b">
        <v>0</v>
      </c>
      <c r="G851" s="3" t="s">
        <v>58</v>
      </c>
      <c r="H851" s="6">
        <v>44950.001331018517</v>
      </c>
      <c r="I851" s="3" t="b">
        <v>0</v>
      </c>
      <c r="J851" s="3" t="b">
        <v>1</v>
      </c>
      <c r="K851" s="3" t="s">
        <v>33</v>
      </c>
      <c r="L851" s="3" t="s">
        <v>34</v>
      </c>
      <c r="M851" s="8">
        <v>114500</v>
      </c>
      <c r="N851" s="11"/>
      <c r="O851" s="3" t="s">
        <v>426</v>
      </c>
      <c r="P851" s="3" t="s">
        <v>5742</v>
      </c>
    </row>
    <row r="852" spans="1:16" x14ac:dyDescent="0.3">
      <c r="A852" s="3" t="s">
        <v>103</v>
      </c>
      <c r="B852" s="3" t="s">
        <v>1190</v>
      </c>
      <c r="C852" s="3" t="s">
        <v>75</v>
      </c>
      <c r="D852" s="3" t="s">
        <v>30</v>
      </c>
      <c r="E852" s="3" t="s">
        <v>133</v>
      </c>
      <c r="F852" s="3" t="b">
        <v>0</v>
      </c>
      <c r="G852" s="3" t="s">
        <v>84</v>
      </c>
      <c r="H852" s="6">
        <v>44930.751493055563</v>
      </c>
      <c r="I852" s="3" t="b">
        <v>1</v>
      </c>
      <c r="J852" s="3" t="b">
        <v>0</v>
      </c>
      <c r="K852" s="3" t="s">
        <v>33</v>
      </c>
      <c r="L852" s="3" t="s">
        <v>48</v>
      </c>
      <c r="M852" s="8"/>
      <c r="N852" s="11">
        <v>50</v>
      </c>
      <c r="O852" s="3" t="s">
        <v>1090</v>
      </c>
      <c r="P852" s="3" t="s">
        <v>5744</v>
      </c>
    </row>
    <row r="853" spans="1:16" x14ac:dyDescent="0.3">
      <c r="A853" s="3" t="s">
        <v>103</v>
      </c>
      <c r="B853" s="3" t="s">
        <v>5745</v>
      </c>
      <c r="C853" s="3" t="s">
        <v>83</v>
      </c>
      <c r="D853" s="3" t="s">
        <v>30</v>
      </c>
      <c r="E853" s="3" t="s">
        <v>1861</v>
      </c>
      <c r="F853" s="3" t="b">
        <v>0</v>
      </c>
      <c r="G853" s="3" t="s">
        <v>64</v>
      </c>
      <c r="H853" s="6">
        <v>44951.833726851852</v>
      </c>
      <c r="I853" s="3" t="b">
        <v>1</v>
      </c>
      <c r="J853" s="3" t="b">
        <v>0</v>
      </c>
      <c r="K853" s="3" t="s">
        <v>33</v>
      </c>
      <c r="L853" s="3" t="s">
        <v>48</v>
      </c>
      <c r="M853" s="8"/>
      <c r="N853" s="11">
        <v>22.5</v>
      </c>
      <c r="O853" s="3" t="s">
        <v>5746</v>
      </c>
      <c r="P853" s="3"/>
    </row>
    <row r="854" spans="1:16" x14ac:dyDescent="0.3">
      <c r="A854" s="3" t="s">
        <v>103</v>
      </c>
      <c r="B854" s="3" t="s">
        <v>103</v>
      </c>
      <c r="C854" s="3" t="s">
        <v>2990</v>
      </c>
      <c r="D854" s="3" t="s">
        <v>93</v>
      </c>
      <c r="E854" s="3" t="s">
        <v>31</v>
      </c>
      <c r="F854" s="3" t="b">
        <v>0</v>
      </c>
      <c r="G854" s="3" t="s">
        <v>32</v>
      </c>
      <c r="H854" s="6">
        <v>44937.459849537037</v>
      </c>
      <c r="I854" s="3" t="b">
        <v>0</v>
      </c>
      <c r="J854" s="3" t="b">
        <v>0</v>
      </c>
      <c r="K854" s="3" t="s">
        <v>33</v>
      </c>
      <c r="L854" s="3" t="s">
        <v>34</v>
      </c>
      <c r="M854" s="8">
        <v>90000</v>
      </c>
      <c r="N854" s="11"/>
      <c r="O854" s="3" t="s">
        <v>5749</v>
      </c>
      <c r="P854" s="3" t="s">
        <v>5750</v>
      </c>
    </row>
    <row r="855" spans="1:16" x14ac:dyDescent="0.3">
      <c r="A855" s="3" t="s">
        <v>103</v>
      </c>
      <c r="B855" s="3" t="s">
        <v>5751</v>
      </c>
      <c r="C855" s="3" t="s">
        <v>2948</v>
      </c>
      <c r="D855" s="3" t="s">
        <v>5752</v>
      </c>
      <c r="E855" s="3" t="s">
        <v>31</v>
      </c>
      <c r="F855" s="3" t="b">
        <v>0</v>
      </c>
      <c r="G855" s="3" t="s">
        <v>84</v>
      </c>
      <c r="H855" s="6">
        <v>44929.979502314818</v>
      </c>
      <c r="I855" s="3" t="b">
        <v>0</v>
      </c>
      <c r="J855" s="3" t="b">
        <v>0</v>
      </c>
      <c r="K855" s="3" t="s">
        <v>33</v>
      </c>
      <c r="L855" s="3" t="s">
        <v>48</v>
      </c>
      <c r="M855" s="8"/>
      <c r="N855" s="11">
        <v>24</v>
      </c>
      <c r="O855" s="3" t="s">
        <v>5753</v>
      </c>
      <c r="P855" s="3" t="s">
        <v>5754</v>
      </c>
    </row>
    <row r="856" spans="1:16" x14ac:dyDescent="0.3">
      <c r="A856" s="3" t="s">
        <v>103</v>
      </c>
      <c r="B856" s="3" t="s">
        <v>5755</v>
      </c>
      <c r="C856" s="3" t="s">
        <v>5756</v>
      </c>
      <c r="D856" s="3" t="s">
        <v>76</v>
      </c>
      <c r="E856" s="3" t="s">
        <v>31</v>
      </c>
      <c r="F856" s="3" t="b">
        <v>0</v>
      </c>
      <c r="G856" s="3" t="s">
        <v>88</v>
      </c>
      <c r="H856" s="6">
        <v>44931.710196759261</v>
      </c>
      <c r="I856" s="3" t="b">
        <v>0</v>
      </c>
      <c r="J856" s="3" t="b">
        <v>1</v>
      </c>
      <c r="K856" s="3" t="s">
        <v>33</v>
      </c>
      <c r="L856" s="3" t="s">
        <v>34</v>
      </c>
      <c r="M856" s="8">
        <v>67500</v>
      </c>
      <c r="N856" s="11"/>
      <c r="O856" s="3" t="s">
        <v>5757</v>
      </c>
      <c r="P856" s="3" t="s">
        <v>5758</v>
      </c>
    </row>
    <row r="857" spans="1:16" x14ac:dyDescent="0.3">
      <c r="A857" s="3" t="s">
        <v>103</v>
      </c>
      <c r="B857" s="3" t="s">
        <v>5763</v>
      </c>
      <c r="C857" s="3" t="s">
        <v>97</v>
      </c>
      <c r="D857" s="3" t="s">
        <v>3449</v>
      </c>
      <c r="E857" s="3" t="s">
        <v>31</v>
      </c>
      <c r="F857" s="3" t="b">
        <v>0</v>
      </c>
      <c r="G857" s="3" t="s">
        <v>32</v>
      </c>
      <c r="H857" s="6">
        <v>44930.019953703697</v>
      </c>
      <c r="I857" s="3" t="b">
        <v>1</v>
      </c>
      <c r="J857" s="3" t="b">
        <v>0</v>
      </c>
      <c r="K857" s="3" t="s">
        <v>33</v>
      </c>
      <c r="L857" s="3" t="s">
        <v>48</v>
      </c>
      <c r="M857" s="8"/>
      <c r="N857" s="11">
        <v>24</v>
      </c>
      <c r="O857" s="3" t="s">
        <v>3450</v>
      </c>
      <c r="P857" s="3" t="s">
        <v>5764</v>
      </c>
    </row>
    <row r="858" spans="1:16" x14ac:dyDescent="0.3">
      <c r="A858" s="3" t="s">
        <v>103</v>
      </c>
      <c r="B858" s="3" t="s">
        <v>1382</v>
      </c>
      <c r="C858" s="3" t="s">
        <v>46</v>
      </c>
      <c r="D858" s="3" t="s">
        <v>76</v>
      </c>
      <c r="E858" s="3" t="s">
        <v>31</v>
      </c>
      <c r="F858" s="3" t="b">
        <v>0</v>
      </c>
      <c r="G858" s="3" t="s">
        <v>32</v>
      </c>
      <c r="H858" s="6">
        <v>44930.417500000003</v>
      </c>
      <c r="I858" s="3" t="b">
        <v>0</v>
      </c>
      <c r="J858" s="3" t="b">
        <v>0</v>
      </c>
      <c r="K858" s="3" t="s">
        <v>33</v>
      </c>
      <c r="L858" s="3" t="s">
        <v>34</v>
      </c>
      <c r="M858" s="8">
        <v>83002.3828125</v>
      </c>
      <c r="N858" s="11"/>
      <c r="O858" s="3" t="s">
        <v>5765</v>
      </c>
      <c r="P858" s="3" t="s">
        <v>5766</v>
      </c>
    </row>
    <row r="859" spans="1:16" x14ac:dyDescent="0.3">
      <c r="A859" s="3" t="s">
        <v>103</v>
      </c>
      <c r="B859" s="3" t="s">
        <v>5767</v>
      </c>
      <c r="C859" s="3" t="s">
        <v>75</v>
      </c>
      <c r="D859" s="3" t="s">
        <v>76</v>
      </c>
      <c r="E859" s="3" t="s">
        <v>31</v>
      </c>
      <c r="F859" s="3" t="b">
        <v>0</v>
      </c>
      <c r="G859" s="3" t="s">
        <v>84</v>
      </c>
      <c r="H859" s="6">
        <v>44937.877245370371</v>
      </c>
      <c r="I859" s="3" t="b">
        <v>0</v>
      </c>
      <c r="J859" s="3" t="b">
        <v>1</v>
      </c>
      <c r="K859" s="3" t="s">
        <v>33</v>
      </c>
      <c r="L859" s="3" t="s">
        <v>34</v>
      </c>
      <c r="M859" s="8">
        <v>65000</v>
      </c>
      <c r="N859" s="11"/>
      <c r="O859" s="3" t="s">
        <v>5768</v>
      </c>
      <c r="P859" s="3" t="s">
        <v>5769</v>
      </c>
    </row>
    <row r="860" spans="1:16" x14ac:dyDescent="0.3">
      <c r="A860" s="3" t="s">
        <v>103</v>
      </c>
      <c r="B860" s="3" t="s">
        <v>103</v>
      </c>
      <c r="C860" s="3" t="s">
        <v>520</v>
      </c>
      <c r="D860" s="3" t="s">
        <v>287</v>
      </c>
      <c r="E860" s="3" t="s">
        <v>31</v>
      </c>
      <c r="F860" s="3" t="b">
        <v>0</v>
      </c>
      <c r="G860" s="3" t="s">
        <v>88</v>
      </c>
      <c r="H860" s="6">
        <v>44943.013113425928</v>
      </c>
      <c r="I860" s="3" t="b">
        <v>1</v>
      </c>
      <c r="J860" s="3" t="b">
        <v>0</v>
      </c>
      <c r="K860" s="3" t="s">
        <v>33</v>
      </c>
      <c r="L860" s="3" t="s">
        <v>34</v>
      </c>
      <c r="M860" s="8">
        <v>45886</v>
      </c>
      <c r="N860" s="11"/>
      <c r="O860" s="3" t="s">
        <v>5777</v>
      </c>
      <c r="P860" s="3" t="s">
        <v>5778</v>
      </c>
    </row>
    <row r="861" spans="1:16" x14ac:dyDescent="0.3">
      <c r="A861" s="3" t="s">
        <v>103</v>
      </c>
      <c r="B861" s="3" t="s">
        <v>103</v>
      </c>
      <c r="C861" s="3" t="s">
        <v>5779</v>
      </c>
      <c r="D861" s="3" t="s">
        <v>444</v>
      </c>
      <c r="E861" s="3" t="s">
        <v>31</v>
      </c>
      <c r="F861" s="3" t="b">
        <v>0</v>
      </c>
      <c r="G861" s="3" t="s">
        <v>88</v>
      </c>
      <c r="H861" s="6">
        <v>44929.209861111107</v>
      </c>
      <c r="I861" s="3" t="b">
        <v>0</v>
      </c>
      <c r="J861" s="3" t="b">
        <v>0</v>
      </c>
      <c r="K861" s="3" t="s">
        <v>33</v>
      </c>
      <c r="L861" s="3" t="s">
        <v>34</v>
      </c>
      <c r="M861" s="8">
        <v>105515</v>
      </c>
      <c r="N861" s="11"/>
      <c r="O861" s="3" t="s">
        <v>119</v>
      </c>
      <c r="P861" s="3" t="s">
        <v>5780</v>
      </c>
    </row>
    <row r="862" spans="1:16" x14ac:dyDescent="0.3">
      <c r="A862" s="3" t="s">
        <v>103</v>
      </c>
      <c r="B862" s="3" t="s">
        <v>481</v>
      </c>
      <c r="C862" s="3" t="s">
        <v>1628</v>
      </c>
      <c r="D862" s="3" t="s">
        <v>307</v>
      </c>
      <c r="E862" s="3" t="s">
        <v>133</v>
      </c>
      <c r="F862" s="3" t="b">
        <v>0</v>
      </c>
      <c r="G862" s="3" t="s">
        <v>88</v>
      </c>
      <c r="H862" s="6">
        <v>44944.669305555559</v>
      </c>
      <c r="I862" s="3" t="b">
        <v>1</v>
      </c>
      <c r="J862" s="3" t="b">
        <v>0</v>
      </c>
      <c r="K862" s="3" t="s">
        <v>33</v>
      </c>
      <c r="L862" s="3" t="s">
        <v>48</v>
      </c>
      <c r="M862" s="8"/>
      <c r="N862" s="11">
        <v>30.75</v>
      </c>
      <c r="O862" s="3" t="s">
        <v>114</v>
      </c>
      <c r="P862" s="3" t="s">
        <v>1597</v>
      </c>
    </row>
    <row r="863" spans="1:16" x14ac:dyDescent="0.3">
      <c r="A863" s="3" t="s">
        <v>103</v>
      </c>
      <c r="B863" s="3" t="s">
        <v>5784</v>
      </c>
      <c r="C863" s="3" t="s">
        <v>1547</v>
      </c>
      <c r="D863" s="3" t="s">
        <v>41</v>
      </c>
      <c r="E863" s="3" t="s">
        <v>31</v>
      </c>
      <c r="F863" s="3" t="b">
        <v>0</v>
      </c>
      <c r="G863" s="3" t="s">
        <v>1548</v>
      </c>
      <c r="H863" s="6">
        <v>44951.543437499997</v>
      </c>
      <c r="I863" s="3" t="b">
        <v>0</v>
      </c>
      <c r="J863" s="3" t="b">
        <v>0</v>
      </c>
      <c r="K863" s="3" t="s">
        <v>1548</v>
      </c>
      <c r="L863" s="3" t="s">
        <v>34</v>
      </c>
      <c r="M863" s="8">
        <v>44100</v>
      </c>
      <c r="N863" s="11"/>
      <c r="O863" s="3" t="s">
        <v>1549</v>
      </c>
      <c r="P863" s="3" t="s">
        <v>5785</v>
      </c>
    </row>
    <row r="864" spans="1:16" x14ac:dyDescent="0.3">
      <c r="A864" s="3" t="s">
        <v>103</v>
      </c>
      <c r="B864" s="3" t="s">
        <v>5789</v>
      </c>
      <c r="C864" s="3" t="s">
        <v>5790</v>
      </c>
      <c r="D864" s="3" t="s">
        <v>188</v>
      </c>
      <c r="E864" s="3" t="s">
        <v>133</v>
      </c>
      <c r="F864" s="3" t="b">
        <v>0</v>
      </c>
      <c r="G864" s="3" t="s">
        <v>84</v>
      </c>
      <c r="H864" s="6">
        <v>44938.626527777778</v>
      </c>
      <c r="I864" s="3" t="b">
        <v>1</v>
      </c>
      <c r="J864" s="3" t="b">
        <v>0</v>
      </c>
      <c r="K864" s="3" t="s">
        <v>33</v>
      </c>
      <c r="L864" s="3" t="s">
        <v>48</v>
      </c>
      <c r="M864" s="8"/>
      <c r="N864" s="11">
        <v>41.5</v>
      </c>
      <c r="O864" s="3" t="s">
        <v>5791</v>
      </c>
      <c r="P864" s="3" t="s">
        <v>2627</v>
      </c>
    </row>
    <row r="865" spans="1:16" x14ac:dyDescent="0.3">
      <c r="A865" s="3" t="s">
        <v>103</v>
      </c>
      <c r="B865" s="3" t="s">
        <v>103</v>
      </c>
      <c r="C865" s="3" t="s">
        <v>565</v>
      </c>
      <c r="D865" s="3" t="s">
        <v>30</v>
      </c>
      <c r="E865" s="3" t="s">
        <v>133</v>
      </c>
      <c r="F865" s="3" t="b">
        <v>0</v>
      </c>
      <c r="G865" s="3" t="s">
        <v>140</v>
      </c>
      <c r="H865" s="6">
        <v>44939.055243055547</v>
      </c>
      <c r="I865" s="3" t="b">
        <v>0</v>
      </c>
      <c r="J865" s="3" t="b">
        <v>0</v>
      </c>
      <c r="K865" s="3" t="s">
        <v>33</v>
      </c>
      <c r="L865" s="3" t="s">
        <v>48</v>
      </c>
      <c r="M865" s="8"/>
      <c r="N865" s="11">
        <v>37.5</v>
      </c>
      <c r="O865" s="3" t="s">
        <v>114</v>
      </c>
      <c r="P865" s="3" t="s">
        <v>5792</v>
      </c>
    </row>
    <row r="866" spans="1:16" x14ac:dyDescent="0.3">
      <c r="A866" s="3" t="s">
        <v>103</v>
      </c>
      <c r="B866" s="3" t="s">
        <v>5793</v>
      </c>
      <c r="C866" s="3" t="s">
        <v>1628</v>
      </c>
      <c r="D866" s="3" t="s">
        <v>93</v>
      </c>
      <c r="E866" s="3" t="s">
        <v>31</v>
      </c>
      <c r="F866" s="3" t="b">
        <v>0</v>
      </c>
      <c r="G866" s="3" t="s">
        <v>88</v>
      </c>
      <c r="H866" s="6">
        <v>44951.293414351851</v>
      </c>
      <c r="I866" s="3" t="b">
        <v>0</v>
      </c>
      <c r="J866" s="3" t="b">
        <v>1</v>
      </c>
      <c r="K866" s="3" t="s">
        <v>33</v>
      </c>
      <c r="L866" s="3" t="s">
        <v>34</v>
      </c>
      <c r="M866" s="8">
        <v>90000</v>
      </c>
      <c r="N866" s="11"/>
      <c r="O866" s="3" t="s">
        <v>517</v>
      </c>
      <c r="P866" s="3" t="s">
        <v>5794</v>
      </c>
    </row>
    <row r="867" spans="1:16" x14ac:dyDescent="0.3">
      <c r="A867" s="3" t="s">
        <v>103</v>
      </c>
      <c r="B867" s="3" t="s">
        <v>1899</v>
      </c>
      <c r="C867" s="3" t="s">
        <v>3030</v>
      </c>
      <c r="D867" s="3" t="s">
        <v>188</v>
      </c>
      <c r="E867" s="3" t="s">
        <v>133</v>
      </c>
      <c r="F867" s="3" t="b">
        <v>0</v>
      </c>
      <c r="G867" s="3" t="s">
        <v>88</v>
      </c>
      <c r="H867" s="6">
        <v>44929.979733796303</v>
      </c>
      <c r="I867" s="3" t="b">
        <v>1</v>
      </c>
      <c r="J867" s="3" t="b">
        <v>0</v>
      </c>
      <c r="K867" s="3" t="s">
        <v>33</v>
      </c>
      <c r="L867" s="3" t="s">
        <v>48</v>
      </c>
      <c r="M867" s="8"/>
      <c r="N867" s="11">
        <v>24</v>
      </c>
      <c r="O867" s="3" t="s">
        <v>426</v>
      </c>
      <c r="P867" s="3" t="s">
        <v>5798</v>
      </c>
    </row>
    <row r="868" spans="1:16" x14ac:dyDescent="0.3">
      <c r="A868" s="3" t="s">
        <v>103</v>
      </c>
      <c r="B868" s="3" t="s">
        <v>4249</v>
      </c>
      <c r="C868" s="3" t="s">
        <v>87</v>
      </c>
      <c r="D868" s="3" t="s">
        <v>76</v>
      </c>
      <c r="E868" s="3" t="s">
        <v>31</v>
      </c>
      <c r="F868" s="3" t="b">
        <v>1</v>
      </c>
      <c r="G868" s="3" t="s">
        <v>32</v>
      </c>
      <c r="H868" s="6">
        <v>44930.18644675926</v>
      </c>
      <c r="I868" s="3" t="b">
        <v>0</v>
      </c>
      <c r="J868" s="3" t="b">
        <v>0</v>
      </c>
      <c r="K868" s="3" t="s">
        <v>33</v>
      </c>
      <c r="L868" s="3" t="s">
        <v>48</v>
      </c>
      <c r="M868" s="8"/>
      <c r="N868" s="11">
        <v>42.880001068115227</v>
      </c>
      <c r="O868" s="3" t="s">
        <v>4250</v>
      </c>
      <c r="P868" s="3" t="s">
        <v>4251</v>
      </c>
    </row>
    <row r="869" spans="1:16" x14ac:dyDescent="0.3">
      <c r="A869" s="3" t="s">
        <v>103</v>
      </c>
      <c r="B869" s="3" t="s">
        <v>5801</v>
      </c>
      <c r="C869" s="3" t="s">
        <v>903</v>
      </c>
      <c r="D869" s="3" t="s">
        <v>41</v>
      </c>
      <c r="E869" s="3" t="s">
        <v>31</v>
      </c>
      <c r="F869" s="3" t="b">
        <v>0</v>
      </c>
      <c r="G869" s="3" t="s">
        <v>436</v>
      </c>
      <c r="H869" s="6">
        <v>44945.535914351851</v>
      </c>
      <c r="I869" s="3" t="b">
        <v>0</v>
      </c>
      <c r="J869" s="3" t="b">
        <v>0</v>
      </c>
      <c r="K869" s="3" t="s">
        <v>436</v>
      </c>
      <c r="L869" s="3" t="s">
        <v>34</v>
      </c>
      <c r="M869" s="8">
        <v>64800</v>
      </c>
      <c r="N869" s="11"/>
      <c r="O869" s="3" t="s">
        <v>2405</v>
      </c>
      <c r="P869" s="3" t="s">
        <v>5802</v>
      </c>
    </row>
    <row r="870" spans="1:16" x14ac:dyDescent="0.3">
      <c r="A870" s="3" t="s">
        <v>103</v>
      </c>
      <c r="B870" s="3" t="s">
        <v>5813</v>
      </c>
      <c r="C870" s="3" t="s">
        <v>5814</v>
      </c>
      <c r="D870" s="3" t="s">
        <v>76</v>
      </c>
      <c r="E870" s="3" t="s">
        <v>31</v>
      </c>
      <c r="F870" s="3" t="b">
        <v>0</v>
      </c>
      <c r="G870" s="3" t="s">
        <v>64</v>
      </c>
      <c r="H870" s="6">
        <v>44931.874930555547</v>
      </c>
      <c r="I870" s="3" t="b">
        <v>1</v>
      </c>
      <c r="J870" s="3" t="b">
        <v>1</v>
      </c>
      <c r="K870" s="3" t="s">
        <v>33</v>
      </c>
      <c r="L870" s="3" t="s">
        <v>34</v>
      </c>
      <c r="M870" s="8">
        <v>90000</v>
      </c>
      <c r="N870" s="11"/>
      <c r="O870" s="3" t="s">
        <v>5815</v>
      </c>
      <c r="P870" s="3" t="s">
        <v>5816</v>
      </c>
    </row>
    <row r="871" spans="1:16" x14ac:dyDescent="0.3">
      <c r="A871" s="3" t="s">
        <v>103</v>
      </c>
      <c r="B871" s="3" t="s">
        <v>5824</v>
      </c>
      <c r="C871" s="3" t="s">
        <v>5825</v>
      </c>
      <c r="D871" s="3" t="s">
        <v>76</v>
      </c>
      <c r="E871" s="3" t="s">
        <v>1861</v>
      </c>
      <c r="F871" s="3" t="b">
        <v>0</v>
      </c>
      <c r="G871" s="3" t="s">
        <v>5826</v>
      </c>
      <c r="H871" s="6">
        <v>44931.178368055553</v>
      </c>
      <c r="I871" s="3" t="b">
        <v>0</v>
      </c>
      <c r="J871" s="3" t="b">
        <v>0</v>
      </c>
      <c r="K871" s="3" t="s">
        <v>5826</v>
      </c>
      <c r="L871" s="3" t="s">
        <v>48</v>
      </c>
      <c r="M871" s="8"/>
      <c r="N871" s="11">
        <v>16</v>
      </c>
      <c r="O871" s="3" t="s">
        <v>5827</v>
      </c>
      <c r="P871" s="3" t="s">
        <v>460</v>
      </c>
    </row>
    <row r="872" spans="1:16" x14ac:dyDescent="0.3">
      <c r="A872" s="3" t="s">
        <v>103</v>
      </c>
      <c r="B872" s="3" t="s">
        <v>103</v>
      </c>
      <c r="C872" s="3" t="s">
        <v>79</v>
      </c>
      <c r="D872" s="3" t="s">
        <v>30</v>
      </c>
      <c r="E872" s="3" t="s">
        <v>133</v>
      </c>
      <c r="F872" s="3" t="b">
        <v>0</v>
      </c>
      <c r="G872" s="3" t="s">
        <v>58</v>
      </c>
      <c r="H872" s="6">
        <v>44930.103726851848</v>
      </c>
      <c r="I872" s="3" t="b">
        <v>1</v>
      </c>
      <c r="J872" s="3" t="b">
        <v>0</v>
      </c>
      <c r="K872" s="3" t="s">
        <v>33</v>
      </c>
      <c r="L872" s="3" t="s">
        <v>48</v>
      </c>
      <c r="M872" s="8"/>
      <c r="N872" s="11">
        <v>43</v>
      </c>
      <c r="O872" s="3" t="s">
        <v>4507</v>
      </c>
      <c r="P872" s="3" t="s">
        <v>1950</v>
      </c>
    </row>
    <row r="873" spans="1:16" x14ac:dyDescent="0.3">
      <c r="A873" s="3" t="s">
        <v>103</v>
      </c>
      <c r="B873" s="3" t="s">
        <v>103</v>
      </c>
      <c r="C873" s="3" t="s">
        <v>641</v>
      </c>
      <c r="D873" s="3" t="s">
        <v>5490</v>
      </c>
      <c r="E873" s="3" t="s">
        <v>31</v>
      </c>
      <c r="F873" s="3" t="b">
        <v>0</v>
      </c>
      <c r="G873" s="3" t="s">
        <v>88</v>
      </c>
      <c r="H873" s="6">
        <v>44929.980081018519</v>
      </c>
      <c r="I873" s="3" t="b">
        <v>0</v>
      </c>
      <c r="J873" s="3" t="b">
        <v>0</v>
      </c>
      <c r="K873" s="3" t="s">
        <v>33</v>
      </c>
      <c r="L873" s="3" t="s">
        <v>48</v>
      </c>
      <c r="M873" s="8"/>
      <c r="N873" s="11">
        <v>24</v>
      </c>
      <c r="O873" s="3" t="s">
        <v>5830</v>
      </c>
      <c r="P873" s="3" t="s">
        <v>5433</v>
      </c>
    </row>
    <row r="874" spans="1:16" x14ac:dyDescent="0.3">
      <c r="A874" s="3" t="s">
        <v>103</v>
      </c>
      <c r="B874" s="3" t="s">
        <v>2496</v>
      </c>
      <c r="C874" s="3" t="s">
        <v>75</v>
      </c>
      <c r="D874" s="3" t="s">
        <v>287</v>
      </c>
      <c r="E874" s="3" t="s">
        <v>31</v>
      </c>
      <c r="F874" s="3" t="b">
        <v>0</v>
      </c>
      <c r="G874" s="3" t="s">
        <v>84</v>
      </c>
      <c r="H874" s="6">
        <v>44950.001539351862</v>
      </c>
      <c r="I874" s="3" t="b">
        <v>0</v>
      </c>
      <c r="J874" s="3" t="b">
        <v>0</v>
      </c>
      <c r="K874" s="3" t="s">
        <v>33</v>
      </c>
      <c r="L874" s="3" t="s">
        <v>34</v>
      </c>
      <c r="M874" s="8">
        <v>150000</v>
      </c>
      <c r="N874" s="11"/>
      <c r="O874" s="3" t="s">
        <v>5837</v>
      </c>
      <c r="P874" s="3" t="s">
        <v>374</v>
      </c>
    </row>
    <row r="875" spans="1:16" x14ac:dyDescent="0.3">
      <c r="A875" s="3" t="s">
        <v>103</v>
      </c>
      <c r="B875" s="3" t="s">
        <v>5841</v>
      </c>
      <c r="C875" s="3" t="s">
        <v>417</v>
      </c>
      <c r="D875" s="3" t="s">
        <v>429</v>
      </c>
      <c r="E875" s="3" t="s">
        <v>31</v>
      </c>
      <c r="F875" s="3" t="b">
        <v>0</v>
      </c>
      <c r="G875" s="3" t="s">
        <v>58</v>
      </c>
      <c r="H875" s="6">
        <v>44930.020543981482</v>
      </c>
      <c r="I875" s="3" t="b">
        <v>0</v>
      </c>
      <c r="J875" s="3" t="b">
        <v>1</v>
      </c>
      <c r="K875" s="3" t="s">
        <v>33</v>
      </c>
      <c r="L875" s="3" t="s">
        <v>48</v>
      </c>
      <c r="M875" s="8"/>
      <c r="N875" s="11">
        <v>24</v>
      </c>
      <c r="O875" s="3" t="s">
        <v>5842</v>
      </c>
      <c r="P875" s="3" t="s">
        <v>707</v>
      </c>
    </row>
    <row r="876" spans="1:16" x14ac:dyDescent="0.3">
      <c r="A876" s="3" t="s">
        <v>103</v>
      </c>
      <c r="B876" s="3" t="s">
        <v>5843</v>
      </c>
      <c r="C876" s="3" t="s">
        <v>5844</v>
      </c>
      <c r="D876" s="3" t="s">
        <v>287</v>
      </c>
      <c r="E876" s="3" t="s">
        <v>31</v>
      </c>
      <c r="F876" s="3" t="b">
        <v>0</v>
      </c>
      <c r="G876" s="3" t="s">
        <v>84</v>
      </c>
      <c r="H876" s="6">
        <v>44947.002118055563</v>
      </c>
      <c r="I876" s="3" t="b">
        <v>1</v>
      </c>
      <c r="J876" s="3" t="b">
        <v>0</v>
      </c>
      <c r="K876" s="3" t="s">
        <v>33</v>
      </c>
      <c r="L876" s="3" t="s">
        <v>34</v>
      </c>
      <c r="M876" s="8">
        <v>82923</v>
      </c>
      <c r="N876" s="11"/>
      <c r="O876" s="3" t="s">
        <v>288</v>
      </c>
      <c r="P876" s="3"/>
    </row>
    <row r="877" spans="1:16" x14ac:dyDescent="0.3">
      <c r="A877" s="3" t="s">
        <v>103</v>
      </c>
      <c r="B877" s="3" t="s">
        <v>5855</v>
      </c>
      <c r="C877" s="3" t="s">
        <v>682</v>
      </c>
      <c r="D877" s="3" t="s">
        <v>350</v>
      </c>
      <c r="E877" s="3" t="s">
        <v>31</v>
      </c>
      <c r="F877" s="3" t="b">
        <v>0</v>
      </c>
      <c r="G877" s="3" t="s">
        <v>64</v>
      </c>
      <c r="H877" s="6">
        <v>44928.708414351851</v>
      </c>
      <c r="I877" s="3" t="b">
        <v>0</v>
      </c>
      <c r="J877" s="3" t="b">
        <v>1</v>
      </c>
      <c r="K877" s="3" t="s">
        <v>33</v>
      </c>
      <c r="L877" s="3" t="s">
        <v>34</v>
      </c>
      <c r="M877" s="8">
        <v>218500</v>
      </c>
      <c r="N877" s="11"/>
      <c r="O877" s="3" t="s">
        <v>3376</v>
      </c>
      <c r="P877" s="3" t="s">
        <v>3377</v>
      </c>
    </row>
    <row r="878" spans="1:16" x14ac:dyDescent="0.3">
      <c r="A878" s="3" t="s">
        <v>103</v>
      </c>
      <c r="B878" s="3" t="s">
        <v>5856</v>
      </c>
      <c r="C878" s="3" t="s">
        <v>5747</v>
      </c>
      <c r="D878" s="3" t="s">
        <v>188</v>
      </c>
      <c r="E878" s="3" t="s">
        <v>31</v>
      </c>
      <c r="F878" s="3" t="b">
        <v>0</v>
      </c>
      <c r="G878" s="3" t="s">
        <v>64</v>
      </c>
      <c r="H878" s="6">
        <v>44931.749930555547</v>
      </c>
      <c r="I878" s="3" t="b">
        <v>1</v>
      </c>
      <c r="J878" s="3" t="b">
        <v>0</v>
      </c>
      <c r="K878" s="3" t="s">
        <v>33</v>
      </c>
      <c r="L878" s="3" t="s">
        <v>48</v>
      </c>
      <c r="M878" s="8"/>
      <c r="N878" s="11">
        <v>120</v>
      </c>
      <c r="O878" s="3" t="s">
        <v>5791</v>
      </c>
      <c r="P878" s="3" t="s">
        <v>1180</v>
      </c>
    </row>
    <row r="879" spans="1:16" x14ac:dyDescent="0.3">
      <c r="A879" s="3" t="s">
        <v>103</v>
      </c>
      <c r="B879" s="3" t="s">
        <v>5101</v>
      </c>
      <c r="C879" s="3" t="s">
        <v>270</v>
      </c>
      <c r="D879" s="3" t="s">
        <v>5380</v>
      </c>
      <c r="E879" s="3" t="s">
        <v>31</v>
      </c>
      <c r="F879" s="3" t="b">
        <v>0</v>
      </c>
      <c r="G879" s="3" t="s">
        <v>32</v>
      </c>
      <c r="H879" s="6">
        <v>44951.000694444447</v>
      </c>
      <c r="I879" s="3" t="b">
        <v>0</v>
      </c>
      <c r="J879" s="3" t="b">
        <v>1</v>
      </c>
      <c r="K879" s="3" t="s">
        <v>33</v>
      </c>
      <c r="L879" s="3" t="s">
        <v>34</v>
      </c>
      <c r="M879" s="8">
        <v>103000</v>
      </c>
      <c r="N879" s="11"/>
      <c r="O879" s="3" t="s">
        <v>5083</v>
      </c>
      <c r="P879" s="3"/>
    </row>
    <row r="880" spans="1:16" x14ac:dyDescent="0.3">
      <c r="A880" s="3" t="s">
        <v>103</v>
      </c>
      <c r="B880" s="3" t="s">
        <v>5861</v>
      </c>
      <c r="C880" s="3" t="s">
        <v>270</v>
      </c>
      <c r="D880" s="3" t="s">
        <v>76</v>
      </c>
      <c r="E880" s="3" t="s">
        <v>31</v>
      </c>
      <c r="F880" s="3" t="b">
        <v>0</v>
      </c>
      <c r="G880" s="3" t="s">
        <v>32</v>
      </c>
      <c r="H880" s="6">
        <v>44939.793807870366</v>
      </c>
      <c r="I880" s="3" t="b">
        <v>0</v>
      </c>
      <c r="J880" s="3" t="b">
        <v>0</v>
      </c>
      <c r="K880" s="3" t="s">
        <v>33</v>
      </c>
      <c r="L880" s="3" t="s">
        <v>48</v>
      </c>
      <c r="M880" s="8"/>
      <c r="N880" s="11">
        <v>18</v>
      </c>
      <c r="O880" s="3" t="s">
        <v>5862</v>
      </c>
      <c r="P880" s="3" t="s">
        <v>5863</v>
      </c>
    </row>
    <row r="881" spans="1:16" x14ac:dyDescent="0.3">
      <c r="A881" s="3" t="s">
        <v>103</v>
      </c>
      <c r="B881" s="3" t="s">
        <v>103</v>
      </c>
      <c r="C881" s="3" t="s">
        <v>636</v>
      </c>
      <c r="D881" s="3" t="s">
        <v>76</v>
      </c>
      <c r="E881" s="3" t="s">
        <v>31</v>
      </c>
      <c r="F881" s="3" t="b">
        <v>0</v>
      </c>
      <c r="G881" s="3" t="s">
        <v>58</v>
      </c>
      <c r="H881" s="6">
        <v>44936.875925925917</v>
      </c>
      <c r="I881" s="3" t="b">
        <v>0</v>
      </c>
      <c r="J881" s="3" t="b">
        <v>0</v>
      </c>
      <c r="K881" s="3" t="s">
        <v>33</v>
      </c>
      <c r="L881" s="3" t="s">
        <v>34</v>
      </c>
      <c r="M881" s="8">
        <v>73453</v>
      </c>
      <c r="N881" s="11"/>
      <c r="O881" s="3" t="s">
        <v>5864</v>
      </c>
      <c r="P881" s="3" t="s">
        <v>5865</v>
      </c>
    </row>
    <row r="882" spans="1:16" x14ac:dyDescent="0.3">
      <c r="A882" s="3" t="s">
        <v>103</v>
      </c>
      <c r="B882" s="3" t="s">
        <v>599</v>
      </c>
      <c r="C882" s="3" t="s">
        <v>87</v>
      </c>
      <c r="D882" s="3" t="s">
        <v>188</v>
      </c>
      <c r="E882" s="3" t="s">
        <v>133</v>
      </c>
      <c r="F882" s="3" t="b">
        <v>1</v>
      </c>
      <c r="G882" s="3" t="s">
        <v>32</v>
      </c>
      <c r="H882" s="6">
        <v>44950.667361111111</v>
      </c>
      <c r="I882" s="3" t="b">
        <v>1</v>
      </c>
      <c r="J882" s="3" t="b">
        <v>0</v>
      </c>
      <c r="K882" s="3" t="s">
        <v>33</v>
      </c>
      <c r="L882" s="3" t="s">
        <v>48</v>
      </c>
      <c r="M882" s="8"/>
      <c r="N882" s="11">
        <v>70</v>
      </c>
      <c r="O882" s="3" t="s">
        <v>5875</v>
      </c>
      <c r="P882" s="3" t="s">
        <v>5876</v>
      </c>
    </row>
    <row r="883" spans="1:16" x14ac:dyDescent="0.3">
      <c r="A883" s="3" t="s">
        <v>103</v>
      </c>
      <c r="B883" s="3" t="s">
        <v>5877</v>
      </c>
      <c r="C883" s="3" t="s">
        <v>5790</v>
      </c>
      <c r="D883" s="3" t="s">
        <v>93</v>
      </c>
      <c r="E883" s="3" t="s">
        <v>31</v>
      </c>
      <c r="F883" s="3" t="b">
        <v>0</v>
      </c>
      <c r="G883" s="3" t="s">
        <v>84</v>
      </c>
      <c r="H883" s="6">
        <v>44944.252256944441</v>
      </c>
      <c r="I883" s="3" t="b">
        <v>1</v>
      </c>
      <c r="J883" s="3" t="b">
        <v>1</v>
      </c>
      <c r="K883" s="3" t="s">
        <v>33</v>
      </c>
      <c r="L883" s="3" t="s">
        <v>34</v>
      </c>
      <c r="M883" s="8">
        <v>125000</v>
      </c>
      <c r="N883" s="11"/>
      <c r="O883" s="3" t="s">
        <v>5878</v>
      </c>
      <c r="P883" s="3" t="s">
        <v>4255</v>
      </c>
    </row>
    <row r="884" spans="1:16" x14ac:dyDescent="0.3">
      <c r="A884" s="3" t="s">
        <v>103</v>
      </c>
      <c r="B884" s="3" t="s">
        <v>1899</v>
      </c>
      <c r="C884" s="3" t="s">
        <v>164</v>
      </c>
      <c r="D884" s="3" t="s">
        <v>76</v>
      </c>
      <c r="E884" s="3" t="s">
        <v>31</v>
      </c>
      <c r="F884" s="3" t="b">
        <v>0</v>
      </c>
      <c r="G884" s="3" t="s">
        <v>64</v>
      </c>
      <c r="H884" s="6">
        <v>44936.041597222233</v>
      </c>
      <c r="I884" s="3" t="b">
        <v>0</v>
      </c>
      <c r="J884" s="3" t="b">
        <v>0</v>
      </c>
      <c r="K884" s="3" t="s">
        <v>33</v>
      </c>
      <c r="L884" s="3" t="s">
        <v>34</v>
      </c>
      <c r="M884" s="8">
        <v>65000</v>
      </c>
      <c r="N884" s="11"/>
      <c r="O884" s="3" t="s">
        <v>5885</v>
      </c>
      <c r="P884" s="3" t="s">
        <v>4010</v>
      </c>
    </row>
    <row r="885" spans="1:16" x14ac:dyDescent="0.3">
      <c r="A885" s="3" t="s">
        <v>103</v>
      </c>
      <c r="B885" s="3" t="s">
        <v>5887</v>
      </c>
      <c r="C885" s="3" t="s">
        <v>5888</v>
      </c>
      <c r="D885" s="3" t="s">
        <v>41</v>
      </c>
      <c r="E885" s="3" t="s">
        <v>31</v>
      </c>
      <c r="F885" s="3" t="b">
        <v>0</v>
      </c>
      <c r="G885" s="3" t="s">
        <v>2831</v>
      </c>
      <c r="H885" s="6">
        <v>44956.769583333327</v>
      </c>
      <c r="I885" s="3" t="b">
        <v>0</v>
      </c>
      <c r="J885" s="3" t="b">
        <v>0</v>
      </c>
      <c r="K885" s="3" t="s">
        <v>2831</v>
      </c>
      <c r="L885" s="3" t="s">
        <v>34</v>
      </c>
      <c r="M885" s="8">
        <v>80850</v>
      </c>
      <c r="N885" s="11"/>
      <c r="O885" s="3" t="s">
        <v>5889</v>
      </c>
      <c r="P885" s="3" t="s">
        <v>5890</v>
      </c>
    </row>
    <row r="886" spans="1:16" x14ac:dyDescent="0.3">
      <c r="A886" s="3" t="s">
        <v>103</v>
      </c>
      <c r="B886" s="3" t="s">
        <v>5893</v>
      </c>
      <c r="C886" s="3" t="s">
        <v>87</v>
      </c>
      <c r="D886" s="3" t="s">
        <v>30</v>
      </c>
      <c r="E886" s="3" t="s">
        <v>31</v>
      </c>
      <c r="F886" s="3" t="b">
        <v>1</v>
      </c>
      <c r="G886" s="3" t="s">
        <v>64</v>
      </c>
      <c r="H886" s="6">
        <v>44931.000289351847</v>
      </c>
      <c r="I886" s="3" t="b">
        <v>0</v>
      </c>
      <c r="J886" s="3" t="b">
        <v>0</v>
      </c>
      <c r="K886" s="3" t="s">
        <v>33</v>
      </c>
      <c r="L886" s="3" t="s">
        <v>34</v>
      </c>
      <c r="M886" s="8">
        <v>189000</v>
      </c>
      <c r="N886" s="11"/>
      <c r="O886" s="3" t="s">
        <v>5678</v>
      </c>
      <c r="P886" s="3" t="s">
        <v>5894</v>
      </c>
    </row>
    <row r="887" spans="1:16" x14ac:dyDescent="0.3">
      <c r="A887" s="3" t="s">
        <v>103</v>
      </c>
      <c r="B887" s="3" t="s">
        <v>5895</v>
      </c>
      <c r="C887" s="3" t="s">
        <v>835</v>
      </c>
      <c r="D887" s="3" t="s">
        <v>41</v>
      </c>
      <c r="E887" s="3" t="s">
        <v>31</v>
      </c>
      <c r="F887" s="3" t="b">
        <v>0</v>
      </c>
      <c r="G887" s="3" t="s">
        <v>836</v>
      </c>
      <c r="H887" s="6">
        <v>44930.73641203704</v>
      </c>
      <c r="I887" s="3" t="b">
        <v>1</v>
      </c>
      <c r="J887" s="3" t="b">
        <v>0</v>
      </c>
      <c r="K887" s="3" t="s">
        <v>836</v>
      </c>
      <c r="L887" s="3" t="s">
        <v>34</v>
      </c>
      <c r="M887" s="8">
        <v>45000</v>
      </c>
      <c r="N887" s="11"/>
      <c r="O887" s="3" t="s">
        <v>875</v>
      </c>
      <c r="P887" s="3" t="s">
        <v>5896</v>
      </c>
    </row>
    <row r="888" spans="1:16" x14ac:dyDescent="0.3">
      <c r="A888" s="3" t="s">
        <v>103</v>
      </c>
      <c r="B888" s="3" t="s">
        <v>5898</v>
      </c>
      <c r="C888" s="3" t="s">
        <v>164</v>
      </c>
      <c r="D888" s="3" t="s">
        <v>76</v>
      </c>
      <c r="E888" s="3" t="s">
        <v>31</v>
      </c>
      <c r="F888" s="3" t="b">
        <v>0</v>
      </c>
      <c r="G888" s="3" t="s">
        <v>64</v>
      </c>
      <c r="H888" s="6">
        <v>44935.749988425923</v>
      </c>
      <c r="I888" s="3" t="b">
        <v>0</v>
      </c>
      <c r="J888" s="3" t="b">
        <v>1</v>
      </c>
      <c r="K888" s="3" t="s">
        <v>33</v>
      </c>
      <c r="L888" s="3" t="s">
        <v>34</v>
      </c>
      <c r="M888" s="8">
        <v>95000</v>
      </c>
      <c r="N888" s="11"/>
      <c r="O888" s="3" t="s">
        <v>2981</v>
      </c>
      <c r="P888" s="3" t="s">
        <v>5899</v>
      </c>
    </row>
    <row r="889" spans="1:16" x14ac:dyDescent="0.3">
      <c r="A889" s="3" t="s">
        <v>103</v>
      </c>
      <c r="B889" s="3" t="s">
        <v>103</v>
      </c>
      <c r="C889" s="3" t="s">
        <v>87</v>
      </c>
      <c r="D889" s="3" t="s">
        <v>53</v>
      </c>
      <c r="E889" s="3" t="s">
        <v>31</v>
      </c>
      <c r="F889" s="3" t="b">
        <v>1</v>
      </c>
      <c r="G889" s="3" t="s">
        <v>64</v>
      </c>
      <c r="H889" s="6">
        <v>44951.958229166667</v>
      </c>
      <c r="I889" s="3" t="b">
        <v>0</v>
      </c>
      <c r="J889" s="3" t="b">
        <v>0</v>
      </c>
      <c r="K889" s="3" t="s">
        <v>33</v>
      </c>
      <c r="L889" s="3" t="s">
        <v>34</v>
      </c>
      <c r="M889" s="8">
        <v>70000</v>
      </c>
      <c r="N889" s="11"/>
      <c r="O889" s="3" t="s">
        <v>5907</v>
      </c>
      <c r="P889" s="3" t="s">
        <v>5908</v>
      </c>
    </row>
    <row r="890" spans="1:16" x14ac:dyDescent="0.3">
      <c r="A890" s="3" t="s">
        <v>103</v>
      </c>
      <c r="B890" s="3" t="s">
        <v>5912</v>
      </c>
      <c r="C890" s="3" t="s">
        <v>435</v>
      </c>
      <c r="D890" s="3" t="s">
        <v>41</v>
      </c>
      <c r="E890" s="3" t="s">
        <v>31</v>
      </c>
      <c r="F890" s="3" t="b">
        <v>0</v>
      </c>
      <c r="G890" s="3" t="s">
        <v>436</v>
      </c>
      <c r="H890" s="6">
        <v>44945.092476851853</v>
      </c>
      <c r="I890" s="3" t="b">
        <v>0</v>
      </c>
      <c r="J890" s="3" t="b">
        <v>0</v>
      </c>
      <c r="K890" s="3" t="s">
        <v>436</v>
      </c>
      <c r="L890" s="3" t="s">
        <v>34</v>
      </c>
      <c r="M890" s="8">
        <v>79200</v>
      </c>
      <c r="N890" s="11"/>
      <c r="O890" s="3" t="s">
        <v>5913</v>
      </c>
      <c r="P890" s="3" t="s">
        <v>5914</v>
      </c>
    </row>
    <row r="891" spans="1:16" x14ac:dyDescent="0.3">
      <c r="A891" s="3" t="s">
        <v>103</v>
      </c>
      <c r="B891" s="3" t="s">
        <v>4589</v>
      </c>
      <c r="C891" s="3" t="s">
        <v>4506</v>
      </c>
      <c r="D891" s="3" t="s">
        <v>30</v>
      </c>
      <c r="E891" s="3" t="s">
        <v>31</v>
      </c>
      <c r="F891" s="3" t="b">
        <v>0</v>
      </c>
      <c r="G891" s="3" t="s">
        <v>58</v>
      </c>
      <c r="H891" s="6">
        <v>44949.959537037037</v>
      </c>
      <c r="I891" s="3" t="b">
        <v>0</v>
      </c>
      <c r="J891" s="3" t="b">
        <v>0</v>
      </c>
      <c r="K891" s="3" t="s">
        <v>33</v>
      </c>
      <c r="L891" s="3" t="s">
        <v>34</v>
      </c>
      <c r="M891" s="8">
        <v>81500</v>
      </c>
      <c r="N891" s="11"/>
      <c r="O891" s="3" t="s">
        <v>2604</v>
      </c>
      <c r="P891" s="3" t="s">
        <v>5344</v>
      </c>
    </row>
    <row r="892" spans="1:16" x14ac:dyDescent="0.3">
      <c r="A892" s="3" t="s">
        <v>103</v>
      </c>
      <c r="B892" s="3" t="s">
        <v>5915</v>
      </c>
      <c r="C892" s="3" t="s">
        <v>5916</v>
      </c>
      <c r="D892" s="3" t="s">
        <v>41</v>
      </c>
      <c r="E892" s="3" t="s">
        <v>31</v>
      </c>
      <c r="F892" s="3" t="b">
        <v>0</v>
      </c>
      <c r="G892" s="3" t="s">
        <v>64</v>
      </c>
      <c r="H892" s="6">
        <v>44930.435648148137</v>
      </c>
      <c r="I892" s="3" t="b">
        <v>0</v>
      </c>
      <c r="J892" s="3" t="b">
        <v>0</v>
      </c>
      <c r="K892" s="3" t="s">
        <v>33</v>
      </c>
      <c r="L892" s="3" t="s">
        <v>34</v>
      </c>
      <c r="M892" s="8">
        <v>111202</v>
      </c>
      <c r="N892" s="11"/>
      <c r="O892" s="3" t="s">
        <v>5917</v>
      </c>
      <c r="P892" s="3" t="s">
        <v>5918</v>
      </c>
    </row>
    <row r="893" spans="1:16" x14ac:dyDescent="0.3">
      <c r="A893" s="3" t="s">
        <v>103</v>
      </c>
      <c r="B893" s="3" t="s">
        <v>5919</v>
      </c>
      <c r="C893" s="3" t="s">
        <v>57</v>
      </c>
      <c r="D893" s="3" t="s">
        <v>76</v>
      </c>
      <c r="E893" s="3" t="s">
        <v>133</v>
      </c>
      <c r="F893" s="3" t="b">
        <v>0</v>
      </c>
      <c r="G893" s="3" t="s">
        <v>58</v>
      </c>
      <c r="H893" s="6">
        <v>44942.845775462964</v>
      </c>
      <c r="I893" s="3" t="b">
        <v>0</v>
      </c>
      <c r="J893" s="3" t="b">
        <v>0</v>
      </c>
      <c r="K893" s="3" t="s">
        <v>33</v>
      </c>
      <c r="L893" s="3" t="s">
        <v>48</v>
      </c>
      <c r="M893" s="8"/>
      <c r="N893" s="11">
        <v>58.5</v>
      </c>
      <c r="O893" s="3" t="s">
        <v>5920</v>
      </c>
      <c r="P893" s="3" t="s">
        <v>1957</v>
      </c>
    </row>
    <row r="894" spans="1:16" x14ac:dyDescent="0.3">
      <c r="A894" s="3" t="s">
        <v>103</v>
      </c>
      <c r="B894" s="3" t="s">
        <v>5921</v>
      </c>
      <c r="C894" s="3" t="s">
        <v>173</v>
      </c>
      <c r="D894" s="3" t="s">
        <v>93</v>
      </c>
      <c r="E894" s="3" t="s">
        <v>31</v>
      </c>
      <c r="F894" s="3" t="b">
        <v>0</v>
      </c>
      <c r="G894" s="3" t="s">
        <v>64</v>
      </c>
      <c r="H894" s="6">
        <v>44928.500034722223</v>
      </c>
      <c r="I894" s="3" t="b">
        <v>0</v>
      </c>
      <c r="J894" s="3" t="b">
        <v>0</v>
      </c>
      <c r="K894" s="3" t="s">
        <v>33</v>
      </c>
      <c r="L894" s="3" t="s">
        <v>34</v>
      </c>
      <c r="M894" s="8">
        <v>125000</v>
      </c>
      <c r="N894" s="11"/>
      <c r="O894" s="3" t="s">
        <v>5922</v>
      </c>
      <c r="P894" s="3"/>
    </row>
    <row r="895" spans="1:16" x14ac:dyDescent="0.3">
      <c r="A895" s="3" t="s">
        <v>103</v>
      </c>
      <c r="B895" s="3" t="s">
        <v>103</v>
      </c>
      <c r="C895" s="3" t="s">
        <v>136</v>
      </c>
      <c r="D895" s="3" t="s">
        <v>237</v>
      </c>
      <c r="E895" s="3" t="s">
        <v>31</v>
      </c>
      <c r="F895" s="3" t="b">
        <v>0</v>
      </c>
      <c r="G895" s="3" t="s">
        <v>32</v>
      </c>
      <c r="H895" s="6">
        <v>44955.625625000001</v>
      </c>
      <c r="I895" s="3" t="b">
        <v>1</v>
      </c>
      <c r="J895" s="3" t="b">
        <v>0</v>
      </c>
      <c r="K895" s="3" t="s">
        <v>33</v>
      </c>
      <c r="L895" s="3" t="s">
        <v>48</v>
      </c>
      <c r="M895" s="8"/>
      <c r="N895" s="11">
        <v>19</v>
      </c>
      <c r="O895" s="3" t="s">
        <v>706</v>
      </c>
      <c r="P895" s="3" t="s">
        <v>707</v>
      </c>
    </row>
    <row r="896" spans="1:16" x14ac:dyDescent="0.3">
      <c r="A896" s="3" t="s">
        <v>103</v>
      </c>
      <c r="B896" s="3" t="s">
        <v>5923</v>
      </c>
      <c r="C896" s="3" t="s">
        <v>231</v>
      </c>
      <c r="D896" s="3" t="s">
        <v>188</v>
      </c>
      <c r="E896" s="3" t="s">
        <v>133</v>
      </c>
      <c r="F896" s="3" t="b">
        <v>0</v>
      </c>
      <c r="G896" s="3" t="s">
        <v>64</v>
      </c>
      <c r="H896" s="6">
        <v>44938.999965277777</v>
      </c>
      <c r="I896" s="3" t="b">
        <v>0</v>
      </c>
      <c r="J896" s="3" t="b">
        <v>0</v>
      </c>
      <c r="K896" s="3" t="s">
        <v>33</v>
      </c>
      <c r="L896" s="3" t="s">
        <v>48</v>
      </c>
      <c r="M896" s="8"/>
      <c r="N896" s="11">
        <v>65</v>
      </c>
      <c r="O896" s="3" t="s">
        <v>426</v>
      </c>
      <c r="P896" s="3" t="s">
        <v>233</v>
      </c>
    </row>
    <row r="897" spans="1:16" x14ac:dyDescent="0.3">
      <c r="A897" s="3" t="s">
        <v>103</v>
      </c>
      <c r="B897" s="3" t="s">
        <v>103</v>
      </c>
      <c r="C897" s="3" t="s">
        <v>5924</v>
      </c>
      <c r="D897" s="3" t="s">
        <v>30</v>
      </c>
      <c r="E897" s="3" t="s">
        <v>31</v>
      </c>
      <c r="F897" s="3" t="b">
        <v>0</v>
      </c>
      <c r="G897" s="3" t="s">
        <v>84</v>
      </c>
      <c r="H897" s="6">
        <v>44931.585069444453</v>
      </c>
      <c r="I897" s="3" t="b">
        <v>0</v>
      </c>
      <c r="J897" s="3" t="b">
        <v>0</v>
      </c>
      <c r="K897" s="3" t="s">
        <v>33</v>
      </c>
      <c r="L897" s="3" t="s">
        <v>34</v>
      </c>
      <c r="M897" s="8">
        <v>72500</v>
      </c>
      <c r="N897" s="11"/>
      <c r="O897" s="3" t="s">
        <v>5925</v>
      </c>
      <c r="P897" s="3" t="s">
        <v>5926</v>
      </c>
    </row>
    <row r="898" spans="1:16" x14ac:dyDescent="0.3">
      <c r="A898" s="3" t="s">
        <v>103</v>
      </c>
      <c r="B898" s="3" t="s">
        <v>5927</v>
      </c>
      <c r="C898" s="3" t="s">
        <v>945</v>
      </c>
      <c r="D898" s="3" t="s">
        <v>76</v>
      </c>
      <c r="E898" s="3" t="s">
        <v>31</v>
      </c>
      <c r="F898" s="3" t="b">
        <v>0</v>
      </c>
      <c r="G898" s="3" t="s">
        <v>32</v>
      </c>
      <c r="H898" s="6">
        <v>44936.042534722219</v>
      </c>
      <c r="I898" s="3" t="b">
        <v>0</v>
      </c>
      <c r="J898" s="3" t="b">
        <v>1</v>
      </c>
      <c r="K898" s="3" t="s">
        <v>33</v>
      </c>
      <c r="L898" s="3" t="s">
        <v>34</v>
      </c>
      <c r="M898" s="8">
        <v>80000</v>
      </c>
      <c r="N898" s="11"/>
      <c r="O898" s="3" t="s">
        <v>5928</v>
      </c>
      <c r="P898" s="3" t="s">
        <v>5929</v>
      </c>
    </row>
    <row r="899" spans="1:16" x14ac:dyDescent="0.3">
      <c r="A899" s="3" t="s">
        <v>103</v>
      </c>
      <c r="B899" s="3" t="s">
        <v>1133</v>
      </c>
      <c r="C899" s="3" t="s">
        <v>620</v>
      </c>
      <c r="D899" s="3" t="s">
        <v>30</v>
      </c>
      <c r="E899" s="3" t="s">
        <v>31</v>
      </c>
      <c r="F899" s="3" t="b">
        <v>0</v>
      </c>
      <c r="G899" s="3" t="s">
        <v>58</v>
      </c>
      <c r="H899" s="6">
        <v>44932.918298611112</v>
      </c>
      <c r="I899" s="3" t="b">
        <v>0</v>
      </c>
      <c r="J899" s="3" t="b">
        <v>0</v>
      </c>
      <c r="K899" s="3" t="s">
        <v>33</v>
      </c>
      <c r="L899" s="3" t="s">
        <v>48</v>
      </c>
      <c r="M899" s="8"/>
      <c r="N899" s="11">
        <v>42</v>
      </c>
      <c r="O899" s="3" t="s">
        <v>1780</v>
      </c>
      <c r="P899" s="3" t="s">
        <v>5433</v>
      </c>
    </row>
    <row r="900" spans="1:16" x14ac:dyDescent="0.3">
      <c r="A900" s="3" t="s">
        <v>103</v>
      </c>
      <c r="B900" s="3" t="s">
        <v>1903</v>
      </c>
      <c r="C900" s="3" t="s">
        <v>5940</v>
      </c>
      <c r="D900" s="3" t="s">
        <v>307</v>
      </c>
      <c r="E900" s="3" t="s">
        <v>133</v>
      </c>
      <c r="F900" s="3" t="b">
        <v>0</v>
      </c>
      <c r="G900" s="3" t="s">
        <v>88</v>
      </c>
      <c r="H900" s="6">
        <v>44956.543599537043</v>
      </c>
      <c r="I900" s="3" t="b">
        <v>1</v>
      </c>
      <c r="J900" s="3" t="b">
        <v>0</v>
      </c>
      <c r="K900" s="3" t="s">
        <v>33</v>
      </c>
      <c r="L900" s="3" t="s">
        <v>48</v>
      </c>
      <c r="M900" s="8"/>
      <c r="N900" s="11">
        <v>41</v>
      </c>
      <c r="O900" s="3" t="s">
        <v>114</v>
      </c>
      <c r="P900" s="3" t="s">
        <v>1597</v>
      </c>
    </row>
    <row r="901" spans="1:16" x14ac:dyDescent="0.3">
      <c r="A901" s="3" t="s">
        <v>103</v>
      </c>
      <c r="B901" s="3" t="s">
        <v>3566</v>
      </c>
      <c r="C901" s="3" t="s">
        <v>1488</v>
      </c>
      <c r="D901" s="3" t="s">
        <v>5684</v>
      </c>
      <c r="E901" s="3" t="s">
        <v>31</v>
      </c>
      <c r="F901" s="3" t="b">
        <v>0</v>
      </c>
      <c r="G901" s="3" t="s">
        <v>84</v>
      </c>
      <c r="H901" s="6">
        <v>44929.979502314818</v>
      </c>
      <c r="I901" s="3" t="b">
        <v>0</v>
      </c>
      <c r="J901" s="3" t="b">
        <v>0</v>
      </c>
      <c r="K901" s="3" t="s">
        <v>33</v>
      </c>
      <c r="L901" s="3" t="s">
        <v>48</v>
      </c>
      <c r="M901" s="8"/>
      <c r="N901" s="11">
        <v>24</v>
      </c>
      <c r="O901" s="3" t="s">
        <v>5946</v>
      </c>
      <c r="P901" s="3" t="s">
        <v>5947</v>
      </c>
    </row>
    <row r="902" spans="1:16" x14ac:dyDescent="0.3">
      <c r="A902" s="3" t="s">
        <v>103</v>
      </c>
      <c r="B902" s="3" t="s">
        <v>103</v>
      </c>
      <c r="C902" s="3" t="s">
        <v>5900</v>
      </c>
      <c r="D902" s="3" t="s">
        <v>53</v>
      </c>
      <c r="E902" s="3" t="s">
        <v>31</v>
      </c>
      <c r="F902" s="3" t="b">
        <v>0</v>
      </c>
      <c r="G902" s="3" t="s">
        <v>64</v>
      </c>
      <c r="H902" s="6">
        <v>44931.458495370367</v>
      </c>
      <c r="I902" s="3" t="b">
        <v>0</v>
      </c>
      <c r="J902" s="3" t="b">
        <v>0</v>
      </c>
      <c r="K902" s="3" t="s">
        <v>33</v>
      </c>
      <c r="L902" s="3" t="s">
        <v>34</v>
      </c>
      <c r="M902" s="8">
        <v>67500</v>
      </c>
      <c r="N902" s="11"/>
      <c r="O902" s="3" t="s">
        <v>224</v>
      </c>
      <c r="P902" s="3" t="s">
        <v>5950</v>
      </c>
    </row>
    <row r="903" spans="1:16" x14ac:dyDescent="0.3">
      <c r="A903" s="3" t="s">
        <v>103</v>
      </c>
      <c r="B903" s="3" t="s">
        <v>103</v>
      </c>
      <c r="C903" s="3" t="s">
        <v>87</v>
      </c>
      <c r="D903" s="3" t="s">
        <v>30</v>
      </c>
      <c r="E903" s="3" t="s">
        <v>31</v>
      </c>
      <c r="F903" s="3" t="b">
        <v>1</v>
      </c>
      <c r="G903" s="3" t="s">
        <v>64</v>
      </c>
      <c r="H903" s="6">
        <v>44944.583472222221</v>
      </c>
      <c r="I903" s="3" t="b">
        <v>0</v>
      </c>
      <c r="J903" s="3" t="b">
        <v>0</v>
      </c>
      <c r="K903" s="3" t="s">
        <v>33</v>
      </c>
      <c r="L903" s="3" t="s">
        <v>34</v>
      </c>
      <c r="M903" s="8">
        <v>52000</v>
      </c>
      <c r="N903" s="11"/>
      <c r="O903" s="3" t="s">
        <v>5951</v>
      </c>
      <c r="P903" s="3" t="s">
        <v>5952</v>
      </c>
    </row>
    <row r="904" spans="1:16" x14ac:dyDescent="0.3">
      <c r="A904" s="3" t="s">
        <v>103</v>
      </c>
      <c r="B904" s="3" t="s">
        <v>5953</v>
      </c>
      <c r="C904" s="3" t="s">
        <v>223</v>
      </c>
      <c r="D904" s="3" t="s">
        <v>30</v>
      </c>
      <c r="E904" s="3" t="s">
        <v>31</v>
      </c>
      <c r="F904" s="3" t="b">
        <v>0</v>
      </c>
      <c r="G904" s="3" t="s">
        <v>64</v>
      </c>
      <c r="H904" s="6">
        <v>44949.833784722221</v>
      </c>
      <c r="I904" s="3" t="b">
        <v>0</v>
      </c>
      <c r="J904" s="3" t="b">
        <v>1</v>
      </c>
      <c r="K904" s="3" t="s">
        <v>33</v>
      </c>
      <c r="L904" s="3" t="s">
        <v>34</v>
      </c>
      <c r="M904" s="8">
        <v>90000</v>
      </c>
      <c r="N904" s="11"/>
      <c r="O904" s="3" t="s">
        <v>5954</v>
      </c>
      <c r="P904" s="3"/>
    </row>
    <row r="905" spans="1:16" x14ac:dyDescent="0.3">
      <c r="A905" s="3" t="s">
        <v>103</v>
      </c>
      <c r="B905" s="3" t="s">
        <v>103</v>
      </c>
      <c r="C905" s="3" t="s">
        <v>2168</v>
      </c>
      <c r="D905" s="3" t="s">
        <v>30</v>
      </c>
      <c r="E905" s="3" t="s">
        <v>133</v>
      </c>
      <c r="F905" s="3" t="b">
        <v>0</v>
      </c>
      <c r="G905" s="3" t="s">
        <v>58</v>
      </c>
      <c r="H905" s="6">
        <v>44929.856562499997</v>
      </c>
      <c r="I905" s="3" t="b">
        <v>1</v>
      </c>
      <c r="J905" s="3" t="b">
        <v>0</v>
      </c>
      <c r="K905" s="3" t="s">
        <v>33</v>
      </c>
      <c r="L905" s="3" t="s">
        <v>48</v>
      </c>
      <c r="M905" s="8"/>
      <c r="N905" s="11">
        <v>20.5</v>
      </c>
      <c r="O905" s="3" t="s">
        <v>589</v>
      </c>
      <c r="P905" s="3" t="s">
        <v>138</v>
      </c>
    </row>
    <row r="906" spans="1:16" x14ac:dyDescent="0.3">
      <c r="A906" s="3" t="s">
        <v>103</v>
      </c>
      <c r="B906" s="3" t="s">
        <v>5957</v>
      </c>
      <c r="C906" s="3" t="s">
        <v>5958</v>
      </c>
      <c r="D906" s="3" t="s">
        <v>53</v>
      </c>
      <c r="E906" s="3" t="s">
        <v>133</v>
      </c>
      <c r="F906" s="3" t="b">
        <v>0</v>
      </c>
      <c r="G906" s="3" t="s">
        <v>64</v>
      </c>
      <c r="H906" s="6">
        <v>44939.750162037039</v>
      </c>
      <c r="I906" s="3" t="b">
        <v>0</v>
      </c>
      <c r="J906" s="3" t="b">
        <v>0</v>
      </c>
      <c r="K906" s="3" t="s">
        <v>33</v>
      </c>
      <c r="L906" s="3" t="s">
        <v>48</v>
      </c>
      <c r="M906" s="8"/>
      <c r="N906" s="11">
        <v>47.5</v>
      </c>
      <c r="O906" s="3" t="s">
        <v>5959</v>
      </c>
      <c r="P906" s="3" t="s">
        <v>405</v>
      </c>
    </row>
    <row r="907" spans="1:16" x14ac:dyDescent="0.3">
      <c r="A907" s="3" t="s">
        <v>103</v>
      </c>
      <c r="B907" s="3" t="s">
        <v>5964</v>
      </c>
      <c r="C907" s="3" t="s">
        <v>321</v>
      </c>
      <c r="D907" s="3" t="s">
        <v>30</v>
      </c>
      <c r="E907" s="3" t="s">
        <v>133</v>
      </c>
      <c r="F907" s="3" t="b">
        <v>0</v>
      </c>
      <c r="G907" s="3" t="s">
        <v>140</v>
      </c>
      <c r="H907" s="6">
        <v>44939.972384259258</v>
      </c>
      <c r="I907" s="3" t="b">
        <v>1</v>
      </c>
      <c r="J907" s="3" t="b">
        <v>0</v>
      </c>
      <c r="K907" s="3" t="s">
        <v>33</v>
      </c>
      <c r="L907" s="3" t="s">
        <v>48</v>
      </c>
      <c r="M907" s="8"/>
      <c r="N907" s="11">
        <v>57.5</v>
      </c>
      <c r="O907" s="3" t="s">
        <v>589</v>
      </c>
      <c r="P907" s="3" t="s">
        <v>5965</v>
      </c>
    </row>
    <row r="908" spans="1:16" x14ac:dyDescent="0.3">
      <c r="A908" s="3" t="s">
        <v>103</v>
      </c>
      <c r="B908" s="3" t="s">
        <v>5471</v>
      </c>
      <c r="C908" s="3" t="s">
        <v>641</v>
      </c>
      <c r="D908" s="3" t="s">
        <v>950</v>
      </c>
      <c r="E908" s="3" t="s">
        <v>31</v>
      </c>
      <c r="F908" s="3" t="b">
        <v>0</v>
      </c>
      <c r="G908" s="3" t="s">
        <v>88</v>
      </c>
      <c r="H908" s="6">
        <v>44930.835347222222</v>
      </c>
      <c r="I908" s="3" t="b">
        <v>1</v>
      </c>
      <c r="J908" s="3" t="b">
        <v>1</v>
      </c>
      <c r="K908" s="3" t="s">
        <v>33</v>
      </c>
      <c r="L908" s="3" t="s">
        <v>34</v>
      </c>
      <c r="M908" s="8">
        <v>60000</v>
      </c>
      <c r="N908" s="11"/>
      <c r="O908" s="3" t="s">
        <v>3637</v>
      </c>
      <c r="P908" s="3" t="s">
        <v>3638</v>
      </c>
    </row>
    <row r="909" spans="1:16" x14ac:dyDescent="0.3">
      <c r="A909" s="3" t="s">
        <v>103</v>
      </c>
      <c r="B909" s="3" t="s">
        <v>4154</v>
      </c>
      <c r="C909" s="3" t="s">
        <v>302</v>
      </c>
      <c r="D909" s="3" t="s">
        <v>93</v>
      </c>
      <c r="E909" s="3" t="s">
        <v>31</v>
      </c>
      <c r="F909" s="3" t="b">
        <v>0</v>
      </c>
      <c r="G909" s="3" t="s">
        <v>64</v>
      </c>
      <c r="H909" s="6">
        <v>44957.250092592592</v>
      </c>
      <c r="I909" s="3" t="b">
        <v>0</v>
      </c>
      <c r="J909" s="3" t="b">
        <v>1</v>
      </c>
      <c r="K909" s="3" t="s">
        <v>33</v>
      </c>
      <c r="L909" s="3" t="s">
        <v>34</v>
      </c>
      <c r="M909" s="8">
        <v>115000</v>
      </c>
      <c r="N909" s="11"/>
      <c r="O909" s="3" t="s">
        <v>303</v>
      </c>
      <c r="P909" s="3" t="s">
        <v>5973</v>
      </c>
    </row>
    <row r="910" spans="1:16" x14ac:dyDescent="0.3">
      <c r="A910" s="3" t="s">
        <v>103</v>
      </c>
      <c r="B910" s="3" t="s">
        <v>103</v>
      </c>
      <c r="C910" s="3" t="s">
        <v>4739</v>
      </c>
      <c r="D910" s="3" t="s">
        <v>30</v>
      </c>
      <c r="E910" s="3" t="s">
        <v>133</v>
      </c>
      <c r="F910" s="3" t="b">
        <v>0</v>
      </c>
      <c r="G910" s="3" t="s">
        <v>64</v>
      </c>
      <c r="H910" s="6">
        <v>44936.083611111113</v>
      </c>
      <c r="I910" s="3" t="b">
        <v>0</v>
      </c>
      <c r="J910" s="3" t="b">
        <v>0</v>
      </c>
      <c r="K910" s="3" t="s">
        <v>33</v>
      </c>
      <c r="L910" s="3" t="s">
        <v>48</v>
      </c>
      <c r="M910" s="8"/>
      <c r="N910" s="11">
        <v>35.345001220703118</v>
      </c>
      <c r="O910" s="3" t="s">
        <v>114</v>
      </c>
      <c r="P910" s="3" t="s">
        <v>5052</v>
      </c>
    </row>
    <row r="911" spans="1:16" x14ac:dyDescent="0.3">
      <c r="A911" s="3" t="s">
        <v>103</v>
      </c>
      <c r="B911" s="3" t="s">
        <v>1166</v>
      </c>
      <c r="C911" s="3" t="s">
        <v>2343</v>
      </c>
      <c r="D911" s="3" t="s">
        <v>53</v>
      </c>
      <c r="E911" s="3" t="s">
        <v>133</v>
      </c>
      <c r="F911" s="3" t="b">
        <v>0</v>
      </c>
      <c r="G911" s="3" t="s">
        <v>32</v>
      </c>
      <c r="H911" s="6">
        <v>44946.625879629632</v>
      </c>
      <c r="I911" s="3" t="b">
        <v>0</v>
      </c>
      <c r="J911" s="3" t="b">
        <v>0</v>
      </c>
      <c r="K911" s="3" t="s">
        <v>33</v>
      </c>
      <c r="L911" s="3" t="s">
        <v>48</v>
      </c>
      <c r="M911" s="8"/>
      <c r="N911" s="11">
        <v>40</v>
      </c>
      <c r="O911" s="3" t="s">
        <v>5602</v>
      </c>
      <c r="P911" s="3" t="s">
        <v>1426</v>
      </c>
    </row>
    <row r="912" spans="1:16" x14ac:dyDescent="0.3">
      <c r="A912" s="3" t="s">
        <v>103</v>
      </c>
      <c r="B912" s="3" t="s">
        <v>5975</v>
      </c>
      <c r="C912" s="3" t="s">
        <v>164</v>
      </c>
      <c r="D912" s="3" t="s">
        <v>76</v>
      </c>
      <c r="E912" s="3" t="s">
        <v>31</v>
      </c>
      <c r="F912" s="3" t="b">
        <v>0</v>
      </c>
      <c r="G912" s="3" t="s">
        <v>64</v>
      </c>
      <c r="H912" s="6">
        <v>44940.458333333343</v>
      </c>
      <c r="I912" s="3" t="b">
        <v>0</v>
      </c>
      <c r="J912" s="3" t="b">
        <v>1</v>
      </c>
      <c r="K912" s="3" t="s">
        <v>33</v>
      </c>
      <c r="L912" s="3" t="s">
        <v>34</v>
      </c>
      <c r="M912" s="8">
        <v>75000</v>
      </c>
      <c r="N912" s="11"/>
      <c r="O912" s="3" t="s">
        <v>5976</v>
      </c>
      <c r="P912" s="3" t="s">
        <v>3526</v>
      </c>
    </row>
    <row r="913" spans="1:16" x14ac:dyDescent="0.3">
      <c r="A913" s="3" t="s">
        <v>103</v>
      </c>
      <c r="B913" s="3" t="s">
        <v>5977</v>
      </c>
      <c r="C913" s="3" t="s">
        <v>87</v>
      </c>
      <c r="D913" s="3" t="s">
        <v>76</v>
      </c>
      <c r="E913" s="3" t="s">
        <v>31</v>
      </c>
      <c r="F913" s="3" t="b">
        <v>1</v>
      </c>
      <c r="G913" s="3" t="s">
        <v>32</v>
      </c>
      <c r="H913" s="6">
        <v>44950.959097222221</v>
      </c>
      <c r="I913" s="3" t="b">
        <v>0</v>
      </c>
      <c r="J913" s="3" t="b">
        <v>0</v>
      </c>
      <c r="K913" s="3" t="s">
        <v>33</v>
      </c>
      <c r="L913" s="3" t="s">
        <v>48</v>
      </c>
      <c r="M913" s="8"/>
      <c r="N913" s="11">
        <v>47.174999237060547</v>
      </c>
      <c r="O913" s="3" t="s">
        <v>4250</v>
      </c>
      <c r="P913" s="3" t="s">
        <v>5978</v>
      </c>
    </row>
    <row r="914" spans="1:16" x14ac:dyDescent="0.3">
      <c r="A914" s="3" t="s">
        <v>103</v>
      </c>
      <c r="B914" s="3" t="s">
        <v>5980</v>
      </c>
      <c r="C914" s="3" t="s">
        <v>903</v>
      </c>
      <c r="D914" s="3" t="s">
        <v>41</v>
      </c>
      <c r="E914" s="3" t="s">
        <v>31</v>
      </c>
      <c r="F914" s="3" t="b">
        <v>0</v>
      </c>
      <c r="G914" s="3" t="s">
        <v>436</v>
      </c>
      <c r="H914" s="6">
        <v>44943.425173611111</v>
      </c>
      <c r="I914" s="3" t="b">
        <v>0</v>
      </c>
      <c r="J914" s="3" t="b">
        <v>0</v>
      </c>
      <c r="K914" s="3" t="s">
        <v>436</v>
      </c>
      <c r="L914" s="3" t="s">
        <v>34</v>
      </c>
      <c r="M914" s="8">
        <v>64800</v>
      </c>
      <c r="N914" s="11"/>
      <c r="O914" s="3" t="s">
        <v>5981</v>
      </c>
      <c r="P914" s="3" t="s">
        <v>5982</v>
      </c>
    </row>
    <row r="915" spans="1:16" x14ac:dyDescent="0.3">
      <c r="A915" s="3" t="s">
        <v>103</v>
      </c>
      <c r="B915" s="3" t="s">
        <v>5987</v>
      </c>
      <c r="C915" s="3" t="s">
        <v>454</v>
      </c>
      <c r="D915" s="3" t="s">
        <v>41</v>
      </c>
      <c r="E915" s="3" t="s">
        <v>31</v>
      </c>
      <c r="F915" s="3" t="b">
        <v>0</v>
      </c>
      <c r="G915" s="3" t="s">
        <v>455</v>
      </c>
      <c r="H915" s="6">
        <v>44942.789340277777</v>
      </c>
      <c r="I915" s="3" t="b">
        <v>0</v>
      </c>
      <c r="J915" s="3" t="b">
        <v>0</v>
      </c>
      <c r="K915" s="3" t="s">
        <v>455</v>
      </c>
      <c r="L915" s="3" t="s">
        <v>34</v>
      </c>
      <c r="M915" s="8">
        <v>111175</v>
      </c>
      <c r="N915" s="11"/>
      <c r="O915" s="3" t="s">
        <v>2889</v>
      </c>
      <c r="P915" s="3" t="s">
        <v>5988</v>
      </c>
    </row>
    <row r="916" spans="1:16" x14ac:dyDescent="0.3">
      <c r="A916" s="3" t="s">
        <v>103</v>
      </c>
      <c r="B916" s="3" t="s">
        <v>103</v>
      </c>
      <c r="C916" s="3" t="s">
        <v>29</v>
      </c>
      <c r="D916" s="3" t="s">
        <v>76</v>
      </c>
      <c r="E916" s="3" t="s">
        <v>133</v>
      </c>
      <c r="F916" s="3" t="b">
        <v>0</v>
      </c>
      <c r="G916" s="3" t="s">
        <v>32</v>
      </c>
      <c r="H916" s="6">
        <v>44946.750879629632</v>
      </c>
      <c r="I916" s="3" t="b">
        <v>0</v>
      </c>
      <c r="J916" s="3" t="b">
        <v>0</v>
      </c>
      <c r="K916" s="3" t="s">
        <v>33</v>
      </c>
      <c r="L916" s="3" t="s">
        <v>48</v>
      </c>
      <c r="M916" s="8"/>
      <c r="N916" s="11">
        <v>62.5</v>
      </c>
      <c r="O916" s="3" t="s">
        <v>5989</v>
      </c>
      <c r="P916" s="3" t="s">
        <v>4891</v>
      </c>
    </row>
    <row r="917" spans="1:16" x14ac:dyDescent="0.3">
      <c r="A917" s="3" t="s">
        <v>103</v>
      </c>
      <c r="B917" s="3" t="s">
        <v>1899</v>
      </c>
      <c r="C917" s="3" t="s">
        <v>1877</v>
      </c>
      <c r="D917" s="3" t="s">
        <v>30</v>
      </c>
      <c r="E917" s="3" t="s">
        <v>133</v>
      </c>
      <c r="F917" s="3" t="b">
        <v>0</v>
      </c>
      <c r="G917" s="3" t="s">
        <v>64</v>
      </c>
      <c r="H917" s="6">
        <v>44935.792094907411</v>
      </c>
      <c r="I917" s="3" t="b">
        <v>0</v>
      </c>
      <c r="J917" s="3" t="b">
        <v>0</v>
      </c>
      <c r="K917" s="3" t="s">
        <v>33</v>
      </c>
      <c r="L917" s="3" t="s">
        <v>48</v>
      </c>
      <c r="M917" s="8"/>
      <c r="N917" s="11">
        <v>20.5</v>
      </c>
      <c r="O917" s="3" t="s">
        <v>4278</v>
      </c>
      <c r="P917" s="3" t="s">
        <v>138</v>
      </c>
    </row>
    <row r="918" spans="1:16" x14ac:dyDescent="0.3">
      <c r="A918" s="3" t="s">
        <v>103</v>
      </c>
      <c r="B918" s="3" t="s">
        <v>5990</v>
      </c>
      <c r="C918" s="3" t="s">
        <v>1628</v>
      </c>
      <c r="D918" s="3" t="s">
        <v>1872</v>
      </c>
      <c r="E918" s="3" t="s">
        <v>31</v>
      </c>
      <c r="F918" s="3" t="b">
        <v>0</v>
      </c>
      <c r="G918" s="3" t="s">
        <v>88</v>
      </c>
      <c r="H918" s="6">
        <v>44929.980069444442</v>
      </c>
      <c r="I918" s="3" t="b">
        <v>0</v>
      </c>
      <c r="J918" s="3" t="b">
        <v>0</v>
      </c>
      <c r="K918" s="3" t="s">
        <v>33</v>
      </c>
      <c r="L918" s="3" t="s">
        <v>48</v>
      </c>
      <c r="M918" s="8"/>
      <c r="N918" s="11">
        <v>24</v>
      </c>
      <c r="O918" s="3" t="s">
        <v>5991</v>
      </c>
      <c r="P918" s="3" t="s">
        <v>5992</v>
      </c>
    </row>
    <row r="919" spans="1:16" x14ac:dyDescent="0.3">
      <c r="A919" s="3" t="s">
        <v>103</v>
      </c>
      <c r="B919" s="3" t="s">
        <v>103</v>
      </c>
      <c r="C919" s="3" t="s">
        <v>520</v>
      </c>
      <c r="D919" s="3" t="s">
        <v>3814</v>
      </c>
      <c r="E919" s="3" t="s">
        <v>31</v>
      </c>
      <c r="F919" s="3" t="b">
        <v>0</v>
      </c>
      <c r="G919" s="3" t="s">
        <v>88</v>
      </c>
      <c r="H919" s="6">
        <v>44950.626909722218</v>
      </c>
      <c r="I919" s="3" t="b">
        <v>0</v>
      </c>
      <c r="J919" s="3" t="b">
        <v>1</v>
      </c>
      <c r="K919" s="3" t="s">
        <v>33</v>
      </c>
      <c r="L919" s="3" t="s">
        <v>48</v>
      </c>
      <c r="M919" s="8"/>
      <c r="N919" s="11">
        <v>21</v>
      </c>
      <c r="O919" s="3" t="s">
        <v>1199</v>
      </c>
      <c r="P919" s="3" t="s">
        <v>405</v>
      </c>
    </row>
    <row r="920" spans="1:16" x14ac:dyDescent="0.3">
      <c r="A920" s="3" t="s">
        <v>103</v>
      </c>
      <c r="B920" s="3" t="s">
        <v>5997</v>
      </c>
      <c r="C920" s="3" t="s">
        <v>5998</v>
      </c>
      <c r="D920" s="3" t="s">
        <v>950</v>
      </c>
      <c r="E920" s="3" t="s">
        <v>31</v>
      </c>
      <c r="F920" s="3" t="b">
        <v>0</v>
      </c>
      <c r="G920" s="3" t="s">
        <v>58</v>
      </c>
      <c r="H920" s="6">
        <v>44928.626006944447</v>
      </c>
      <c r="I920" s="3" t="b">
        <v>0</v>
      </c>
      <c r="J920" s="3" t="b">
        <v>0</v>
      </c>
      <c r="K920" s="3" t="s">
        <v>33</v>
      </c>
      <c r="L920" s="3" t="s">
        <v>34</v>
      </c>
      <c r="M920" s="8">
        <v>146100</v>
      </c>
      <c r="N920" s="11"/>
      <c r="O920" s="3" t="s">
        <v>119</v>
      </c>
      <c r="P920" s="3" t="s">
        <v>1226</v>
      </c>
    </row>
    <row r="921" spans="1:16" x14ac:dyDescent="0.3">
      <c r="A921" s="3" t="s">
        <v>103</v>
      </c>
      <c r="B921" s="3" t="s">
        <v>6016</v>
      </c>
      <c r="C921" s="3" t="s">
        <v>1989</v>
      </c>
      <c r="D921" s="3" t="s">
        <v>30</v>
      </c>
      <c r="E921" s="3" t="s">
        <v>31</v>
      </c>
      <c r="F921" s="3" t="b">
        <v>0</v>
      </c>
      <c r="G921" s="3" t="s">
        <v>64</v>
      </c>
      <c r="H921" s="6">
        <v>44951.833657407413</v>
      </c>
      <c r="I921" s="3" t="b">
        <v>0</v>
      </c>
      <c r="J921" s="3" t="b">
        <v>0</v>
      </c>
      <c r="K921" s="3" t="s">
        <v>33</v>
      </c>
      <c r="L921" s="3" t="s">
        <v>34</v>
      </c>
      <c r="M921" s="8">
        <v>70000</v>
      </c>
      <c r="N921" s="11"/>
      <c r="O921" s="3" t="s">
        <v>1990</v>
      </c>
      <c r="P921" s="3" t="s">
        <v>405</v>
      </c>
    </row>
    <row r="922" spans="1:16" x14ac:dyDescent="0.3">
      <c r="A922" s="3" t="s">
        <v>103</v>
      </c>
      <c r="B922" s="3" t="s">
        <v>6020</v>
      </c>
      <c r="C922" s="3" t="s">
        <v>6021</v>
      </c>
      <c r="D922" s="3" t="s">
        <v>53</v>
      </c>
      <c r="E922" s="3" t="s">
        <v>31</v>
      </c>
      <c r="F922" s="3" t="b">
        <v>0</v>
      </c>
      <c r="G922" s="3" t="s">
        <v>84</v>
      </c>
      <c r="H922" s="6">
        <v>44946.262997685182</v>
      </c>
      <c r="I922" s="3" t="b">
        <v>1</v>
      </c>
      <c r="J922" s="3" t="b">
        <v>0</v>
      </c>
      <c r="K922" s="3" t="s">
        <v>33</v>
      </c>
      <c r="L922" s="3" t="s">
        <v>34</v>
      </c>
      <c r="M922" s="8">
        <v>70000</v>
      </c>
      <c r="N922" s="11"/>
      <c r="O922" s="3" t="s">
        <v>6022</v>
      </c>
      <c r="P922" s="3" t="s">
        <v>6023</v>
      </c>
    </row>
    <row r="923" spans="1:16" x14ac:dyDescent="0.3">
      <c r="A923" s="3" t="s">
        <v>103</v>
      </c>
      <c r="B923" s="3" t="s">
        <v>6024</v>
      </c>
      <c r="C923" s="3" t="s">
        <v>6025</v>
      </c>
      <c r="D923" s="3" t="s">
        <v>76</v>
      </c>
      <c r="E923" s="3" t="s">
        <v>31</v>
      </c>
      <c r="F923" s="3" t="b">
        <v>0</v>
      </c>
      <c r="G923" s="3" t="s">
        <v>32</v>
      </c>
      <c r="H923" s="6">
        <v>44951.667303240742</v>
      </c>
      <c r="I923" s="3" t="b">
        <v>1</v>
      </c>
      <c r="J923" s="3" t="b">
        <v>0</v>
      </c>
      <c r="K923" s="3" t="s">
        <v>33</v>
      </c>
      <c r="L923" s="3" t="s">
        <v>48</v>
      </c>
      <c r="M923" s="8"/>
      <c r="N923" s="11">
        <v>25.909999847412109</v>
      </c>
      <c r="O923" s="3" t="s">
        <v>6026</v>
      </c>
      <c r="P923" s="3"/>
    </row>
    <row r="924" spans="1:16" x14ac:dyDescent="0.3">
      <c r="A924" s="3" t="s">
        <v>103</v>
      </c>
      <c r="B924" s="3" t="s">
        <v>6028</v>
      </c>
      <c r="C924" s="3" t="s">
        <v>164</v>
      </c>
      <c r="D924" s="3" t="s">
        <v>53</v>
      </c>
      <c r="E924" s="3" t="s">
        <v>133</v>
      </c>
      <c r="F924" s="3" t="b">
        <v>0</v>
      </c>
      <c r="G924" s="3" t="s">
        <v>64</v>
      </c>
      <c r="H924" s="6">
        <v>44935.624930555547</v>
      </c>
      <c r="I924" s="3" t="b">
        <v>0</v>
      </c>
      <c r="J924" s="3" t="b">
        <v>1</v>
      </c>
      <c r="K924" s="3" t="s">
        <v>33</v>
      </c>
      <c r="L924" s="3" t="s">
        <v>34</v>
      </c>
      <c r="M924" s="8">
        <v>85000</v>
      </c>
      <c r="N924" s="11"/>
      <c r="O924" s="3" t="s">
        <v>6029</v>
      </c>
      <c r="P924" s="3"/>
    </row>
    <row r="925" spans="1:16" x14ac:dyDescent="0.3">
      <c r="A925" s="3" t="s">
        <v>103</v>
      </c>
      <c r="B925" s="3" t="s">
        <v>6030</v>
      </c>
      <c r="C925" s="3" t="s">
        <v>718</v>
      </c>
      <c r="D925" s="3" t="s">
        <v>719</v>
      </c>
      <c r="E925" s="3" t="s">
        <v>31</v>
      </c>
      <c r="F925" s="3" t="b">
        <v>0</v>
      </c>
      <c r="G925" s="3" t="s">
        <v>110</v>
      </c>
      <c r="H925" s="6">
        <v>44930.005624999998</v>
      </c>
      <c r="I925" s="3" t="b">
        <v>1</v>
      </c>
      <c r="J925" s="3" t="b">
        <v>0</v>
      </c>
      <c r="K925" s="3" t="s">
        <v>110</v>
      </c>
      <c r="L925" s="3" t="s">
        <v>48</v>
      </c>
      <c r="M925" s="8"/>
      <c r="N925" s="11">
        <v>24</v>
      </c>
      <c r="O925" s="3" t="s">
        <v>114</v>
      </c>
      <c r="P925" s="3" t="s">
        <v>1246</v>
      </c>
    </row>
    <row r="926" spans="1:16" x14ac:dyDescent="0.3">
      <c r="A926" s="3" t="s">
        <v>103</v>
      </c>
      <c r="B926" s="3" t="s">
        <v>6031</v>
      </c>
      <c r="C926" s="3" t="s">
        <v>4651</v>
      </c>
      <c r="D926" s="3" t="s">
        <v>93</v>
      </c>
      <c r="E926" s="3" t="s">
        <v>31</v>
      </c>
      <c r="F926" s="3" t="b">
        <v>0</v>
      </c>
      <c r="G926" s="3" t="s">
        <v>64</v>
      </c>
      <c r="H926" s="6">
        <v>44942.386504629627</v>
      </c>
      <c r="I926" s="3" t="b">
        <v>0</v>
      </c>
      <c r="J926" s="3" t="b">
        <v>1</v>
      </c>
      <c r="K926" s="3" t="s">
        <v>33</v>
      </c>
      <c r="L926" s="3" t="s">
        <v>34</v>
      </c>
      <c r="M926" s="8">
        <v>115000</v>
      </c>
      <c r="N926" s="11"/>
      <c r="O926" s="3" t="s">
        <v>6032</v>
      </c>
      <c r="P926" s="3" t="s">
        <v>4652</v>
      </c>
    </row>
    <row r="927" spans="1:16" x14ac:dyDescent="0.3">
      <c r="A927" s="3" t="s">
        <v>103</v>
      </c>
      <c r="B927" s="3" t="s">
        <v>3382</v>
      </c>
      <c r="C927" s="3" t="s">
        <v>187</v>
      </c>
      <c r="D927" s="3" t="s">
        <v>76</v>
      </c>
      <c r="E927" s="3" t="s">
        <v>133</v>
      </c>
      <c r="F927" s="3" t="b">
        <v>0</v>
      </c>
      <c r="G927" s="3" t="s">
        <v>64</v>
      </c>
      <c r="H927" s="6">
        <v>44943.916898148149</v>
      </c>
      <c r="I927" s="3" t="b">
        <v>0</v>
      </c>
      <c r="J927" s="3" t="b">
        <v>1</v>
      </c>
      <c r="K927" s="3" t="s">
        <v>33</v>
      </c>
      <c r="L927" s="3" t="s">
        <v>48</v>
      </c>
      <c r="M927" s="8"/>
      <c r="N927" s="11">
        <v>8.5</v>
      </c>
      <c r="O927" s="3" t="s">
        <v>3383</v>
      </c>
      <c r="P927" s="3" t="s">
        <v>4260</v>
      </c>
    </row>
    <row r="928" spans="1:16" x14ac:dyDescent="0.3">
      <c r="A928" s="3" t="s">
        <v>103</v>
      </c>
      <c r="B928" s="3" t="s">
        <v>6036</v>
      </c>
      <c r="C928" s="3" t="s">
        <v>1606</v>
      </c>
      <c r="D928" s="3" t="s">
        <v>6037</v>
      </c>
      <c r="E928" s="3" t="s">
        <v>31</v>
      </c>
      <c r="F928" s="3" t="b">
        <v>0</v>
      </c>
      <c r="G928" s="3" t="s">
        <v>84</v>
      </c>
      <c r="H928" s="6">
        <v>44953.002500000002</v>
      </c>
      <c r="I928" s="3" t="b">
        <v>0</v>
      </c>
      <c r="J928" s="3" t="b">
        <v>1</v>
      </c>
      <c r="K928" s="3" t="s">
        <v>33</v>
      </c>
      <c r="L928" s="3" t="s">
        <v>48</v>
      </c>
      <c r="M928" s="8"/>
      <c r="N928" s="11">
        <v>24</v>
      </c>
      <c r="O928" s="3" t="s">
        <v>6038</v>
      </c>
      <c r="P928" s="3" t="s">
        <v>6039</v>
      </c>
    </row>
    <row r="929" spans="1:16" x14ac:dyDescent="0.3">
      <c r="A929" s="3" t="s">
        <v>103</v>
      </c>
      <c r="B929" s="3" t="s">
        <v>103</v>
      </c>
      <c r="C929" s="3" t="s">
        <v>2039</v>
      </c>
      <c r="D929" s="3" t="s">
        <v>41</v>
      </c>
      <c r="E929" s="3" t="s">
        <v>31</v>
      </c>
      <c r="F929" s="3" t="b">
        <v>0</v>
      </c>
      <c r="G929" s="3" t="s">
        <v>651</v>
      </c>
      <c r="H929" s="6">
        <v>44951.410277777781</v>
      </c>
      <c r="I929" s="3" t="b">
        <v>0</v>
      </c>
      <c r="J929" s="3" t="b">
        <v>0</v>
      </c>
      <c r="K929" s="3" t="s">
        <v>651</v>
      </c>
      <c r="L929" s="3" t="s">
        <v>34</v>
      </c>
      <c r="M929" s="8">
        <v>102500</v>
      </c>
      <c r="N929" s="11"/>
      <c r="O929" s="3" t="s">
        <v>598</v>
      </c>
      <c r="P929" s="3" t="s">
        <v>405</v>
      </c>
    </row>
    <row r="930" spans="1:16" x14ac:dyDescent="0.3">
      <c r="A930" s="3" t="s">
        <v>103</v>
      </c>
      <c r="B930" s="3" t="s">
        <v>599</v>
      </c>
      <c r="C930" s="3" t="s">
        <v>223</v>
      </c>
      <c r="D930" s="3" t="s">
        <v>30</v>
      </c>
      <c r="E930" s="3" t="s">
        <v>133</v>
      </c>
      <c r="F930" s="3" t="b">
        <v>0</v>
      </c>
      <c r="G930" s="3" t="s">
        <v>64</v>
      </c>
      <c r="H930" s="6">
        <v>44944.917048611111</v>
      </c>
      <c r="I930" s="3" t="b">
        <v>0</v>
      </c>
      <c r="J930" s="3" t="b">
        <v>0</v>
      </c>
      <c r="K930" s="3" t="s">
        <v>33</v>
      </c>
      <c r="L930" s="3" t="s">
        <v>34</v>
      </c>
      <c r="M930" s="8">
        <v>145000</v>
      </c>
      <c r="N930" s="11"/>
      <c r="O930" s="3" t="s">
        <v>3469</v>
      </c>
      <c r="P930" s="3" t="s">
        <v>2075</v>
      </c>
    </row>
    <row r="931" spans="1:16" x14ac:dyDescent="0.3">
      <c r="A931" s="3" t="s">
        <v>103</v>
      </c>
      <c r="B931" s="3" t="s">
        <v>6055</v>
      </c>
      <c r="C931" s="3" t="s">
        <v>2948</v>
      </c>
      <c r="D931" s="3" t="s">
        <v>30</v>
      </c>
      <c r="E931" s="3" t="s">
        <v>133</v>
      </c>
      <c r="F931" s="3" t="b">
        <v>0</v>
      </c>
      <c r="G931" s="3" t="s">
        <v>84</v>
      </c>
      <c r="H931" s="6">
        <v>44945.971342592587</v>
      </c>
      <c r="I931" s="3" t="b">
        <v>0</v>
      </c>
      <c r="J931" s="3" t="b">
        <v>1</v>
      </c>
      <c r="K931" s="3" t="s">
        <v>33</v>
      </c>
      <c r="L931" s="3" t="s">
        <v>48</v>
      </c>
      <c r="M931" s="8"/>
      <c r="N931" s="11">
        <v>49.5</v>
      </c>
      <c r="O931" s="3" t="s">
        <v>4500</v>
      </c>
      <c r="P931" s="3" t="s">
        <v>374</v>
      </c>
    </row>
    <row r="932" spans="1:16" x14ac:dyDescent="0.3">
      <c r="A932" s="3" t="s">
        <v>103</v>
      </c>
      <c r="B932" s="3" t="s">
        <v>6058</v>
      </c>
      <c r="C932" s="3" t="s">
        <v>79</v>
      </c>
      <c r="D932" s="3" t="s">
        <v>296</v>
      </c>
      <c r="E932" s="3" t="s">
        <v>31</v>
      </c>
      <c r="F932" s="3" t="b">
        <v>0</v>
      </c>
      <c r="G932" s="3" t="s">
        <v>58</v>
      </c>
      <c r="H932" s="6">
        <v>44930.020578703698</v>
      </c>
      <c r="I932" s="3" t="b">
        <v>0</v>
      </c>
      <c r="J932" s="3" t="b">
        <v>0</v>
      </c>
      <c r="K932" s="3" t="s">
        <v>33</v>
      </c>
      <c r="L932" s="3" t="s">
        <v>48</v>
      </c>
      <c r="M932" s="8"/>
      <c r="N932" s="11">
        <v>24</v>
      </c>
      <c r="O932" s="3" t="s">
        <v>6059</v>
      </c>
      <c r="P932" s="3" t="s">
        <v>6060</v>
      </c>
    </row>
    <row r="933" spans="1:16" x14ac:dyDescent="0.3">
      <c r="A933" s="3" t="s">
        <v>103</v>
      </c>
      <c r="B933" s="3" t="s">
        <v>6062</v>
      </c>
      <c r="C933" s="3" t="s">
        <v>5403</v>
      </c>
      <c r="D933" s="3" t="s">
        <v>41</v>
      </c>
      <c r="E933" s="3" t="s">
        <v>31</v>
      </c>
      <c r="F933" s="3" t="b">
        <v>0</v>
      </c>
      <c r="G933" s="3" t="s">
        <v>317</v>
      </c>
      <c r="H933" s="6">
        <v>44937.803240740737</v>
      </c>
      <c r="I933" s="3" t="b">
        <v>0</v>
      </c>
      <c r="J933" s="3" t="b">
        <v>0</v>
      </c>
      <c r="K933" s="3" t="s">
        <v>317</v>
      </c>
      <c r="L933" s="3" t="s">
        <v>34</v>
      </c>
      <c r="M933" s="8">
        <v>98500</v>
      </c>
      <c r="N933" s="11"/>
      <c r="O933" s="3" t="s">
        <v>6063</v>
      </c>
      <c r="P933" s="3" t="s">
        <v>405</v>
      </c>
    </row>
    <row r="934" spans="1:16" x14ac:dyDescent="0.3">
      <c r="A934" s="3" t="s">
        <v>103</v>
      </c>
      <c r="B934" s="3" t="s">
        <v>6064</v>
      </c>
      <c r="C934" s="3" t="s">
        <v>2053</v>
      </c>
      <c r="D934" s="3" t="s">
        <v>2054</v>
      </c>
      <c r="E934" s="3" t="s">
        <v>31</v>
      </c>
      <c r="F934" s="3" t="b">
        <v>0</v>
      </c>
      <c r="G934" s="3" t="s">
        <v>84</v>
      </c>
      <c r="H934" s="6">
        <v>44929.979699074072</v>
      </c>
      <c r="I934" s="3" t="b">
        <v>0</v>
      </c>
      <c r="J934" s="3" t="b">
        <v>1</v>
      </c>
      <c r="K934" s="3" t="s">
        <v>33</v>
      </c>
      <c r="L934" s="3" t="s">
        <v>48</v>
      </c>
      <c r="M934" s="8"/>
      <c r="N934" s="11">
        <v>24</v>
      </c>
      <c r="O934" s="3" t="s">
        <v>4684</v>
      </c>
      <c r="P934" s="3" t="s">
        <v>6065</v>
      </c>
    </row>
    <row r="935" spans="1:16" x14ac:dyDescent="0.3">
      <c r="A935" s="3" t="s">
        <v>103</v>
      </c>
      <c r="B935" s="3" t="s">
        <v>5813</v>
      </c>
      <c r="C935" s="3" t="s">
        <v>5814</v>
      </c>
      <c r="D935" s="3" t="s">
        <v>53</v>
      </c>
      <c r="E935" s="3" t="s">
        <v>31</v>
      </c>
      <c r="F935" s="3" t="b">
        <v>0</v>
      </c>
      <c r="G935" s="3" t="s">
        <v>64</v>
      </c>
      <c r="H935" s="6">
        <v>44933.416701388887</v>
      </c>
      <c r="I935" s="3" t="b">
        <v>1</v>
      </c>
      <c r="J935" s="3" t="b">
        <v>1</v>
      </c>
      <c r="K935" s="3" t="s">
        <v>33</v>
      </c>
      <c r="L935" s="3" t="s">
        <v>34</v>
      </c>
      <c r="M935" s="8">
        <v>90000</v>
      </c>
      <c r="N935" s="11"/>
      <c r="O935" s="3" t="s">
        <v>5815</v>
      </c>
      <c r="P935" s="3" t="s">
        <v>5816</v>
      </c>
    </row>
    <row r="936" spans="1:16" x14ac:dyDescent="0.3">
      <c r="A936" s="3" t="s">
        <v>103</v>
      </c>
      <c r="B936" s="3" t="s">
        <v>103</v>
      </c>
      <c r="C936" s="3" t="s">
        <v>6072</v>
      </c>
      <c r="D936" s="3" t="s">
        <v>41</v>
      </c>
      <c r="E936" s="3" t="s">
        <v>31</v>
      </c>
      <c r="F936" s="3" t="b">
        <v>0</v>
      </c>
      <c r="G936" s="3" t="s">
        <v>58</v>
      </c>
      <c r="H936" s="6">
        <v>44956.376516203702</v>
      </c>
      <c r="I936" s="3" t="b">
        <v>0</v>
      </c>
      <c r="J936" s="3" t="b">
        <v>0</v>
      </c>
      <c r="K936" s="3" t="s">
        <v>33</v>
      </c>
      <c r="L936" s="3" t="s">
        <v>34</v>
      </c>
      <c r="M936" s="8">
        <v>98500</v>
      </c>
      <c r="N936" s="11"/>
      <c r="O936" s="3" t="s">
        <v>6073</v>
      </c>
      <c r="P936" s="3" t="s">
        <v>3945</v>
      </c>
    </row>
    <row r="937" spans="1:16" x14ac:dyDescent="0.3">
      <c r="A937" s="3" t="s">
        <v>103</v>
      </c>
      <c r="B937" s="3" t="s">
        <v>6074</v>
      </c>
      <c r="C937" s="3" t="s">
        <v>6075</v>
      </c>
      <c r="D937" s="3" t="s">
        <v>76</v>
      </c>
      <c r="E937" s="3" t="s">
        <v>31</v>
      </c>
      <c r="F937" s="3" t="b">
        <v>0</v>
      </c>
      <c r="G937" s="3" t="s">
        <v>64</v>
      </c>
      <c r="H937" s="6">
        <v>44957.875092592592</v>
      </c>
      <c r="I937" s="3" t="b">
        <v>0</v>
      </c>
      <c r="J937" s="3" t="b">
        <v>0</v>
      </c>
      <c r="K937" s="3" t="s">
        <v>33</v>
      </c>
      <c r="L937" s="3" t="s">
        <v>34</v>
      </c>
      <c r="M937" s="8">
        <v>82500</v>
      </c>
      <c r="N937" s="11"/>
      <c r="O937" s="3" t="s">
        <v>6076</v>
      </c>
      <c r="P937" s="3" t="s">
        <v>374</v>
      </c>
    </row>
    <row r="938" spans="1:16" x14ac:dyDescent="0.3">
      <c r="A938" s="3" t="s">
        <v>103</v>
      </c>
      <c r="B938" s="3" t="s">
        <v>6083</v>
      </c>
      <c r="C938" s="3" t="s">
        <v>6084</v>
      </c>
      <c r="D938" s="3" t="s">
        <v>30</v>
      </c>
      <c r="E938" s="3" t="s">
        <v>31</v>
      </c>
      <c r="F938" s="3" t="b">
        <v>0</v>
      </c>
      <c r="G938" s="3" t="s">
        <v>64</v>
      </c>
      <c r="H938" s="6">
        <v>44957.125034722223</v>
      </c>
      <c r="I938" s="3" t="b">
        <v>0</v>
      </c>
      <c r="J938" s="3" t="b">
        <v>0</v>
      </c>
      <c r="K938" s="3" t="s">
        <v>33</v>
      </c>
      <c r="L938" s="3" t="s">
        <v>34</v>
      </c>
      <c r="M938" s="8">
        <v>157500</v>
      </c>
      <c r="N938" s="11"/>
      <c r="O938" s="3" t="s">
        <v>6085</v>
      </c>
      <c r="P938" s="3" t="s">
        <v>6086</v>
      </c>
    </row>
    <row r="939" spans="1:16" x14ac:dyDescent="0.3">
      <c r="A939" s="3" t="s">
        <v>103</v>
      </c>
      <c r="B939" s="3" t="s">
        <v>103</v>
      </c>
      <c r="C939" s="3" t="s">
        <v>2053</v>
      </c>
      <c r="D939" s="3" t="s">
        <v>76</v>
      </c>
      <c r="E939" s="3" t="s">
        <v>31</v>
      </c>
      <c r="F939" s="3" t="b">
        <v>0</v>
      </c>
      <c r="G939" s="3" t="s">
        <v>84</v>
      </c>
      <c r="H939" s="6">
        <v>44929.771087962959</v>
      </c>
      <c r="I939" s="3" t="b">
        <v>0</v>
      </c>
      <c r="J939" s="3" t="b">
        <v>1</v>
      </c>
      <c r="K939" s="3" t="s">
        <v>33</v>
      </c>
      <c r="L939" s="3" t="s">
        <v>34</v>
      </c>
      <c r="M939" s="8">
        <v>54500</v>
      </c>
      <c r="N939" s="11"/>
      <c r="O939" s="3" t="s">
        <v>6087</v>
      </c>
      <c r="P939" s="3" t="s">
        <v>1950</v>
      </c>
    </row>
    <row r="940" spans="1:16" x14ac:dyDescent="0.3">
      <c r="A940" s="3" t="s">
        <v>103</v>
      </c>
      <c r="B940" s="3" t="s">
        <v>103</v>
      </c>
      <c r="C940" s="3" t="s">
        <v>2241</v>
      </c>
      <c r="D940" s="3" t="s">
        <v>30</v>
      </c>
      <c r="E940" s="3" t="s">
        <v>31</v>
      </c>
      <c r="F940" s="3" t="b">
        <v>0</v>
      </c>
      <c r="G940" s="3" t="s">
        <v>64</v>
      </c>
      <c r="H940" s="6">
        <v>44943.583541666667</v>
      </c>
      <c r="I940" s="3" t="b">
        <v>0</v>
      </c>
      <c r="J940" s="3" t="b">
        <v>0</v>
      </c>
      <c r="K940" s="3" t="s">
        <v>33</v>
      </c>
      <c r="L940" s="3" t="s">
        <v>34</v>
      </c>
      <c r="M940" s="8">
        <v>97500</v>
      </c>
      <c r="N940" s="11"/>
      <c r="O940" s="3" t="s">
        <v>589</v>
      </c>
      <c r="P940" s="3" t="s">
        <v>6088</v>
      </c>
    </row>
    <row r="941" spans="1:16" x14ac:dyDescent="0.3">
      <c r="A941" s="3" t="s">
        <v>103</v>
      </c>
      <c r="B941" s="3" t="s">
        <v>6089</v>
      </c>
      <c r="C941" s="3" t="s">
        <v>75</v>
      </c>
      <c r="D941" s="3" t="s">
        <v>76</v>
      </c>
      <c r="E941" s="3" t="s">
        <v>31</v>
      </c>
      <c r="F941" s="3" t="b">
        <v>0</v>
      </c>
      <c r="G941" s="3" t="s">
        <v>84</v>
      </c>
      <c r="H941" s="6">
        <v>44936.846168981479</v>
      </c>
      <c r="I941" s="3" t="b">
        <v>1</v>
      </c>
      <c r="J941" s="3" t="b">
        <v>1</v>
      </c>
      <c r="K941" s="3" t="s">
        <v>33</v>
      </c>
      <c r="L941" s="3" t="s">
        <v>34</v>
      </c>
      <c r="M941" s="8">
        <v>113000</v>
      </c>
      <c r="N941" s="11"/>
      <c r="O941" s="3" t="s">
        <v>6090</v>
      </c>
      <c r="P941" s="3" t="s">
        <v>6091</v>
      </c>
    </row>
    <row r="942" spans="1:16" x14ac:dyDescent="0.3">
      <c r="A942" s="3" t="s">
        <v>103</v>
      </c>
      <c r="B942" s="3" t="s">
        <v>230</v>
      </c>
      <c r="C942" s="3" t="s">
        <v>314</v>
      </c>
      <c r="D942" s="3" t="s">
        <v>76</v>
      </c>
      <c r="E942" s="3"/>
      <c r="F942" s="3" t="b">
        <v>0</v>
      </c>
      <c r="G942" s="3" t="s">
        <v>64</v>
      </c>
      <c r="H942" s="6">
        <v>44947.667060185187</v>
      </c>
      <c r="I942" s="3" t="b">
        <v>1</v>
      </c>
      <c r="J942" s="3" t="b">
        <v>1</v>
      </c>
      <c r="K942" s="3" t="s">
        <v>33</v>
      </c>
      <c r="L942" s="3" t="s">
        <v>34</v>
      </c>
      <c r="M942" s="8">
        <v>118162</v>
      </c>
      <c r="N942" s="11"/>
      <c r="O942" s="3" t="s">
        <v>6092</v>
      </c>
      <c r="P942" s="3" t="s">
        <v>1535</v>
      </c>
    </row>
    <row r="943" spans="1:16" x14ac:dyDescent="0.3">
      <c r="A943" s="3" t="s">
        <v>103</v>
      </c>
      <c r="B943" s="3" t="s">
        <v>103</v>
      </c>
      <c r="C943" s="3" t="s">
        <v>321</v>
      </c>
      <c r="D943" s="3" t="s">
        <v>30</v>
      </c>
      <c r="E943" s="3" t="s">
        <v>133</v>
      </c>
      <c r="F943" s="3" t="b">
        <v>0</v>
      </c>
      <c r="G943" s="3" t="s">
        <v>140</v>
      </c>
      <c r="H943" s="6">
        <v>44937.615972222222</v>
      </c>
      <c r="I943" s="3" t="b">
        <v>1</v>
      </c>
      <c r="J943" s="3" t="b">
        <v>0</v>
      </c>
      <c r="K943" s="3" t="s">
        <v>33</v>
      </c>
      <c r="L943" s="3" t="s">
        <v>48</v>
      </c>
      <c r="M943" s="8"/>
      <c r="N943" s="11">
        <v>61.845001220703118</v>
      </c>
      <c r="O943" s="3" t="s">
        <v>589</v>
      </c>
      <c r="P943" s="3" t="s">
        <v>6093</v>
      </c>
    </row>
    <row r="944" spans="1:16" x14ac:dyDescent="0.3">
      <c r="A944" s="3" t="s">
        <v>103</v>
      </c>
      <c r="B944" s="3" t="s">
        <v>6094</v>
      </c>
      <c r="C944" s="3" t="s">
        <v>641</v>
      </c>
      <c r="D944" s="3" t="s">
        <v>93</v>
      </c>
      <c r="E944" s="3" t="s">
        <v>31</v>
      </c>
      <c r="F944" s="3" t="b">
        <v>0</v>
      </c>
      <c r="G944" s="3" t="s">
        <v>88</v>
      </c>
      <c r="H944" s="6">
        <v>44952.336192129631</v>
      </c>
      <c r="I944" s="3" t="b">
        <v>1</v>
      </c>
      <c r="J944" s="3" t="b">
        <v>0</v>
      </c>
      <c r="K944" s="3" t="s">
        <v>33</v>
      </c>
      <c r="L944" s="3" t="s">
        <v>34</v>
      </c>
      <c r="M944" s="8">
        <v>115000</v>
      </c>
      <c r="N944" s="11"/>
      <c r="O944" s="3" t="s">
        <v>175</v>
      </c>
      <c r="P944" s="3"/>
    </row>
    <row r="945" spans="1:16" x14ac:dyDescent="0.3">
      <c r="A945" s="3" t="s">
        <v>103</v>
      </c>
      <c r="B945" s="3" t="s">
        <v>6100</v>
      </c>
      <c r="C945" s="3" t="s">
        <v>321</v>
      </c>
      <c r="D945" s="3" t="s">
        <v>30</v>
      </c>
      <c r="E945" s="3" t="s">
        <v>133</v>
      </c>
      <c r="F945" s="3" t="b">
        <v>0</v>
      </c>
      <c r="G945" s="3" t="s">
        <v>140</v>
      </c>
      <c r="H945" s="6">
        <v>44937.907731481479</v>
      </c>
      <c r="I945" s="3" t="b">
        <v>1</v>
      </c>
      <c r="J945" s="3" t="b">
        <v>0</v>
      </c>
      <c r="K945" s="3" t="s">
        <v>33</v>
      </c>
      <c r="L945" s="3" t="s">
        <v>48</v>
      </c>
      <c r="M945" s="8"/>
      <c r="N945" s="11">
        <v>62</v>
      </c>
      <c r="O945" s="3" t="s">
        <v>5013</v>
      </c>
      <c r="P945" s="3" t="s">
        <v>6101</v>
      </c>
    </row>
    <row r="946" spans="1:16" x14ac:dyDescent="0.3">
      <c r="A946" s="3" t="s">
        <v>103</v>
      </c>
      <c r="B946" s="3" t="s">
        <v>6113</v>
      </c>
      <c r="C946" s="3" t="s">
        <v>3668</v>
      </c>
      <c r="D946" s="3" t="s">
        <v>53</v>
      </c>
      <c r="E946" s="3" t="s">
        <v>31</v>
      </c>
      <c r="F946" s="3" t="b">
        <v>0</v>
      </c>
      <c r="G946" s="3" t="s">
        <v>58</v>
      </c>
      <c r="H946" s="6">
        <v>44954.792916666673</v>
      </c>
      <c r="I946" s="3" t="b">
        <v>0</v>
      </c>
      <c r="J946" s="3" t="b">
        <v>0</v>
      </c>
      <c r="K946" s="3" t="s">
        <v>33</v>
      </c>
      <c r="L946" s="3" t="s">
        <v>48</v>
      </c>
      <c r="M946" s="8"/>
      <c r="N946" s="11">
        <v>80.354995727539063</v>
      </c>
      <c r="O946" s="3" t="s">
        <v>245</v>
      </c>
      <c r="P946" s="3" t="s">
        <v>6114</v>
      </c>
    </row>
    <row r="947" spans="1:16" x14ac:dyDescent="0.3">
      <c r="A947" s="3" t="s">
        <v>103</v>
      </c>
      <c r="B947" s="3" t="s">
        <v>103</v>
      </c>
      <c r="C947" s="3" t="s">
        <v>164</v>
      </c>
      <c r="D947" s="3" t="s">
        <v>76</v>
      </c>
      <c r="E947" s="3" t="s">
        <v>31</v>
      </c>
      <c r="F947" s="3" t="b">
        <v>0</v>
      </c>
      <c r="G947" s="3" t="s">
        <v>64</v>
      </c>
      <c r="H947" s="6">
        <v>44931.249907407408</v>
      </c>
      <c r="I947" s="3" t="b">
        <v>0</v>
      </c>
      <c r="J947" s="3" t="b">
        <v>1</v>
      </c>
      <c r="K947" s="3" t="s">
        <v>33</v>
      </c>
      <c r="L947" s="3" t="s">
        <v>34</v>
      </c>
      <c r="M947" s="8">
        <v>68328.546875</v>
      </c>
      <c r="N947" s="11"/>
      <c r="O947" s="3" t="s">
        <v>6115</v>
      </c>
      <c r="P947" s="3" t="s">
        <v>6116</v>
      </c>
    </row>
    <row r="948" spans="1:16" x14ac:dyDescent="0.3">
      <c r="A948" s="3" t="s">
        <v>103</v>
      </c>
      <c r="B948" s="3" t="s">
        <v>103</v>
      </c>
      <c r="C948" s="3" t="s">
        <v>593</v>
      </c>
      <c r="D948" s="3" t="s">
        <v>41</v>
      </c>
      <c r="E948" s="3" t="s">
        <v>31</v>
      </c>
      <c r="F948" s="3" t="b">
        <v>0</v>
      </c>
      <c r="G948" s="3" t="s">
        <v>436</v>
      </c>
      <c r="H948" s="6">
        <v>44944.71775462963</v>
      </c>
      <c r="I948" s="3" t="b">
        <v>0</v>
      </c>
      <c r="J948" s="3" t="b">
        <v>0</v>
      </c>
      <c r="K948" s="3" t="s">
        <v>436</v>
      </c>
      <c r="L948" s="3" t="s">
        <v>34</v>
      </c>
      <c r="M948" s="8">
        <v>111175</v>
      </c>
      <c r="N948" s="11"/>
      <c r="O948" s="3" t="s">
        <v>2331</v>
      </c>
      <c r="P948" s="3" t="s">
        <v>6117</v>
      </c>
    </row>
    <row r="949" spans="1:16" x14ac:dyDescent="0.3">
      <c r="A949" s="3" t="s">
        <v>103</v>
      </c>
      <c r="B949" s="3" t="s">
        <v>103</v>
      </c>
      <c r="C949" s="3" t="s">
        <v>87</v>
      </c>
      <c r="D949" s="3" t="s">
        <v>53</v>
      </c>
      <c r="E949" s="3" t="s">
        <v>133</v>
      </c>
      <c r="F949" s="3" t="b">
        <v>1</v>
      </c>
      <c r="G949" s="3" t="s">
        <v>32</v>
      </c>
      <c r="H949" s="6">
        <v>44944.709456018521</v>
      </c>
      <c r="I949" s="3" t="b">
        <v>1</v>
      </c>
      <c r="J949" s="3" t="b">
        <v>0</v>
      </c>
      <c r="K949" s="3" t="s">
        <v>33</v>
      </c>
      <c r="L949" s="3" t="s">
        <v>48</v>
      </c>
      <c r="M949" s="8"/>
      <c r="N949" s="11">
        <v>55</v>
      </c>
      <c r="O949" s="3" t="s">
        <v>114</v>
      </c>
      <c r="P949" s="3" t="s">
        <v>5532</v>
      </c>
    </row>
    <row r="950" spans="1:16" x14ac:dyDescent="0.3">
      <c r="A950" s="3" t="s">
        <v>103</v>
      </c>
      <c r="B950" s="3" t="s">
        <v>103</v>
      </c>
      <c r="C950" s="3" t="s">
        <v>164</v>
      </c>
      <c r="D950" s="3" t="s">
        <v>30</v>
      </c>
      <c r="E950" s="3" t="s">
        <v>31</v>
      </c>
      <c r="F950" s="3" t="b">
        <v>0</v>
      </c>
      <c r="G950" s="3" t="s">
        <v>64</v>
      </c>
      <c r="H950" s="6">
        <v>44929.893912037027</v>
      </c>
      <c r="I950" s="3" t="b">
        <v>0</v>
      </c>
      <c r="J950" s="3" t="b">
        <v>1</v>
      </c>
      <c r="K950" s="3" t="s">
        <v>33</v>
      </c>
      <c r="L950" s="3" t="s">
        <v>34</v>
      </c>
      <c r="M950" s="8">
        <v>127500</v>
      </c>
      <c r="N950" s="11"/>
      <c r="O950" s="3" t="s">
        <v>6121</v>
      </c>
      <c r="P950" s="3" t="s">
        <v>6122</v>
      </c>
    </row>
    <row r="951" spans="1:16" x14ac:dyDescent="0.3">
      <c r="A951" s="3" t="s">
        <v>103</v>
      </c>
      <c r="B951" s="3" t="s">
        <v>6123</v>
      </c>
      <c r="C951" s="3" t="s">
        <v>5790</v>
      </c>
      <c r="D951" s="3" t="s">
        <v>76</v>
      </c>
      <c r="E951" s="3" t="s">
        <v>31</v>
      </c>
      <c r="F951" s="3" t="b">
        <v>0</v>
      </c>
      <c r="G951" s="3" t="s">
        <v>84</v>
      </c>
      <c r="H951" s="6">
        <v>44931.334733796299</v>
      </c>
      <c r="I951" s="3" t="b">
        <v>1</v>
      </c>
      <c r="J951" s="3" t="b">
        <v>1</v>
      </c>
      <c r="K951" s="3" t="s">
        <v>33</v>
      </c>
      <c r="L951" s="3" t="s">
        <v>34</v>
      </c>
      <c r="M951" s="8">
        <v>110000</v>
      </c>
      <c r="N951" s="11"/>
      <c r="O951" s="3" t="s">
        <v>1480</v>
      </c>
      <c r="P951" s="3" t="s">
        <v>3987</v>
      </c>
    </row>
    <row r="952" spans="1:16" x14ac:dyDescent="0.3">
      <c r="A952" s="3" t="s">
        <v>103</v>
      </c>
      <c r="B952" s="3" t="s">
        <v>6124</v>
      </c>
      <c r="C952" s="3" t="s">
        <v>87</v>
      </c>
      <c r="D952" s="3" t="s">
        <v>30</v>
      </c>
      <c r="E952" s="3" t="s">
        <v>31</v>
      </c>
      <c r="F952" s="3" t="b">
        <v>1</v>
      </c>
      <c r="G952" s="3" t="s">
        <v>32</v>
      </c>
      <c r="H952" s="6">
        <v>44945.928668981483</v>
      </c>
      <c r="I952" s="3" t="b">
        <v>0</v>
      </c>
      <c r="J952" s="3" t="b">
        <v>0</v>
      </c>
      <c r="K952" s="3" t="s">
        <v>33</v>
      </c>
      <c r="L952" s="3" t="s">
        <v>48</v>
      </c>
      <c r="M952" s="8"/>
      <c r="N952" s="11">
        <v>53.5</v>
      </c>
      <c r="O952" s="3" t="s">
        <v>6125</v>
      </c>
      <c r="P952" s="3" t="s">
        <v>4395</v>
      </c>
    </row>
    <row r="953" spans="1:16" x14ac:dyDescent="0.3">
      <c r="A953" s="3" t="s">
        <v>103</v>
      </c>
      <c r="B953" s="3" t="s">
        <v>103</v>
      </c>
      <c r="C953" s="3" t="s">
        <v>87</v>
      </c>
      <c r="D953" s="3" t="s">
        <v>30</v>
      </c>
      <c r="E953" s="3" t="s">
        <v>31</v>
      </c>
      <c r="F953" s="3" t="b">
        <v>1</v>
      </c>
      <c r="G953" s="3" t="s">
        <v>64</v>
      </c>
      <c r="H953" s="6">
        <v>44938.333796296298</v>
      </c>
      <c r="I953" s="3" t="b">
        <v>0</v>
      </c>
      <c r="J953" s="3" t="b">
        <v>1</v>
      </c>
      <c r="K953" s="3" t="s">
        <v>33</v>
      </c>
      <c r="L953" s="3" t="s">
        <v>34</v>
      </c>
      <c r="M953" s="8">
        <v>71850</v>
      </c>
      <c r="N953" s="11"/>
      <c r="O953" s="3" t="s">
        <v>158</v>
      </c>
      <c r="P953" s="3" t="s">
        <v>6126</v>
      </c>
    </row>
    <row r="954" spans="1:16" x14ac:dyDescent="0.3">
      <c r="A954" s="3" t="s">
        <v>103</v>
      </c>
      <c r="B954" s="3" t="s">
        <v>103</v>
      </c>
      <c r="C954" s="3" t="s">
        <v>565</v>
      </c>
      <c r="D954" s="3" t="s">
        <v>566</v>
      </c>
      <c r="E954" s="3" t="s">
        <v>31</v>
      </c>
      <c r="F954" s="3" t="b">
        <v>0</v>
      </c>
      <c r="G954" s="3" t="s">
        <v>140</v>
      </c>
      <c r="H954" s="6">
        <v>44939.013680555552</v>
      </c>
      <c r="I954" s="3" t="b">
        <v>0</v>
      </c>
      <c r="J954" s="3" t="b">
        <v>1</v>
      </c>
      <c r="K954" s="3" t="s">
        <v>33</v>
      </c>
      <c r="L954" s="3" t="s">
        <v>48</v>
      </c>
      <c r="M954" s="8"/>
      <c r="N954" s="11">
        <v>24</v>
      </c>
      <c r="O954" s="3" t="s">
        <v>255</v>
      </c>
      <c r="P954" s="3" t="s">
        <v>4839</v>
      </c>
    </row>
    <row r="955" spans="1:16" x14ac:dyDescent="0.3">
      <c r="A955" s="3" t="s">
        <v>103</v>
      </c>
      <c r="B955" s="3" t="s">
        <v>103</v>
      </c>
      <c r="C955" s="3" t="s">
        <v>87</v>
      </c>
      <c r="D955" s="3" t="s">
        <v>30</v>
      </c>
      <c r="E955" s="3" t="s">
        <v>133</v>
      </c>
      <c r="F955" s="3" t="b">
        <v>1</v>
      </c>
      <c r="G955" s="3" t="s">
        <v>58</v>
      </c>
      <c r="H955" s="6">
        <v>44951.961631944447</v>
      </c>
      <c r="I955" s="3" t="b">
        <v>0</v>
      </c>
      <c r="J955" s="3" t="b">
        <v>0</v>
      </c>
      <c r="K955" s="3" t="s">
        <v>33</v>
      </c>
      <c r="L955" s="3" t="s">
        <v>48</v>
      </c>
      <c r="M955" s="8"/>
      <c r="N955" s="11">
        <v>40</v>
      </c>
      <c r="O955" s="3" t="s">
        <v>589</v>
      </c>
      <c r="P955" s="3" t="s">
        <v>3025</v>
      </c>
    </row>
    <row r="956" spans="1:16" x14ac:dyDescent="0.3">
      <c r="A956" s="3" t="s">
        <v>103</v>
      </c>
      <c r="B956" s="3" t="s">
        <v>4581</v>
      </c>
      <c r="C956" s="3" t="s">
        <v>87</v>
      </c>
      <c r="D956" s="3" t="s">
        <v>30</v>
      </c>
      <c r="E956" s="3" t="s">
        <v>31</v>
      </c>
      <c r="F956" s="3" t="b">
        <v>1</v>
      </c>
      <c r="G956" s="3" t="s">
        <v>84</v>
      </c>
      <c r="H956" s="6">
        <v>44952.544409722221</v>
      </c>
      <c r="I956" s="3" t="b">
        <v>1</v>
      </c>
      <c r="J956" s="3" t="b">
        <v>1</v>
      </c>
      <c r="K956" s="3" t="s">
        <v>33</v>
      </c>
      <c r="L956" s="3" t="s">
        <v>34</v>
      </c>
      <c r="M956" s="8">
        <v>110000</v>
      </c>
      <c r="N956" s="11"/>
      <c r="O956" s="3" t="s">
        <v>114</v>
      </c>
      <c r="P956" s="3" t="s">
        <v>6134</v>
      </c>
    </row>
    <row r="957" spans="1:16" x14ac:dyDescent="0.3">
      <c r="A957" s="3" t="s">
        <v>103</v>
      </c>
      <c r="B957" s="3" t="s">
        <v>6137</v>
      </c>
      <c r="C957" s="3" t="s">
        <v>164</v>
      </c>
      <c r="D957" s="3" t="s">
        <v>76</v>
      </c>
      <c r="E957" s="3" t="s">
        <v>133</v>
      </c>
      <c r="F957" s="3" t="b">
        <v>0</v>
      </c>
      <c r="G957" s="3" t="s">
        <v>64</v>
      </c>
      <c r="H957" s="6">
        <v>44939.791747685187</v>
      </c>
      <c r="I957" s="3" t="b">
        <v>0</v>
      </c>
      <c r="J957" s="3" t="b">
        <v>0</v>
      </c>
      <c r="K957" s="3" t="s">
        <v>33</v>
      </c>
      <c r="L957" s="3" t="s">
        <v>48</v>
      </c>
      <c r="M957" s="8"/>
      <c r="N957" s="11">
        <v>62.5</v>
      </c>
      <c r="O957" s="3" t="s">
        <v>6138</v>
      </c>
      <c r="P957" s="3" t="s">
        <v>6139</v>
      </c>
    </row>
    <row r="958" spans="1:16" x14ac:dyDescent="0.3">
      <c r="A958" s="3" t="s">
        <v>103</v>
      </c>
      <c r="B958" s="3" t="s">
        <v>6154</v>
      </c>
      <c r="C958" s="3" t="s">
        <v>173</v>
      </c>
      <c r="D958" s="3" t="s">
        <v>76</v>
      </c>
      <c r="E958" s="3" t="s">
        <v>31</v>
      </c>
      <c r="F958" s="3" t="b">
        <v>0</v>
      </c>
      <c r="G958" s="3" t="s">
        <v>64</v>
      </c>
      <c r="H958" s="6">
        <v>44931.66679398148</v>
      </c>
      <c r="I958" s="3" t="b">
        <v>0</v>
      </c>
      <c r="J958" s="3" t="b">
        <v>1</v>
      </c>
      <c r="K958" s="3" t="s">
        <v>33</v>
      </c>
      <c r="L958" s="3" t="s">
        <v>34</v>
      </c>
      <c r="M958" s="8">
        <v>65500.6640625</v>
      </c>
      <c r="N958" s="11"/>
      <c r="O958" s="3" t="s">
        <v>6155</v>
      </c>
      <c r="P958" s="3" t="s">
        <v>2939</v>
      </c>
    </row>
    <row r="959" spans="1:16" x14ac:dyDescent="0.3">
      <c r="A959" s="3" t="s">
        <v>103</v>
      </c>
      <c r="B959" s="3" t="s">
        <v>6156</v>
      </c>
      <c r="C959" s="3" t="s">
        <v>6157</v>
      </c>
      <c r="D959" s="3" t="s">
        <v>76</v>
      </c>
      <c r="E959" s="3" t="s">
        <v>31</v>
      </c>
      <c r="F959" s="3" t="b">
        <v>0</v>
      </c>
      <c r="G959" s="3" t="s">
        <v>32</v>
      </c>
      <c r="H959" s="6">
        <v>44945.803668981483</v>
      </c>
      <c r="I959" s="3" t="b">
        <v>0</v>
      </c>
      <c r="J959" s="3" t="b">
        <v>1</v>
      </c>
      <c r="K959" s="3" t="s">
        <v>33</v>
      </c>
      <c r="L959" s="3" t="s">
        <v>34</v>
      </c>
      <c r="M959" s="8">
        <v>75000</v>
      </c>
      <c r="N959" s="11"/>
      <c r="O959" s="3" t="s">
        <v>6158</v>
      </c>
      <c r="P959" s="3" t="s">
        <v>6159</v>
      </c>
    </row>
    <row r="960" spans="1:16" x14ac:dyDescent="0.3">
      <c r="A960" s="3" t="s">
        <v>103</v>
      </c>
      <c r="B960" s="3" t="s">
        <v>103</v>
      </c>
      <c r="C960" s="3" t="s">
        <v>83</v>
      </c>
      <c r="D960" s="3" t="s">
        <v>307</v>
      </c>
      <c r="E960" s="3" t="s">
        <v>133</v>
      </c>
      <c r="F960" s="3" t="b">
        <v>0</v>
      </c>
      <c r="G960" s="3" t="s">
        <v>64</v>
      </c>
      <c r="H960" s="6">
        <v>44931.9999537037</v>
      </c>
      <c r="I960" s="3" t="b">
        <v>0</v>
      </c>
      <c r="J960" s="3" t="b">
        <v>0</v>
      </c>
      <c r="K960" s="3" t="s">
        <v>33</v>
      </c>
      <c r="L960" s="3" t="s">
        <v>48</v>
      </c>
      <c r="M960" s="8"/>
      <c r="N960" s="11">
        <v>25.625</v>
      </c>
      <c r="O960" s="3" t="s">
        <v>114</v>
      </c>
      <c r="P960" s="3" t="s">
        <v>4255</v>
      </c>
    </row>
    <row r="961" spans="1:16" x14ac:dyDescent="0.3">
      <c r="A961" s="3" t="s">
        <v>103</v>
      </c>
      <c r="B961" s="3" t="s">
        <v>2496</v>
      </c>
      <c r="C961" s="3" t="s">
        <v>6162</v>
      </c>
      <c r="D961" s="3" t="s">
        <v>30</v>
      </c>
      <c r="E961" s="3" t="s">
        <v>31</v>
      </c>
      <c r="F961" s="3" t="b">
        <v>0</v>
      </c>
      <c r="G961" s="3" t="s">
        <v>88</v>
      </c>
      <c r="H961" s="6">
        <v>44949.585405092592</v>
      </c>
      <c r="I961" s="3" t="b">
        <v>0</v>
      </c>
      <c r="J961" s="3" t="b">
        <v>0</v>
      </c>
      <c r="K961" s="3" t="s">
        <v>33</v>
      </c>
      <c r="L961" s="3" t="s">
        <v>34</v>
      </c>
      <c r="M961" s="8">
        <v>105000</v>
      </c>
      <c r="N961" s="11"/>
      <c r="O961" s="3" t="s">
        <v>4180</v>
      </c>
      <c r="P961" s="3" t="s">
        <v>38</v>
      </c>
    </row>
    <row r="962" spans="1:16" x14ac:dyDescent="0.3">
      <c r="A962" s="3" t="s">
        <v>103</v>
      </c>
      <c r="B962" s="3" t="s">
        <v>2883</v>
      </c>
      <c r="C962" s="3" t="s">
        <v>1573</v>
      </c>
      <c r="D962" s="3" t="s">
        <v>76</v>
      </c>
      <c r="E962" s="3" t="s">
        <v>31</v>
      </c>
      <c r="F962" s="3" t="b">
        <v>0</v>
      </c>
      <c r="G962" s="3" t="s">
        <v>32</v>
      </c>
      <c r="H962" s="6">
        <v>44951.708865740737</v>
      </c>
      <c r="I962" s="3" t="b">
        <v>0</v>
      </c>
      <c r="J962" s="3" t="b">
        <v>1</v>
      </c>
      <c r="K962" s="3" t="s">
        <v>33</v>
      </c>
      <c r="L962" s="3" t="s">
        <v>34</v>
      </c>
      <c r="M962" s="8">
        <v>115000</v>
      </c>
      <c r="N962" s="11"/>
      <c r="O962" s="3" t="s">
        <v>4747</v>
      </c>
      <c r="P962" s="3" t="s">
        <v>4748</v>
      </c>
    </row>
    <row r="963" spans="1:16" x14ac:dyDescent="0.3">
      <c r="A963" s="3" t="s">
        <v>103</v>
      </c>
      <c r="B963" s="3" t="s">
        <v>103</v>
      </c>
      <c r="C963" s="3" t="s">
        <v>2241</v>
      </c>
      <c r="D963" s="3" t="s">
        <v>30</v>
      </c>
      <c r="E963" s="3" t="s">
        <v>133</v>
      </c>
      <c r="F963" s="3" t="b">
        <v>0</v>
      </c>
      <c r="G963" s="3" t="s">
        <v>64</v>
      </c>
      <c r="H963" s="6">
        <v>44951.833368055559</v>
      </c>
      <c r="I963" s="3" t="b">
        <v>0</v>
      </c>
      <c r="J963" s="3" t="b">
        <v>0</v>
      </c>
      <c r="K963" s="3" t="s">
        <v>33</v>
      </c>
      <c r="L963" s="3" t="s">
        <v>48</v>
      </c>
      <c r="M963" s="8"/>
      <c r="N963" s="11">
        <v>52.5</v>
      </c>
      <c r="O963" s="3" t="s">
        <v>624</v>
      </c>
      <c r="P963" s="3" t="s">
        <v>6172</v>
      </c>
    </row>
    <row r="964" spans="1:16" x14ac:dyDescent="0.3">
      <c r="A964" s="3" t="s">
        <v>103</v>
      </c>
      <c r="B964" s="3" t="s">
        <v>6173</v>
      </c>
      <c r="C964" s="3"/>
      <c r="D964" s="3" t="s">
        <v>30</v>
      </c>
      <c r="E964" s="3" t="s">
        <v>31</v>
      </c>
      <c r="F964" s="3" t="b">
        <v>0</v>
      </c>
      <c r="G964" s="3" t="s">
        <v>64</v>
      </c>
      <c r="H964" s="6">
        <v>44935.750497685192</v>
      </c>
      <c r="I964" s="3" t="b">
        <v>0</v>
      </c>
      <c r="J964" s="3" t="b">
        <v>0</v>
      </c>
      <c r="K964" s="3" t="s">
        <v>33</v>
      </c>
      <c r="L964" s="3" t="s">
        <v>34</v>
      </c>
      <c r="M964" s="8">
        <v>102500</v>
      </c>
      <c r="N964" s="11"/>
      <c r="O964" s="3" t="s">
        <v>2200</v>
      </c>
      <c r="P964" s="3" t="s">
        <v>6174</v>
      </c>
    </row>
    <row r="965" spans="1:16" x14ac:dyDescent="0.3">
      <c r="A965" s="3" t="s">
        <v>103</v>
      </c>
      <c r="B965" s="3" t="s">
        <v>1166</v>
      </c>
      <c r="C965" s="3" t="s">
        <v>6175</v>
      </c>
      <c r="D965" s="3" t="s">
        <v>76</v>
      </c>
      <c r="E965" s="3" t="s">
        <v>133</v>
      </c>
      <c r="F965" s="3" t="b">
        <v>0</v>
      </c>
      <c r="G965" s="3" t="s">
        <v>32</v>
      </c>
      <c r="H965" s="6">
        <v>44946.959282407413</v>
      </c>
      <c r="I965" s="3" t="b">
        <v>0</v>
      </c>
      <c r="J965" s="3" t="b">
        <v>0</v>
      </c>
      <c r="K965" s="3" t="s">
        <v>33</v>
      </c>
      <c r="L965" s="3" t="s">
        <v>48</v>
      </c>
      <c r="M965" s="8"/>
      <c r="N965" s="11">
        <v>38.5</v>
      </c>
      <c r="O965" s="3" t="s">
        <v>1168</v>
      </c>
      <c r="P965" s="3"/>
    </row>
    <row r="966" spans="1:16" x14ac:dyDescent="0.3">
      <c r="A966" s="3" t="s">
        <v>103</v>
      </c>
      <c r="B966" s="3" t="s">
        <v>6176</v>
      </c>
      <c r="C966" s="3" t="s">
        <v>87</v>
      </c>
      <c r="D966" s="3" t="s">
        <v>76</v>
      </c>
      <c r="E966" s="3" t="s">
        <v>31</v>
      </c>
      <c r="F966" s="3" t="b">
        <v>1</v>
      </c>
      <c r="G966" s="3" t="s">
        <v>32</v>
      </c>
      <c r="H966" s="6">
        <v>44945.720405092587</v>
      </c>
      <c r="I966" s="3" t="b">
        <v>0</v>
      </c>
      <c r="J966" s="3" t="b">
        <v>1</v>
      </c>
      <c r="K966" s="3" t="s">
        <v>33</v>
      </c>
      <c r="L966" s="3" t="s">
        <v>48</v>
      </c>
      <c r="M966" s="8"/>
      <c r="N966" s="11">
        <v>54.879997253417969</v>
      </c>
      <c r="O966" s="3" t="s">
        <v>535</v>
      </c>
      <c r="P966" s="3" t="s">
        <v>6177</v>
      </c>
    </row>
    <row r="967" spans="1:16" x14ac:dyDescent="0.3">
      <c r="A967" s="3" t="s">
        <v>103</v>
      </c>
      <c r="B967" s="3" t="s">
        <v>6178</v>
      </c>
      <c r="C967" s="3" t="s">
        <v>75</v>
      </c>
      <c r="D967" s="3" t="s">
        <v>2465</v>
      </c>
      <c r="E967" s="3" t="s">
        <v>31</v>
      </c>
      <c r="F967" s="3" t="b">
        <v>0</v>
      </c>
      <c r="G967" s="3" t="s">
        <v>84</v>
      </c>
      <c r="H967" s="6">
        <v>44929.97928240741</v>
      </c>
      <c r="I967" s="3" t="b">
        <v>0</v>
      </c>
      <c r="J967" s="3" t="b">
        <v>1</v>
      </c>
      <c r="K967" s="3" t="s">
        <v>33</v>
      </c>
      <c r="L967" s="3" t="s">
        <v>48</v>
      </c>
      <c r="M967" s="8"/>
      <c r="N967" s="11">
        <v>24</v>
      </c>
      <c r="O967" s="3" t="s">
        <v>6179</v>
      </c>
      <c r="P967" s="3" t="s">
        <v>6180</v>
      </c>
    </row>
    <row r="968" spans="1:16" x14ac:dyDescent="0.3">
      <c r="A968" s="3" t="s">
        <v>103</v>
      </c>
      <c r="B968" s="3" t="s">
        <v>6181</v>
      </c>
      <c r="C968" s="3" t="s">
        <v>3588</v>
      </c>
      <c r="D968" s="3" t="s">
        <v>76</v>
      </c>
      <c r="E968" s="3" t="s">
        <v>31</v>
      </c>
      <c r="F968" s="3" t="b">
        <v>0</v>
      </c>
      <c r="G968" s="3" t="s">
        <v>140</v>
      </c>
      <c r="H968" s="6">
        <v>44945.896574074082</v>
      </c>
      <c r="I968" s="3" t="b">
        <v>0</v>
      </c>
      <c r="J968" s="3" t="b">
        <v>0</v>
      </c>
      <c r="K968" s="3" t="s">
        <v>33</v>
      </c>
      <c r="L968" s="3" t="s">
        <v>34</v>
      </c>
      <c r="M968" s="8">
        <v>56745</v>
      </c>
      <c r="N968" s="11"/>
      <c r="O968" s="3" t="s">
        <v>6182</v>
      </c>
      <c r="P968" s="3"/>
    </row>
    <row r="969" spans="1:16" x14ac:dyDescent="0.3">
      <c r="A969" s="3" t="s">
        <v>103</v>
      </c>
      <c r="B969" s="3" t="s">
        <v>4970</v>
      </c>
      <c r="C969" s="3" t="s">
        <v>4971</v>
      </c>
      <c r="D969" s="3" t="s">
        <v>30</v>
      </c>
      <c r="E969" s="3" t="s">
        <v>31</v>
      </c>
      <c r="F969" s="3" t="b">
        <v>0</v>
      </c>
      <c r="G969" s="3" t="s">
        <v>32</v>
      </c>
      <c r="H969" s="6">
        <v>44930.06144675926</v>
      </c>
      <c r="I969" s="3" t="b">
        <v>0</v>
      </c>
      <c r="J969" s="3" t="b">
        <v>0</v>
      </c>
      <c r="K969" s="3" t="s">
        <v>33</v>
      </c>
      <c r="L969" s="3" t="s">
        <v>34</v>
      </c>
      <c r="M969" s="8">
        <v>90000</v>
      </c>
      <c r="N969" s="11"/>
      <c r="O969" s="3" t="s">
        <v>114</v>
      </c>
      <c r="P969" s="3" t="s">
        <v>6183</v>
      </c>
    </row>
    <row r="970" spans="1:16" x14ac:dyDescent="0.3">
      <c r="A970" s="3" t="s">
        <v>103</v>
      </c>
      <c r="B970" s="3" t="s">
        <v>6186</v>
      </c>
      <c r="C970" s="3" t="s">
        <v>565</v>
      </c>
      <c r="D970" s="3" t="s">
        <v>93</v>
      </c>
      <c r="E970" s="3" t="s">
        <v>31</v>
      </c>
      <c r="F970" s="3" t="b">
        <v>0</v>
      </c>
      <c r="G970" s="3" t="s">
        <v>140</v>
      </c>
      <c r="H970" s="6">
        <v>44942.348506944443</v>
      </c>
      <c r="I970" s="3" t="b">
        <v>0</v>
      </c>
      <c r="J970" s="3" t="b">
        <v>1</v>
      </c>
      <c r="K970" s="3" t="s">
        <v>33</v>
      </c>
      <c r="L970" s="3" t="s">
        <v>34</v>
      </c>
      <c r="M970" s="8">
        <v>125000</v>
      </c>
      <c r="N970" s="11"/>
      <c r="O970" s="3" t="s">
        <v>3100</v>
      </c>
      <c r="P970" s="3"/>
    </row>
    <row r="971" spans="1:16" x14ac:dyDescent="0.3">
      <c r="A971" s="3" t="s">
        <v>103</v>
      </c>
      <c r="B971" s="3" t="s">
        <v>6187</v>
      </c>
      <c r="C971" s="3" t="s">
        <v>5119</v>
      </c>
      <c r="D971" s="3" t="s">
        <v>76</v>
      </c>
      <c r="E971" s="3" t="s">
        <v>31</v>
      </c>
      <c r="F971" s="3" t="b">
        <v>0</v>
      </c>
      <c r="G971" s="3" t="s">
        <v>64</v>
      </c>
      <c r="H971" s="6">
        <v>44933.583344907413</v>
      </c>
      <c r="I971" s="3" t="b">
        <v>0</v>
      </c>
      <c r="J971" s="3" t="b">
        <v>0</v>
      </c>
      <c r="K971" s="3" t="s">
        <v>33</v>
      </c>
      <c r="L971" s="3" t="s">
        <v>34</v>
      </c>
      <c r="M971" s="8">
        <v>64140</v>
      </c>
      <c r="N971" s="11"/>
      <c r="O971" s="3" t="s">
        <v>6188</v>
      </c>
      <c r="P971" s="3" t="s">
        <v>794</v>
      </c>
    </row>
    <row r="972" spans="1:16" x14ac:dyDescent="0.3">
      <c r="A972" s="3" t="s">
        <v>103</v>
      </c>
      <c r="B972" s="3" t="s">
        <v>6193</v>
      </c>
      <c r="C972" s="3" t="s">
        <v>87</v>
      </c>
      <c r="D972" s="3" t="s">
        <v>53</v>
      </c>
      <c r="E972" s="3" t="s">
        <v>133</v>
      </c>
      <c r="F972" s="3" t="b">
        <v>1</v>
      </c>
      <c r="G972" s="3" t="s">
        <v>32</v>
      </c>
      <c r="H972" s="6">
        <v>44950.167615740742</v>
      </c>
      <c r="I972" s="3" t="b">
        <v>0</v>
      </c>
      <c r="J972" s="3" t="b">
        <v>0</v>
      </c>
      <c r="K972" s="3" t="s">
        <v>33</v>
      </c>
      <c r="L972" s="3" t="s">
        <v>48</v>
      </c>
      <c r="M972" s="8"/>
      <c r="N972" s="11">
        <v>47.014999389648438</v>
      </c>
      <c r="O972" s="3" t="s">
        <v>4717</v>
      </c>
      <c r="P972" s="3" t="s">
        <v>6194</v>
      </c>
    </row>
    <row r="973" spans="1:16" x14ac:dyDescent="0.3">
      <c r="A973" s="3" t="s">
        <v>103</v>
      </c>
      <c r="B973" s="3" t="s">
        <v>103</v>
      </c>
      <c r="C973" s="3" t="s">
        <v>87</v>
      </c>
      <c r="D973" s="3" t="s">
        <v>53</v>
      </c>
      <c r="E973" s="3" t="s">
        <v>31</v>
      </c>
      <c r="F973" s="3" t="b">
        <v>1</v>
      </c>
      <c r="G973" s="3" t="s">
        <v>84</v>
      </c>
      <c r="H973" s="6">
        <v>44932.835196759261</v>
      </c>
      <c r="I973" s="3" t="b">
        <v>1</v>
      </c>
      <c r="J973" s="3" t="b">
        <v>0</v>
      </c>
      <c r="K973" s="3" t="s">
        <v>33</v>
      </c>
      <c r="L973" s="3" t="s">
        <v>34</v>
      </c>
      <c r="M973" s="8">
        <v>80000</v>
      </c>
      <c r="N973" s="11"/>
      <c r="O973" s="3" t="s">
        <v>6198</v>
      </c>
      <c r="P973" s="3" t="s">
        <v>374</v>
      </c>
    </row>
    <row r="974" spans="1:16" x14ac:dyDescent="0.3">
      <c r="A974" s="3" t="s">
        <v>103</v>
      </c>
      <c r="B974" s="3" t="s">
        <v>6199</v>
      </c>
      <c r="C974" s="3" t="s">
        <v>565</v>
      </c>
      <c r="D974" s="3" t="s">
        <v>566</v>
      </c>
      <c r="E974" s="3" t="s">
        <v>31</v>
      </c>
      <c r="F974" s="3" t="b">
        <v>0</v>
      </c>
      <c r="G974" s="3" t="s">
        <v>140</v>
      </c>
      <c r="H974" s="6">
        <v>44954.019097222219</v>
      </c>
      <c r="I974" s="3" t="b">
        <v>0</v>
      </c>
      <c r="J974" s="3" t="b">
        <v>0</v>
      </c>
      <c r="K974" s="3" t="s">
        <v>33</v>
      </c>
      <c r="L974" s="3" t="s">
        <v>48</v>
      </c>
      <c r="M974" s="8"/>
      <c r="N974" s="11">
        <v>24</v>
      </c>
      <c r="O974" s="3" t="s">
        <v>1445</v>
      </c>
      <c r="P974" s="3" t="s">
        <v>374</v>
      </c>
    </row>
    <row r="975" spans="1:16" x14ac:dyDescent="0.3">
      <c r="A975" s="3" t="s">
        <v>103</v>
      </c>
      <c r="B975" s="3" t="s">
        <v>1190</v>
      </c>
      <c r="C975" s="3" t="s">
        <v>6072</v>
      </c>
      <c r="D975" s="3" t="s">
        <v>827</v>
      </c>
      <c r="E975" s="3" t="s">
        <v>31</v>
      </c>
      <c r="F975" s="3" t="b">
        <v>0</v>
      </c>
      <c r="G975" s="3" t="s">
        <v>58</v>
      </c>
      <c r="H975" s="6">
        <v>44940.667916666673</v>
      </c>
      <c r="I975" s="3" t="b">
        <v>0</v>
      </c>
      <c r="J975" s="3" t="b">
        <v>0</v>
      </c>
      <c r="K975" s="3" t="s">
        <v>33</v>
      </c>
      <c r="L975" s="3" t="s">
        <v>48</v>
      </c>
      <c r="M975" s="8"/>
      <c r="N975" s="11">
        <v>47.5</v>
      </c>
      <c r="O975" s="3" t="s">
        <v>586</v>
      </c>
      <c r="P975" s="3" t="s">
        <v>6200</v>
      </c>
    </row>
    <row r="976" spans="1:16" x14ac:dyDescent="0.3">
      <c r="A976" s="3" t="s">
        <v>103</v>
      </c>
      <c r="B976" s="3" t="s">
        <v>2978</v>
      </c>
      <c r="C976" s="3" t="s">
        <v>270</v>
      </c>
      <c r="D976" s="3" t="s">
        <v>76</v>
      </c>
      <c r="E976" s="3" t="s">
        <v>31</v>
      </c>
      <c r="F976" s="3" t="b">
        <v>0</v>
      </c>
      <c r="G976" s="3" t="s">
        <v>32</v>
      </c>
      <c r="H976" s="6">
        <v>44952.459467592591</v>
      </c>
      <c r="I976" s="3" t="b">
        <v>1</v>
      </c>
      <c r="J976" s="3" t="b">
        <v>0</v>
      </c>
      <c r="K976" s="3" t="s">
        <v>33</v>
      </c>
      <c r="L976" s="3" t="s">
        <v>48</v>
      </c>
      <c r="M976" s="8"/>
      <c r="N976" s="11">
        <v>44.869998931884773</v>
      </c>
      <c r="O976" s="3" t="s">
        <v>2979</v>
      </c>
      <c r="P976" s="3"/>
    </row>
    <row r="977" spans="1:16" x14ac:dyDescent="0.3">
      <c r="A977" s="3" t="s">
        <v>103</v>
      </c>
      <c r="B977" s="3" t="s">
        <v>1190</v>
      </c>
      <c r="C977" s="3" t="s">
        <v>813</v>
      </c>
      <c r="D977" s="3" t="s">
        <v>30</v>
      </c>
      <c r="E977" s="3" t="s">
        <v>133</v>
      </c>
      <c r="F977" s="3" t="b">
        <v>0</v>
      </c>
      <c r="G977" s="3" t="s">
        <v>64</v>
      </c>
      <c r="H977" s="6">
        <v>44931.624907407408</v>
      </c>
      <c r="I977" s="3" t="b">
        <v>1</v>
      </c>
      <c r="J977" s="3" t="b">
        <v>0</v>
      </c>
      <c r="K977" s="3" t="s">
        <v>33</v>
      </c>
      <c r="L977" s="3" t="s">
        <v>48</v>
      </c>
      <c r="M977" s="8"/>
      <c r="N977" s="11">
        <v>65</v>
      </c>
      <c r="O977" s="3" t="s">
        <v>589</v>
      </c>
      <c r="P977" s="3" t="s">
        <v>2573</v>
      </c>
    </row>
    <row r="978" spans="1:16" x14ac:dyDescent="0.3">
      <c r="A978" s="3" t="s">
        <v>103</v>
      </c>
      <c r="B978" s="3" t="s">
        <v>103</v>
      </c>
      <c r="C978" s="3" t="s">
        <v>813</v>
      </c>
      <c r="D978" s="3" t="s">
        <v>76</v>
      </c>
      <c r="E978" s="3" t="s">
        <v>133</v>
      </c>
      <c r="F978" s="3" t="b">
        <v>0</v>
      </c>
      <c r="G978" s="3" t="s">
        <v>64</v>
      </c>
      <c r="H978" s="6">
        <v>44942.666678240741</v>
      </c>
      <c r="I978" s="3" t="b">
        <v>0</v>
      </c>
      <c r="J978" s="3" t="b">
        <v>0</v>
      </c>
      <c r="K978" s="3" t="s">
        <v>33</v>
      </c>
      <c r="L978" s="3" t="s">
        <v>48</v>
      </c>
      <c r="M978" s="8"/>
      <c r="N978" s="11">
        <v>32.5</v>
      </c>
      <c r="O978" s="3" t="s">
        <v>1243</v>
      </c>
      <c r="P978" s="3" t="s">
        <v>2057</v>
      </c>
    </row>
    <row r="979" spans="1:16" x14ac:dyDescent="0.3">
      <c r="A979" s="3" t="s">
        <v>103</v>
      </c>
      <c r="B979" s="3" t="s">
        <v>6213</v>
      </c>
      <c r="C979" s="3" t="s">
        <v>417</v>
      </c>
      <c r="D979" s="3" t="s">
        <v>429</v>
      </c>
      <c r="E979" s="3" t="s">
        <v>31</v>
      </c>
      <c r="F979" s="3" t="b">
        <v>0</v>
      </c>
      <c r="G979" s="3" t="s">
        <v>58</v>
      </c>
      <c r="H979" s="6">
        <v>44956.001087962963</v>
      </c>
      <c r="I979" s="3" t="b">
        <v>1</v>
      </c>
      <c r="J979" s="3" t="b">
        <v>1</v>
      </c>
      <c r="K979" s="3" t="s">
        <v>33</v>
      </c>
      <c r="L979" s="3" t="s">
        <v>48</v>
      </c>
      <c r="M979" s="8"/>
      <c r="N979" s="11">
        <v>24</v>
      </c>
      <c r="O979" s="3" t="s">
        <v>1445</v>
      </c>
      <c r="P979" s="3" t="s">
        <v>2415</v>
      </c>
    </row>
    <row r="980" spans="1:16" x14ac:dyDescent="0.3">
      <c r="A980" s="3" t="s">
        <v>103</v>
      </c>
      <c r="B980" s="3" t="s">
        <v>103</v>
      </c>
      <c r="C980" s="3" t="s">
        <v>75</v>
      </c>
      <c r="D980" s="3" t="s">
        <v>76</v>
      </c>
      <c r="E980" s="3" t="s">
        <v>31</v>
      </c>
      <c r="F980" s="3" t="b">
        <v>0</v>
      </c>
      <c r="G980" s="3" t="s">
        <v>84</v>
      </c>
      <c r="H980" s="6">
        <v>44944.960625</v>
      </c>
      <c r="I980" s="3" t="b">
        <v>0</v>
      </c>
      <c r="J980" s="3" t="b">
        <v>1</v>
      </c>
      <c r="K980" s="3" t="s">
        <v>33</v>
      </c>
      <c r="L980" s="3" t="s">
        <v>34</v>
      </c>
      <c r="M980" s="8">
        <v>55000</v>
      </c>
      <c r="N980" s="11"/>
      <c r="O980" s="3" t="s">
        <v>6214</v>
      </c>
      <c r="P980" s="3" t="s">
        <v>268</v>
      </c>
    </row>
    <row r="981" spans="1:16" x14ac:dyDescent="0.3">
      <c r="A981" s="3" t="s">
        <v>103</v>
      </c>
      <c r="B981" s="3" t="s">
        <v>6223</v>
      </c>
      <c r="C981" s="3"/>
      <c r="D981" s="3" t="s">
        <v>30</v>
      </c>
      <c r="E981" s="3" t="s">
        <v>133</v>
      </c>
      <c r="F981" s="3" t="b">
        <v>0</v>
      </c>
      <c r="G981" s="3" t="s">
        <v>140</v>
      </c>
      <c r="H981" s="6">
        <v>44935.694699074083</v>
      </c>
      <c r="I981" s="3" t="b">
        <v>0</v>
      </c>
      <c r="J981" s="3" t="b">
        <v>0</v>
      </c>
      <c r="K981" s="3" t="s">
        <v>33</v>
      </c>
      <c r="L981" s="3" t="s">
        <v>48</v>
      </c>
      <c r="M981" s="8"/>
      <c r="N981" s="11">
        <v>62</v>
      </c>
      <c r="O981" s="3" t="s">
        <v>502</v>
      </c>
      <c r="P981" s="3" t="s">
        <v>374</v>
      </c>
    </row>
    <row r="982" spans="1:16" x14ac:dyDescent="0.3">
      <c r="A982" s="3" t="s">
        <v>103</v>
      </c>
      <c r="B982" s="3" t="s">
        <v>6230</v>
      </c>
      <c r="C982" s="3" t="s">
        <v>2237</v>
      </c>
      <c r="D982" s="3" t="s">
        <v>287</v>
      </c>
      <c r="E982" s="3" t="s">
        <v>31</v>
      </c>
      <c r="F982" s="3" t="b">
        <v>0</v>
      </c>
      <c r="G982" s="3" t="s">
        <v>84</v>
      </c>
      <c r="H982" s="6">
        <v>44952.001377314817</v>
      </c>
      <c r="I982" s="3" t="b">
        <v>1</v>
      </c>
      <c r="J982" s="3" t="b">
        <v>0</v>
      </c>
      <c r="K982" s="3" t="s">
        <v>33</v>
      </c>
      <c r="L982" s="3" t="s">
        <v>48</v>
      </c>
      <c r="M982" s="8"/>
      <c r="N982" s="11">
        <v>68</v>
      </c>
      <c r="O982" s="3" t="s">
        <v>6231</v>
      </c>
      <c r="P982" s="3" t="s">
        <v>6232</v>
      </c>
    </row>
    <row r="983" spans="1:16" x14ac:dyDescent="0.3">
      <c r="A983" s="3" t="s">
        <v>103</v>
      </c>
      <c r="B983" s="3" t="s">
        <v>103</v>
      </c>
      <c r="C983" s="3" t="s">
        <v>472</v>
      </c>
      <c r="D983" s="3" t="s">
        <v>30</v>
      </c>
      <c r="E983" s="3" t="s">
        <v>31</v>
      </c>
      <c r="F983" s="3" t="b">
        <v>0</v>
      </c>
      <c r="G983" s="3" t="s">
        <v>64</v>
      </c>
      <c r="H983" s="6">
        <v>44943.834155092591</v>
      </c>
      <c r="I983" s="3" t="b">
        <v>0</v>
      </c>
      <c r="J983" s="3" t="b">
        <v>0</v>
      </c>
      <c r="K983" s="3" t="s">
        <v>33</v>
      </c>
      <c r="L983" s="3" t="s">
        <v>34</v>
      </c>
      <c r="M983" s="8">
        <v>52500</v>
      </c>
      <c r="N983" s="11"/>
      <c r="O983" s="3" t="s">
        <v>773</v>
      </c>
      <c r="P983" s="3" t="s">
        <v>774</v>
      </c>
    </row>
    <row r="984" spans="1:16" x14ac:dyDescent="0.3">
      <c r="A984" s="3" t="s">
        <v>103</v>
      </c>
      <c r="B984" s="3" t="s">
        <v>6243</v>
      </c>
      <c r="C984" s="3" t="s">
        <v>87</v>
      </c>
      <c r="D984" s="3" t="s">
        <v>287</v>
      </c>
      <c r="E984" s="3" t="s">
        <v>31</v>
      </c>
      <c r="F984" s="3" t="b">
        <v>1</v>
      </c>
      <c r="G984" s="3" t="s">
        <v>140</v>
      </c>
      <c r="H984" s="6">
        <v>44943.015289351853</v>
      </c>
      <c r="I984" s="3" t="b">
        <v>0</v>
      </c>
      <c r="J984" s="3" t="b">
        <v>1</v>
      </c>
      <c r="K984" s="3" t="s">
        <v>33</v>
      </c>
      <c r="L984" s="3" t="s">
        <v>34</v>
      </c>
      <c r="M984" s="8">
        <v>55000</v>
      </c>
      <c r="N984" s="11"/>
      <c r="O984" s="3" t="s">
        <v>6244</v>
      </c>
      <c r="P984" s="3" t="s">
        <v>6245</v>
      </c>
    </row>
    <row r="985" spans="1:16" x14ac:dyDescent="0.3">
      <c r="A985" s="3" t="s">
        <v>103</v>
      </c>
      <c r="B985" s="3" t="s">
        <v>1557</v>
      </c>
      <c r="C985" s="3" t="s">
        <v>258</v>
      </c>
      <c r="D985" s="3" t="s">
        <v>237</v>
      </c>
      <c r="E985" s="3" t="s">
        <v>31</v>
      </c>
      <c r="F985" s="3" t="b">
        <v>0</v>
      </c>
      <c r="G985" s="3" t="s">
        <v>32</v>
      </c>
      <c r="H985" s="6">
        <v>44939.000787037039</v>
      </c>
      <c r="I985" s="3" t="b">
        <v>1</v>
      </c>
      <c r="J985" s="3" t="b">
        <v>0</v>
      </c>
      <c r="K985" s="3" t="s">
        <v>33</v>
      </c>
      <c r="L985" s="3" t="s">
        <v>34</v>
      </c>
      <c r="M985" s="8">
        <v>81350</v>
      </c>
      <c r="N985" s="11"/>
      <c r="O985" s="3" t="s">
        <v>1558</v>
      </c>
      <c r="P985" s="3" t="s">
        <v>374</v>
      </c>
    </row>
    <row r="986" spans="1:16" x14ac:dyDescent="0.3">
      <c r="A986" s="3" t="s">
        <v>103</v>
      </c>
      <c r="B986" s="3" t="s">
        <v>6246</v>
      </c>
      <c r="C986" s="3" t="s">
        <v>97</v>
      </c>
      <c r="D986" s="3" t="s">
        <v>76</v>
      </c>
      <c r="E986" s="3" t="s">
        <v>133</v>
      </c>
      <c r="F986" s="3" t="b">
        <v>0</v>
      </c>
      <c r="G986" s="3" t="s">
        <v>32</v>
      </c>
      <c r="H986" s="6">
        <v>44930.019884259258</v>
      </c>
      <c r="I986" s="3" t="b">
        <v>1</v>
      </c>
      <c r="J986" s="3" t="b">
        <v>0</v>
      </c>
      <c r="K986" s="3" t="s">
        <v>33</v>
      </c>
      <c r="L986" s="3" t="s">
        <v>48</v>
      </c>
      <c r="M986" s="8"/>
      <c r="N986" s="11">
        <v>24</v>
      </c>
      <c r="O986" s="3" t="s">
        <v>6247</v>
      </c>
      <c r="P986" s="3" t="s">
        <v>6248</v>
      </c>
    </row>
    <row r="987" spans="1:16" x14ac:dyDescent="0.3">
      <c r="A987" s="3" t="s">
        <v>103</v>
      </c>
      <c r="B987" s="3" t="s">
        <v>6252</v>
      </c>
      <c r="C987" s="3" t="s">
        <v>6253</v>
      </c>
      <c r="D987" s="3" t="s">
        <v>53</v>
      </c>
      <c r="E987" s="3" t="s">
        <v>31</v>
      </c>
      <c r="F987" s="3" t="b">
        <v>0</v>
      </c>
      <c r="G987" s="3" t="s">
        <v>32</v>
      </c>
      <c r="H987" s="6">
        <v>44944.834189814806</v>
      </c>
      <c r="I987" s="3" t="b">
        <v>0</v>
      </c>
      <c r="J987" s="3" t="b">
        <v>1</v>
      </c>
      <c r="K987" s="3" t="s">
        <v>33</v>
      </c>
      <c r="L987" s="3" t="s">
        <v>48</v>
      </c>
      <c r="M987" s="8"/>
      <c r="N987" s="11">
        <v>20.25</v>
      </c>
      <c r="O987" s="3" t="s">
        <v>6254</v>
      </c>
      <c r="P987" s="3" t="s">
        <v>6255</v>
      </c>
    </row>
    <row r="988" spans="1:16" x14ac:dyDescent="0.3">
      <c r="A988" s="3" t="s">
        <v>103</v>
      </c>
      <c r="B988" s="3" t="s">
        <v>6257</v>
      </c>
      <c r="C988" s="3" t="s">
        <v>6258</v>
      </c>
      <c r="D988" s="3" t="s">
        <v>307</v>
      </c>
      <c r="E988" s="3" t="s">
        <v>31</v>
      </c>
      <c r="F988" s="3" t="b">
        <v>0</v>
      </c>
      <c r="G988" s="3" t="s">
        <v>32</v>
      </c>
      <c r="H988" s="6">
        <v>44932.792581018519</v>
      </c>
      <c r="I988" s="3" t="b">
        <v>1</v>
      </c>
      <c r="J988" s="3" t="b">
        <v>0</v>
      </c>
      <c r="K988" s="3" t="s">
        <v>33</v>
      </c>
      <c r="L988" s="3" t="s">
        <v>34</v>
      </c>
      <c r="M988" s="8">
        <v>92500</v>
      </c>
      <c r="N988" s="11"/>
      <c r="O988" s="3" t="s">
        <v>114</v>
      </c>
      <c r="P988" s="3" t="s">
        <v>6259</v>
      </c>
    </row>
    <row r="989" spans="1:16" x14ac:dyDescent="0.3">
      <c r="A989" s="3" t="s">
        <v>103</v>
      </c>
      <c r="B989" s="3" t="s">
        <v>6260</v>
      </c>
      <c r="C989" s="3" t="s">
        <v>83</v>
      </c>
      <c r="D989" s="3" t="s">
        <v>53</v>
      </c>
      <c r="E989" s="3" t="s">
        <v>31</v>
      </c>
      <c r="F989" s="3" t="b">
        <v>0</v>
      </c>
      <c r="G989" s="3" t="s">
        <v>64</v>
      </c>
      <c r="H989" s="6">
        <v>44953.167245370372</v>
      </c>
      <c r="I989" s="3" t="b">
        <v>0</v>
      </c>
      <c r="J989" s="3" t="b">
        <v>0</v>
      </c>
      <c r="K989" s="3" t="s">
        <v>33</v>
      </c>
      <c r="L989" s="3" t="s">
        <v>34</v>
      </c>
      <c r="M989" s="8">
        <v>65037.5</v>
      </c>
      <c r="N989" s="11"/>
      <c r="O989" s="3" t="s">
        <v>6261</v>
      </c>
      <c r="P989" s="3" t="s">
        <v>6262</v>
      </c>
    </row>
    <row r="990" spans="1:16" x14ac:dyDescent="0.3">
      <c r="A990" s="3" t="s">
        <v>103</v>
      </c>
      <c r="B990" s="3" t="s">
        <v>103</v>
      </c>
      <c r="C990" s="3" t="s">
        <v>3024</v>
      </c>
      <c r="D990" s="3" t="s">
        <v>30</v>
      </c>
      <c r="E990" s="3" t="s">
        <v>133</v>
      </c>
      <c r="F990" s="3" t="b">
        <v>0</v>
      </c>
      <c r="G990" s="3" t="s">
        <v>32</v>
      </c>
      <c r="H990" s="6">
        <v>44951.583761574067</v>
      </c>
      <c r="I990" s="3" t="b">
        <v>0</v>
      </c>
      <c r="J990" s="3" t="b">
        <v>0</v>
      </c>
      <c r="K990" s="3" t="s">
        <v>33</v>
      </c>
      <c r="L990" s="3" t="s">
        <v>48</v>
      </c>
      <c r="M990" s="8"/>
      <c r="N990" s="11">
        <v>27.5</v>
      </c>
      <c r="O990" s="3" t="s">
        <v>114</v>
      </c>
      <c r="P990" s="3" t="s">
        <v>5052</v>
      </c>
    </row>
    <row r="991" spans="1:16" x14ac:dyDescent="0.3">
      <c r="A991" s="3" t="s">
        <v>103</v>
      </c>
      <c r="B991" s="3" t="s">
        <v>1382</v>
      </c>
      <c r="C991" s="3" t="s">
        <v>6266</v>
      </c>
      <c r="D991" s="3" t="s">
        <v>188</v>
      </c>
      <c r="E991" s="3" t="s">
        <v>133</v>
      </c>
      <c r="F991" s="3" t="b">
        <v>0</v>
      </c>
      <c r="G991" s="3" t="s">
        <v>64</v>
      </c>
      <c r="H991" s="6">
        <v>44935.625057870369</v>
      </c>
      <c r="I991" s="3" t="b">
        <v>1</v>
      </c>
      <c r="J991" s="3" t="b">
        <v>0</v>
      </c>
      <c r="K991" s="3" t="s">
        <v>33</v>
      </c>
      <c r="L991" s="3" t="s">
        <v>48</v>
      </c>
      <c r="M991" s="8"/>
      <c r="N991" s="11">
        <v>42.5</v>
      </c>
      <c r="O991" s="3" t="s">
        <v>6267</v>
      </c>
      <c r="P991" s="3" t="s">
        <v>405</v>
      </c>
    </row>
    <row r="992" spans="1:16" x14ac:dyDescent="0.3">
      <c r="A992" s="3" t="s">
        <v>103</v>
      </c>
      <c r="B992" s="3" t="s">
        <v>1133</v>
      </c>
      <c r="C992" s="3" t="s">
        <v>75</v>
      </c>
      <c r="D992" s="3" t="s">
        <v>106</v>
      </c>
      <c r="E992" s="3" t="s">
        <v>31</v>
      </c>
      <c r="F992" s="3" t="b">
        <v>0</v>
      </c>
      <c r="G992" s="3" t="s">
        <v>84</v>
      </c>
      <c r="H992" s="6">
        <v>44945.637881944444</v>
      </c>
      <c r="I992" s="3" t="b">
        <v>0</v>
      </c>
      <c r="J992" s="3" t="b">
        <v>0</v>
      </c>
      <c r="K992" s="3" t="s">
        <v>33</v>
      </c>
      <c r="L992" s="3" t="s">
        <v>34</v>
      </c>
      <c r="M992" s="8">
        <v>75000</v>
      </c>
      <c r="N992" s="11"/>
      <c r="O992" s="3" t="s">
        <v>706</v>
      </c>
      <c r="P992" s="3" t="s">
        <v>405</v>
      </c>
    </row>
    <row r="993" spans="1:16" x14ac:dyDescent="0.3">
      <c r="A993" s="3" t="s">
        <v>103</v>
      </c>
      <c r="B993" s="3" t="s">
        <v>103</v>
      </c>
      <c r="C993" s="3" t="s">
        <v>321</v>
      </c>
      <c r="D993" s="3" t="s">
        <v>30</v>
      </c>
      <c r="E993" s="3" t="s">
        <v>31</v>
      </c>
      <c r="F993" s="3" t="b">
        <v>0</v>
      </c>
      <c r="G993" s="3" t="s">
        <v>140</v>
      </c>
      <c r="H993" s="6">
        <v>44951.652002314811</v>
      </c>
      <c r="I993" s="3" t="b">
        <v>1</v>
      </c>
      <c r="J993" s="3" t="b">
        <v>0</v>
      </c>
      <c r="K993" s="3" t="s">
        <v>33</v>
      </c>
      <c r="L993" s="3" t="s">
        <v>48</v>
      </c>
      <c r="M993" s="8"/>
      <c r="N993" s="11">
        <v>47.5</v>
      </c>
      <c r="O993" s="3" t="s">
        <v>502</v>
      </c>
      <c r="P993" s="3" t="s">
        <v>1130</v>
      </c>
    </row>
    <row r="994" spans="1:16" x14ac:dyDescent="0.3">
      <c r="A994" s="3" t="s">
        <v>103</v>
      </c>
      <c r="B994" s="3" t="s">
        <v>103</v>
      </c>
      <c r="C994" s="3" t="s">
        <v>417</v>
      </c>
      <c r="D994" s="3" t="s">
        <v>188</v>
      </c>
      <c r="E994" s="3" t="s">
        <v>133</v>
      </c>
      <c r="F994" s="3" t="b">
        <v>0</v>
      </c>
      <c r="G994" s="3" t="s">
        <v>58</v>
      </c>
      <c r="H994" s="6">
        <v>44950.667905092603</v>
      </c>
      <c r="I994" s="3" t="b">
        <v>1</v>
      </c>
      <c r="J994" s="3" t="b">
        <v>0</v>
      </c>
      <c r="K994" s="3" t="s">
        <v>33</v>
      </c>
      <c r="L994" s="3" t="s">
        <v>48</v>
      </c>
      <c r="M994" s="8"/>
      <c r="N994" s="11">
        <v>65</v>
      </c>
      <c r="O994" s="3" t="s">
        <v>6277</v>
      </c>
      <c r="P994" s="3"/>
    </row>
    <row r="995" spans="1:16" x14ac:dyDescent="0.3">
      <c r="A995" s="3" t="s">
        <v>103</v>
      </c>
      <c r="B995" s="3" t="s">
        <v>6282</v>
      </c>
      <c r="C995" s="3" t="s">
        <v>2772</v>
      </c>
      <c r="D995" s="3" t="s">
        <v>41</v>
      </c>
      <c r="E995" s="3" t="s">
        <v>31</v>
      </c>
      <c r="F995" s="3" t="b">
        <v>0</v>
      </c>
      <c r="G995" s="3" t="s">
        <v>42</v>
      </c>
      <c r="H995" s="6">
        <v>44933.427569444437</v>
      </c>
      <c r="I995" s="3" t="b">
        <v>0</v>
      </c>
      <c r="J995" s="3" t="b">
        <v>0</v>
      </c>
      <c r="K995" s="3" t="s">
        <v>42</v>
      </c>
      <c r="L995" s="3" t="s">
        <v>34</v>
      </c>
      <c r="M995" s="8">
        <v>45000</v>
      </c>
      <c r="N995" s="11"/>
      <c r="O995" s="3" t="s">
        <v>1880</v>
      </c>
      <c r="P995" s="3" t="s">
        <v>799</v>
      </c>
    </row>
    <row r="996" spans="1:16" x14ac:dyDescent="0.3">
      <c r="A996" s="3" t="s">
        <v>103</v>
      </c>
      <c r="B996" s="3" t="s">
        <v>4316</v>
      </c>
      <c r="C996" s="3" t="s">
        <v>87</v>
      </c>
      <c r="D996" s="3" t="s">
        <v>76</v>
      </c>
      <c r="E996" s="3" t="s">
        <v>31</v>
      </c>
      <c r="F996" s="3" t="b">
        <v>1</v>
      </c>
      <c r="G996" s="3" t="s">
        <v>32</v>
      </c>
      <c r="H996" s="6">
        <v>44931.667233796303</v>
      </c>
      <c r="I996" s="3" t="b">
        <v>1</v>
      </c>
      <c r="J996" s="3" t="b">
        <v>1</v>
      </c>
      <c r="K996" s="3" t="s">
        <v>33</v>
      </c>
      <c r="L996" s="3" t="s">
        <v>34</v>
      </c>
      <c r="M996" s="8">
        <v>95680</v>
      </c>
      <c r="N996" s="11"/>
      <c r="O996" s="3" t="s">
        <v>589</v>
      </c>
      <c r="P996" s="3" t="s">
        <v>405</v>
      </c>
    </row>
    <row r="997" spans="1:16" x14ac:dyDescent="0.3">
      <c r="A997" s="3" t="s">
        <v>103</v>
      </c>
      <c r="B997" s="3" t="s">
        <v>6283</v>
      </c>
      <c r="C997" s="3" t="s">
        <v>321</v>
      </c>
      <c r="D997" s="3" t="s">
        <v>53</v>
      </c>
      <c r="E997" s="3" t="s">
        <v>31</v>
      </c>
      <c r="F997" s="3" t="b">
        <v>0</v>
      </c>
      <c r="G997" s="3" t="s">
        <v>140</v>
      </c>
      <c r="H997" s="6">
        <v>44953.894085648149</v>
      </c>
      <c r="I997" s="3" t="b">
        <v>0</v>
      </c>
      <c r="J997" s="3" t="b">
        <v>0</v>
      </c>
      <c r="K997" s="3" t="s">
        <v>33</v>
      </c>
      <c r="L997" s="3" t="s">
        <v>48</v>
      </c>
      <c r="M997" s="8"/>
      <c r="N997" s="11">
        <v>22</v>
      </c>
      <c r="O997" s="3" t="s">
        <v>6284</v>
      </c>
      <c r="P997" s="3" t="s">
        <v>6285</v>
      </c>
    </row>
    <row r="998" spans="1:16" x14ac:dyDescent="0.3">
      <c r="A998" s="3" t="s">
        <v>103</v>
      </c>
      <c r="B998" s="3" t="s">
        <v>6293</v>
      </c>
      <c r="C998" s="3" t="s">
        <v>593</v>
      </c>
      <c r="D998" s="3" t="s">
        <v>41</v>
      </c>
      <c r="E998" s="3" t="s">
        <v>31</v>
      </c>
      <c r="F998" s="3" t="b">
        <v>0</v>
      </c>
      <c r="G998" s="3" t="s">
        <v>436</v>
      </c>
      <c r="H998" s="6">
        <v>44931.10728009259</v>
      </c>
      <c r="I998" s="3" t="b">
        <v>1</v>
      </c>
      <c r="J998" s="3" t="b">
        <v>0</v>
      </c>
      <c r="K998" s="3" t="s">
        <v>436</v>
      </c>
      <c r="L998" s="3" t="s">
        <v>34</v>
      </c>
      <c r="M998" s="8">
        <v>100500</v>
      </c>
      <c r="N998" s="11"/>
      <c r="O998" s="3" t="s">
        <v>6294</v>
      </c>
      <c r="P998" s="3" t="s">
        <v>6295</v>
      </c>
    </row>
    <row r="999" spans="1:16" x14ac:dyDescent="0.3">
      <c r="A999" s="3" t="s">
        <v>103</v>
      </c>
      <c r="B999" s="3" t="s">
        <v>103</v>
      </c>
      <c r="C999" s="3" t="s">
        <v>321</v>
      </c>
      <c r="D999" s="3" t="s">
        <v>93</v>
      </c>
      <c r="E999" s="3" t="s">
        <v>31</v>
      </c>
      <c r="F999" s="3" t="b">
        <v>0</v>
      </c>
      <c r="G999" s="3" t="s">
        <v>140</v>
      </c>
      <c r="H999" s="6">
        <v>44928.220324074071</v>
      </c>
      <c r="I999" s="3" t="b">
        <v>0</v>
      </c>
      <c r="J999" s="3" t="b">
        <v>1</v>
      </c>
      <c r="K999" s="3" t="s">
        <v>33</v>
      </c>
      <c r="L999" s="3" t="s">
        <v>34</v>
      </c>
      <c r="M999" s="8">
        <v>90000</v>
      </c>
      <c r="N999" s="11"/>
      <c r="O999" s="3" t="s">
        <v>6296</v>
      </c>
      <c r="P999" s="3" t="s">
        <v>6297</v>
      </c>
    </row>
    <row r="1000" spans="1:16" x14ac:dyDescent="0.3">
      <c r="A1000" s="3" t="s">
        <v>103</v>
      </c>
      <c r="B1000" s="3" t="s">
        <v>103</v>
      </c>
      <c r="C1000" s="3" t="s">
        <v>2074</v>
      </c>
      <c r="D1000" s="3" t="s">
        <v>76</v>
      </c>
      <c r="E1000" s="3" t="s">
        <v>31</v>
      </c>
      <c r="F1000" s="3" t="b">
        <v>0</v>
      </c>
      <c r="G1000" s="3" t="s">
        <v>64</v>
      </c>
      <c r="H1000" s="6">
        <v>44949.874965277777</v>
      </c>
      <c r="I1000" s="3" t="b">
        <v>0</v>
      </c>
      <c r="J1000" s="3" t="b">
        <v>0</v>
      </c>
      <c r="K1000" s="3" t="s">
        <v>33</v>
      </c>
      <c r="L1000" s="3" t="s">
        <v>34</v>
      </c>
      <c r="M1000" s="8">
        <v>85000</v>
      </c>
      <c r="N1000" s="11"/>
      <c r="O1000" s="3" t="s">
        <v>6298</v>
      </c>
      <c r="P1000" s="3" t="s">
        <v>6299</v>
      </c>
    </row>
    <row r="1001" spans="1:16" x14ac:dyDescent="0.3">
      <c r="A1001" s="3" t="s">
        <v>103</v>
      </c>
      <c r="B1001" s="3" t="s">
        <v>6243</v>
      </c>
      <c r="C1001" s="3" t="s">
        <v>6300</v>
      </c>
      <c r="D1001" s="3" t="s">
        <v>76</v>
      </c>
      <c r="E1001" s="3" t="s">
        <v>31</v>
      </c>
      <c r="F1001" s="3" t="b">
        <v>0</v>
      </c>
      <c r="G1001" s="3" t="s">
        <v>140</v>
      </c>
      <c r="H1001" s="6">
        <v>44937.907465277778</v>
      </c>
      <c r="I1001" s="3" t="b">
        <v>0</v>
      </c>
      <c r="J1001" s="3" t="b">
        <v>1</v>
      </c>
      <c r="K1001" s="3" t="s">
        <v>33</v>
      </c>
      <c r="L1001" s="3" t="s">
        <v>34</v>
      </c>
      <c r="M1001" s="8">
        <v>52500</v>
      </c>
      <c r="N1001" s="11"/>
      <c r="O1001" s="3" t="s">
        <v>6301</v>
      </c>
      <c r="P1001" s="3" t="s">
        <v>6245</v>
      </c>
    </row>
    <row r="1002" spans="1:16" x14ac:dyDescent="0.3">
      <c r="A1002" s="3" t="s">
        <v>103</v>
      </c>
      <c r="B1002" s="3" t="s">
        <v>6302</v>
      </c>
      <c r="C1002" s="3" t="s">
        <v>641</v>
      </c>
      <c r="D1002" s="3" t="s">
        <v>237</v>
      </c>
      <c r="E1002" s="3" t="s">
        <v>31</v>
      </c>
      <c r="F1002" s="3" t="b">
        <v>0</v>
      </c>
      <c r="G1002" s="3" t="s">
        <v>88</v>
      </c>
      <c r="H1002" s="6">
        <v>44951.335173611107</v>
      </c>
      <c r="I1002" s="3" t="b">
        <v>0</v>
      </c>
      <c r="J1002" s="3" t="b">
        <v>0</v>
      </c>
      <c r="K1002" s="3" t="s">
        <v>33</v>
      </c>
      <c r="L1002" s="3" t="s">
        <v>34</v>
      </c>
      <c r="M1002" s="8">
        <v>120710</v>
      </c>
      <c r="N1002" s="11"/>
      <c r="O1002" s="3" t="s">
        <v>119</v>
      </c>
      <c r="P1002" s="3" t="s">
        <v>6303</v>
      </c>
    </row>
    <row r="1003" spans="1:16" x14ac:dyDescent="0.3">
      <c r="A1003" s="3" t="s">
        <v>103</v>
      </c>
      <c r="B1003" s="3" t="s">
        <v>6307</v>
      </c>
      <c r="C1003" s="3" t="s">
        <v>87</v>
      </c>
      <c r="D1003" s="3" t="s">
        <v>30</v>
      </c>
      <c r="E1003" s="3" t="s">
        <v>31</v>
      </c>
      <c r="F1003" s="3" t="b">
        <v>1</v>
      </c>
      <c r="G1003" s="3" t="s">
        <v>84</v>
      </c>
      <c r="H1003" s="6">
        <v>44956.710069444453</v>
      </c>
      <c r="I1003" s="3" t="b">
        <v>0</v>
      </c>
      <c r="J1003" s="3" t="b">
        <v>1</v>
      </c>
      <c r="K1003" s="3" t="s">
        <v>33</v>
      </c>
      <c r="L1003" s="3" t="s">
        <v>34</v>
      </c>
      <c r="M1003" s="8">
        <v>82500</v>
      </c>
      <c r="N1003" s="11"/>
      <c r="O1003" s="3" t="s">
        <v>80</v>
      </c>
      <c r="P1003" s="3" t="s">
        <v>6308</v>
      </c>
    </row>
    <row r="1004" spans="1:16" x14ac:dyDescent="0.3">
      <c r="A1004" s="3" t="s">
        <v>103</v>
      </c>
      <c r="B1004" s="3" t="s">
        <v>6313</v>
      </c>
      <c r="C1004" s="3" t="s">
        <v>6314</v>
      </c>
      <c r="D1004" s="3" t="s">
        <v>188</v>
      </c>
      <c r="E1004" s="3" t="s">
        <v>133</v>
      </c>
      <c r="F1004" s="3" t="b">
        <v>0</v>
      </c>
      <c r="G1004" s="3" t="s">
        <v>32</v>
      </c>
      <c r="H1004" s="6">
        <v>44952.000532407408</v>
      </c>
      <c r="I1004" s="3" t="b">
        <v>0</v>
      </c>
      <c r="J1004" s="3" t="b">
        <v>0</v>
      </c>
      <c r="K1004" s="3" t="s">
        <v>33</v>
      </c>
      <c r="L1004" s="3" t="s">
        <v>48</v>
      </c>
      <c r="M1004" s="8"/>
      <c r="N1004" s="11">
        <v>75</v>
      </c>
      <c r="O1004" s="3" t="s">
        <v>6315</v>
      </c>
      <c r="P1004" s="3" t="s">
        <v>6316</v>
      </c>
    </row>
    <row r="1005" spans="1:16" x14ac:dyDescent="0.3">
      <c r="A1005" s="3" t="s">
        <v>103</v>
      </c>
      <c r="B1005" s="3" t="s">
        <v>103</v>
      </c>
      <c r="C1005" s="3" t="s">
        <v>417</v>
      </c>
      <c r="D1005" s="3" t="s">
        <v>76</v>
      </c>
      <c r="E1005" s="3" t="s">
        <v>133</v>
      </c>
      <c r="F1005" s="3" t="b">
        <v>0</v>
      </c>
      <c r="G1005" s="3" t="s">
        <v>58</v>
      </c>
      <c r="H1005" s="6">
        <v>44945.845868055563</v>
      </c>
      <c r="I1005" s="3" t="b">
        <v>1</v>
      </c>
      <c r="J1005" s="3" t="b">
        <v>1</v>
      </c>
      <c r="K1005" s="3" t="s">
        <v>33</v>
      </c>
      <c r="L1005" s="3" t="s">
        <v>34</v>
      </c>
      <c r="M1005" s="8">
        <v>85000</v>
      </c>
      <c r="N1005" s="11"/>
      <c r="O1005" s="3" t="s">
        <v>6317</v>
      </c>
      <c r="P1005" s="3" t="s">
        <v>3987</v>
      </c>
    </row>
    <row r="1006" spans="1:16" x14ac:dyDescent="0.3">
      <c r="A1006" s="3" t="s">
        <v>103</v>
      </c>
      <c r="B1006" s="3" t="s">
        <v>103</v>
      </c>
      <c r="C1006" s="3" t="s">
        <v>3032</v>
      </c>
      <c r="D1006" s="3" t="s">
        <v>76</v>
      </c>
      <c r="E1006" s="3" t="s">
        <v>31</v>
      </c>
      <c r="F1006" s="3" t="b">
        <v>0</v>
      </c>
      <c r="G1006" s="3" t="s">
        <v>84</v>
      </c>
      <c r="H1006" s="6">
        <v>44948.918298611112</v>
      </c>
      <c r="I1006" s="3" t="b">
        <v>0</v>
      </c>
      <c r="J1006" s="3" t="b">
        <v>1</v>
      </c>
      <c r="K1006" s="3" t="s">
        <v>33</v>
      </c>
      <c r="L1006" s="3" t="s">
        <v>34</v>
      </c>
      <c r="M1006" s="8">
        <v>65000</v>
      </c>
      <c r="N1006" s="11"/>
      <c r="O1006" s="3" t="s">
        <v>5739</v>
      </c>
      <c r="P1006" s="3" t="s">
        <v>5740</v>
      </c>
    </row>
    <row r="1007" spans="1:16" x14ac:dyDescent="0.3">
      <c r="A1007" s="3" t="s">
        <v>103</v>
      </c>
      <c r="B1007" s="3" t="s">
        <v>6318</v>
      </c>
      <c r="C1007" s="3" t="s">
        <v>4942</v>
      </c>
      <c r="D1007" s="3" t="s">
        <v>30</v>
      </c>
      <c r="E1007" s="3" t="s">
        <v>31</v>
      </c>
      <c r="F1007" s="3" t="b">
        <v>0</v>
      </c>
      <c r="G1007" s="3" t="s">
        <v>64</v>
      </c>
      <c r="H1007" s="6">
        <v>44948.999988425923</v>
      </c>
      <c r="I1007" s="3" t="b">
        <v>0</v>
      </c>
      <c r="J1007" s="3" t="b">
        <v>0</v>
      </c>
      <c r="K1007" s="3" t="s">
        <v>33</v>
      </c>
      <c r="L1007" s="3" t="s">
        <v>34</v>
      </c>
      <c r="M1007" s="8">
        <v>80000</v>
      </c>
      <c r="N1007" s="11"/>
      <c r="O1007" s="3" t="s">
        <v>6319</v>
      </c>
      <c r="P1007" s="3" t="s">
        <v>6320</v>
      </c>
    </row>
    <row r="1008" spans="1:16" x14ac:dyDescent="0.3">
      <c r="A1008" s="3" t="s">
        <v>103</v>
      </c>
      <c r="B1008" s="3" t="s">
        <v>103</v>
      </c>
      <c r="C1008" s="3" t="s">
        <v>362</v>
      </c>
      <c r="D1008" s="3" t="s">
        <v>1113</v>
      </c>
      <c r="E1008" s="3" t="s">
        <v>31</v>
      </c>
      <c r="F1008" s="3" t="b">
        <v>0</v>
      </c>
      <c r="G1008" s="3" t="s">
        <v>64</v>
      </c>
      <c r="H1008" s="6">
        <v>44944.541805555556</v>
      </c>
      <c r="I1008" s="3" t="b">
        <v>0</v>
      </c>
      <c r="J1008" s="3" t="b">
        <v>1</v>
      </c>
      <c r="K1008" s="3" t="s">
        <v>33</v>
      </c>
      <c r="L1008" s="3" t="s">
        <v>34</v>
      </c>
      <c r="M1008" s="8">
        <v>142500</v>
      </c>
      <c r="N1008" s="11"/>
      <c r="O1008" s="3" t="s">
        <v>6327</v>
      </c>
      <c r="P1008" s="3" t="s">
        <v>6328</v>
      </c>
    </row>
    <row r="1009" spans="1:16" x14ac:dyDescent="0.3">
      <c r="A1009" s="3" t="s">
        <v>103</v>
      </c>
      <c r="B1009" s="3" t="s">
        <v>2838</v>
      </c>
      <c r="C1009" s="3" t="s">
        <v>472</v>
      </c>
      <c r="D1009" s="3" t="s">
        <v>76</v>
      </c>
      <c r="E1009" s="3" t="s">
        <v>31</v>
      </c>
      <c r="F1009" s="3" t="b">
        <v>0</v>
      </c>
      <c r="G1009" s="3" t="s">
        <v>64</v>
      </c>
      <c r="H1009" s="6">
        <v>44935.583414351851</v>
      </c>
      <c r="I1009" s="3" t="b">
        <v>0</v>
      </c>
      <c r="J1009" s="3" t="b">
        <v>1</v>
      </c>
      <c r="K1009" s="3" t="s">
        <v>33</v>
      </c>
      <c r="L1009" s="3" t="s">
        <v>48</v>
      </c>
      <c r="M1009" s="8"/>
      <c r="N1009" s="11">
        <v>28</v>
      </c>
      <c r="O1009" s="3" t="s">
        <v>2546</v>
      </c>
      <c r="P1009" s="3" t="s">
        <v>2839</v>
      </c>
    </row>
    <row r="1010" spans="1:16" x14ac:dyDescent="0.3">
      <c r="A1010" s="3" t="s">
        <v>103</v>
      </c>
      <c r="B1010" s="3" t="s">
        <v>6336</v>
      </c>
      <c r="C1010" s="3" t="s">
        <v>2948</v>
      </c>
      <c r="D1010" s="3" t="s">
        <v>5752</v>
      </c>
      <c r="E1010" s="3" t="s">
        <v>31</v>
      </c>
      <c r="F1010" s="3" t="b">
        <v>0</v>
      </c>
      <c r="G1010" s="3" t="s">
        <v>84</v>
      </c>
      <c r="H1010" s="6">
        <v>44946.013009259259</v>
      </c>
      <c r="I1010" s="3" t="b">
        <v>0</v>
      </c>
      <c r="J1010" s="3" t="b">
        <v>1</v>
      </c>
      <c r="K1010" s="3" t="s">
        <v>33</v>
      </c>
      <c r="L1010" s="3" t="s">
        <v>48</v>
      </c>
      <c r="M1010" s="8"/>
      <c r="N1010" s="11">
        <v>24</v>
      </c>
      <c r="O1010" s="3" t="s">
        <v>1445</v>
      </c>
      <c r="P1010" s="3" t="s">
        <v>6337</v>
      </c>
    </row>
    <row r="1011" spans="1:16" x14ac:dyDescent="0.3">
      <c r="A1011" s="3" t="s">
        <v>103</v>
      </c>
      <c r="B1011" s="3" t="s">
        <v>6338</v>
      </c>
      <c r="C1011" s="3" t="s">
        <v>87</v>
      </c>
      <c r="D1011" s="3" t="s">
        <v>30</v>
      </c>
      <c r="E1011" s="3" t="s">
        <v>133</v>
      </c>
      <c r="F1011" s="3" t="b">
        <v>1</v>
      </c>
      <c r="G1011" s="3" t="s">
        <v>64</v>
      </c>
      <c r="H1011" s="6">
        <v>44932.750416666669</v>
      </c>
      <c r="I1011" s="3" t="b">
        <v>0</v>
      </c>
      <c r="J1011" s="3" t="b">
        <v>0</v>
      </c>
      <c r="K1011" s="3" t="s">
        <v>33</v>
      </c>
      <c r="L1011" s="3" t="s">
        <v>48</v>
      </c>
      <c r="M1011" s="8"/>
      <c r="N1011" s="11">
        <v>63.75</v>
      </c>
      <c r="O1011" s="3" t="s">
        <v>6339</v>
      </c>
      <c r="P1011" s="3" t="s">
        <v>6340</v>
      </c>
    </row>
    <row r="1012" spans="1:16" x14ac:dyDescent="0.3">
      <c r="A1012" s="3" t="s">
        <v>103</v>
      </c>
      <c r="B1012" s="3" t="s">
        <v>6341</v>
      </c>
      <c r="C1012" s="3" t="s">
        <v>173</v>
      </c>
      <c r="D1012" s="3" t="s">
        <v>30</v>
      </c>
      <c r="E1012" s="3" t="s">
        <v>31</v>
      </c>
      <c r="F1012" s="3" t="b">
        <v>0</v>
      </c>
      <c r="G1012" s="3" t="s">
        <v>64</v>
      </c>
      <c r="H1012" s="6">
        <v>44953.583819444437</v>
      </c>
      <c r="I1012" s="3" t="b">
        <v>0</v>
      </c>
      <c r="J1012" s="3" t="b">
        <v>0</v>
      </c>
      <c r="K1012" s="3" t="s">
        <v>33</v>
      </c>
      <c r="L1012" s="3" t="s">
        <v>34</v>
      </c>
      <c r="M1012" s="8">
        <v>75500</v>
      </c>
      <c r="N1012" s="11"/>
      <c r="O1012" s="3" t="s">
        <v>6342</v>
      </c>
      <c r="P1012" s="3" t="s">
        <v>6343</v>
      </c>
    </row>
    <row r="1013" spans="1:16" x14ac:dyDescent="0.3">
      <c r="A1013" s="3" t="s">
        <v>103</v>
      </c>
      <c r="B1013" s="3" t="s">
        <v>103</v>
      </c>
      <c r="C1013" s="3" t="s">
        <v>1488</v>
      </c>
      <c r="D1013" s="3" t="s">
        <v>30</v>
      </c>
      <c r="E1013" s="3" t="s">
        <v>133</v>
      </c>
      <c r="F1013" s="3" t="b">
        <v>0</v>
      </c>
      <c r="G1013" s="3" t="s">
        <v>84</v>
      </c>
      <c r="H1013" s="6">
        <v>44945.596192129633</v>
      </c>
      <c r="I1013" s="3" t="b">
        <v>0</v>
      </c>
      <c r="J1013" s="3" t="b">
        <v>1</v>
      </c>
      <c r="K1013" s="3" t="s">
        <v>33</v>
      </c>
      <c r="L1013" s="3" t="s">
        <v>48</v>
      </c>
      <c r="M1013" s="8"/>
      <c r="N1013" s="11">
        <v>49</v>
      </c>
      <c r="O1013" s="3" t="s">
        <v>3476</v>
      </c>
      <c r="P1013" s="3" t="s">
        <v>1124</v>
      </c>
    </row>
    <row r="1014" spans="1:16" x14ac:dyDescent="0.3">
      <c r="A1014" s="3" t="s">
        <v>103</v>
      </c>
      <c r="B1014" s="3" t="s">
        <v>6355</v>
      </c>
      <c r="C1014" s="3" t="s">
        <v>87</v>
      </c>
      <c r="D1014" s="3" t="s">
        <v>1599</v>
      </c>
      <c r="E1014" s="3" t="s">
        <v>31</v>
      </c>
      <c r="F1014" s="3" t="b">
        <v>1</v>
      </c>
      <c r="G1014" s="3" t="s">
        <v>32</v>
      </c>
      <c r="H1014" s="6">
        <v>44932.792604166672</v>
      </c>
      <c r="I1014" s="3" t="b">
        <v>1</v>
      </c>
      <c r="J1014" s="3" t="b">
        <v>1</v>
      </c>
      <c r="K1014" s="3" t="s">
        <v>33</v>
      </c>
      <c r="L1014" s="3" t="s">
        <v>34</v>
      </c>
      <c r="M1014" s="8">
        <v>95000</v>
      </c>
      <c r="N1014" s="11"/>
      <c r="O1014" s="3" t="s">
        <v>6356</v>
      </c>
      <c r="P1014" s="3" t="s">
        <v>6357</v>
      </c>
    </row>
    <row r="1015" spans="1:16" x14ac:dyDescent="0.3">
      <c r="A1015" s="3" t="s">
        <v>103</v>
      </c>
      <c r="B1015" s="3" t="s">
        <v>103</v>
      </c>
      <c r="C1015" s="3" t="s">
        <v>87</v>
      </c>
      <c r="D1015" s="3" t="s">
        <v>30</v>
      </c>
      <c r="E1015" s="3" t="s">
        <v>31</v>
      </c>
      <c r="F1015" s="3" t="b">
        <v>1</v>
      </c>
      <c r="G1015" s="3" t="s">
        <v>58</v>
      </c>
      <c r="H1015" s="6">
        <v>44943.959803240738</v>
      </c>
      <c r="I1015" s="3" t="b">
        <v>1</v>
      </c>
      <c r="J1015" s="3" t="b">
        <v>1</v>
      </c>
      <c r="K1015" s="3" t="s">
        <v>33</v>
      </c>
      <c r="L1015" s="3" t="s">
        <v>34</v>
      </c>
      <c r="M1015" s="8">
        <v>65000</v>
      </c>
      <c r="N1015" s="11"/>
      <c r="O1015" s="3" t="s">
        <v>589</v>
      </c>
      <c r="P1015" s="3" t="s">
        <v>405</v>
      </c>
    </row>
    <row r="1016" spans="1:16" x14ac:dyDescent="0.3">
      <c r="A1016" s="3" t="s">
        <v>103</v>
      </c>
      <c r="B1016" s="3" t="s">
        <v>103</v>
      </c>
      <c r="C1016" s="3" t="s">
        <v>472</v>
      </c>
      <c r="D1016" s="3" t="s">
        <v>76</v>
      </c>
      <c r="E1016" s="3" t="s">
        <v>31</v>
      </c>
      <c r="F1016" s="3" t="b">
        <v>0</v>
      </c>
      <c r="G1016" s="3" t="s">
        <v>64</v>
      </c>
      <c r="H1016" s="6">
        <v>44952.041770833333</v>
      </c>
      <c r="I1016" s="3" t="b">
        <v>0</v>
      </c>
      <c r="J1016" s="3" t="b">
        <v>1</v>
      </c>
      <c r="K1016" s="3" t="s">
        <v>33</v>
      </c>
      <c r="L1016" s="3" t="s">
        <v>34</v>
      </c>
      <c r="M1016" s="8">
        <v>56212.5</v>
      </c>
      <c r="N1016" s="11"/>
      <c r="O1016" s="3" t="s">
        <v>6361</v>
      </c>
      <c r="P1016" s="3" t="s">
        <v>6362</v>
      </c>
    </row>
    <row r="1017" spans="1:16" x14ac:dyDescent="0.3">
      <c r="A1017" s="3" t="s">
        <v>103</v>
      </c>
      <c r="B1017" s="3" t="s">
        <v>103</v>
      </c>
      <c r="C1017" s="3" t="s">
        <v>813</v>
      </c>
      <c r="D1017" s="3" t="s">
        <v>76</v>
      </c>
      <c r="E1017" s="3" t="s">
        <v>133</v>
      </c>
      <c r="F1017" s="3" t="b">
        <v>0</v>
      </c>
      <c r="G1017" s="3" t="s">
        <v>64</v>
      </c>
      <c r="H1017" s="6">
        <v>44933.749976851846</v>
      </c>
      <c r="I1017" s="3" t="b">
        <v>0</v>
      </c>
      <c r="J1017" s="3" t="b">
        <v>0</v>
      </c>
      <c r="K1017" s="3" t="s">
        <v>33</v>
      </c>
      <c r="L1017" s="3" t="s">
        <v>48</v>
      </c>
      <c r="M1017" s="8"/>
      <c r="N1017" s="11">
        <v>32.5</v>
      </c>
      <c r="O1017" s="3" t="s">
        <v>1243</v>
      </c>
      <c r="P1017" s="3" t="s">
        <v>2057</v>
      </c>
    </row>
    <row r="1018" spans="1:16" x14ac:dyDescent="0.3">
      <c r="A1018" s="3" t="s">
        <v>103</v>
      </c>
      <c r="B1018" s="3" t="s">
        <v>6368</v>
      </c>
      <c r="C1018" s="3" t="s">
        <v>57</v>
      </c>
      <c r="D1018" s="3" t="s">
        <v>93</v>
      </c>
      <c r="E1018" s="3" t="s">
        <v>31</v>
      </c>
      <c r="F1018" s="3" t="b">
        <v>0</v>
      </c>
      <c r="G1018" s="3" t="s">
        <v>58</v>
      </c>
      <c r="H1018" s="6">
        <v>44942.42931712963</v>
      </c>
      <c r="I1018" s="3" t="b">
        <v>0</v>
      </c>
      <c r="J1018" s="3" t="b">
        <v>0</v>
      </c>
      <c r="K1018" s="3" t="s">
        <v>33</v>
      </c>
      <c r="L1018" s="3" t="s">
        <v>34</v>
      </c>
      <c r="M1018" s="8">
        <v>115000</v>
      </c>
      <c r="N1018" s="11"/>
      <c r="O1018" s="3" t="s">
        <v>267</v>
      </c>
      <c r="P1018" s="3" t="s">
        <v>1391</v>
      </c>
    </row>
    <row r="1019" spans="1:16" x14ac:dyDescent="0.3">
      <c r="A1019" s="3" t="s">
        <v>103</v>
      </c>
      <c r="B1019" s="3" t="s">
        <v>103</v>
      </c>
      <c r="C1019" s="3" t="s">
        <v>6369</v>
      </c>
      <c r="D1019" s="3" t="s">
        <v>76</v>
      </c>
      <c r="E1019" s="3" t="s">
        <v>31</v>
      </c>
      <c r="F1019" s="3" t="b">
        <v>0</v>
      </c>
      <c r="G1019" s="3" t="s">
        <v>84</v>
      </c>
      <c r="H1019" s="6">
        <v>44948.918171296304</v>
      </c>
      <c r="I1019" s="3" t="b">
        <v>0</v>
      </c>
      <c r="J1019" s="3" t="b">
        <v>1</v>
      </c>
      <c r="K1019" s="3" t="s">
        <v>33</v>
      </c>
      <c r="L1019" s="3" t="s">
        <v>34</v>
      </c>
      <c r="M1019" s="8">
        <v>65000</v>
      </c>
      <c r="N1019" s="11"/>
      <c r="O1019" s="3" t="s">
        <v>5739</v>
      </c>
      <c r="P1019" s="3" t="s">
        <v>5740</v>
      </c>
    </row>
    <row r="1020" spans="1:16" x14ac:dyDescent="0.3">
      <c r="A1020" s="3" t="s">
        <v>103</v>
      </c>
      <c r="B1020" s="3" t="s">
        <v>6370</v>
      </c>
      <c r="C1020" s="3" t="s">
        <v>1488</v>
      </c>
      <c r="D1020" s="3" t="s">
        <v>5684</v>
      </c>
      <c r="E1020" s="3" t="s">
        <v>31</v>
      </c>
      <c r="F1020" s="3" t="b">
        <v>0</v>
      </c>
      <c r="G1020" s="3" t="s">
        <v>84</v>
      </c>
      <c r="H1020" s="6">
        <v>44949.001643518517</v>
      </c>
      <c r="I1020" s="3" t="b">
        <v>0</v>
      </c>
      <c r="J1020" s="3" t="b">
        <v>1</v>
      </c>
      <c r="K1020" s="3" t="s">
        <v>33</v>
      </c>
      <c r="L1020" s="3" t="s">
        <v>48</v>
      </c>
      <c r="M1020" s="8"/>
      <c r="N1020" s="11">
        <v>24</v>
      </c>
      <c r="O1020" s="3" t="s">
        <v>5685</v>
      </c>
      <c r="P1020" s="3" t="s">
        <v>6371</v>
      </c>
    </row>
    <row r="1021" spans="1:16" x14ac:dyDescent="0.3">
      <c r="A1021" s="3" t="s">
        <v>103</v>
      </c>
      <c r="B1021" s="3" t="s">
        <v>6375</v>
      </c>
      <c r="C1021" s="3" t="s">
        <v>6376</v>
      </c>
      <c r="D1021" s="3" t="s">
        <v>76</v>
      </c>
      <c r="E1021" s="3" t="s">
        <v>31</v>
      </c>
      <c r="F1021" s="3" t="b">
        <v>0</v>
      </c>
      <c r="G1021" s="3" t="s">
        <v>32</v>
      </c>
      <c r="H1021" s="6">
        <v>44950.958958333344</v>
      </c>
      <c r="I1021" s="3" t="b">
        <v>0</v>
      </c>
      <c r="J1021" s="3" t="b">
        <v>0</v>
      </c>
      <c r="K1021" s="3" t="s">
        <v>33</v>
      </c>
      <c r="L1021" s="3" t="s">
        <v>48</v>
      </c>
      <c r="M1021" s="8"/>
      <c r="N1021" s="11">
        <v>42.880001068115227</v>
      </c>
      <c r="O1021" s="3" t="s">
        <v>4250</v>
      </c>
      <c r="P1021" s="3" t="s">
        <v>4255</v>
      </c>
    </row>
    <row r="1022" spans="1:16" x14ac:dyDescent="0.3">
      <c r="A1022" s="3" t="s">
        <v>103</v>
      </c>
      <c r="B1022" s="3" t="s">
        <v>6377</v>
      </c>
      <c r="C1022" s="3" t="s">
        <v>565</v>
      </c>
      <c r="D1022" s="3" t="s">
        <v>566</v>
      </c>
      <c r="E1022" s="3" t="s">
        <v>31</v>
      </c>
      <c r="F1022" s="3" t="b">
        <v>0</v>
      </c>
      <c r="G1022" s="3" t="s">
        <v>140</v>
      </c>
      <c r="H1022" s="6">
        <v>44941.998599537037</v>
      </c>
      <c r="I1022" s="3" t="b">
        <v>0</v>
      </c>
      <c r="J1022" s="3" t="b">
        <v>1</v>
      </c>
      <c r="K1022" s="3" t="s">
        <v>33</v>
      </c>
      <c r="L1022" s="3" t="s">
        <v>48</v>
      </c>
      <c r="M1022" s="8"/>
      <c r="N1022" s="11">
        <v>24</v>
      </c>
      <c r="O1022" s="3" t="s">
        <v>49</v>
      </c>
      <c r="P1022" s="3" t="s">
        <v>6378</v>
      </c>
    </row>
    <row r="1023" spans="1:16" x14ac:dyDescent="0.3">
      <c r="A1023" s="3" t="s">
        <v>103</v>
      </c>
      <c r="B1023" s="3" t="s">
        <v>6379</v>
      </c>
      <c r="C1023" s="3" t="s">
        <v>3994</v>
      </c>
      <c r="D1023" s="3" t="s">
        <v>76</v>
      </c>
      <c r="E1023" s="3" t="s">
        <v>31</v>
      </c>
      <c r="F1023" s="3" t="b">
        <v>0</v>
      </c>
      <c r="G1023" s="3" t="s">
        <v>88</v>
      </c>
      <c r="H1023" s="6">
        <v>44931.710185185177</v>
      </c>
      <c r="I1023" s="3" t="b">
        <v>0</v>
      </c>
      <c r="J1023" s="3" t="b">
        <v>0</v>
      </c>
      <c r="K1023" s="3" t="s">
        <v>33</v>
      </c>
      <c r="L1023" s="3" t="s">
        <v>34</v>
      </c>
      <c r="M1023" s="8">
        <v>105000</v>
      </c>
      <c r="N1023" s="11"/>
      <c r="O1023" s="3" t="s">
        <v>6380</v>
      </c>
      <c r="P1023" s="3"/>
    </row>
    <row r="1024" spans="1:16" x14ac:dyDescent="0.3">
      <c r="A1024" s="3" t="s">
        <v>103</v>
      </c>
      <c r="B1024" s="3" t="s">
        <v>6381</v>
      </c>
      <c r="C1024" s="3" t="s">
        <v>6162</v>
      </c>
      <c r="D1024" s="3" t="s">
        <v>76</v>
      </c>
      <c r="E1024" s="3" t="s">
        <v>31</v>
      </c>
      <c r="F1024" s="3" t="b">
        <v>0</v>
      </c>
      <c r="G1024" s="3" t="s">
        <v>88</v>
      </c>
      <c r="H1024" s="6">
        <v>44935.876863425918</v>
      </c>
      <c r="I1024" s="3" t="b">
        <v>0</v>
      </c>
      <c r="J1024" s="3" t="b">
        <v>1</v>
      </c>
      <c r="K1024" s="3" t="s">
        <v>33</v>
      </c>
      <c r="L1024" s="3" t="s">
        <v>48</v>
      </c>
      <c r="M1024" s="8"/>
      <c r="N1024" s="11">
        <v>22.5</v>
      </c>
      <c r="O1024" s="3" t="s">
        <v>6382</v>
      </c>
      <c r="P1024" s="3" t="s">
        <v>405</v>
      </c>
    </row>
    <row r="1025" spans="1:16" x14ac:dyDescent="0.3">
      <c r="A1025" s="3" t="s">
        <v>103</v>
      </c>
      <c r="B1025" s="3" t="s">
        <v>6383</v>
      </c>
      <c r="C1025" s="3" t="s">
        <v>974</v>
      </c>
      <c r="D1025" s="3" t="s">
        <v>41</v>
      </c>
      <c r="E1025" s="3" t="s">
        <v>31</v>
      </c>
      <c r="F1025" s="3" t="b">
        <v>0</v>
      </c>
      <c r="G1025" s="3" t="s">
        <v>532</v>
      </c>
      <c r="H1025" s="6">
        <v>44932.07130787037</v>
      </c>
      <c r="I1025" s="3" t="b">
        <v>0</v>
      </c>
      <c r="J1025" s="3" t="b">
        <v>0</v>
      </c>
      <c r="K1025" s="3" t="s">
        <v>532</v>
      </c>
      <c r="L1025" s="3" t="s">
        <v>34</v>
      </c>
      <c r="M1025" s="8">
        <v>56700</v>
      </c>
      <c r="N1025" s="11"/>
      <c r="O1025" s="3" t="s">
        <v>414</v>
      </c>
      <c r="P1025" s="3" t="s">
        <v>756</v>
      </c>
    </row>
    <row r="1026" spans="1:16" x14ac:dyDescent="0.3">
      <c r="A1026" s="3" t="s">
        <v>103</v>
      </c>
      <c r="B1026" s="3" t="s">
        <v>103</v>
      </c>
      <c r="C1026" s="3" t="s">
        <v>6347</v>
      </c>
      <c r="D1026" s="3" t="s">
        <v>188</v>
      </c>
      <c r="E1026" s="3" t="s">
        <v>133</v>
      </c>
      <c r="F1026" s="3" t="b">
        <v>0</v>
      </c>
      <c r="G1026" s="3" t="s">
        <v>32</v>
      </c>
      <c r="H1026" s="6">
        <v>44930.061354166668</v>
      </c>
      <c r="I1026" s="3" t="b">
        <v>0</v>
      </c>
      <c r="J1026" s="3" t="b">
        <v>0</v>
      </c>
      <c r="K1026" s="3" t="s">
        <v>33</v>
      </c>
      <c r="L1026" s="3" t="s">
        <v>48</v>
      </c>
      <c r="M1026" s="8"/>
      <c r="N1026" s="11">
        <v>45</v>
      </c>
      <c r="O1026" s="3" t="s">
        <v>6384</v>
      </c>
      <c r="P1026" s="3" t="s">
        <v>6385</v>
      </c>
    </row>
    <row r="1027" spans="1:16" x14ac:dyDescent="0.3">
      <c r="A1027" s="3" t="s">
        <v>103</v>
      </c>
      <c r="B1027" s="3" t="s">
        <v>5370</v>
      </c>
      <c r="C1027" s="3" t="s">
        <v>5417</v>
      </c>
      <c r="D1027" s="3" t="s">
        <v>287</v>
      </c>
      <c r="E1027" s="3" t="s">
        <v>31</v>
      </c>
      <c r="F1027" s="3" t="b">
        <v>0</v>
      </c>
      <c r="G1027" s="3" t="s">
        <v>88</v>
      </c>
      <c r="H1027" s="6">
        <v>44949.001956018517</v>
      </c>
      <c r="I1027" s="3" t="b">
        <v>1</v>
      </c>
      <c r="J1027" s="3" t="b">
        <v>0</v>
      </c>
      <c r="K1027" s="3" t="s">
        <v>33</v>
      </c>
      <c r="L1027" s="3" t="s">
        <v>34</v>
      </c>
      <c r="M1027" s="8">
        <v>76579</v>
      </c>
      <c r="N1027" s="11"/>
      <c r="O1027" s="3" t="s">
        <v>5418</v>
      </c>
      <c r="P1027" s="3" t="s">
        <v>920</v>
      </c>
    </row>
    <row r="1028" spans="1:16" x14ac:dyDescent="0.3">
      <c r="A1028" s="3" t="s">
        <v>103</v>
      </c>
      <c r="B1028" s="3" t="s">
        <v>2409</v>
      </c>
      <c r="C1028" s="3" t="s">
        <v>87</v>
      </c>
      <c r="D1028" s="3" t="s">
        <v>76</v>
      </c>
      <c r="E1028" s="3" t="s">
        <v>31</v>
      </c>
      <c r="F1028" s="3" t="b">
        <v>1</v>
      </c>
      <c r="G1028" s="3" t="s">
        <v>32</v>
      </c>
      <c r="H1028" s="6">
        <v>44932.667627314811</v>
      </c>
      <c r="I1028" s="3" t="b">
        <v>0</v>
      </c>
      <c r="J1028" s="3" t="b">
        <v>0</v>
      </c>
      <c r="K1028" s="3" t="s">
        <v>33</v>
      </c>
      <c r="L1028" s="3" t="s">
        <v>34</v>
      </c>
      <c r="M1028" s="8">
        <v>115791.5</v>
      </c>
      <c r="N1028" s="11"/>
      <c r="O1028" s="3" t="s">
        <v>2410</v>
      </c>
      <c r="P1028" s="3" t="s">
        <v>2411</v>
      </c>
    </row>
    <row r="1029" spans="1:16" x14ac:dyDescent="0.3">
      <c r="A1029" s="3" t="s">
        <v>103</v>
      </c>
      <c r="B1029" s="3" t="s">
        <v>103</v>
      </c>
      <c r="C1029" s="3" t="s">
        <v>5756</v>
      </c>
      <c r="D1029" s="3" t="s">
        <v>6388</v>
      </c>
      <c r="E1029" s="3" t="s">
        <v>31</v>
      </c>
      <c r="F1029" s="3" t="b">
        <v>0</v>
      </c>
      <c r="G1029" s="3" t="s">
        <v>88</v>
      </c>
      <c r="H1029" s="6">
        <v>44929.980046296303</v>
      </c>
      <c r="I1029" s="3" t="b">
        <v>1</v>
      </c>
      <c r="J1029" s="3" t="b">
        <v>0</v>
      </c>
      <c r="K1029" s="3" t="s">
        <v>33</v>
      </c>
      <c r="L1029" s="3" t="s">
        <v>48</v>
      </c>
      <c r="M1029" s="8"/>
      <c r="N1029" s="11">
        <v>24</v>
      </c>
      <c r="O1029" s="3" t="s">
        <v>6389</v>
      </c>
      <c r="P1029" s="3" t="s">
        <v>6390</v>
      </c>
    </row>
    <row r="1030" spans="1:16" x14ac:dyDescent="0.3">
      <c r="A1030" s="3" t="s">
        <v>103</v>
      </c>
      <c r="B1030" s="3" t="s">
        <v>6391</v>
      </c>
      <c r="C1030" s="3" t="s">
        <v>270</v>
      </c>
      <c r="D1030" s="3" t="s">
        <v>76</v>
      </c>
      <c r="E1030" s="3" t="s">
        <v>31</v>
      </c>
      <c r="F1030" s="3" t="b">
        <v>0</v>
      </c>
      <c r="G1030" s="3" t="s">
        <v>32</v>
      </c>
      <c r="H1030" s="6">
        <v>44946.542673611111</v>
      </c>
      <c r="I1030" s="3" t="b">
        <v>0</v>
      </c>
      <c r="J1030" s="3" t="b">
        <v>0</v>
      </c>
      <c r="K1030" s="3" t="s">
        <v>33</v>
      </c>
      <c r="L1030" s="3" t="s">
        <v>34</v>
      </c>
      <c r="M1030" s="8">
        <v>79928.40625</v>
      </c>
      <c r="N1030" s="11"/>
      <c r="O1030" s="3" t="s">
        <v>6392</v>
      </c>
      <c r="P1030" s="3" t="s">
        <v>6393</v>
      </c>
    </row>
    <row r="1031" spans="1:16" x14ac:dyDescent="0.3">
      <c r="A1031" s="3" t="s">
        <v>103</v>
      </c>
      <c r="B1031" s="3" t="s">
        <v>6396</v>
      </c>
      <c r="C1031" s="3" t="s">
        <v>6397</v>
      </c>
      <c r="D1031" s="3" t="s">
        <v>53</v>
      </c>
      <c r="E1031" s="3" t="s">
        <v>31</v>
      </c>
      <c r="F1031" s="3" t="b">
        <v>0</v>
      </c>
      <c r="G1031" s="3" t="s">
        <v>140</v>
      </c>
      <c r="H1031" s="6">
        <v>44951.081631944442</v>
      </c>
      <c r="I1031" s="3" t="b">
        <v>0</v>
      </c>
      <c r="J1031" s="3" t="b">
        <v>0</v>
      </c>
      <c r="K1031" s="3" t="s">
        <v>33</v>
      </c>
      <c r="L1031" s="3" t="s">
        <v>34</v>
      </c>
      <c r="M1031" s="8">
        <v>56500</v>
      </c>
      <c r="N1031" s="11"/>
      <c r="O1031" s="3" t="s">
        <v>6398</v>
      </c>
      <c r="P1031" s="3" t="s">
        <v>6399</v>
      </c>
    </row>
    <row r="1032" spans="1:16" x14ac:dyDescent="0.3">
      <c r="A1032" s="3" t="s">
        <v>103</v>
      </c>
      <c r="B1032" s="3" t="s">
        <v>103</v>
      </c>
      <c r="C1032" s="3" t="s">
        <v>417</v>
      </c>
      <c r="D1032" s="3" t="s">
        <v>429</v>
      </c>
      <c r="E1032" s="3" t="s">
        <v>31</v>
      </c>
      <c r="F1032" s="3" t="b">
        <v>0</v>
      </c>
      <c r="G1032" s="3" t="s">
        <v>58</v>
      </c>
      <c r="H1032" s="6">
        <v>44930.020601851851</v>
      </c>
      <c r="I1032" s="3" t="b">
        <v>0</v>
      </c>
      <c r="J1032" s="3" t="b">
        <v>0</v>
      </c>
      <c r="K1032" s="3" t="s">
        <v>33</v>
      </c>
      <c r="L1032" s="3" t="s">
        <v>48</v>
      </c>
      <c r="M1032" s="8"/>
      <c r="N1032" s="11">
        <v>24</v>
      </c>
      <c r="O1032" s="3" t="s">
        <v>114</v>
      </c>
      <c r="P1032" s="3" t="s">
        <v>6400</v>
      </c>
    </row>
    <row r="1033" spans="1:16" x14ac:dyDescent="0.3">
      <c r="A1033" s="3" t="s">
        <v>66</v>
      </c>
      <c r="B1033" s="3" t="s">
        <v>67</v>
      </c>
      <c r="C1033" s="3" t="s">
        <v>68</v>
      </c>
      <c r="D1033" s="3" t="s">
        <v>41</v>
      </c>
      <c r="E1033" s="3" t="s">
        <v>31</v>
      </c>
      <c r="F1033" s="3" t="b">
        <v>0</v>
      </c>
      <c r="G1033" s="3" t="s">
        <v>69</v>
      </c>
      <c r="H1033" s="6">
        <v>44938.864351851851</v>
      </c>
      <c r="I1033" s="3" t="b">
        <v>0</v>
      </c>
      <c r="J1033" s="3" t="b">
        <v>0</v>
      </c>
      <c r="K1033" s="3" t="s">
        <v>69</v>
      </c>
      <c r="L1033" s="3" t="s">
        <v>34</v>
      </c>
      <c r="M1033" s="8">
        <v>98301.5</v>
      </c>
      <c r="N1033" s="11"/>
      <c r="O1033" s="3" t="s">
        <v>70</v>
      </c>
      <c r="P1033" s="3" t="s">
        <v>71</v>
      </c>
    </row>
    <row r="1034" spans="1:16" x14ac:dyDescent="0.3">
      <c r="A1034" s="3" t="s">
        <v>66</v>
      </c>
      <c r="B1034" s="3" t="s">
        <v>66</v>
      </c>
      <c r="C1034" s="3" t="s">
        <v>75</v>
      </c>
      <c r="D1034" s="3" t="s">
        <v>76</v>
      </c>
      <c r="E1034" s="3" t="s">
        <v>31</v>
      </c>
      <c r="F1034" s="3" t="b">
        <v>0</v>
      </c>
      <c r="G1034" s="3" t="s">
        <v>32</v>
      </c>
      <c r="H1034" s="6">
        <v>44939.798032407409</v>
      </c>
      <c r="I1034" s="3" t="b">
        <v>0</v>
      </c>
      <c r="J1034" s="3" t="b">
        <v>1</v>
      </c>
      <c r="K1034" s="3" t="s">
        <v>33</v>
      </c>
      <c r="L1034" s="3" t="s">
        <v>34</v>
      </c>
      <c r="M1034" s="8">
        <v>102500</v>
      </c>
      <c r="N1034" s="11"/>
      <c r="O1034" s="3" t="s">
        <v>77</v>
      </c>
      <c r="P1034" s="3" t="s">
        <v>78</v>
      </c>
    </row>
    <row r="1035" spans="1:16" x14ac:dyDescent="0.3">
      <c r="A1035" s="3" t="s">
        <v>66</v>
      </c>
      <c r="B1035" s="3" t="s">
        <v>82</v>
      </c>
      <c r="C1035" s="3" t="s">
        <v>83</v>
      </c>
      <c r="D1035" s="3" t="s">
        <v>30</v>
      </c>
      <c r="E1035" s="3" t="s">
        <v>31</v>
      </c>
      <c r="F1035" s="3" t="b">
        <v>0</v>
      </c>
      <c r="G1035" s="3" t="s">
        <v>84</v>
      </c>
      <c r="H1035" s="6">
        <v>44952.675335648149</v>
      </c>
      <c r="I1035" s="3" t="b">
        <v>0</v>
      </c>
      <c r="J1035" s="3" t="b">
        <v>1</v>
      </c>
      <c r="K1035" s="3" t="s">
        <v>33</v>
      </c>
      <c r="L1035" s="3" t="s">
        <v>34</v>
      </c>
      <c r="M1035" s="8">
        <v>75000</v>
      </c>
      <c r="N1035" s="11"/>
      <c r="O1035" s="3" t="s">
        <v>85</v>
      </c>
      <c r="P1035" s="3" t="s">
        <v>86</v>
      </c>
    </row>
    <row r="1036" spans="1:16" x14ac:dyDescent="0.3">
      <c r="A1036" s="3" t="s">
        <v>66</v>
      </c>
      <c r="B1036" s="3" t="s">
        <v>66</v>
      </c>
      <c r="C1036" s="3" t="s">
        <v>87</v>
      </c>
      <c r="D1036" s="3" t="s">
        <v>30</v>
      </c>
      <c r="E1036" s="3" t="s">
        <v>31</v>
      </c>
      <c r="F1036" s="3" t="b">
        <v>1</v>
      </c>
      <c r="G1036" s="3" t="s">
        <v>88</v>
      </c>
      <c r="H1036" s="6">
        <v>44944.634004629632</v>
      </c>
      <c r="I1036" s="3" t="b">
        <v>1</v>
      </c>
      <c r="J1036" s="3" t="b">
        <v>0</v>
      </c>
      <c r="K1036" s="3" t="s">
        <v>33</v>
      </c>
      <c r="L1036" s="3" t="s">
        <v>34</v>
      </c>
      <c r="M1036" s="8">
        <v>105000</v>
      </c>
      <c r="N1036" s="11"/>
      <c r="O1036" s="3" t="s">
        <v>89</v>
      </c>
      <c r="P1036" s="3" t="s">
        <v>90</v>
      </c>
    </row>
    <row r="1037" spans="1:16" x14ac:dyDescent="0.3">
      <c r="A1037" s="3" t="s">
        <v>66</v>
      </c>
      <c r="B1037" s="3" t="s">
        <v>91</v>
      </c>
      <c r="C1037" s="3" t="s">
        <v>92</v>
      </c>
      <c r="D1037" s="3" t="s">
        <v>93</v>
      </c>
      <c r="E1037" s="3" t="s">
        <v>31</v>
      </c>
      <c r="F1037" s="3" t="b">
        <v>0</v>
      </c>
      <c r="G1037" s="3" t="s">
        <v>64</v>
      </c>
      <c r="H1037" s="6">
        <v>44935.086574074077</v>
      </c>
      <c r="I1037" s="3" t="b">
        <v>0</v>
      </c>
      <c r="J1037" s="3" t="b">
        <v>0</v>
      </c>
      <c r="K1037" s="3" t="s">
        <v>33</v>
      </c>
      <c r="L1037" s="3" t="s">
        <v>34</v>
      </c>
      <c r="M1037" s="8">
        <v>90000</v>
      </c>
      <c r="N1037" s="11"/>
      <c r="O1037" s="3" t="s">
        <v>94</v>
      </c>
      <c r="P1037" s="3" t="s">
        <v>95</v>
      </c>
    </row>
    <row r="1038" spans="1:16" x14ac:dyDescent="0.3">
      <c r="A1038" s="3" t="s">
        <v>66</v>
      </c>
      <c r="B1038" s="3" t="s">
        <v>113</v>
      </c>
      <c r="C1038" s="3" t="s">
        <v>75</v>
      </c>
      <c r="D1038" s="3" t="s">
        <v>30</v>
      </c>
      <c r="E1038" s="3" t="s">
        <v>31</v>
      </c>
      <c r="F1038" s="3" t="b">
        <v>0</v>
      </c>
      <c r="G1038" s="3" t="s">
        <v>110</v>
      </c>
      <c r="H1038" s="6">
        <v>44952.328252314823</v>
      </c>
      <c r="I1038" s="3" t="b">
        <v>0</v>
      </c>
      <c r="J1038" s="3" t="b">
        <v>0</v>
      </c>
      <c r="K1038" s="3" t="s">
        <v>110</v>
      </c>
      <c r="L1038" s="3" t="s">
        <v>34</v>
      </c>
      <c r="M1038" s="8">
        <v>105000</v>
      </c>
      <c r="N1038" s="11"/>
      <c r="O1038" s="3" t="s">
        <v>114</v>
      </c>
      <c r="P1038" s="3" t="s">
        <v>115</v>
      </c>
    </row>
    <row r="1039" spans="1:16" x14ac:dyDescent="0.3">
      <c r="A1039" s="3" t="s">
        <v>66</v>
      </c>
      <c r="B1039" s="3" t="s">
        <v>143</v>
      </c>
      <c r="C1039" s="3" t="s">
        <v>79</v>
      </c>
      <c r="D1039" s="3" t="s">
        <v>76</v>
      </c>
      <c r="E1039" s="3" t="s">
        <v>31</v>
      </c>
      <c r="F1039" s="3" t="b">
        <v>0</v>
      </c>
      <c r="G1039" s="3" t="s">
        <v>140</v>
      </c>
      <c r="H1039" s="6">
        <v>44947.598182870373</v>
      </c>
      <c r="I1039" s="3" t="b">
        <v>1</v>
      </c>
      <c r="J1039" s="3" t="b">
        <v>0</v>
      </c>
      <c r="K1039" s="3" t="s">
        <v>33</v>
      </c>
      <c r="L1039" s="3" t="s">
        <v>34</v>
      </c>
      <c r="M1039" s="8">
        <v>164500</v>
      </c>
      <c r="N1039" s="11"/>
      <c r="O1039" s="3" t="s">
        <v>144</v>
      </c>
      <c r="P1039" s="3" t="s">
        <v>145</v>
      </c>
    </row>
    <row r="1040" spans="1:16" x14ac:dyDescent="0.3">
      <c r="A1040" s="3" t="s">
        <v>66</v>
      </c>
      <c r="B1040" s="3" t="s">
        <v>146</v>
      </c>
      <c r="C1040" s="3" t="s">
        <v>87</v>
      </c>
      <c r="D1040" s="3" t="s">
        <v>30</v>
      </c>
      <c r="E1040" s="3" t="s">
        <v>31</v>
      </c>
      <c r="F1040" s="3" t="b">
        <v>1</v>
      </c>
      <c r="G1040" s="3" t="s">
        <v>58</v>
      </c>
      <c r="H1040" s="6">
        <v>44951.975243055553</v>
      </c>
      <c r="I1040" s="3" t="b">
        <v>0</v>
      </c>
      <c r="J1040" s="3" t="b">
        <v>0</v>
      </c>
      <c r="K1040" s="3" t="s">
        <v>33</v>
      </c>
      <c r="L1040" s="3" t="s">
        <v>34</v>
      </c>
      <c r="M1040" s="8">
        <v>149874</v>
      </c>
      <c r="N1040" s="11"/>
      <c r="O1040" s="3" t="s">
        <v>147</v>
      </c>
      <c r="P1040" s="3" t="s">
        <v>148</v>
      </c>
    </row>
    <row r="1041" spans="1:16" x14ac:dyDescent="0.3">
      <c r="A1041" s="3" t="s">
        <v>66</v>
      </c>
      <c r="B1041" s="3" t="s">
        <v>66</v>
      </c>
      <c r="C1041" s="3" t="s">
        <v>164</v>
      </c>
      <c r="D1041" s="3" t="s">
        <v>30</v>
      </c>
      <c r="E1041" s="3" t="s">
        <v>31</v>
      </c>
      <c r="F1041" s="3" t="b">
        <v>0</v>
      </c>
      <c r="G1041" s="3" t="s">
        <v>58</v>
      </c>
      <c r="H1041" s="6">
        <v>44950.632337962961</v>
      </c>
      <c r="I1041" s="3" t="b">
        <v>0</v>
      </c>
      <c r="J1041" s="3" t="b">
        <v>0</v>
      </c>
      <c r="K1041" s="3" t="s">
        <v>33</v>
      </c>
      <c r="L1041" s="3" t="s">
        <v>34</v>
      </c>
      <c r="M1041" s="8">
        <v>155000</v>
      </c>
      <c r="N1041" s="11"/>
      <c r="O1041" s="3" t="s">
        <v>165</v>
      </c>
      <c r="P1041" s="3" t="s">
        <v>166</v>
      </c>
    </row>
    <row r="1042" spans="1:16" x14ac:dyDescent="0.3">
      <c r="A1042" s="3" t="s">
        <v>66</v>
      </c>
      <c r="B1042" s="3" t="s">
        <v>66</v>
      </c>
      <c r="C1042" s="3" t="s">
        <v>173</v>
      </c>
      <c r="D1042" s="3" t="s">
        <v>174</v>
      </c>
      <c r="E1042" s="3" t="s">
        <v>31</v>
      </c>
      <c r="F1042" s="3" t="b">
        <v>0</v>
      </c>
      <c r="G1042" s="3" t="s">
        <v>140</v>
      </c>
      <c r="H1042" s="6">
        <v>44941.582916666674</v>
      </c>
      <c r="I1042" s="3" t="b">
        <v>0</v>
      </c>
      <c r="J1042" s="3" t="b">
        <v>0</v>
      </c>
      <c r="K1042" s="3" t="s">
        <v>33</v>
      </c>
      <c r="L1042" s="3" t="s">
        <v>34</v>
      </c>
      <c r="M1042" s="8">
        <v>145000</v>
      </c>
      <c r="N1042" s="11"/>
      <c r="O1042" s="3" t="s">
        <v>175</v>
      </c>
      <c r="P1042" s="3" t="s">
        <v>176</v>
      </c>
    </row>
    <row r="1043" spans="1:16" x14ac:dyDescent="0.3">
      <c r="A1043" s="3" t="s">
        <v>66</v>
      </c>
      <c r="B1043" s="3" t="s">
        <v>177</v>
      </c>
      <c r="C1043" s="3" t="s">
        <v>178</v>
      </c>
      <c r="D1043" s="3" t="s">
        <v>41</v>
      </c>
      <c r="E1043" s="3" t="s">
        <v>31</v>
      </c>
      <c r="F1043" s="3" t="b">
        <v>0</v>
      </c>
      <c r="G1043" s="3" t="s">
        <v>32</v>
      </c>
      <c r="H1043" s="6">
        <v>44937.839039351849</v>
      </c>
      <c r="I1043" s="3" t="b">
        <v>0</v>
      </c>
      <c r="J1043" s="3" t="b">
        <v>1</v>
      </c>
      <c r="K1043" s="3" t="s">
        <v>33</v>
      </c>
      <c r="L1043" s="3" t="s">
        <v>34</v>
      </c>
      <c r="M1043" s="8">
        <v>147500</v>
      </c>
      <c r="N1043" s="11"/>
      <c r="O1043" s="3" t="s">
        <v>179</v>
      </c>
      <c r="P1043" s="3" t="s">
        <v>180</v>
      </c>
    </row>
    <row r="1044" spans="1:16" x14ac:dyDescent="0.3">
      <c r="A1044" s="3" t="s">
        <v>66</v>
      </c>
      <c r="B1044" s="3" t="s">
        <v>66</v>
      </c>
      <c r="C1044" s="3" t="s">
        <v>187</v>
      </c>
      <c r="D1044" s="3" t="s">
        <v>188</v>
      </c>
      <c r="E1044" s="3" t="s">
        <v>31</v>
      </c>
      <c r="F1044" s="3" t="b">
        <v>0</v>
      </c>
      <c r="G1044" s="3" t="s">
        <v>140</v>
      </c>
      <c r="H1044" s="6">
        <v>44935.862546296303</v>
      </c>
      <c r="I1044" s="3" t="b">
        <v>1</v>
      </c>
      <c r="J1044" s="3" t="b">
        <v>0</v>
      </c>
      <c r="K1044" s="3" t="s">
        <v>33</v>
      </c>
      <c r="L1044" s="3" t="s">
        <v>34</v>
      </c>
      <c r="M1044" s="8">
        <v>70000</v>
      </c>
      <c r="N1044" s="11"/>
      <c r="O1044" s="3" t="s">
        <v>189</v>
      </c>
      <c r="P1044" s="3" t="s">
        <v>190</v>
      </c>
    </row>
    <row r="1045" spans="1:16" x14ac:dyDescent="0.3">
      <c r="A1045" s="3" t="s">
        <v>66</v>
      </c>
      <c r="B1045" s="3" t="s">
        <v>204</v>
      </c>
      <c r="C1045" s="3" t="s">
        <v>205</v>
      </c>
      <c r="D1045" s="3" t="s">
        <v>30</v>
      </c>
      <c r="E1045" s="3" t="s">
        <v>31</v>
      </c>
      <c r="F1045" s="3" t="b">
        <v>0</v>
      </c>
      <c r="G1045" s="3" t="s">
        <v>110</v>
      </c>
      <c r="H1045" s="6">
        <v>44951.915694444448</v>
      </c>
      <c r="I1045" s="3" t="b">
        <v>0</v>
      </c>
      <c r="J1045" s="3" t="b">
        <v>1</v>
      </c>
      <c r="K1045" s="3" t="s">
        <v>110</v>
      </c>
      <c r="L1045" s="3" t="s">
        <v>34</v>
      </c>
      <c r="M1045" s="8">
        <v>125000</v>
      </c>
      <c r="N1045" s="11"/>
      <c r="O1045" s="3" t="s">
        <v>206</v>
      </c>
      <c r="P1045" s="3" t="s">
        <v>207</v>
      </c>
    </row>
    <row r="1046" spans="1:16" x14ac:dyDescent="0.3">
      <c r="A1046" s="3" t="s">
        <v>66</v>
      </c>
      <c r="B1046" s="3" t="s">
        <v>216</v>
      </c>
      <c r="C1046" s="3" t="s">
        <v>217</v>
      </c>
      <c r="D1046" s="3" t="s">
        <v>30</v>
      </c>
      <c r="E1046" s="3" t="s">
        <v>31</v>
      </c>
      <c r="F1046" s="3" t="b">
        <v>0</v>
      </c>
      <c r="G1046" s="3" t="s">
        <v>84</v>
      </c>
      <c r="H1046" s="6">
        <v>44932.797962962963</v>
      </c>
      <c r="I1046" s="3" t="b">
        <v>0</v>
      </c>
      <c r="J1046" s="3" t="b">
        <v>0</v>
      </c>
      <c r="K1046" s="3" t="s">
        <v>33</v>
      </c>
      <c r="L1046" s="3" t="s">
        <v>34</v>
      </c>
      <c r="M1046" s="8">
        <v>127500</v>
      </c>
      <c r="N1046" s="11"/>
      <c r="O1046" s="3" t="s">
        <v>114</v>
      </c>
      <c r="P1046" s="3" t="s">
        <v>218</v>
      </c>
    </row>
    <row r="1047" spans="1:16" x14ac:dyDescent="0.3">
      <c r="A1047" s="3" t="s">
        <v>66</v>
      </c>
      <c r="B1047" s="3" t="s">
        <v>222</v>
      </c>
      <c r="C1047" s="3" t="s">
        <v>223</v>
      </c>
      <c r="D1047" s="3" t="s">
        <v>53</v>
      </c>
      <c r="E1047" s="3" t="s">
        <v>31</v>
      </c>
      <c r="F1047" s="3" t="b">
        <v>0</v>
      </c>
      <c r="G1047" s="3" t="s">
        <v>110</v>
      </c>
      <c r="H1047" s="6">
        <v>44935.483148148152</v>
      </c>
      <c r="I1047" s="3" t="b">
        <v>0</v>
      </c>
      <c r="J1047" s="3" t="b">
        <v>0</v>
      </c>
      <c r="K1047" s="3" t="s">
        <v>110</v>
      </c>
      <c r="L1047" s="3" t="s">
        <v>34</v>
      </c>
      <c r="M1047" s="8">
        <v>150000</v>
      </c>
      <c r="N1047" s="11"/>
      <c r="O1047" s="3" t="s">
        <v>224</v>
      </c>
      <c r="P1047" s="3" t="s">
        <v>225</v>
      </c>
    </row>
    <row r="1048" spans="1:16" x14ac:dyDescent="0.3">
      <c r="A1048" s="3" t="s">
        <v>66</v>
      </c>
      <c r="B1048" s="3" t="s">
        <v>113</v>
      </c>
      <c r="C1048" s="3" t="s">
        <v>187</v>
      </c>
      <c r="D1048" s="3" t="s">
        <v>30</v>
      </c>
      <c r="E1048" s="3" t="s">
        <v>133</v>
      </c>
      <c r="F1048" s="3" t="b">
        <v>0</v>
      </c>
      <c r="G1048" s="3" t="s">
        <v>58</v>
      </c>
      <c r="H1048" s="6">
        <v>44956.797777777778</v>
      </c>
      <c r="I1048" s="3" t="b">
        <v>0</v>
      </c>
      <c r="J1048" s="3" t="b">
        <v>0</v>
      </c>
      <c r="K1048" s="3" t="s">
        <v>33</v>
      </c>
      <c r="L1048" s="3" t="s">
        <v>48</v>
      </c>
      <c r="M1048" s="8"/>
      <c r="N1048" s="11">
        <v>61.5</v>
      </c>
      <c r="O1048" s="3" t="s">
        <v>114</v>
      </c>
      <c r="P1048" s="3" t="s">
        <v>234</v>
      </c>
    </row>
    <row r="1049" spans="1:16" x14ac:dyDescent="0.3">
      <c r="A1049" s="3" t="s">
        <v>66</v>
      </c>
      <c r="B1049" s="3" t="s">
        <v>66</v>
      </c>
      <c r="C1049" s="3" t="s">
        <v>240</v>
      </c>
      <c r="D1049" s="3" t="s">
        <v>93</v>
      </c>
      <c r="E1049" s="3" t="s">
        <v>31</v>
      </c>
      <c r="F1049" s="3" t="b">
        <v>0</v>
      </c>
      <c r="G1049" s="3" t="s">
        <v>88</v>
      </c>
      <c r="H1049" s="6">
        <v>44928.505671296298</v>
      </c>
      <c r="I1049" s="3" t="b">
        <v>0</v>
      </c>
      <c r="J1049" s="3" t="b">
        <v>0</v>
      </c>
      <c r="K1049" s="3" t="s">
        <v>33</v>
      </c>
      <c r="L1049" s="3" t="s">
        <v>34</v>
      </c>
      <c r="M1049" s="8">
        <v>115000</v>
      </c>
      <c r="N1049" s="11"/>
      <c r="O1049" s="3" t="s">
        <v>241</v>
      </c>
      <c r="P1049" s="3" t="s">
        <v>242</v>
      </c>
    </row>
    <row r="1050" spans="1:16" x14ac:dyDescent="0.3">
      <c r="A1050" s="3" t="s">
        <v>66</v>
      </c>
      <c r="B1050" s="3" t="s">
        <v>250</v>
      </c>
      <c r="C1050" s="3" t="s">
        <v>87</v>
      </c>
      <c r="D1050" s="3" t="s">
        <v>30</v>
      </c>
      <c r="E1050" s="3" t="s">
        <v>31</v>
      </c>
      <c r="F1050" s="3" t="b">
        <v>1</v>
      </c>
      <c r="G1050" s="3" t="s">
        <v>140</v>
      </c>
      <c r="H1050" s="6">
        <v>44951.569363425922</v>
      </c>
      <c r="I1050" s="3" t="b">
        <v>0</v>
      </c>
      <c r="J1050" s="3" t="b">
        <v>1</v>
      </c>
      <c r="K1050" s="3" t="s">
        <v>33</v>
      </c>
      <c r="L1050" s="3" t="s">
        <v>34</v>
      </c>
      <c r="M1050" s="8">
        <v>155000</v>
      </c>
      <c r="N1050" s="11"/>
      <c r="O1050" s="3" t="s">
        <v>251</v>
      </c>
      <c r="P1050" s="3" t="s">
        <v>252</v>
      </c>
    </row>
    <row r="1051" spans="1:16" x14ac:dyDescent="0.3">
      <c r="A1051" s="3" t="s">
        <v>66</v>
      </c>
      <c r="B1051" s="3" t="s">
        <v>253</v>
      </c>
      <c r="C1051" s="3" t="s">
        <v>254</v>
      </c>
      <c r="D1051" s="3" t="s">
        <v>188</v>
      </c>
      <c r="E1051" s="3" t="s">
        <v>31</v>
      </c>
      <c r="F1051" s="3" t="b">
        <v>0</v>
      </c>
      <c r="G1051" s="3" t="s">
        <v>84</v>
      </c>
      <c r="H1051" s="6">
        <v>44936.048020833332</v>
      </c>
      <c r="I1051" s="3" t="b">
        <v>0</v>
      </c>
      <c r="J1051" s="3" t="b">
        <v>1</v>
      </c>
      <c r="K1051" s="3" t="s">
        <v>33</v>
      </c>
      <c r="L1051" s="3" t="s">
        <v>34</v>
      </c>
      <c r="M1051" s="8">
        <v>145000</v>
      </c>
      <c r="N1051" s="11"/>
      <c r="O1051" s="3" t="s">
        <v>255</v>
      </c>
      <c r="P1051" s="3" t="s">
        <v>256</v>
      </c>
    </row>
    <row r="1052" spans="1:16" x14ac:dyDescent="0.3">
      <c r="A1052" s="3" t="s">
        <v>66</v>
      </c>
      <c r="B1052" s="3" t="s">
        <v>269</v>
      </c>
      <c r="C1052" s="3" t="s">
        <v>270</v>
      </c>
      <c r="D1052" s="3" t="s">
        <v>93</v>
      </c>
      <c r="E1052" s="3" t="s">
        <v>31</v>
      </c>
      <c r="F1052" s="3" t="b">
        <v>0</v>
      </c>
      <c r="G1052" s="3" t="s">
        <v>84</v>
      </c>
      <c r="H1052" s="6">
        <v>44931.354224537034</v>
      </c>
      <c r="I1052" s="3" t="b">
        <v>1</v>
      </c>
      <c r="J1052" s="3" t="b">
        <v>0</v>
      </c>
      <c r="K1052" s="3" t="s">
        <v>33</v>
      </c>
      <c r="L1052" s="3" t="s">
        <v>34</v>
      </c>
      <c r="M1052" s="8">
        <v>90000</v>
      </c>
      <c r="N1052" s="11"/>
      <c r="O1052" s="3" t="s">
        <v>271</v>
      </c>
      <c r="P1052" s="3" t="s">
        <v>272</v>
      </c>
    </row>
    <row r="1053" spans="1:16" x14ac:dyDescent="0.3">
      <c r="A1053" s="3" t="s">
        <v>66</v>
      </c>
      <c r="B1053" s="3" t="s">
        <v>279</v>
      </c>
      <c r="C1053" s="3" t="s">
        <v>280</v>
      </c>
      <c r="D1053" s="3" t="s">
        <v>30</v>
      </c>
      <c r="E1053" s="3" t="s">
        <v>31</v>
      </c>
      <c r="F1053" s="3" t="b">
        <v>0</v>
      </c>
      <c r="G1053" s="3" t="s">
        <v>110</v>
      </c>
      <c r="H1053" s="6">
        <v>44936.710451388892</v>
      </c>
      <c r="I1053" s="3" t="b">
        <v>0</v>
      </c>
      <c r="J1053" s="3" t="b">
        <v>0</v>
      </c>
      <c r="K1053" s="3" t="s">
        <v>110</v>
      </c>
      <c r="L1053" s="3" t="s">
        <v>34</v>
      </c>
      <c r="M1053" s="8">
        <v>80000</v>
      </c>
      <c r="N1053" s="11"/>
      <c r="O1053" s="3" t="s">
        <v>281</v>
      </c>
      <c r="P1053" s="3" t="s">
        <v>282</v>
      </c>
    </row>
    <row r="1054" spans="1:16" x14ac:dyDescent="0.3">
      <c r="A1054" s="3" t="s">
        <v>66</v>
      </c>
      <c r="B1054" s="3" t="s">
        <v>66</v>
      </c>
      <c r="C1054" s="3" t="s">
        <v>87</v>
      </c>
      <c r="D1054" s="3" t="s">
        <v>307</v>
      </c>
      <c r="E1054" s="3" t="s">
        <v>31</v>
      </c>
      <c r="F1054" s="3" t="b">
        <v>1</v>
      </c>
      <c r="G1054" s="3" t="s">
        <v>64</v>
      </c>
      <c r="H1054" s="6">
        <v>44935.587939814817</v>
      </c>
      <c r="I1054" s="3" t="b">
        <v>1</v>
      </c>
      <c r="J1054" s="3" t="b">
        <v>0</v>
      </c>
      <c r="K1054" s="3" t="s">
        <v>33</v>
      </c>
      <c r="L1054" s="3" t="s">
        <v>34</v>
      </c>
      <c r="M1054" s="8">
        <v>140000</v>
      </c>
      <c r="N1054" s="11"/>
      <c r="O1054" s="3" t="s">
        <v>114</v>
      </c>
      <c r="P1054" s="3" t="s">
        <v>308</v>
      </c>
    </row>
    <row r="1055" spans="1:16" x14ac:dyDescent="0.3">
      <c r="A1055" s="3" t="s">
        <v>66</v>
      </c>
      <c r="B1055" s="3" t="s">
        <v>66</v>
      </c>
      <c r="C1055" s="3" t="s">
        <v>87</v>
      </c>
      <c r="D1055" s="3" t="s">
        <v>76</v>
      </c>
      <c r="E1055" s="3" t="s">
        <v>31</v>
      </c>
      <c r="F1055" s="3" t="b">
        <v>1</v>
      </c>
      <c r="G1055" s="3" t="s">
        <v>32</v>
      </c>
      <c r="H1055" s="6">
        <v>44957.67087962963</v>
      </c>
      <c r="I1055" s="3" t="b">
        <v>0</v>
      </c>
      <c r="J1055" s="3" t="b">
        <v>0</v>
      </c>
      <c r="K1055" s="3" t="s">
        <v>33</v>
      </c>
      <c r="L1055" s="3" t="s">
        <v>34</v>
      </c>
      <c r="M1055" s="8">
        <v>85000</v>
      </c>
      <c r="N1055" s="11"/>
      <c r="O1055" s="3" t="s">
        <v>312</v>
      </c>
      <c r="P1055" s="3" t="s">
        <v>313</v>
      </c>
    </row>
    <row r="1056" spans="1:16" x14ac:dyDescent="0.3">
      <c r="A1056" s="3" t="s">
        <v>66</v>
      </c>
      <c r="B1056" s="3" t="s">
        <v>66</v>
      </c>
      <c r="C1056" s="3" t="s">
        <v>87</v>
      </c>
      <c r="D1056" s="3" t="s">
        <v>30</v>
      </c>
      <c r="E1056" s="3" t="s">
        <v>31</v>
      </c>
      <c r="F1056" s="3" t="b">
        <v>1</v>
      </c>
      <c r="G1056" s="3" t="s">
        <v>317</v>
      </c>
      <c r="H1056" s="6">
        <v>44950.010266203702</v>
      </c>
      <c r="I1056" s="3" t="b">
        <v>0</v>
      </c>
      <c r="J1056" s="3" t="b">
        <v>0</v>
      </c>
      <c r="K1056" s="3" t="s">
        <v>317</v>
      </c>
      <c r="L1056" s="3" t="s">
        <v>34</v>
      </c>
      <c r="M1056" s="8">
        <v>124000</v>
      </c>
      <c r="N1056" s="11"/>
      <c r="O1056" s="3" t="s">
        <v>318</v>
      </c>
      <c r="P1056" s="3" t="s">
        <v>319</v>
      </c>
    </row>
    <row r="1057" spans="1:16" x14ac:dyDescent="0.3">
      <c r="A1057" s="3" t="s">
        <v>66</v>
      </c>
      <c r="B1057" s="3" t="s">
        <v>332</v>
      </c>
      <c r="C1057" s="3" t="s">
        <v>87</v>
      </c>
      <c r="D1057" s="3" t="s">
        <v>30</v>
      </c>
      <c r="E1057" s="3" t="s">
        <v>31</v>
      </c>
      <c r="F1057" s="3" t="b">
        <v>1</v>
      </c>
      <c r="G1057" s="3" t="s">
        <v>64</v>
      </c>
      <c r="H1057" s="6">
        <v>44930.879976851851</v>
      </c>
      <c r="I1057" s="3" t="b">
        <v>0</v>
      </c>
      <c r="J1057" s="3" t="b">
        <v>0</v>
      </c>
      <c r="K1057" s="3" t="s">
        <v>33</v>
      </c>
      <c r="L1057" s="3" t="s">
        <v>48</v>
      </c>
      <c r="M1057" s="8"/>
      <c r="N1057" s="11">
        <v>85</v>
      </c>
      <c r="O1057" s="3" t="s">
        <v>333</v>
      </c>
      <c r="P1057" s="3" t="s">
        <v>334</v>
      </c>
    </row>
    <row r="1058" spans="1:16" x14ac:dyDescent="0.3">
      <c r="A1058" s="3" t="s">
        <v>66</v>
      </c>
      <c r="B1058" s="3" t="s">
        <v>66</v>
      </c>
      <c r="C1058" s="3" t="s">
        <v>258</v>
      </c>
      <c r="D1058" s="3" t="s">
        <v>30</v>
      </c>
      <c r="E1058" s="3" t="s">
        <v>31</v>
      </c>
      <c r="F1058" s="3" t="b">
        <v>0</v>
      </c>
      <c r="G1058" s="3" t="s">
        <v>32</v>
      </c>
      <c r="H1058" s="6">
        <v>44957.587500000001</v>
      </c>
      <c r="I1058" s="3" t="b">
        <v>0</v>
      </c>
      <c r="J1058" s="3" t="b">
        <v>0</v>
      </c>
      <c r="K1058" s="3" t="s">
        <v>33</v>
      </c>
      <c r="L1058" s="3" t="s">
        <v>34</v>
      </c>
      <c r="M1058" s="8">
        <v>110000</v>
      </c>
      <c r="N1058" s="11"/>
      <c r="O1058" s="3" t="s">
        <v>339</v>
      </c>
      <c r="P1058" s="3" t="s">
        <v>340</v>
      </c>
    </row>
    <row r="1059" spans="1:16" x14ac:dyDescent="0.3">
      <c r="A1059" s="3" t="s">
        <v>66</v>
      </c>
      <c r="B1059" s="3" t="s">
        <v>343</v>
      </c>
      <c r="C1059" s="3" t="s">
        <v>87</v>
      </c>
      <c r="D1059" s="3" t="s">
        <v>30</v>
      </c>
      <c r="E1059" s="3" t="s">
        <v>31</v>
      </c>
      <c r="F1059" s="3" t="b">
        <v>1</v>
      </c>
      <c r="G1059" s="3" t="s">
        <v>84</v>
      </c>
      <c r="H1059" s="6">
        <v>44952.925127314818</v>
      </c>
      <c r="I1059" s="3" t="b">
        <v>0</v>
      </c>
      <c r="J1059" s="3" t="b">
        <v>1</v>
      </c>
      <c r="K1059" s="3" t="s">
        <v>33</v>
      </c>
      <c r="L1059" s="3" t="s">
        <v>34</v>
      </c>
      <c r="M1059" s="8">
        <v>165000</v>
      </c>
      <c r="N1059" s="11"/>
      <c r="O1059" s="3" t="s">
        <v>344</v>
      </c>
      <c r="P1059" s="3" t="s">
        <v>345</v>
      </c>
    </row>
    <row r="1060" spans="1:16" x14ac:dyDescent="0.3">
      <c r="A1060" s="3" t="s">
        <v>66</v>
      </c>
      <c r="B1060" s="3" t="s">
        <v>346</v>
      </c>
      <c r="C1060" s="3" t="s">
        <v>87</v>
      </c>
      <c r="D1060" s="3" t="s">
        <v>263</v>
      </c>
      <c r="E1060" s="3" t="s">
        <v>133</v>
      </c>
      <c r="F1060" s="3" t="b">
        <v>1</v>
      </c>
      <c r="G1060" s="3" t="s">
        <v>32</v>
      </c>
      <c r="H1060" s="6">
        <v>44932.186249999999</v>
      </c>
      <c r="I1060" s="3" t="b">
        <v>1</v>
      </c>
      <c r="J1060" s="3" t="b">
        <v>0</v>
      </c>
      <c r="K1060" s="3" t="s">
        <v>33</v>
      </c>
      <c r="L1060" s="3" t="s">
        <v>48</v>
      </c>
      <c r="M1060" s="8"/>
      <c r="N1060" s="11">
        <v>60</v>
      </c>
      <c r="O1060" s="3" t="s">
        <v>264</v>
      </c>
      <c r="P1060" s="3" t="s">
        <v>347</v>
      </c>
    </row>
    <row r="1061" spans="1:16" x14ac:dyDescent="0.3">
      <c r="A1061" s="3" t="s">
        <v>66</v>
      </c>
      <c r="B1061" s="3" t="s">
        <v>348</v>
      </c>
      <c r="C1061" s="3" t="s">
        <v>349</v>
      </c>
      <c r="D1061" s="3" t="s">
        <v>350</v>
      </c>
      <c r="E1061" s="3" t="s">
        <v>31</v>
      </c>
      <c r="F1061" s="3" t="b">
        <v>0</v>
      </c>
      <c r="G1061" s="3" t="s">
        <v>88</v>
      </c>
      <c r="H1061" s="6">
        <v>44928.63071759259</v>
      </c>
      <c r="I1061" s="3" t="b">
        <v>0</v>
      </c>
      <c r="J1061" s="3" t="b">
        <v>1</v>
      </c>
      <c r="K1061" s="3" t="s">
        <v>33</v>
      </c>
      <c r="L1061" s="3" t="s">
        <v>34</v>
      </c>
      <c r="M1061" s="8">
        <v>123600</v>
      </c>
      <c r="N1061" s="11"/>
      <c r="O1061" s="3" t="s">
        <v>351</v>
      </c>
      <c r="P1061" s="3" t="s">
        <v>352</v>
      </c>
    </row>
    <row r="1062" spans="1:16" x14ac:dyDescent="0.3">
      <c r="A1062" s="3" t="s">
        <v>66</v>
      </c>
      <c r="B1062" s="3" t="s">
        <v>66</v>
      </c>
      <c r="C1062" s="3" t="s">
        <v>358</v>
      </c>
      <c r="D1062" s="3" t="s">
        <v>41</v>
      </c>
      <c r="E1062" s="3" t="s">
        <v>31</v>
      </c>
      <c r="F1062" s="3" t="b">
        <v>0</v>
      </c>
      <c r="G1062" s="3" t="s">
        <v>359</v>
      </c>
      <c r="H1062" s="6">
        <v>44937.245046296302</v>
      </c>
      <c r="I1062" s="3" t="b">
        <v>0</v>
      </c>
      <c r="J1062" s="3" t="b">
        <v>0</v>
      </c>
      <c r="K1062" s="3" t="s">
        <v>359</v>
      </c>
      <c r="L1062" s="3" t="s">
        <v>34</v>
      </c>
      <c r="M1062" s="8">
        <v>147500</v>
      </c>
      <c r="N1062" s="11"/>
      <c r="O1062" s="3" t="s">
        <v>360</v>
      </c>
      <c r="P1062" s="3" t="s">
        <v>361</v>
      </c>
    </row>
    <row r="1063" spans="1:16" x14ac:dyDescent="0.3">
      <c r="A1063" s="3" t="s">
        <v>66</v>
      </c>
      <c r="B1063" s="3" t="s">
        <v>343</v>
      </c>
      <c r="C1063" s="3" t="s">
        <v>384</v>
      </c>
      <c r="D1063" s="3" t="s">
        <v>370</v>
      </c>
      <c r="E1063" s="3" t="s">
        <v>31</v>
      </c>
      <c r="F1063" s="3" t="b">
        <v>0</v>
      </c>
      <c r="G1063" s="3" t="s">
        <v>84</v>
      </c>
      <c r="H1063" s="6">
        <v>44953.674699074072</v>
      </c>
      <c r="I1063" s="3" t="b">
        <v>0</v>
      </c>
      <c r="J1063" s="3" t="b">
        <v>1</v>
      </c>
      <c r="K1063" s="3" t="s">
        <v>33</v>
      </c>
      <c r="L1063" s="3" t="s">
        <v>34</v>
      </c>
      <c r="M1063" s="8">
        <v>208114</v>
      </c>
      <c r="N1063" s="11"/>
      <c r="O1063" s="3" t="s">
        <v>238</v>
      </c>
      <c r="P1063" s="3" t="s">
        <v>239</v>
      </c>
    </row>
    <row r="1064" spans="1:16" x14ac:dyDescent="0.3">
      <c r="A1064" s="3" t="s">
        <v>66</v>
      </c>
      <c r="B1064" s="3" t="s">
        <v>395</v>
      </c>
      <c r="C1064" s="3" t="s">
        <v>396</v>
      </c>
      <c r="D1064" s="3" t="s">
        <v>93</v>
      </c>
      <c r="E1064" s="3" t="s">
        <v>31</v>
      </c>
      <c r="F1064" s="3" t="b">
        <v>0</v>
      </c>
      <c r="G1064" s="3" t="s">
        <v>32</v>
      </c>
      <c r="H1064" s="6">
        <v>44945.268379629633</v>
      </c>
      <c r="I1064" s="3" t="b">
        <v>0</v>
      </c>
      <c r="J1064" s="3" t="b">
        <v>0</v>
      </c>
      <c r="K1064" s="3" t="s">
        <v>33</v>
      </c>
      <c r="L1064" s="3" t="s">
        <v>34</v>
      </c>
      <c r="M1064" s="8">
        <v>175000</v>
      </c>
      <c r="N1064" s="11"/>
      <c r="O1064" s="3" t="s">
        <v>397</v>
      </c>
      <c r="P1064" s="3" t="s">
        <v>398</v>
      </c>
    </row>
    <row r="1065" spans="1:16" x14ac:dyDescent="0.3">
      <c r="A1065" s="3" t="s">
        <v>66</v>
      </c>
      <c r="B1065" s="3" t="s">
        <v>66</v>
      </c>
      <c r="C1065" s="3" t="s">
        <v>164</v>
      </c>
      <c r="D1065" s="3" t="s">
        <v>188</v>
      </c>
      <c r="E1065" s="3" t="s">
        <v>31</v>
      </c>
      <c r="F1065" s="3" t="b">
        <v>0</v>
      </c>
      <c r="G1065" s="3" t="s">
        <v>32</v>
      </c>
      <c r="H1065" s="6">
        <v>44929.733865740738</v>
      </c>
      <c r="I1065" s="3" t="b">
        <v>1</v>
      </c>
      <c r="J1065" s="3" t="b">
        <v>0</v>
      </c>
      <c r="K1065" s="3" t="s">
        <v>33</v>
      </c>
      <c r="L1065" s="3" t="s">
        <v>34</v>
      </c>
      <c r="M1065" s="8">
        <v>160000</v>
      </c>
      <c r="N1065" s="11"/>
      <c r="O1065" s="3" t="s">
        <v>410</v>
      </c>
      <c r="P1065" s="3" t="s">
        <v>411</v>
      </c>
    </row>
    <row r="1066" spans="1:16" x14ac:dyDescent="0.3">
      <c r="A1066" s="3" t="s">
        <v>66</v>
      </c>
      <c r="B1066" s="3" t="s">
        <v>412</v>
      </c>
      <c r="C1066" s="3" t="s">
        <v>413</v>
      </c>
      <c r="D1066" s="3" t="s">
        <v>41</v>
      </c>
      <c r="E1066" s="3" t="s">
        <v>31</v>
      </c>
      <c r="F1066" s="3" t="b">
        <v>0</v>
      </c>
      <c r="G1066" s="3" t="s">
        <v>407</v>
      </c>
      <c r="H1066" s="6">
        <v>44947.299097222232</v>
      </c>
      <c r="I1066" s="3" t="b">
        <v>0</v>
      </c>
      <c r="J1066" s="3" t="b">
        <v>0</v>
      </c>
      <c r="K1066" s="3" t="s">
        <v>407</v>
      </c>
      <c r="L1066" s="3" t="s">
        <v>34</v>
      </c>
      <c r="M1066" s="8">
        <v>165000</v>
      </c>
      <c r="N1066" s="11"/>
      <c r="O1066" s="3" t="s">
        <v>414</v>
      </c>
      <c r="P1066" s="3" t="s">
        <v>415</v>
      </c>
    </row>
    <row r="1067" spans="1:16" x14ac:dyDescent="0.3">
      <c r="A1067" s="3" t="s">
        <v>66</v>
      </c>
      <c r="B1067" s="3" t="s">
        <v>416</v>
      </c>
      <c r="C1067" s="3" t="s">
        <v>417</v>
      </c>
      <c r="D1067" s="3" t="s">
        <v>350</v>
      </c>
      <c r="E1067" s="3" t="s">
        <v>31</v>
      </c>
      <c r="F1067" s="3" t="b">
        <v>0</v>
      </c>
      <c r="G1067" s="3" t="s">
        <v>84</v>
      </c>
      <c r="H1067" s="6">
        <v>44937.840810185182</v>
      </c>
      <c r="I1067" s="3" t="b">
        <v>1</v>
      </c>
      <c r="J1067" s="3" t="b">
        <v>1</v>
      </c>
      <c r="K1067" s="3" t="s">
        <v>33</v>
      </c>
      <c r="L1067" s="3" t="s">
        <v>34</v>
      </c>
      <c r="M1067" s="8">
        <v>127500</v>
      </c>
      <c r="N1067" s="11"/>
      <c r="O1067" s="3" t="s">
        <v>418</v>
      </c>
      <c r="P1067" s="3" t="s">
        <v>419</v>
      </c>
    </row>
    <row r="1068" spans="1:16" x14ac:dyDescent="0.3">
      <c r="A1068" s="3" t="s">
        <v>66</v>
      </c>
      <c r="B1068" s="3" t="s">
        <v>422</v>
      </c>
      <c r="C1068" s="3" t="s">
        <v>362</v>
      </c>
      <c r="D1068" s="3" t="s">
        <v>76</v>
      </c>
      <c r="E1068" s="3" t="s">
        <v>31</v>
      </c>
      <c r="F1068" s="3" t="b">
        <v>0</v>
      </c>
      <c r="G1068" s="3" t="s">
        <v>64</v>
      </c>
      <c r="H1068" s="6">
        <v>44929.900034722217</v>
      </c>
      <c r="I1068" s="3" t="b">
        <v>1</v>
      </c>
      <c r="J1068" s="3" t="b">
        <v>1</v>
      </c>
      <c r="K1068" s="3" t="s">
        <v>33</v>
      </c>
      <c r="L1068" s="3" t="s">
        <v>34</v>
      </c>
      <c r="M1068" s="8">
        <v>160000</v>
      </c>
      <c r="N1068" s="11"/>
      <c r="O1068" s="3" t="s">
        <v>423</v>
      </c>
      <c r="P1068" s="3" t="s">
        <v>424</v>
      </c>
    </row>
    <row r="1069" spans="1:16" x14ac:dyDescent="0.3">
      <c r="A1069" s="3" t="s">
        <v>66</v>
      </c>
      <c r="B1069" s="3" t="s">
        <v>425</v>
      </c>
      <c r="C1069" s="3" t="s">
        <v>87</v>
      </c>
      <c r="D1069" s="3" t="s">
        <v>188</v>
      </c>
      <c r="E1069" s="3" t="s">
        <v>133</v>
      </c>
      <c r="F1069" s="3" t="b">
        <v>1</v>
      </c>
      <c r="G1069" s="3" t="s">
        <v>140</v>
      </c>
      <c r="H1069" s="6">
        <v>44935.737673611111</v>
      </c>
      <c r="I1069" s="3" t="b">
        <v>0</v>
      </c>
      <c r="J1069" s="3" t="b">
        <v>0</v>
      </c>
      <c r="K1069" s="3" t="s">
        <v>33</v>
      </c>
      <c r="L1069" s="3" t="s">
        <v>48</v>
      </c>
      <c r="M1069" s="8"/>
      <c r="N1069" s="11">
        <v>64</v>
      </c>
      <c r="O1069" s="3" t="s">
        <v>426</v>
      </c>
      <c r="P1069" s="3" t="s">
        <v>427</v>
      </c>
    </row>
    <row r="1070" spans="1:16" x14ac:dyDescent="0.3">
      <c r="A1070" s="3" t="s">
        <v>66</v>
      </c>
      <c r="B1070" s="3" t="s">
        <v>434</v>
      </c>
      <c r="C1070" s="3" t="s">
        <v>435</v>
      </c>
      <c r="D1070" s="3" t="s">
        <v>41</v>
      </c>
      <c r="E1070" s="3" t="s">
        <v>133</v>
      </c>
      <c r="F1070" s="3" t="b">
        <v>0</v>
      </c>
      <c r="G1070" s="3" t="s">
        <v>436</v>
      </c>
      <c r="H1070" s="6">
        <v>44956.674490740741</v>
      </c>
      <c r="I1070" s="3" t="b">
        <v>0</v>
      </c>
      <c r="J1070" s="3" t="b">
        <v>0</v>
      </c>
      <c r="K1070" s="3" t="s">
        <v>436</v>
      </c>
      <c r="L1070" s="3" t="s">
        <v>34</v>
      </c>
      <c r="M1070" s="8">
        <v>147500</v>
      </c>
      <c r="N1070" s="11"/>
      <c r="O1070" s="3" t="s">
        <v>179</v>
      </c>
      <c r="P1070" s="3" t="s">
        <v>437</v>
      </c>
    </row>
    <row r="1071" spans="1:16" x14ac:dyDescent="0.3">
      <c r="A1071" s="3" t="s">
        <v>66</v>
      </c>
      <c r="B1071" s="3" t="s">
        <v>66</v>
      </c>
      <c r="C1071" s="3" t="s">
        <v>33</v>
      </c>
      <c r="D1071" s="3" t="s">
        <v>350</v>
      </c>
      <c r="E1071" s="3" t="s">
        <v>31</v>
      </c>
      <c r="F1071" s="3" t="b">
        <v>0</v>
      </c>
      <c r="G1071" s="3" t="s">
        <v>32</v>
      </c>
      <c r="H1071" s="6">
        <v>44955.588831018518</v>
      </c>
      <c r="I1071" s="3" t="b">
        <v>1</v>
      </c>
      <c r="J1071" s="3" t="b">
        <v>1</v>
      </c>
      <c r="K1071" s="3" t="s">
        <v>33</v>
      </c>
      <c r="L1071" s="3" t="s">
        <v>34</v>
      </c>
      <c r="M1071" s="8">
        <v>125000</v>
      </c>
      <c r="N1071" s="11"/>
      <c r="O1071" s="3" t="s">
        <v>440</v>
      </c>
      <c r="P1071" s="3" t="s">
        <v>441</v>
      </c>
    </row>
    <row r="1072" spans="1:16" x14ac:dyDescent="0.3">
      <c r="A1072" s="3" t="s">
        <v>66</v>
      </c>
      <c r="B1072" s="3" t="s">
        <v>66</v>
      </c>
      <c r="C1072" s="3" t="s">
        <v>454</v>
      </c>
      <c r="D1072" s="3" t="s">
        <v>41</v>
      </c>
      <c r="E1072" s="3" t="s">
        <v>31</v>
      </c>
      <c r="F1072" s="3" t="b">
        <v>0</v>
      </c>
      <c r="G1072" s="3" t="s">
        <v>455</v>
      </c>
      <c r="H1072" s="6">
        <v>44929.019826388889</v>
      </c>
      <c r="I1072" s="3" t="b">
        <v>0</v>
      </c>
      <c r="J1072" s="3" t="b">
        <v>0</v>
      </c>
      <c r="K1072" s="3" t="s">
        <v>455</v>
      </c>
      <c r="L1072" s="3" t="s">
        <v>34</v>
      </c>
      <c r="M1072" s="8">
        <v>98301.5</v>
      </c>
      <c r="N1072" s="11"/>
      <c r="O1072" s="3" t="s">
        <v>456</v>
      </c>
      <c r="P1072" s="3" t="s">
        <v>457</v>
      </c>
    </row>
    <row r="1073" spans="1:16" x14ac:dyDescent="0.3">
      <c r="A1073" s="3" t="s">
        <v>66</v>
      </c>
      <c r="B1073" s="3" t="s">
        <v>467</v>
      </c>
      <c r="C1073" s="3" t="s">
        <v>57</v>
      </c>
      <c r="D1073" s="3" t="s">
        <v>188</v>
      </c>
      <c r="E1073" s="3" t="s">
        <v>31</v>
      </c>
      <c r="F1073" s="3" t="b">
        <v>0</v>
      </c>
      <c r="G1073" s="3" t="s">
        <v>84</v>
      </c>
      <c r="H1073" s="6">
        <v>44953.716400462959</v>
      </c>
      <c r="I1073" s="3" t="b">
        <v>1</v>
      </c>
      <c r="J1073" s="3" t="b">
        <v>0</v>
      </c>
      <c r="K1073" s="3" t="s">
        <v>33</v>
      </c>
      <c r="L1073" s="3" t="s">
        <v>34</v>
      </c>
      <c r="M1073" s="8">
        <v>90000</v>
      </c>
      <c r="N1073" s="11"/>
      <c r="O1073" s="3" t="s">
        <v>468</v>
      </c>
      <c r="P1073" s="3" t="s">
        <v>469</v>
      </c>
    </row>
    <row r="1074" spans="1:16" x14ac:dyDescent="0.3">
      <c r="A1074" s="3" t="s">
        <v>66</v>
      </c>
      <c r="B1074" s="3" t="s">
        <v>66</v>
      </c>
      <c r="C1074" s="3" t="s">
        <v>33</v>
      </c>
      <c r="D1074" s="3" t="s">
        <v>30</v>
      </c>
      <c r="E1074" s="3" t="s">
        <v>31</v>
      </c>
      <c r="F1074" s="3" t="b">
        <v>0</v>
      </c>
      <c r="G1074" s="3" t="s">
        <v>58</v>
      </c>
      <c r="H1074" s="6">
        <v>44932.838831018518</v>
      </c>
      <c r="I1074" s="3" t="b">
        <v>0</v>
      </c>
      <c r="J1074" s="3" t="b">
        <v>1</v>
      </c>
      <c r="K1074" s="3" t="s">
        <v>33</v>
      </c>
      <c r="L1074" s="3" t="s">
        <v>34</v>
      </c>
      <c r="M1074" s="8">
        <v>102500</v>
      </c>
      <c r="N1074" s="11"/>
      <c r="O1074" s="3" t="s">
        <v>114</v>
      </c>
      <c r="P1074" s="3" t="s">
        <v>470</v>
      </c>
    </row>
    <row r="1075" spans="1:16" x14ac:dyDescent="0.3">
      <c r="A1075" s="3" t="s">
        <v>66</v>
      </c>
      <c r="B1075" s="3" t="s">
        <v>471</v>
      </c>
      <c r="C1075" s="3" t="s">
        <v>472</v>
      </c>
      <c r="D1075" s="3" t="s">
        <v>30</v>
      </c>
      <c r="E1075" s="3" t="s">
        <v>31</v>
      </c>
      <c r="F1075" s="3" t="b">
        <v>0</v>
      </c>
      <c r="G1075" s="3" t="s">
        <v>88</v>
      </c>
      <c r="H1075" s="6">
        <v>44930.652777777781</v>
      </c>
      <c r="I1075" s="3" t="b">
        <v>0</v>
      </c>
      <c r="J1075" s="3" t="b">
        <v>1</v>
      </c>
      <c r="K1075" s="3" t="s">
        <v>33</v>
      </c>
      <c r="L1075" s="3" t="s">
        <v>34</v>
      </c>
      <c r="M1075" s="8">
        <v>120000</v>
      </c>
      <c r="N1075" s="11"/>
      <c r="O1075" s="3" t="s">
        <v>473</v>
      </c>
      <c r="P1075" s="3" t="s">
        <v>474</v>
      </c>
    </row>
    <row r="1076" spans="1:16" x14ac:dyDescent="0.3">
      <c r="A1076" s="3" t="s">
        <v>66</v>
      </c>
      <c r="B1076" s="3" t="s">
        <v>484</v>
      </c>
      <c r="C1076" s="3" t="s">
        <v>87</v>
      </c>
      <c r="D1076" s="3" t="s">
        <v>30</v>
      </c>
      <c r="E1076" s="3" t="s">
        <v>31</v>
      </c>
      <c r="F1076" s="3" t="b">
        <v>1</v>
      </c>
      <c r="G1076" s="3" t="s">
        <v>140</v>
      </c>
      <c r="H1076" s="6">
        <v>44935.695787037039</v>
      </c>
      <c r="I1076" s="3" t="b">
        <v>0</v>
      </c>
      <c r="J1076" s="3" t="b">
        <v>1</v>
      </c>
      <c r="K1076" s="3" t="s">
        <v>33</v>
      </c>
      <c r="L1076" s="3" t="s">
        <v>34</v>
      </c>
      <c r="M1076" s="8">
        <v>120000</v>
      </c>
      <c r="N1076" s="11"/>
      <c r="O1076" s="3" t="s">
        <v>485</v>
      </c>
      <c r="P1076" s="3" t="s">
        <v>486</v>
      </c>
    </row>
    <row r="1077" spans="1:16" x14ac:dyDescent="0.3">
      <c r="A1077" s="3" t="s">
        <v>66</v>
      </c>
      <c r="B1077" s="3" t="s">
        <v>143</v>
      </c>
      <c r="C1077" s="3" t="s">
        <v>487</v>
      </c>
      <c r="D1077" s="3" t="s">
        <v>76</v>
      </c>
      <c r="E1077" s="3" t="s">
        <v>31</v>
      </c>
      <c r="F1077" s="3" t="b">
        <v>0</v>
      </c>
      <c r="G1077" s="3" t="s">
        <v>32</v>
      </c>
      <c r="H1077" s="6">
        <v>44946.978530092587</v>
      </c>
      <c r="I1077" s="3" t="b">
        <v>0</v>
      </c>
      <c r="J1077" s="3" t="b">
        <v>0</v>
      </c>
      <c r="K1077" s="3" t="s">
        <v>33</v>
      </c>
      <c r="L1077" s="3" t="s">
        <v>34</v>
      </c>
      <c r="M1077" s="8">
        <v>160060.234375</v>
      </c>
      <c r="N1077" s="11"/>
      <c r="O1077" s="3" t="s">
        <v>488</v>
      </c>
      <c r="P1077" s="3" t="s">
        <v>489</v>
      </c>
    </row>
    <row r="1078" spans="1:16" x14ac:dyDescent="0.3">
      <c r="A1078" s="3" t="s">
        <v>66</v>
      </c>
      <c r="B1078" s="3" t="s">
        <v>494</v>
      </c>
      <c r="C1078" s="3" t="s">
        <v>495</v>
      </c>
      <c r="D1078" s="3" t="s">
        <v>93</v>
      </c>
      <c r="E1078" s="3" t="s">
        <v>31</v>
      </c>
      <c r="F1078" s="3" t="b">
        <v>0</v>
      </c>
      <c r="G1078" s="3" t="s">
        <v>64</v>
      </c>
      <c r="H1078" s="6">
        <v>44943.546793981477</v>
      </c>
      <c r="I1078" s="3" t="b">
        <v>0</v>
      </c>
      <c r="J1078" s="3" t="b">
        <v>0</v>
      </c>
      <c r="K1078" s="3" t="s">
        <v>33</v>
      </c>
      <c r="L1078" s="3" t="s">
        <v>34</v>
      </c>
      <c r="M1078" s="8">
        <v>90000</v>
      </c>
      <c r="N1078" s="11"/>
      <c r="O1078" s="3" t="s">
        <v>496</v>
      </c>
      <c r="P1078" s="3" t="s">
        <v>497</v>
      </c>
    </row>
    <row r="1079" spans="1:16" x14ac:dyDescent="0.3">
      <c r="A1079" s="3" t="s">
        <v>66</v>
      </c>
      <c r="B1079" s="3" t="s">
        <v>503</v>
      </c>
      <c r="C1079" s="3" t="s">
        <v>504</v>
      </c>
      <c r="D1079" s="3" t="s">
        <v>41</v>
      </c>
      <c r="E1079" s="3" t="s">
        <v>31</v>
      </c>
      <c r="F1079" s="3" t="b">
        <v>0</v>
      </c>
      <c r="G1079" s="3" t="s">
        <v>505</v>
      </c>
      <c r="H1079" s="6">
        <v>44936.401666666658</v>
      </c>
      <c r="I1079" s="3" t="b">
        <v>0</v>
      </c>
      <c r="J1079" s="3" t="b">
        <v>0</v>
      </c>
      <c r="K1079" s="3" t="s">
        <v>505</v>
      </c>
      <c r="L1079" s="3" t="s">
        <v>34</v>
      </c>
      <c r="M1079" s="8">
        <v>147500</v>
      </c>
      <c r="N1079" s="11"/>
      <c r="O1079" s="3" t="s">
        <v>360</v>
      </c>
      <c r="P1079" s="3" t="s">
        <v>506</v>
      </c>
    </row>
    <row r="1080" spans="1:16" x14ac:dyDescent="0.3">
      <c r="A1080" s="3" t="s">
        <v>66</v>
      </c>
      <c r="B1080" s="3" t="s">
        <v>66</v>
      </c>
      <c r="C1080" s="3" t="s">
        <v>33</v>
      </c>
      <c r="D1080" s="3" t="s">
        <v>30</v>
      </c>
      <c r="E1080" s="3" t="s">
        <v>31</v>
      </c>
      <c r="F1080" s="3" t="b">
        <v>0</v>
      </c>
      <c r="G1080" s="3" t="s">
        <v>140</v>
      </c>
      <c r="H1080" s="6">
        <v>44935.320625</v>
      </c>
      <c r="I1080" s="3" t="b">
        <v>0</v>
      </c>
      <c r="J1080" s="3" t="b">
        <v>0</v>
      </c>
      <c r="K1080" s="3" t="s">
        <v>33</v>
      </c>
      <c r="L1080" s="3" t="s">
        <v>34</v>
      </c>
      <c r="M1080" s="8">
        <v>127500</v>
      </c>
      <c r="N1080" s="11"/>
      <c r="O1080" s="3" t="s">
        <v>511</v>
      </c>
      <c r="P1080" s="3" t="s">
        <v>512</v>
      </c>
    </row>
    <row r="1081" spans="1:16" x14ac:dyDescent="0.3">
      <c r="A1081" s="3" t="s">
        <v>66</v>
      </c>
      <c r="B1081" s="3" t="s">
        <v>516</v>
      </c>
      <c r="C1081" s="3" t="s">
        <v>75</v>
      </c>
      <c r="D1081" s="3" t="s">
        <v>93</v>
      </c>
      <c r="E1081" s="3" t="s">
        <v>31</v>
      </c>
      <c r="F1081" s="3" t="b">
        <v>0</v>
      </c>
      <c r="G1081" s="3" t="s">
        <v>84</v>
      </c>
      <c r="H1081" s="6">
        <v>44950.299131944441</v>
      </c>
      <c r="I1081" s="3" t="b">
        <v>0</v>
      </c>
      <c r="J1081" s="3" t="b">
        <v>1</v>
      </c>
      <c r="K1081" s="3" t="s">
        <v>33</v>
      </c>
      <c r="L1081" s="3" t="s">
        <v>34</v>
      </c>
      <c r="M1081" s="8">
        <v>90000</v>
      </c>
      <c r="N1081" s="11"/>
      <c r="O1081" s="3" t="s">
        <v>517</v>
      </c>
      <c r="P1081" s="3" t="s">
        <v>518</v>
      </c>
    </row>
    <row r="1082" spans="1:16" x14ac:dyDescent="0.3">
      <c r="A1082" s="3" t="s">
        <v>66</v>
      </c>
      <c r="B1082" s="3" t="s">
        <v>66</v>
      </c>
      <c r="C1082" s="3" t="s">
        <v>223</v>
      </c>
      <c r="D1082" s="3" t="s">
        <v>53</v>
      </c>
      <c r="E1082" s="3" t="s">
        <v>31</v>
      </c>
      <c r="F1082" s="3" t="b">
        <v>0</v>
      </c>
      <c r="G1082" s="3" t="s">
        <v>64</v>
      </c>
      <c r="H1082" s="6">
        <v>44946.47729166667</v>
      </c>
      <c r="I1082" s="3" t="b">
        <v>1</v>
      </c>
      <c r="J1082" s="3" t="b">
        <v>0</v>
      </c>
      <c r="K1082" s="3" t="s">
        <v>33</v>
      </c>
      <c r="L1082" s="3" t="s">
        <v>34</v>
      </c>
      <c r="M1082" s="8">
        <v>96500</v>
      </c>
      <c r="N1082" s="11"/>
      <c r="O1082" s="3" t="s">
        <v>224</v>
      </c>
      <c r="P1082" s="3" t="s">
        <v>524</v>
      </c>
    </row>
    <row r="1083" spans="1:16" x14ac:dyDescent="0.3">
      <c r="A1083" s="3" t="s">
        <v>66</v>
      </c>
      <c r="B1083" s="3" t="s">
        <v>528</v>
      </c>
      <c r="C1083" s="3" t="s">
        <v>87</v>
      </c>
      <c r="D1083" s="3" t="s">
        <v>53</v>
      </c>
      <c r="E1083" s="3" t="s">
        <v>31</v>
      </c>
      <c r="F1083" s="3" t="b">
        <v>1</v>
      </c>
      <c r="G1083" s="3" t="s">
        <v>110</v>
      </c>
      <c r="H1083" s="6">
        <v>44957.13</v>
      </c>
      <c r="I1083" s="3" t="b">
        <v>0</v>
      </c>
      <c r="J1083" s="3" t="b">
        <v>1</v>
      </c>
      <c r="K1083" s="3" t="s">
        <v>110</v>
      </c>
      <c r="L1083" s="3" t="s">
        <v>34</v>
      </c>
      <c r="M1083" s="8">
        <v>112500</v>
      </c>
      <c r="N1083" s="11"/>
      <c r="O1083" s="3" t="s">
        <v>529</v>
      </c>
      <c r="P1083" s="3" t="s">
        <v>530</v>
      </c>
    </row>
    <row r="1084" spans="1:16" x14ac:dyDescent="0.3">
      <c r="A1084" s="3" t="s">
        <v>66</v>
      </c>
      <c r="B1084" s="3" t="s">
        <v>66</v>
      </c>
      <c r="C1084" s="3" t="s">
        <v>531</v>
      </c>
      <c r="D1084" s="3" t="s">
        <v>41</v>
      </c>
      <c r="E1084" s="3" t="s">
        <v>31</v>
      </c>
      <c r="F1084" s="3" t="b">
        <v>0</v>
      </c>
      <c r="G1084" s="3" t="s">
        <v>532</v>
      </c>
      <c r="H1084" s="6">
        <v>44933.262465277781</v>
      </c>
      <c r="I1084" s="3" t="b">
        <v>0</v>
      </c>
      <c r="J1084" s="3" t="b">
        <v>0</v>
      </c>
      <c r="K1084" s="3" t="s">
        <v>532</v>
      </c>
      <c r="L1084" s="3" t="s">
        <v>34</v>
      </c>
      <c r="M1084" s="8">
        <v>98301.5</v>
      </c>
      <c r="N1084" s="11"/>
      <c r="O1084" s="3" t="s">
        <v>533</v>
      </c>
      <c r="P1084" s="3" t="s">
        <v>534</v>
      </c>
    </row>
    <row r="1085" spans="1:16" x14ac:dyDescent="0.3">
      <c r="A1085" s="3" t="s">
        <v>66</v>
      </c>
      <c r="B1085" s="3" t="s">
        <v>543</v>
      </c>
      <c r="C1085" s="3" t="s">
        <v>544</v>
      </c>
      <c r="D1085" s="3" t="s">
        <v>93</v>
      </c>
      <c r="E1085" s="3" t="s">
        <v>31</v>
      </c>
      <c r="F1085" s="3" t="b">
        <v>0</v>
      </c>
      <c r="G1085" s="3" t="s">
        <v>64</v>
      </c>
      <c r="H1085" s="6">
        <v>44928.462187500001</v>
      </c>
      <c r="I1085" s="3" t="b">
        <v>0</v>
      </c>
      <c r="J1085" s="3" t="b">
        <v>0</v>
      </c>
      <c r="K1085" s="3" t="s">
        <v>33</v>
      </c>
      <c r="L1085" s="3" t="s">
        <v>34</v>
      </c>
      <c r="M1085" s="8">
        <v>150000</v>
      </c>
      <c r="N1085" s="11"/>
      <c r="O1085" s="3" t="s">
        <v>545</v>
      </c>
      <c r="P1085" s="3" t="s">
        <v>546</v>
      </c>
    </row>
    <row r="1086" spans="1:16" x14ac:dyDescent="0.3">
      <c r="A1086" s="3" t="s">
        <v>66</v>
      </c>
      <c r="B1086" s="3" t="s">
        <v>343</v>
      </c>
      <c r="C1086" s="3" t="s">
        <v>547</v>
      </c>
      <c r="D1086" s="3" t="s">
        <v>30</v>
      </c>
      <c r="E1086" s="3" t="s">
        <v>31</v>
      </c>
      <c r="F1086" s="3" t="b">
        <v>0</v>
      </c>
      <c r="G1086" s="3" t="s">
        <v>110</v>
      </c>
      <c r="H1086" s="6">
        <v>44951.540763888886</v>
      </c>
      <c r="I1086" s="3" t="b">
        <v>0</v>
      </c>
      <c r="J1086" s="3" t="b">
        <v>0</v>
      </c>
      <c r="K1086" s="3" t="s">
        <v>110</v>
      </c>
      <c r="L1086" s="3" t="s">
        <v>34</v>
      </c>
      <c r="M1086" s="8">
        <v>125000</v>
      </c>
      <c r="N1086" s="11"/>
      <c r="O1086" s="3" t="s">
        <v>548</v>
      </c>
      <c r="P1086" s="3"/>
    </row>
    <row r="1087" spans="1:16" x14ac:dyDescent="0.3">
      <c r="A1087" s="3" t="s">
        <v>66</v>
      </c>
      <c r="B1087" s="3" t="s">
        <v>66</v>
      </c>
      <c r="C1087" s="3" t="s">
        <v>491</v>
      </c>
      <c r="D1087" s="3" t="s">
        <v>93</v>
      </c>
      <c r="E1087" s="3" t="s">
        <v>31</v>
      </c>
      <c r="F1087" s="3" t="b">
        <v>0</v>
      </c>
      <c r="G1087" s="3" t="s">
        <v>140</v>
      </c>
      <c r="H1087" s="6">
        <v>44928.304479166669</v>
      </c>
      <c r="I1087" s="3" t="b">
        <v>0</v>
      </c>
      <c r="J1087" s="3" t="b">
        <v>1</v>
      </c>
      <c r="K1087" s="3" t="s">
        <v>33</v>
      </c>
      <c r="L1087" s="3" t="s">
        <v>34</v>
      </c>
      <c r="M1087" s="8">
        <v>125000</v>
      </c>
      <c r="N1087" s="11"/>
      <c r="O1087" s="3" t="s">
        <v>552</v>
      </c>
      <c r="P1087" s="3" t="s">
        <v>553</v>
      </c>
    </row>
    <row r="1088" spans="1:16" x14ac:dyDescent="0.3">
      <c r="A1088" s="3" t="s">
        <v>66</v>
      </c>
      <c r="B1088" s="3" t="s">
        <v>554</v>
      </c>
      <c r="C1088" s="3" t="s">
        <v>555</v>
      </c>
      <c r="D1088" s="3" t="s">
        <v>93</v>
      </c>
      <c r="E1088" s="3" t="s">
        <v>31</v>
      </c>
      <c r="F1088" s="3" t="b">
        <v>0</v>
      </c>
      <c r="G1088" s="3" t="s">
        <v>32</v>
      </c>
      <c r="H1088" s="6">
        <v>44954.50540509259</v>
      </c>
      <c r="I1088" s="3" t="b">
        <v>0</v>
      </c>
      <c r="J1088" s="3" t="b">
        <v>0</v>
      </c>
      <c r="K1088" s="3" t="s">
        <v>33</v>
      </c>
      <c r="L1088" s="3" t="s">
        <v>34</v>
      </c>
      <c r="M1088" s="8">
        <v>90000</v>
      </c>
      <c r="N1088" s="11"/>
      <c r="O1088" s="3" t="s">
        <v>556</v>
      </c>
      <c r="P1088" s="3" t="s">
        <v>557</v>
      </c>
    </row>
    <row r="1089" spans="1:16" x14ac:dyDescent="0.3">
      <c r="A1089" s="3" t="s">
        <v>66</v>
      </c>
      <c r="B1089" s="3" t="s">
        <v>560</v>
      </c>
      <c r="C1089" s="3" t="s">
        <v>561</v>
      </c>
      <c r="D1089" s="3" t="s">
        <v>93</v>
      </c>
      <c r="E1089" s="3" t="s">
        <v>31</v>
      </c>
      <c r="F1089" s="3" t="b">
        <v>0</v>
      </c>
      <c r="G1089" s="3" t="s">
        <v>58</v>
      </c>
      <c r="H1089" s="6">
        <v>44937.267187500001</v>
      </c>
      <c r="I1089" s="3" t="b">
        <v>0</v>
      </c>
      <c r="J1089" s="3" t="b">
        <v>0</v>
      </c>
      <c r="K1089" s="3" t="s">
        <v>33</v>
      </c>
      <c r="L1089" s="3" t="s">
        <v>34</v>
      </c>
      <c r="M1089" s="8">
        <v>125000</v>
      </c>
      <c r="N1089" s="11"/>
      <c r="O1089" s="3" t="s">
        <v>562</v>
      </c>
      <c r="P1089" s="3" t="s">
        <v>563</v>
      </c>
    </row>
    <row r="1090" spans="1:16" x14ac:dyDescent="0.3">
      <c r="A1090" s="3" t="s">
        <v>66</v>
      </c>
      <c r="B1090" s="3" t="s">
        <v>569</v>
      </c>
      <c r="C1090" s="3" t="s">
        <v>570</v>
      </c>
      <c r="D1090" s="3" t="s">
        <v>41</v>
      </c>
      <c r="E1090" s="3" t="s">
        <v>31</v>
      </c>
      <c r="F1090" s="3" t="b">
        <v>0</v>
      </c>
      <c r="G1090" s="3" t="s">
        <v>32</v>
      </c>
      <c r="H1090" s="6">
        <v>44933.503587962958</v>
      </c>
      <c r="I1090" s="3" t="b">
        <v>0</v>
      </c>
      <c r="J1090" s="3" t="b">
        <v>1</v>
      </c>
      <c r="K1090" s="3" t="s">
        <v>33</v>
      </c>
      <c r="L1090" s="3" t="s">
        <v>34</v>
      </c>
      <c r="M1090" s="8">
        <v>98301.5</v>
      </c>
      <c r="N1090" s="11"/>
      <c r="O1090" s="3" t="s">
        <v>571</v>
      </c>
      <c r="P1090" s="3" t="s">
        <v>572</v>
      </c>
    </row>
    <row r="1091" spans="1:16" x14ac:dyDescent="0.3">
      <c r="A1091" s="3" t="s">
        <v>66</v>
      </c>
      <c r="B1091" s="3" t="s">
        <v>611</v>
      </c>
      <c r="C1091" s="3" t="s">
        <v>223</v>
      </c>
      <c r="D1091" s="3" t="s">
        <v>53</v>
      </c>
      <c r="E1091" s="3" t="s">
        <v>31</v>
      </c>
      <c r="F1091" s="3" t="b">
        <v>0</v>
      </c>
      <c r="G1091" s="3" t="s">
        <v>84</v>
      </c>
      <c r="H1091" s="6">
        <v>44955.840497685182</v>
      </c>
      <c r="I1091" s="3" t="b">
        <v>1</v>
      </c>
      <c r="J1091" s="3" t="b">
        <v>0</v>
      </c>
      <c r="K1091" s="3" t="s">
        <v>33</v>
      </c>
      <c r="L1091" s="3" t="s">
        <v>34</v>
      </c>
      <c r="M1091" s="8">
        <v>160000</v>
      </c>
      <c r="N1091" s="11"/>
      <c r="O1091" s="3" t="s">
        <v>224</v>
      </c>
      <c r="P1091" s="3" t="s">
        <v>612</v>
      </c>
    </row>
    <row r="1092" spans="1:16" x14ac:dyDescent="0.3">
      <c r="A1092" s="3" t="s">
        <v>66</v>
      </c>
      <c r="B1092" s="3" t="s">
        <v>66</v>
      </c>
      <c r="C1092" s="3" t="s">
        <v>87</v>
      </c>
      <c r="D1092" s="3" t="s">
        <v>30</v>
      </c>
      <c r="E1092" s="3" t="s">
        <v>133</v>
      </c>
      <c r="F1092" s="3" t="b">
        <v>1</v>
      </c>
      <c r="G1092" s="3" t="s">
        <v>84</v>
      </c>
      <c r="H1092" s="6">
        <v>44956.673125000001</v>
      </c>
      <c r="I1092" s="3" t="b">
        <v>1</v>
      </c>
      <c r="J1092" s="3" t="b">
        <v>0</v>
      </c>
      <c r="K1092" s="3" t="s">
        <v>33</v>
      </c>
      <c r="L1092" s="3" t="s">
        <v>48</v>
      </c>
      <c r="M1092" s="8"/>
      <c r="N1092" s="11">
        <v>97.5</v>
      </c>
      <c r="O1092" s="3" t="s">
        <v>624</v>
      </c>
      <c r="P1092" s="3" t="s">
        <v>625</v>
      </c>
    </row>
    <row r="1093" spans="1:16" x14ac:dyDescent="0.3">
      <c r="A1093" s="3" t="s">
        <v>66</v>
      </c>
      <c r="B1093" s="3" t="s">
        <v>66</v>
      </c>
      <c r="C1093" s="3" t="s">
        <v>244</v>
      </c>
      <c r="D1093" s="3" t="s">
        <v>30</v>
      </c>
      <c r="E1093" s="3" t="s">
        <v>31</v>
      </c>
      <c r="F1093" s="3" t="b">
        <v>0</v>
      </c>
      <c r="G1093" s="3" t="s">
        <v>140</v>
      </c>
      <c r="H1093" s="6">
        <v>44930.673645833333</v>
      </c>
      <c r="I1093" s="3" t="b">
        <v>0</v>
      </c>
      <c r="J1093" s="3" t="b">
        <v>0</v>
      </c>
      <c r="K1093" s="3" t="s">
        <v>33</v>
      </c>
      <c r="L1093" s="3" t="s">
        <v>34</v>
      </c>
      <c r="M1093" s="8">
        <v>115000</v>
      </c>
      <c r="N1093" s="11"/>
      <c r="O1093" s="3" t="s">
        <v>629</v>
      </c>
      <c r="P1093" s="3" t="s">
        <v>630</v>
      </c>
    </row>
    <row r="1094" spans="1:16" x14ac:dyDescent="0.3">
      <c r="A1094" s="3" t="s">
        <v>66</v>
      </c>
      <c r="B1094" s="3" t="s">
        <v>66</v>
      </c>
      <c r="C1094" s="3" t="s">
        <v>87</v>
      </c>
      <c r="D1094" s="3" t="s">
        <v>188</v>
      </c>
      <c r="E1094" s="3" t="s">
        <v>133</v>
      </c>
      <c r="F1094" s="3" t="b">
        <v>1</v>
      </c>
      <c r="G1094" s="3" t="s">
        <v>110</v>
      </c>
      <c r="H1094" s="6">
        <v>44930.707199074073</v>
      </c>
      <c r="I1094" s="3" t="b">
        <v>1</v>
      </c>
      <c r="J1094" s="3" t="b">
        <v>0</v>
      </c>
      <c r="K1094" s="3" t="s">
        <v>110</v>
      </c>
      <c r="L1094" s="3" t="s">
        <v>48</v>
      </c>
      <c r="M1094" s="8"/>
      <c r="N1094" s="11">
        <v>55</v>
      </c>
      <c r="O1094" s="3" t="s">
        <v>648</v>
      </c>
      <c r="P1094" s="3" t="s">
        <v>649</v>
      </c>
    </row>
    <row r="1095" spans="1:16" x14ac:dyDescent="0.3">
      <c r="A1095" s="3" t="s">
        <v>66</v>
      </c>
      <c r="B1095" s="3" t="s">
        <v>66</v>
      </c>
      <c r="C1095" s="3" t="s">
        <v>671</v>
      </c>
      <c r="D1095" s="3" t="s">
        <v>188</v>
      </c>
      <c r="E1095" s="3" t="s">
        <v>31</v>
      </c>
      <c r="F1095" s="3" t="b">
        <v>0</v>
      </c>
      <c r="G1095" s="3" t="s">
        <v>32</v>
      </c>
      <c r="H1095" s="6">
        <v>44949.796620370369</v>
      </c>
      <c r="I1095" s="3" t="b">
        <v>0</v>
      </c>
      <c r="J1095" s="3" t="b">
        <v>0</v>
      </c>
      <c r="K1095" s="3" t="s">
        <v>33</v>
      </c>
      <c r="L1095" s="3" t="s">
        <v>34</v>
      </c>
      <c r="M1095" s="8">
        <v>90000</v>
      </c>
      <c r="N1095" s="11"/>
      <c r="O1095" s="3" t="s">
        <v>672</v>
      </c>
      <c r="P1095" s="3" t="s">
        <v>673</v>
      </c>
    </row>
    <row r="1096" spans="1:16" x14ac:dyDescent="0.3">
      <c r="A1096" s="3" t="s">
        <v>66</v>
      </c>
      <c r="B1096" s="3" t="s">
        <v>66</v>
      </c>
      <c r="C1096" s="3" t="s">
        <v>699</v>
      </c>
      <c r="D1096" s="3" t="s">
        <v>188</v>
      </c>
      <c r="E1096" s="3" t="s">
        <v>31</v>
      </c>
      <c r="F1096" s="3" t="b">
        <v>0</v>
      </c>
      <c r="G1096" s="3" t="s">
        <v>140</v>
      </c>
      <c r="H1096" s="6">
        <v>44936.83390046296</v>
      </c>
      <c r="I1096" s="3" t="b">
        <v>1</v>
      </c>
      <c r="J1096" s="3" t="b">
        <v>0</v>
      </c>
      <c r="K1096" s="3" t="s">
        <v>33</v>
      </c>
      <c r="L1096" s="3" t="s">
        <v>34</v>
      </c>
      <c r="M1096" s="8">
        <v>50000</v>
      </c>
      <c r="N1096" s="11"/>
      <c r="O1096" s="3" t="s">
        <v>189</v>
      </c>
      <c r="P1096" s="3"/>
    </row>
    <row r="1097" spans="1:16" x14ac:dyDescent="0.3">
      <c r="A1097" s="3" t="s">
        <v>66</v>
      </c>
      <c r="B1097" s="3" t="s">
        <v>343</v>
      </c>
      <c r="C1097" s="3" t="s">
        <v>75</v>
      </c>
      <c r="D1097" s="3" t="s">
        <v>76</v>
      </c>
      <c r="E1097" s="3" t="s">
        <v>31</v>
      </c>
      <c r="F1097" s="3" t="b">
        <v>0</v>
      </c>
      <c r="G1097" s="3" t="s">
        <v>88</v>
      </c>
      <c r="H1097" s="6">
        <v>44937.924803240741</v>
      </c>
      <c r="I1097" s="3" t="b">
        <v>0</v>
      </c>
      <c r="J1097" s="3" t="b">
        <v>1</v>
      </c>
      <c r="K1097" s="3" t="s">
        <v>33</v>
      </c>
      <c r="L1097" s="3" t="s">
        <v>34</v>
      </c>
      <c r="M1097" s="8">
        <v>172500</v>
      </c>
      <c r="N1097" s="11"/>
      <c r="O1097" s="3" t="s">
        <v>158</v>
      </c>
      <c r="P1097" s="3" t="s">
        <v>700</v>
      </c>
    </row>
    <row r="1098" spans="1:16" x14ac:dyDescent="0.3">
      <c r="A1098" s="3" t="s">
        <v>66</v>
      </c>
      <c r="B1098" s="3" t="s">
        <v>66</v>
      </c>
      <c r="C1098" s="3" t="s">
        <v>715</v>
      </c>
      <c r="D1098" s="3" t="s">
        <v>30</v>
      </c>
      <c r="E1098" s="3" t="s">
        <v>31</v>
      </c>
      <c r="F1098" s="3" t="b">
        <v>0</v>
      </c>
      <c r="G1098" s="3" t="s">
        <v>140</v>
      </c>
      <c r="H1098" s="6">
        <v>44937.32539351852</v>
      </c>
      <c r="I1098" s="3" t="b">
        <v>0</v>
      </c>
      <c r="J1098" s="3" t="b">
        <v>1</v>
      </c>
      <c r="K1098" s="3" t="s">
        <v>33</v>
      </c>
      <c r="L1098" s="3" t="s">
        <v>34</v>
      </c>
      <c r="M1098" s="8">
        <v>105000</v>
      </c>
      <c r="N1098" s="11"/>
      <c r="O1098" s="3" t="s">
        <v>158</v>
      </c>
      <c r="P1098" s="3" t="s">
        <v>716</v>
      </c>
    </row>
    <row r="1099" spans="1:16" x14ac:dyDescent="0.3">
      <c r="A1099" s="3" t="s">
        <v>66</v>
      </c>
      <c r="B1099" s="3" t="s">
        <v>66</v>
      </c>
      <c r="C1099" s="3" t="s">
        <v>87</v>
      </c>
      <c r="D1099" s="3" t="s">
        <v>30</v>
      </c>
      <c r="E1099" s="3" t="s">
        <v>31</v>
      </c>
      <c r="F1099" s="3" t="b">
        <v>1</v>
      </c>
      <c r="G1099" s="3" t="s">
        <v>32</v>
      </c>
      <c r="H1099" s="6">
        <v>44936.517025462963</v>
      </c>
      <c r="I1099" s="3" t="b">
        <v>0</v>
      </c>
      <c r="J1099" s="3" t="b">
        <v>1</v>
      </c>
      <c r="K1099" s="3" t="s">
        <v>33</v>
      </c>
      <c r="L1099" s="3" t="s">
        <v>34</v>
      </c>
      <c r="M1099" s="8">
        <v>144481.5</v>
      </c>
      <c r="N1099" s="11"/>
      <c r="O1099" s="3" t="s">
        <v>724</v>
      </c>
      <c r="P1099" s="3" t="s">
        <v>725</v>
      </c>
    </row>
    <row r="1100" spans="1:16" x14ac:dyDescent="0.3">
      <c r="A1100" s="3" t="s">
        <v>66</v>
      </c>
      <c r="B1100" s="3" t="s">
        <v>66</v>
      </c>
      <c r="C1100" s="3" t="s">
        <v>396</v>
      </c>
      <c r="D1100" s="3" t="s">
        <v>30</v>
      </c>
      <c r="E1100" s="3" t="s">
        <v>31</v>
      </c>
      <c r="F1100" s="3" t="b">
        <v>0</v>
      </c>
      <c r="G1100" s="3" t="s">
        <v>140</v>
      </c>
      <c r="H1100" s="6">
        <v>44944.908668981479</v>
      </c>
      <c r="I1100" s="3" t="b">
        <v>0</v>
      </c>
      <c r="J1100" s="3" t="b">
        <v>0</v>
      </c>
      <c r="K1100" s="3" t="s">
        <v>33</v>
      </c>
      <c r="L1100" s="3" t="s">
        <v>34</v>
      </c>
      <c r="M1100" s="8">
        <v>110000</v>
      </c>
      <c r="N1100" s="11"/>
      <c r="O1100" s="3" t="s">
        <v>730</v>
      </c>
      <c r="P1100" s="3" t="s">
        <v>731</v>
      </c>
    </row>
    <row r="1101" spans="1:16" x14ac:dyDescent="0.3">
      <c r="A1101" s="3" t="s">
        <v>66</v>
      </c>
      <c r="B1101" s="3" t="s">
        <v>736</v>
      </c>
      <c r="C1101" s="3" t="s">
        <v>596</v>
      </c>
      <c r="D1101" s="3" t="s">
        <v>41</v>
      </c>
      <c r="E1101" s="3" t="s">
        <v>31</v>
      </c>
      <c r="F1101" s="3" t="b">
        <v>0</v>
      </c>
      <c r="G1101" s="3" t="s">
        <v>597</v>
      </c>
      <c r="H1101" s="6">
        <v>44951.138865740737</v>
      </c>
      <c r="I1101" s="3" t="b">
        <v>0</v>
      </c>
      <c r="J1101" s="3" t="b">
        <v>0</v>
      </c>
      <c r="K1101" s="3" t="s">
        <v>597</v>
      </c>
      <c r="L1101" s="3" t="s">
        <v>34</v>
      </c>
      <c r="M1101" s="8">
        <v>147500</v>
      </c>
      <c r="N1101" s="11"/>
      <c r="O1101" s="3" t="s">
        <v>737</v>
      </c>
      <c r="P1101" s="3" t="s">
        <v>738</v>
      </c>
    </row>
    <row r="1102" spans="1:16" x14ac:dyDescent="0.3">
      <c r="A1102" s="3" t="s">
        <v>66</v>
      </c>
      <c r="B1102" s="3" t="s">
        <v>743</v>
      </c>
      <c r="C1102" s="3" t="s">
        <v>744</v>
      </c>
      <c r="D1102" s="3" t="s">
        <v>93</v>
      </c>
      <c r="E1102" s="3" t="s">
        <v>31</v>
      </c>
      <c r="F1102" s="3" t="b">
        <v>0</v>
      </c>
      <c r="G1102" s="3" t="s">
        <v>88</v>
      </c>
      <c r="H1102" s="6">
        <v>44936.309976851851</v>
      </c>
      <c r="I1102" s="3" t="b">
        <v>0</v>
      </c>
      <c r="J1102" s="3" t="b">
        <v>0</v>
      </c>
      <c r="K1102" s="3" t="s">
        <v>33</v>
      </c>
      <c r="L1102" s="3" t="s">
        <v>34</v>
      </c>
      <c r="M1102" s="8">
        <v>115000</v>
      </c>
      <c r="N1102" s="11"/>
      <c r="O1102" s="3" t="s">
        <v>745</v>
      </c>
      <c r="P1102" s="3" t="s">
        <v>746</v>
      </c>
    </row>
    <row r="1103" spans="1:16" x14ac:dyDescent="0.3">
      <c r="A1103" s="3" t="s">
        <v>66</v>
      </c>
      <c r="B1103" s="3" t="s">
        <v>751</v>
      </c>
      <c r="C1103" s="3" t="s">
        <v>396</v>
      </c>
      <c r="D1103" s="3" t="s">
        <v>30</v>
      </c>
      <c r="E1103" s="3" t="s">
        <v>31</v>
      </c>
      <c r="F1103" s="3" t="b">
        <v>0</v>
      </c>
      <c r="G1103" s="3" t="s">
        <v>64</v>
      </c>
      <c r="H1103" s="6">
        <v>44942.947222222218</v>
      </c>
      <c r="I1103" s="3" t="b">
        <v>0</v>
      </c>
      <c r="J1103" s="3" t="b">
        <v>0</v>
      </c>
      <c r="K1103" s="3" t="s">
        <v>33</v>
      </c>
      <c r="L1103" s="3" t="s">
        <v>48</v>
      </c>
      <c r="M1103" s="8"/>
      <c r="N1103" s="11">
        <v>80</v>
      </c>
      <c r="O1103" s="3" t="s">
        <v>752</v>
      </c>
      <c r="P1103" s="3" t="s">
        <v>753</v>
      </c>
    </row>
    <row r="1104" spans="1:16" x14ac:dyDescent="0.3">
      <c r="A1104" s="3" t="s">
        <v>66</v>
      </c>
      <c r="B1104" s="3" t="s">
        <v>757</v>
      </c>
      <c r="C1104" s="3"/>
      <c r="D1104" s="3" t="s">
        <v>30</v>
      </c>
      <c r="E1104" s="3" t="s">
        <v>31</v>
      </c>
      <c r="F1104" s="3" t="b">
        <v>0</v>
      </c>
      <c r="G1104" s="3" t="s">
        <v>140</v>
      </c>
      <c r="H1104" s="6">
        <v>44942.349629629629</v>
      </c>
      <c r="I1104" s="3" t="b">
        <v>0</v>
      </c>
      <c r="J1104" s="3" t="b">
        <v>0</v>
      </c>
      <c r="K1104" s="3" t="s">
        <v>33</v>
      </c>
      <c r="L1104" s="3" t="s">
        <v>34</v>
      </c>
      <c r="M1104" s="8">
        <v>175000</v>
      </c>
      <c r="N1104" s="11"/>
      <c r="O1104" s="3" t="s">
        <v>344</v>
      </c>
      <c r="P1104" s="3" t="s">
        <v>758</v>
      </c>
    </row>
    <row r="1105" spans="1:16" x14ac:dyDescent="0.3">
      <c r="A1105" s="3" t="s">
        <v>66</v>
      </c>
      <c r="B1105" s="3" t="s">
        <v>66</v>
      </c>
      <c r="C1105" s="3" t="s">
        <v>762</v>
      </c>
      <c r="D1105" s="3" t="s">
        <v>93</v>
      </c>
      <c r="E1105" s="3" t="s">
        <v>31</v>
      </c>
      <c r="F1105" s="3" t="b">
        <v>0</v>
      </c>
      <c r="G1105" s="3" t="s">
        <v>58</v>
      </c>
      <c r="H1105" s="6">
        <v>44939.298518518517</v>
      </c>
      <c r="I1105" s="3" t="b">
        <v>0</v>
      </c>
      <c r="J1105" s="3" t="b">
        <v>0</v>
      </c>
      <c r="K1105" s="3" t="s">
        <v>33</v>
      </c>
      <c r="L1105" s="3" t="s">
        <v>34</v>
      </c>
      <c r="M1105" s="8">
        <v>115000</v>
      </c>
      <c r="N1105" s="11"/>
      <c r="O1105" s="3" t="s">
        <v>689</v>
      </c>
      <c r="P1105" s="3"/>
    </row>
    <row r="1106" spans="1:16" x14ac:dyDescent="0.3">
      <c r="A1106" s="3" t="s">
        <v>66</v>
      </c>
      <c r="B1106" s="3" t="s">
        <v>775</v>
      </c>
      <c r="C1106" s="3" t="s">
        <v>87</v>
      </c>
      <c r="D1106" s="3" t="s">
        <v>76</v>
      </c>
      <c r="E1106" s="3" t="s">
        <v>133</v>
      </c>
      <c r="F1106" s="3" t="b">
        <v>1</v>
      </c>
      <c r="G1106" s="3" t="s">
        <v>88</v>
      </c>
      <c r="H1106" s="6">
        <v>44949.756608796299</v>
      </c>
      <c r="I1106" s="3" t="b">
        <v>0</v>
      </c>
      <c r="J1106" s="3" t="b">
        <v>0</v>
      </c>
      <c r="K1106" s="3" t="s">
        <v>33</v>
      </c>
      <c r="L1106" s="3" t="s">
        <v>48</v>
      </c>
      <c r="M1106" s="8"/>
      <c r="N1106" s="11">
        <v>62.5</v>
      </c>
      <c r="O1106" s="3" t="s">
        <v>776</v>
      </c>
      <c r="P1106" s="3" t="s">
        <v>777</v>
      </c>
    </row>
    <row r="1107" spans="1:16" x14ac:dyDescent="0.3">
      <c r="A1107" s="3" t="s">
        <v>66</v>
      </c>
      <c r="B1107" s="3" t="s">
        <v>778</v>
      </c>
      <c r="C1107" s="3" t="s">
        <v>87</v>
      </c>
      <c r="D1107" s="3" t="s">
        <v>30</v>
      </c>
      <c r="E1107" s="3" t="s">
        <v>31</v>
      </c>
      <c r="F1107" s="3" t="b">
        <v>1</v>
      </c>
      <c r="G1107" s="3" t="s">
        <v>88</v>
      </c>
      <c r="H1107" s="6">
        <v>44931.896701388891</v>
      </c>
      <c r="I1107" s="3" t="b">
        <v>0</v>
      </c>
      <c r="J1107" s="3" t="b">
        <v>1</v>
      </c>
      <c r="K1107" s="3" t="s">
        <v>33</v>
      </c>
      <c r="L1107" s="3" t="s">
        <v>34</v>
      </c>
      <c r="M1107" s="8">
        <v>157500</v>
      </c>
      <c r="N1107" s="11"/>
      <c r="O1107" s="3" t="s">
        <v>779</v>
      </c>
      <c r="P1107" s="3" t="s">
        <v>780</v>
      </c>
    </row>
    <row r="1108" spans="1:16" x14ac:dyDescent="0.3">
      <c r="A1108" s="3" t="s">
        <v>66</v>
      </c>
      <c r="B1108" s="3" t="s">
        <v>66</v>
      </c>
      <c r="C1108" s="3" t="s">
        <v>573</v>
      </c>
      <c r="D1108" s="3" t="s">
        <v>237</v>
      </c>
      <c r="E1108" s="3" t="s">
        <v>31</v>
      </c>
      <c r="F1108" s="3" t="b">
        <v>0</v>
      </c>
      <c r="G1108" s="3" t="s">
        <v>110</v>
      </c>
      <c r="H1108" s="6">
        <v>44954.683645833327</v>
      </c>
      <c r="I1108" s="3" t="b">
        <v>0</v>
      </c>
      <c r="J1108" s="3" t="b">
        <v>1</v>
      </c>
      <c r="K1108" s="3" t="s">
        <v>110</v>
      </c>
      <c r="L1108" s="3" t="s">
        <v>34</v>
      </c>
      <c r="M1108" s="8">
        <v>133900</v>
      </c>
      <c r="N1108" s="11"/>
      <c r="O1108" s="3" t="s">
        <v>784</v>
      </c>
      <c r="P1108" s="3" t="s">
        <v>785</v>
      </c>
    </row>
    <row r="1109" spans="1:16" x14ac:dyDescent="0.3">
      <c r="A1109" s="3" t="s">
        <v>66</v>
      </c>
      <c r="B1109" s="3" t="s">
        <v>343</v>
      </c>
      <c r="C1109" s="3" t="s">
        <v>321</v>
      </c>
      <c r="D1109" s="3" t="s">
        <v>93</v>
      </c>
      <c r="E1109" s="3" t="s">
        <v>31</v>
      </c>
      <c r="F1109" s="3" t="b">
        <v>0</v>
      </c>
      <c r="G1109" s="3" t="s">
        <v>88</v>
      </c>
      <c r="H1109" s="6">
        <v>44942.216319444437</v>
      </c>
      <c r="I1109" s="3" t="b">
        <v>1</v>
      </c>
      <c r="J1109" s="3" t="b">
        <v>0</v>
      </c>
      <c r="K1109" s="3" t="s">
        <v>33</v>
      </c>
      <c r="L1109" s="3" t="s">
        <v>34</v>
      </c>
      <c r="M1109" s="8">
        <v>125000</v>
      </c>
      <c r="N1109" s="11"/>
      <c r="O1109" s="3" t="s">
        <v>786</v>
      </c>
      <c r="P1109" s="3" t="s">
        <v>787</v>
      </c>
    </row>
    <row r="1110" spans="1:16" x14ac:dyDescent="0.3">
      <c r="A1110" s="3" t="s">
        <v>66</v>
      </c>
      <c r="B1110" s="3" t="s">
        <v>788</v>
      </c>
      <c r="C1110" s="3" t="s">
        <v>789</v>
      </c>
      <c r="D1110" s="3" t="s">
        <v>30</v>
      </c>
      <c r="E1110" s="3" t="s">
        <v>31</v>
      </c>
      <c r="F1110" s="3" t="b">
        <v>0</v>
      </c>
      <c r="G1110" s="3" t="s">
        <v>84</v>
      </c>
      <c r="H1110" s="6">
        <v>44939.009039351848</v>
      </c>
      <c r="I1110" s="3" t="b">
        <v>1</v>
      </c>
      <c r="J1110" s="3" t="b">
        <v>0</v>
      </c>
      <c r="K1110" s="3" t="s">
        <v>33</v>
      </c>
      <c r="L1110" s="3" t="s">
        <v>34</v>
      </c>
      <c r="M1110" s="8">
        <v>120000</v>
      </c>
      <c r="N1110" s="11"/>
      <c r="O1110" s="3" t="s">
        <v>790</v>
      </c>
      <c r="P1110" s="3" t="s">
        <v>791</v>
      </c>
    </row>
    <row r="1111" spans="1:16" x14ac:dyDescent="0.3">
      <c r="A1111" s="3" t="s">
        <v>66</v>
      </c>
      <c r="B1111" s="3" t="s">
        <v>66</v>
      </c>
      <c r="C1111" s="3" t="s">
        <v>800</v>
      </c>
      <c r="D1111" s="3" t="s">
        <v>30</v>
      </c>
      <c r="E1111" s="3" t="s">
        <v>31</v>
      </c>
      <c r="F1111" s="3" t="b">
        <v>0</v>
      </c>
      <c r="G1111" s="3" t="s">
        <v>88</v>
      </c>
      <c r="H1111" s="6">
        <v>44930.772835648153</v>
      </c>
      <c r="I1111" s="3" t="b">
        <v>0</v>
      </c>
      <c r="J1111" s="3" t="b">
        <v>1</v>
      </c>
      <c r="K1111" s="3" t="s">
        <v>33</v>
      </c>
      <c r="L1111" s="3" t="s">
        <v>34</v>
      </c>
      <c r="M1111" s="8">
        <v>160000</v>
      </c>
      <c r="N1111" s="11"/>
      <c r="O1111" s="3" t="s">
        <v>801</v>
      </c>
      <c r="P1111" s="3" t="s">
        <v>802</v>
      </c>
    </row>
    <row r="1112" spans="1:16" x14ac:dyDescent="0.3">
      <c r="A1112" s="3" t="s">
        <v>66</v>
      </c>
      <c r="B1112" s="3" t="s">
        <v>803</v>
      </c>
      <c r="C1112" s="3" t="s">
        <v>57</v>
      </c>
      <c r="D1112" s="3" t="s">
        <v>804</v>
      </c>
      <c r="E1112" s="3" t="s">
        <v>133</v>
      </c>
      <c r="F1112" s="3" t="b">
        <v>0</v>
      </c>
      <c r="G1112" s="3" t="s">
        <v>110</v>
      </c>
      <c r="H1112" s="6">
        <v>44942.000532407408</v>
      </c>
      <c r="I1112" s="3" t="b">
        <v>0</v>
      </c>
      <c r="J1112" s="3" t="b">
        <v>0</v>
      </c>
      <c r="K1112" s="3" t="s">
        <v>110</v>
      </c>
      <c r="L1112" s="3" t="s">
        <v>48</v>
      </c>
      <c r="M1112" s="8"/>
      <c r="N1112" s="11">
        <v>57.5</v>
      </c>
      <c r="O1112" s="3" t="s">
        <v>805</v>
      </c>
      <c r="P1112" s="3" t="s">
        <v>806</v>
      </c>
    </row>
    <row r="1113" spans="1:16" x14ac:dyDescent="0.3">
      <c r="A1113" s="3" t="s">
        <v>66</v>
      </c>
      <c r="B1113" s="3" t="s">
        <v>66</v>
      </c>
      <c r="C1113" s="3" t="s">
        <v>807</v>
      </c>
      <c r="D1113" s="3" t="s">
        <v>41</v>
      </c>
      <c r="E1113" s="3" t="s">
        <v>31</v>
      </c>
      <c r="F1113" s="3" t="b">
        <v>0</v>
      </c>
      <c r="G1113" s="3" t="s">
        <v>808</v>
      </c>
      <c r="H1113" s="6">
        <v>44932.613703703697</v>
      </c>
      <c r="I1113" s="3" t="b">
        <v>1</v>
      </c>
      <c r="J1113" s="3" t="b">
        <v>0</v>
      </c>
      <c r="K1113" s="3" t="s">
        <v>808</v>
      </c>
      <c r="L1113" s="3" t="s">
        <v>34</v>
      </c>
      <c r="M1113" s="8">
        <v>96760.5</v>
      </c>
      <c r="N1113" s="11"/>
      <c r="O1113" s="3" t="s">
        <v>809</v>
      </c>
      <c r="P1113" s="3" t="s">
        <v>810</v>
      </c>
    </row>
    <row r="1114" spans="1:16" x14ac:dyDescent="0.3">
      <c r="A1114" s="3" t="s">
        <v>66</v>
      </c>
      <c r="B1114" s="3" t="s">
        <v>816</v>
      </c>
      <c r="C1114" s="3" t="s">
        <v>817</v>
      </c>
      <c r="D1114" s="3" t="s">
        <v>41</v>
      </c>
      <c r="E1114" s="3" t="s">
        <v>31</v>
      </c>
      <c r="F1114" s="3" t="b">
        <v>0</v>
      </c>
      <c r="G1114" s="3" t="s">
        <v>818</v>
      </c>
      <c r="H1114" s="6">
        <v>44938.881585648152</v>
      </c>
      <c r="I1114" s="3" t="b">
        <v>0</v>
      </c>
      <c r="J1114" s="3" t="b">
        <v>0</v>
      </c>
      <c r="K1114" s="3" t="s">
        <v>818</v>
      </c>
      <c r="L1114" s="3" t="s">
        <v>34</v>
      </c>
      <c r="M1114" s="8">
        <v>98301.5</v>
      </c>
      <c r="N1114" s="11"/>
      <c r="O1114" s="3" t="s">
        <v>70</v>
      </c>
      <c r="P1114" s="3" t="s">
        <v>819</v>
      </c>
    </row>
    <row r="1115" spans="1:16" x14ac:dyDescent="0.3">
      <c r="A1115" s="3" t="s">
        <v>66</v>
      </c>
      <c r="B1115" s="3" t="s">
        <v>829</v>
      </c>
      <c r="C1115" s="3" t="s">
        <v>87</v>
      </c>
      <c r="D1115" s="3" t="s">
        <v>830</v>
      </c>
      <c r="E1115" s="3" t="s">
        <v>31</v>
      </c>
      <c r="F1115" s="3" t="b">
        <v>1</v>
      </c>
      <c r="G1115" s="3" t="s">
        <v>84</v>
      </c>
      <c r="H1115" s="6">
        <v>44942.132557870369</v>
      </c>
      <c r="I1115" s="3" t="b">
        <v>1</v>
      </c>
      <c r="J1115" s="3" t="b">
        <v>0</v>
      </c>
      <c r="K1115" s="3" t="s">
        <v>33</v>
      </c>
      <c r="L1115" s="3" t="s">
        <v>34</v>
      </c>
      <c r="M1115" s="8">
        <v>140000</v>
      </c>
      <c r="N1115" s="11"/>
      <c r="O1115" s="3" t="s">
        <v>831</v>
      </c>
      <c r="P1115" s="3" t="s">
        <v>756</v>
      </c>
    </row>
    <row r="1116" spans="1:16" x14ac:dyDescent="0.3">
      <c r="A1116" s="3" t="s">
        <v>66</v>
      </c>
      <c r="B1116" s="3" t="s">
        <v>66</v>
      </c>
      <c r="C1116" s="3" t="s">
        <v>87</v>
      </c>
      <c r="D1116" s="3" t="s">
        <v>287</v>
      </c>
      <c r="E1116" s="3" t="s">
        <v>31</v>
      </c>
      <c r="F1116" s="3" t="b">
        <v>1</v>
      </c>
      <c r="G1116" s="3" t="s">
        <v>58</v>
      </c>
      <c r="H1116" s="6">
        <v>44949.006041666667</v>
      </c>
      <c r="I1116" s="3" t="b">
        <v>0</v>
      </c>
      <c r="J1116" s="3" t="b">
        <v>1</v>
      </c>
      <c r="K1116" s="3" t="s">
        <v>33</v>
      </c>
      <c r="L1116" s="3" t="s">
        <v>34</v>
      </c>
      <c r="M1116" s="8">
        <v>214000</v>
      </c>
      <c r="N1116" s="11"/>
      <c r="O1116" s="3" t="s">
        <v>767</v>
      </c>
      <c r="P1116" s="3" t="s">
        <v>852</v>
      </c>
    </row>
    <row r="1117" spans="1:16" x14ac:dyDescent="0.3">
      <c r="A1117" s="3" t="s">
        <v>66</v>
      </c>
      <c r="B1117" s="3" t="s">
        <v>66</v>
      </c>
      <c r="C1117" s="3" t="s">
        <v>853</v>
      </c>
      <c r="D1117" s="3" t="s">
        <v>827</v>
      </c>
      <c r="E1117" s="3" t="s">
        <v>31</v>
      </c>
      <c r="F1117" s="3" t="b">
        <v>0</v>
      </c>
      <c r="G1117" s="3" t="s">
        <v>32</v>
      </c>
      <c r="H1117" s="6">
        <v>44940.546678240738</v>
      </c>
      <c r="I1117" s="3" t="b">
        <v>0</v>
      </c>
      <c r="J1117" s="3" t="b">
        <v>1</v>
      </c>
      <c r="K1117" s="3" t="s">
        <v>33</v>
      </c>
      <c r="L1117" s="3" t="s">
        <v>34</v>
      </c>
      <c r="M1117" s="8">
        <v>119037.5</v>
      </c>
      <c r="N1117" s="11"/>
      <c r="O1117" s="3" t="s">
        <v>854</v>
      </c>
      <c r="P1117" s="3" t="s">
        <v>855</v>
      </c>
    </row>
    <row r="1118" spans="1:16" x14ac:dyDescent="0.3">
      <c r="A1118" s="3" t="s">
        <v>66</v>
      </c>
      <c r="B1118" s="3" t="s">
        <v>66</v>
      </c>
      <c r="C1118" s="3" t="s">
        <v>859</v>
      </c>
      <c r="D1118" s="3" t="s">
        <v>860</v>
      </c>
      <c r="E1118" s="3" t="s">
        <v>31</v>
      </c>
      <c r="F1118" s="3" t="b">
        <v>0</v>
      </c>
      <c r="G1118" s="3" t="s">
        <v>110</v>
      </c>
      <c r="H1118" s="6">
        <v>44955.573020833333</v>
      </c>
      <c r="I1118" s="3" t="b">
        <v>0</v>
      </c>
      <c r="J1118" s="3" t="b">
        <v>1</v>
      </c>
      <c r="K1118" s="3" t="s">
        <v>110</v>
      </c>
      <c r="L1118" s="3" t="s">
        <v>34</v>
      </c>
      <c r="M1118" s="8">
        <v>215000</v>
      </c>
      <c r="N1118" s="11"/>
      <c r="O1118" s="3" t="s">
        <v>861</v>
      </c>
      <c r="P1118" s="3" t="s">
        <v>862</v>
      </c>
    </row>
    <row r="1119" spans="1:16" x14ac:dyDescent="0.3">
      <c r="A1119" s="3" t="s">
        <v>66</v>
      </c>
      <c r="B1119" s="3" t="s">
        <v>874</v>
      </c>
      <c r="C1119" s="3" t="s">
        <v>807</v>
      </c>
      <c r="D1119" s="3" t="s">
        <v>41</v>
      </c>
      <c r="E1119" s="3" t="s">
        <v>31</v>
      </c>
      <c r="F1119" s="3" t="b">
        <v>0</v>
      </c>
      <c r="G1119" s="3" t="s">
        <v>808</v>
      </c>
      <c r="H1119" s="6">
        <v>44954.625497685192</v>
      </c>
      <c r="I1119" s="3" t="b">
        <v>0</v>
      </c>
      <c r="J1119" s="3" t="b">
        <v>0</v>
      </c>
      <c r="K1119" s="3" t="s">
        <v>808</v>
      </c>
      <c r="L1119" s="3" t="s">
        <v>34</v>
      </c>
      <c r="M1119" s="8">
        <v>249000</v>
      </c>
      <c r="N1119" s="11"/>
      <c r="O1119" s="3" t="s">
        <v>875</v>
      </c>
      <c r="P1119" s="3" t="s">
        <v>876</v>
      </c>
    </row>
    <row r="1120" spans="1:16" x14ac:dyDescent="0.3">
      <c r="A1120" s="3" t="s">
        <v>66</v>
      </c>
      <c r="B1120" s="3" t="s">
        <v>66</v>
      </c>
      <c r="C1120" s="3" t="s">
        <v>877</v>
      </c>
      <c r="D1120" s="3" t="s">
        <v>804</v>
      </c>
      <c r="E1120" s="3" t="s">
        <v>31</v>
      </c>
      <c r="F1120" s="3" t="b">
        <v>0</v>
      </c>
      <c r="G1120" s="3" t="s">
        <v>110</v>
      </c>
      <c r="H1120" s="6">
        <v>44934.018726851849</v>
      </c>
      <c r="I1120" s="3" t="b">
        <v>0</v>
      </c>
      <c r="J1120" s="3" t="b">
        <v>0</v>
      </c>
      <c r="K1120" s="3" t="s">
        <v>110</v>
      </c>
      <c r="L1120" s="3" t="s">
        <v>34</v>
      </c>
      <c r="M1120" s="8">
        <v>112500</v>
      </c>
      <c r="N1120" s="11"/>
      <c r="O1120" s="3" t="s">
        <v>255</v>
      </c>
      <c r="P1120" s="3" t="s">
        <v>878</v>
      </c>
    </row>
    <row r="1121" spans="1:16" x14ac:dyDescent="0.3">
      <c r="A1121" s="3" t="s">
        <v>66</v>
      </c>
      <c r="B1121" s="3" t="s">
        <v>879</v>
      </c>
      <c r="C1121" s="3" t="s">
        <v>87</v>
      </c>
      <c r="D1121" s="3" t="s">
        <v>188</v>
      </c>
      <c r="E1121" s="3" t="s">
        <v>133</v>
      </c>
      <c r="F1121" s="3" t="b">
        <v>1</v>
      </c>
      <c r="G1121" s="3" t="s">
        <v>64</v>
      </c>
      <c r="H1121" s="6">
        <v>44935.712962962964</v>
      </c>
      <c r="I1121" s="3" t="b">
        <v>0</v>
      </c>
      <c r="J1121" s="3" t="b">
        <v>0</v>
      </c>
      <c r="K1121" s="3" t="s">
        <v>33</v>
      </c>
      <c r="L1121" s="3" t="s">
        <v>34</v>
      </c>
      <c r="M1121" s="8">
        <v>130000</v>
      </c>
      <c r="N1121" s="11"/>
      <c r="O1121" s="3" t="s">
        <v>426</v>
      </c>
      <c r="P1121" s="3" t="s">
        <v>880</v>
      </c>
    </row>
    <row r="1122" spans="1:16" x14ac:dyDescent="0.3">
      <c r="A1122" s="3" t="s">
        <v>66</v>
      </c>
      <c r="B1122" s="3" t="s">
        <v>343</v>
      </c>
      <c r="C1122" s="3"/>
      <c r="D1122" s="3" t="s">
        <v>30</v>
      </c>
      <c r="E1122" s="3" t="s">
        <v>31</v>
      </c>
      <c r="F1122" s="3" t="b">
        <v>0</v>
      </c>
      <c r="G1122" s="3" t="s">
        <v>140</v>
      </c>
      <c r="H1122" s="6">
        <v>44952.826469907413</v>
      </c>
      <c r="I1122" s="3" t="b">
        <v>0</v>
      </c>
      <c r="J1122" s="3" t="b">
        <v>0</v>
      </c>
      <c r="K1122" s="3" t="s">
        <v>33</v>
      </c>
      <c r="L1122" s="3" t="s">
        <v>34</v>
      </c>
      <c r="M1122" s="8">
        <v>155000</v>
      </c>
      <c r="N1122" s="11"/>
      <c r="O1122" s="3" t="s">
        <v>284</v>
      </c>
      <c r="P1122" s="3" t="s">
        <v>885</v>
      </c>
    </row>
    <row r="1123" spans="1:16" x14ac:dyDescent="0.3">
      <c r="A1123" s="3" t="s">
        <v>66</v>
      </c>
      <c r="B1123" s="3" t="s">
        <v>66</v>
      </c>
      <c r="C1123" s="3" t="s">
        <v>888</v>
      </c>
      <c r="D1123" s="3" t="s">
        <v>93</v>
      </c>
      <c r="E1123" s="3" t="s">
        <v>31</v>
      </c>
      <c r="F1123" s="3" t="b">
        <v>0</v>
      </c>
      <c r="G1123" s="3" t="s">
        <v>140</v>
      </c>
      <c r="H1123" s="6">
        <v>44957.481770833343</v>
      </c>
      <c r="I1123" s="3" t="b">
        <v>0</v>
      </c>
      <c r="J1123" s="3" t="b">
        <v>0</v>
      </c>
      <c r="K1123" s="3" t="s">
        <v>33</v>
      </c>
      <c r="L1123" s="3" t="s">
        <v>34</v>
      </c>
      <c r="M1123" s="8">
        <v>175000</v>
      </c>
      <c r="N1123" s="11"/>
      <c r="O1123" s="3" t="s">
        <v>889</v>
      </c>
      <c r="P1123" s="3" t="s">
        <v>890</v>
      </c>
    </row>
    <row r="1124" spans="1:16" x14ac:dyDescent="0.3">
      <c r="A1124" s="3" t="s">
        <v>66</v>
      </c>
      <c r="B1124" s="3" t="s">
        <v>891</v>
      </c>
      <c r="C1124" s="3" t="s">
        <v>79</v>
      </c>
      <c r="D1124" s="3" t="s">
        <v>41</v>
      </c>
      <c r="E1124" s="3" t="s">
        <v>31</v>
      </c>
      <c r="F1124" s="3" t="b">
        <v>0</v>
      </c>
      <c r="G1124" s="3" t="s">
        <v>110</v>
      </c>
      <c r="H1124" s="6">
        <v>44954.723009259258</v>
      </c>
      <c r="I1124" s="3" t="b">
        <v>0</v>
      </c>
      <c r="J1124" s="3" t="b">
        <v>1</v>
      </c>
      <c r="K1124" s="3" t="s">
        <v>110</v>
      </c>
      <c r="L1124" s="3" t="s">
        <v>34</v>
      </c>
      <c r="M1124" s="8">
        <v>145000</v>
      </c>
      <c r="N1124" s="11"/>
      <c r="O1124" s="3" t="s">
        <v>310</v>
      </c>
      <c r="P1124" s="3" t="s">
        <v>892</v>
      </c>
    </row>
    <row r="1125" spans="1:16" x14ac:dyDescent="0.3">
      <c r="A1125" s="3" t="s">
        <v>66</v>
      </c>
      <c r="B1125" s="3" t="s">
        <v>912</v>
      </c>
      <c r="C1125" s="3" t="s">
        <v>87</v>
      </c>
      <c r="D1125" s="3" t="s">
        <v>30</v>
      </c>
      <c r="E1125" s="3" t="s">
        <v>31</v>
      </c>
      <c r="F1125" s="3" t="b">
        <v>1</v>
      </c>
      <c r="G1125" s="3" t="s">
        <v>140</v>
      </c>
      <c r="H1125" s="6">
        <v>44950.707858796297</v>
      </c>
      <c r="I1125" s="3" t="b">
        <v>0</v>
      </c>
      <c r="J1125" s="3" t="b">
        <v>0</v>
      </c>
      <c r="K1125" s="3" t="s">
        <v>33</v>
      </c>
      <c r="L1125" s="3" t="s">
        <v>34</v>
      </c>
      <c r="M1125" s="8">
        <v>131000</v>
      </c>
      <c r="N1125" s="11"/>
      <c r="O1125" s="3" t="s">
        <v>913</v>
      </c>
      <c r="P1125" s="3"/>
    </row>
    <row r="1126" spans="1:16" x14ac:dyDescent="0.3">
      <c r="A1126" s="3" t="s">
        <v>66</v>
      </c>
      <c r="B1126" s="3" t="s">
        <v>66</v>
      </c>
      <c r="C1126" s="3" t="s">
        <v>549</v>
      </c>
      <c r="D1126" s="3" t="s">
        <v>93</v>
      </c>
      <c r="E1126" s="3" t="s">
        <v>31</v>
      </c>
      <c r="F1126" s="3" t="b">
        <v>0</v>
      </c>
      <c r="G1126" s="3" t="s">
        <v>58</v>
      </c>
      <c r="H1126" s="6">
        <v>44938.383032407408</v>
      </c>
      <c r="I1126" s="3" t="b">
        <v>0</v>
      </c>
      <c r="J1126" s="3" t="b">
        <v>0</v>
      </c>
      <c r="K1126" s="3" t="s">
        <v>33</v>
      </c>
      <c r="L1126" s="3" t="s">
        <v>34</v>
      </c>
      <c r="M1126" s="8">
        <v>90000</v>
      </c>
      <c r="N1126" s="11"/>
      <c r="O1126" s="3" t="s">
        <v>914</v>
      </c>
      <c r="P1126" s="3" t="s">
        <v>915</v>
      </c>
    </row>
    <row r="1127" spans="1:16" x14ac:dyDescent="0.3">
      <c r="A1127" s="3" t="s">
        <v>66</v>
      </c>
      <c r="B1127" s="3" t="s">
        <v>916</v>
      </c>
      <c r="C1127" s="3" t="s">
        <v>87</v>
      </c>
      <c r="D1127" s="3" t="s">
        <v>30</v>
      </c>
      <c r="E1127" s="3" t="s">
        <v>31</v>
      </c>
      <c r="F1127" s="3" t="b">
        <v>1</v>
      </c>
      <c r="G1127" s="3" t="s">
        <v>110</v>
      </c>
      <c r="H1127" s="6">
        <v>44957.857835648138</v>
      </c>
      <c r="I1127" s="3" t="b">
        <v>0</v>
      </c>
      <c r="J1127" s="3" t="b">
        <v>0</v>
      </c>
      <c r="K1127" s="3" t="s">
        <v>110</v>
      </c>
      <c r="L1127" s="3" t="s">
        <v>34</v>
      </c>
      <c r="M1127" s="8">
        <v>151000</v>
      </c>
      <c r="N1127" s="11"/>
      <c r="O1127" s="3" t="s">
        <v>917</v>
      </c>
      <c r="P1127" s="3" t="s">
        <v>918</v>
      </c>
    </row>
    <row r="1128" spans="1:16" x14ac:dyDescent="0.3">
      <c r="A1128" s="3" t="s">
        <v>66</v>
      </c>
      <c r="B1128" s="3" t="s">
        <v>919</v>
      </c>
      <c r="C1128" s="3" t="s">
        <v>491</v>
      </c>
      <c r="D1128" s="3" t="s">
        <v>30</v>
      </c>
      <c r="E1128" s="3" t="s">
        <v>31</v>
      </c>
      <c r="F1128" s="3" t="b">
        <v>0</v>
      </c>
      <c r="G1128" s="3" t="s">
        <v>64</v>
      </c>
      <c r="H1128" s="6">
        <v>44944.630983796298</v>
      </c>
      <c r="I1128" s="3" t="b">
        <v>0</v>
      </c>
      <c r="J1128" s="3" t="b">
        <v>0</v>
      </c>
      <c r="K1128" s="3" t="s">
        <v>33</v>
      </c>
      <c r="L1128" s="3" t="s">
        <v>34</v>
      </c>
      <c r="M1128" s="8">
        <v>117500</v>
      </c>
      <c r="N1128" s="11"/>
      <c r="O1128" s="3" t="s">
        <v>727</v>
      </c>
      <c r="P1128" s="3" t="s">
        <v>920</v>
      </c>
    </row>
    <row r="1129" spans="1:16" x14ac:dyDescent="0.3">
      <c r="A1129" s="3" t="s">
        <v>66</v>
      </c>
      <c r="B1129" s="3" t="s">
        <v>928</v>
      </c>
      <c r="C1129" s="3" t="s">
        <v>903</v>
      </c>
      <c r="D1129" s="3" t="s">
        <v>41</v>
      </c>
      <c r="E1129" s="3" t="s">
        <v>31</v>
      </c>
      <c r="F1129" s="3" t="b">
        <v>0</v>
      </c>
      <c r="G1129" s="3" t="s">
        <v>436</v>
      </c>
      <c r="H1129" s="6">
        <v>44931.065636574072</v>
      </c>
      <c r="I1129" s="3" t="b">
        <v>1</v>
      </c>
      <c r="J1129" s="3" t="b">
        <v>0</v>
      </c>
      <c r="K1129" s="3" t="s">
        <v>436</v>
      </c>
      <c r="L1129" s="3" t="s">
        <v>34</v>
      </c>
      <c r="M1129" s="8">
        <v>96760.5</v>
      </c>
      <c r="N1129" s="11"/>
      <c r="O1129" s="3" t="s">
        <v>875</v>
      </c>
      <c r="P1129" s="3" t="s">
        <v>929</v>
      </c>
    </row>
    <row r="1130" spans="1:16" x14ac:dyDescent="0.3">
      <c r="A1130" s="3" t="s">
        <v>66</v>
      </c>
      <c r="B1130" s="3" t="s">
        <v>933</v>
      </c>
      <c r="C1130" s="3" t="s">
        <v>40</v>
      </c>
      <c r="D1130" s="3" t="s">
        <v>41</v>
      </c>
      <c r="E1130" s="3" t="s">
        <v>31</v>
      </c>
      <c r="F1130" s="3" t="b">
        <v>0</v>
      </c>
      <c r="G1130" s="3" t="s">
        <v>42</v>
      </c>
      <c r="H1130" s="6">
        <v>44945.539236111108</v>
      </c>
      <c r="I1130" s="3" t="b">
        <v>0</v>
      </c>
      <c r="J1130" s="3" t="b">
        <v>0</v>
      </c>
      <c r="K1130" s="3" t="s">
        <v>42</v>
      </c>
      <c r="L1130" s="3" t="s">
        <v>34</v>
      </c>
      <c r="M1130" s="8">
        <v>98283</v>
      </c>
      <c r="N1130" s="11"/>
      <c r="O1130" s="3" t="s">
        <v>850</v>
      </c>
      <c r="P1130" s="3" t="s">
        <v>934</v>
      </c>
    </row>
    <row r="1131" spans="1:16" x14ac:dyDescent="0.3">
      <c r="A1131" s="3" t="s">
        <v>66</v>
      </c>
      <c r="B1131" s="3" t="s">
        <v>543</v>
      </c>
      <c r="C1131" s="3" t="s">
        <v>87</v>
      </c>
      <c r="D1131" s="3" t="s">
        <v>940</v>
      </c>
      <c r="E1131" s="3" t="s">
        <v>31</v>
      </c>
      <c r="F1131" s="3" t="b">
        <v>1</v>
      </c>
      <c r="G1131" s="3" t="s">
        <v>58</v>
      </c>
      <c r="H1131" s="6">
        <v>44933.795624999999</v>
      </c>
      <c r="I1131" s="3" t="b">
        <v>0</v>
      </c>
      <c r="J1131" s="3" t="b">
        <v>0</v>
      </c>
      <c r="K1131" s="3" t="s">
        <v>33</v>
      </c>
      <c r="L1131" s="3" t="s">
        <v>34</v>
      </c>
      <c r="M1131" s="8">
        <v>193562.5</v>
      </c>
      <c r="N1131" s="11"/>
      <c r="O1131" s="3" t="s">
        <v>238</v>
      </c>
      <c r="P1131" s="3" t="s">
        <v>941</v>
      </c>
    </row>
    <row r="1132" spans="1:16" x14ac:dyDescent="0.3">
      <c r="A1132" s="3" t="s">
        <v>66</v>
      </c>
      <c r="B1132" s="3" t="s">
        <v>942</v>
      </c>
      <c r="C1132" s="3" t="s">
        <v>641</v>
      </c>
      <c r="D1132" s="3" t="s">
        <v>93</v>
      </c>
      <c r="E1132" s="3" t="s">
        <v>31</v>
      </c>
      <c r="F1132" s="3" t="b">
        <v>0</v>
      </c>
      <c r="G1132" s="3" t="s">
        <v>88</v>
      </c>
      <c r="H1132" s="6">
        <v>44940.507743055547</v>
      </c>
      <c r="I1132" s="3" t="b">
        <v>0</v>
      </c>
      <c r="J1132" s="3" t="b">
        <v>0</v>
      </c>
      <c r="K1132" s="3" t="s">
        <v>33</v>
      </c>
      <c r="L1132" s="3" t="s">
        <v>34</v>
      </c>
      <c r="M1132" s="8">
        <v>90000</v>
      </c>
      <c r="N1132" s="11"/>
      <c r="O1132" s="3" t="s">
        <v>943</v>
      </c>
      <c r="P1132" s="3" t="s">
        <v>944</v>
      </c>
    </row>
    <row r="1133" spans="1:16" x14ac:dyDescent="0.3">
      <c r="A1133" s="3" t="s">
        <v>66</v>
      </c>
      <c r="B1133" s="3" t="s">
        <v>113</v>
      </c>
      <c r="C1133" s="3" t="s">
        <v>945</v>
      </c>
      <c r="D1133" s="3" t="s">
        <v>30</v>
      </c>
      <c r="E1133" s="3" t="s">
        <v>31</v>
      </c>
      <c r="F1133" s="3" t="b">
        <v>0</v>
      </c>
      <c r="G1133" s="3" t="s">
        <v>110</v>
      </c>
      <c r="H1133" s="6">
        <v>44953.078263888892</v>
      </c>
      <c r="I1133" s="3" t="b">
        <v>0</v>
      </c>
      <c r="J1133" s="3" t="b">
        <v>0</v>
      </c>
      <c r="K1133" s="3" t="s">
        <v>110</v>
      </c>
      <c r="L1133" s="3" t="s">
        <v>48</v>
      </c>
      <c r="M1133" s="8"/>
      <c r="N1133" s="11">
        <v>69.699996948242188</v>
      </c>
      <c r="O1133" s="3" t="s">
        <v>114</v>
      </c>
      <c r="P1133" s="3" t="s">
        <v>946</v>
      </c>
    </row>
    <row r="1134" spans="1:16" x14ac:dyDescent="0.3">
      <c r="A1134" s="3" t="s">
        <v>66</v>
      </c>
      <c r="B1134" s="3" t="s">
        <v>66</v>
      </c>
      <c r="C1134" s="3" t="s">
        <v>947</v>
      </c>
      <c r="D1134" s="3" t="s">
        <v>76</v>
      </c>
      <c r="E1134" s="3" t="s">
        <v>31</v>
      </c>
      <c r="F1134" s="3" t="b">
        <v>0</v>
      </c>
      <c r="G1134" s="3" t="s">
        <v>140</v>
      </c>
      <c r="H1134" s="6">
        <v>44930.923298611109</v>
      </c>
      <c r="I1134" s="3" t="b">
        <v>0</v>
      </c>
      <c r="J1134" s="3" t="b">
        <v>1</v>
      </c>
      <c r="K1134" s="3" t="s">
        <v>33</v>
      </c>
      <c r="L1134" s="3" t="s">
        <v>34</v>
      </c>
      <c r="M1134" s="8">
        <v>105000</v>
      </c>
      <c r="N1134" s="11"/>
      <c r="O1134" s="3" t="s">
        <v>158</v>
      </c>
      <c r="P1134" s="3" t="s">
        <v>948</v>
      </c>
    </row>
    <row r="1135" spans="1:16" x14ac:dyDescent="0.3">
      <c r="A1135" s="3" t="s">
        <v>66</v>
      </c>
      <c r="B1135" s="3" t="s">
        <v>956</v>
      </c>
      <c r="C1135" s="3" t="s">
        <v>109</v>
      </c>
      <c r="D1135" s="3" t="s">
        <v>53</v>
      </c>
      <c r="E1135" s="3" t="s">
        <v>31</v>
      </c>
      <c r="F1135" s="3" t="b">
        <v>0</v>
      </c>
      <c r="G1135" s="3" t="s">
        <v>58</v>
      </c>
      <c r="H1135" s="6">
        <v>44933.79378472222</v>
      </c>
      <c r="I1135" s="3" t="b">
        <v>0</v>
      </c>
      <c r="J1135" s="3" t="b">
        <v>0</v>
      </c>
      <c r="K1135" s="3" t="s">
        <v>33</v>
      </c>
      <c r="L1135" s="3" t="s">
        <v>34</v>
      </c>
      <c r="M1135" s="8">
        <v>80000</v>
      </c>
      <c r="N1135" s="11"/>
      <c r="O1135" s="3" t="s">
        <v>957</v>
      </c>
      <c r="P1135" s="3" t="s">
        <v>958</v>
      </c>
    </row>
    <row r="1136" spans="1:16" x14ac:dyDescent="0.3">
      <c r="A1136" s="3" t="s">
        <v>66</v>
      </c>
      <c r="B1136" s="3" t="s">
        <v>66</v>
      </c>
      <c r="C1136" s="3" t="s">
        <v>982</v>
      </c>
      <c r="D1136" s="3" t="s">
        <v>41</v>
      </c>
      <c r="E1136" s="3" t="s">
        <v>31</v>
      </c>
      <c r="F1136" s="3" t="b">
        <v>0</v>
      </c>
      <c r="G1136" s="3" t="s">
        <v>740</v>
      </c>
      <c r="H1136" s="6">
        <v>44929.699664351851</v>
      </c>
      <c r="I1136" s="3" t="b">
        <v>0</v>
      </c>
      <c r="J1136" s="3" t="b">
        <v>0</v>
      </c>
      <c r="K1136" s="3" t="s">
        <v>740</v>
      </c>
      <c r="L1136" s="3" t="s">
        <v>34</v>
      </c>
      <c r="M1136" s="8">
        <v>98301.5</v>
      </c>
      <c r="N1136" s="11"/>
      <c r="O1136" s="3" t="s">
        <v>983</v>
      </c>
      <c r="P1136" s="3" t="s">
        <v>984</v>
      </c>
    </row>
    <row r="1137" spans="1:16" x14ac:dyDescent="0.3">
      <c r="A1137" s="3" t="s">
        <v>66</v>
      </c>
      <c r="B1137" s="3" t="s">
        <v>998</v>
      </c>
      <c r="C1137" s="3" t="s">
        <v>75</v>
      </c>
      <c r="D1137" s="3" t="s">
        <v>30</v>
      </c>
      <c r="E1137" s="3" t="s">
        <v>31</v>
      </c>
      <c r="F1137" s="3" t="b">
        <v>0</v>
      </c>
      <c r="G1137" s="3" t="s">
        <v>110</v>
      </c>
      <c r="H1137" s="6">
        <v>44954.434814814813</v>
      </c>
      <c r="I1137" s="3" t="b">
        <v>1</v>
      </c>
      <c r="J1137" s="3" t="b">
        <v>1</v>
      </c>
      <c r="K1137" s="3" t="s">
        <v>110</v>
      </c>
      <c r="L1137" s="3" t="s">
        <v>34</v>
      </c>
      <c r="M1137" s="8">
        <v>140000</v>
      </c>
      <c r="N1137" s="11"/>
      <c r="O1137" s="3" t="s">
        <v>80</v>
      </c>
      <c r="P1137" s="3" t="s">
        <v>999</v>
      </c>
    </row>
    <row r="1138" spans="1:16" x14ac:dyDescent="0.3">
      <c r="A1138" s="3" t="s">
        <v>66</v>
      </c>
      <c r="B1138" s="3" t="s">
        <v>1000</v>
      </c>
      <c r="C1138" s="3" t="s">
        <v>1001</v>
      </c>
      <c r="D1138" s="3" t="s">
        <v>41</v>
      </c>
      <c r="E1138" s="3" t="s">
        <v>31</v>
      </c>
      <c r="F1138" s="3" t="b">
        <v>0</v>
      </c>
      <c r="G1138" s="3" t="s">
        <v>317</v>
      </c>
      <c r="H1138" s="6">
        <v>44947.208032407398</v>
      </c>
      <c r="I1138" s="3" t="b">
        <v>0</v>
      </c>
      <c r="J1138" s="3" t="b">
        <v>0</v>
      </c>
      <c r="K1138" s="3" t="s">
        <v>317</v>
      </c>
      <c r="L1138" s="3" t="s">
        <v>34</v>
      </c>
      <c r="M1138" s="8">
        <v>147500</v>
      </c>
      <c r="N1138" s="11"/>
      <c r="O1138" s="3" t="s">
        <v>1002</v>
      </c>
      <c r="P1138" s="3" t="s">
        <v>1003</v>
      </c>
    </row>
    <row r="1139" spans="1:16" x14ac:dyDescent="0.3">
      <c r="A1139" s="3" t="s">
        <v>66</v>
      </c>
      <c r="B1139" s="3" t="s">
        <v>1016</v>
      </c>
      <c r="C1139" s="3" t="s">
        <v>413</v>
      </c>
      <c r="D1139" s="3" t="s">
        <v>41</v>
      </c>
      <c r="E1139" s="3" t="s">
        <v>31</v>
      </c>
      <c r="F1139" s="3" t="b">
        <v>0</v>
      </c>
      <c r="G1139" s="3" t="s">
        <v>407</v>
      </c>
      <c r="H1139" s="6">
        <v>44957.410567129627</v>
      </c>
      <c r="I1139" s="3" t="b">
        <v>0</v>
      </c>
      <c r="J1139" s="3" t="b">
        <v>0</v>
      </c>
      <c r="K1139" s="3" t="s">
        <v>407</v>
      </c>
      <c r="L1139" s="3" t="s">
        <v>34</v>
      </c>
      <c r="M1139" s="8">
        <v>89100</v>
      </c>
      <c r="N1139" s="11"/>
      <c r="O1139" s="3" t="s">
        <v>1017</v>
      </c>
      <c r="P1139" s="3" t="s">
        <v>1018</v>
      </c>
    </row>
    <row r="1140" spans="1:16" x14ac:dyDescent="0.3">
      <c r="A1140" s="3" t="s">
        <v>66</v>
      </c>
      <c r="B1140" s="3" t="s">
        <v>471</v>
      </c>
      <c r="C1140" s="3" t="s">
        <v>87</v>
      </c>
      <c r="D1140" s="3" t="s">
        <v>30</v>
      </c>
      <c r="E1140" s="3" t="s">
        <v>31</v>
      </c>
      <c r="F1140" s="3" t="b">
        <v>1</v>
      </c>
      <c r="G1140" s="3" t="s">
        <v>32</v>
      </c>
      <c r="H1140" s="6">
        <v>44939.506412037037</v>
      </c>
      <c r="I1140" s="3" t="b">
        <v>1</v>
      </c>
      <c r="J1140" s="3" t="b">
        <v>1</v>
      </c>
      <c r="K1140" s="3" t="s">
        <v>33</v>
      </c>
      <c r="L1140" s="3" t="s">
        <v>34</v>
      </c>
      <c r="M1140" s="8">
        <v>122500</v>
      </c>
      <c r="N1140" s="11"/>
      <c r="O1140" s="3" t="s">
        <v>473</v>
      </c>
      <c r="P1140" s="3" t="s">
        <v>474</v>
      </c>
    </row>
    <row r="1141" spans="1:16" x14ac:dyDescent="0.3">
      <c r="A1141" s="3" t="s">
        <v>66</v>
      </c>
      <c r="B1141" s="3" t="s">
        <v>66</v>
      </c>
      <c r="C1141" s="3" t="s">
        <v>87</v>
      </c>
      <c r="D1141" s="3" t="s">
        <v>1032</v>
      </c>
      <c r="E1141" s="3" t="s">
        <v>31</v>
      </c>
      <c r="F1141" s="3" t="b">
        <v>1</v>
      </c>
      <c r="G1141" s="3" t="s">
        <v>58</v>
      </c>
      <c r="H1141" s="6">
        <v>44951.173726851863</v>
      </c>
      <c r="I1141" s="3" t="b">
        <v>0</v>
      </c>
      <c r="J1141" s="3" t="b">
        <v>1</v>
      </c>
      <c r="K1141" s="3" t="s">
        <v>33</v>
      </c>
      <c r="L1141" s="3" t="s">
        <v>34</v>
      </c>
      <c r="M1141" s="8">
        <v>110000</v>
      </c>
      <c r="N1141" s="11"/>
      <c r="O1141" s="3" t="s">
        <v>1033</v>
      </c>
      <c r="P1141" s="3" t="s">
        <v>1034</v>
      </c>
    </row>
    <row r="1142" spans="1:16" x14ac:dyDescent="0.3">
      <c r="A1142" s="3" t="s">
        <v>66</v>
      </c>
      <c r="B1142" s="3" t="s">
        <v>1062</v>
      </c>
      <c r="C1142" s="3" t="s">
        <v>87</v>
      </c>
      <c r="D1142" s="3" t="s">
        <v>76</v>
      </c>
      <c r="E1142" s="3" t="s">
        <v>31</v>
      </c>
      <c r="F1142" s="3" t="b">
        <v>1</v>
      </c>
      <c r="G1142" s="3" t="s">
        <v>140</v>
      </c>
      <c r="H1142" s="6">
        <v>44933.049398148149</v>
      </c>
      <c r="I1142" s="3" t="b">
        <v>1</v>
      </c>
      <c r="J1142" s="3" t="b">
        <v>1</v>
      </c>
      <c r="K1142" s="3" t="s">
        <v>33</v>
      </c>
      <c r="L1142" s="3" t="s">
        <v>34</v>
      </c>
      <c r="M1142" s="8">
        <v>105000</v>
      </c>
      <c r="N1142" s="11"/>
      <c r="O1142" s="3" t="s">
        <v>1063</v>
      </c>
      <c r="P1142" s="3" t="s">
        <v>1064</v>
      </c>
    </row>
    <row r="1143" spans="1:16" x14ac:dyDescent="0.3">
      <c r="A1143" s="3" t="s">
        <v>66</v>
      </c>
      <c r="B1143" s="3" t="s">
        <v>1070</v>
      </c>
      <c r="C1143" s="3" t="s">
        <v>161</v>
      </c>
      <c r="D1143" s="3" t="s">
        <v>1071</v>
      </c>
      <c r="E1143" s="3" t="s">
        <v>31</v>
      </c>
      <c r="F1143" s="3" t="b">
        <v>0</v>
      </c>
      <c r="G1143" s="3" t="s">
        <v>64</v>
      </c>
      <c r="H1143" s="6">
        <v>44944.672476851847</v>
      </c>
      <c r="I1143" s="3" t="b">
        <v>0</v>
      </c>
      <c r="J1143" s="3" t="b">
        <v>1</v>
      </c>
      <c r="K1143" s="3" t="s">
        <v>33</v>
      </c>
      <c r="L1143" s="3" t="s">
        <v>34</v>
      </c>
      <c r="M1143" s="8">
        <v>99800</v>
      </c>
      <c r="N1143" s="11"/>
      <c r="O1143" s="3" t="s">
        <v>1072</v>
      </c>
      <c r="P1143" s="3" t="s">
        <v>1073</v>
      </c>
    </row>
    <row r="1144" spans="1:16" x14ac:dyDescent="0.3">
      <c r="A1144" s="3" t="s">
        <v>66</v>
      </c>
      <c r="B1144" s="3" t="s">
        <v>1080</v>
      </c>
      <c r="C1144" s="3" t="s">
        <v>87</v>
      </c>
      <c r="D1144" s="3" t="s">
        <v>30</v>
      </c>
      <c r="E1144" s="3" t="s">
        <v>133</v>
      </c>
      <c r="F1144" s="3" t="b">
        <v>1</v>
      </c>
      <c r="G1144" s="3" t="s">
        <v>32</v>
      </c>
      <c r="H1144" s="6">
        <v>44944.923055555562</v>
      </c>
      <c r="I1144" s="3" t="b">
        <v>0</v>
      </c>
      <c r="J1144" s="3" t="b">
        <v>0</v>
      </c>
      <c r="K1144" s="3" t="s">
        <v>33</v>
      </c>
      <c r="L1144" s="3" t="s">
        <v>48</v>
      </c>
      <c r="M1144" s="8"/>
      <c r="N1144" s="11">
        <v>52.5</v>
      </c>
      <c r="O1144" s="3" t="s">
        <v>589</v>
      </c>
      <c r="P1144" s="3" t="s">
        <v>1081</v>
      </c>
    </row>
    <row r="1145" spans="1:16" x14ac:dyDescent="0.3">
      <c r="A1145" s="3" t="s">
        <v>66</v>
      </c>
      <c r="B1145" s="3" t="s">
        <v>1082</v>
      </c>
      <c r="C1145" s="3" t="s">
        <v>1083</v>
      </c>
      <c r="D1145" s="3" t="s">
        <v>93</v>
      </c>
      <c r="E1145" s="3" t="s">
        <v>31</v>
      </c>
      <c r="F1145" s="3" t="b">
        <v>0</v>
      </c>
      <c r="G1145" s="3" t="s">
        <v>32</v>
      </c>
      <c r="H1145" s="6">
        <v>44953.423344907409</v>
      </c>
      <c r="I1145" s="3" t="b">
        <v>0</v>
      </c>
      <c r="J1145" s="3" t="b">
        <v>1</v>
      </c>
      <c r="K1145" s="3" t="s">
        <v>33</v>
      </c>
      <c r="L1145" s="3" t="s">
        <v>34</v>
      </c>
      <c r="M1145" s="8">
        <v>200000</v>
      </c>
      <c r="N1145" s="11"/>
      <c r="O1145" s="3" t="s">
        <v>1084</v>
      </c>
      <c r="P1145" s="3" t="s">
        <v>1085</v>
      </c>
    </row>
    <row r="1146" spans="1:16" x14ac:dyDescent="0.3">
      <c r="A1146" s="3" t="s">
        <v>66</v>
      </c>
      <c r="B1146" s="3" t="s">
        <v>1091</v>
      </c>
      <c r="C1146" s="3" t="s">
        <v>1092</v>
      </c>
      <c r="D1146" s="3" t="s">
        <v>93</v>
      </c>
      <c r="E1146" s="3" t="s">
        <v>31</v>
      </c>
      <c r="F1146" s="3" t="b">
        <v>0</v>
      </c>
      <c r="G1146" s="3" t="s">
        <v>58</v>
      </c>
      <c r="H1146" s="6">
        <v>44953.423900462964</v>
      </c>
      <c r="I1146" s="3" t="b">
        <v>0</v>
      </c>
      <c r="J1146" s="3" t="b">
        <v>1</v>
      </c>
      <c r="K1146" s="3" t="s">
        <v>33</v>
      </c>
      <c r="L1146" s="3" t="s">
        <v>34</v>
      </c>
      <c r="M1146" s="8">
        <v>200000</v>
      </c>
      <c r="N1146" s="11"/>
      <c r="O1146" s="3" t="s">
        <v>1084</v>
      </c>
      <c r="P1146" s="3" t="s">
        <v>1093</v>
      </c>
    </row>
    <row r="1147" spans="1:16" x14ac:dyDescent="0.3">
      <c r="A1147" s="3" t="s">
        <v>66</v>
      </c>
      <c r="B1147" s="3" t="s">
        <v>1098</v>
      </c>
      <c r="C1147" s="3" t="s">
        <v>1099</v>
      </c>
      <c r="D1147" s="3" t="s">
        <v>30</v>
      </c>
      <c r="E1147" s="3" t="s">
        <v>31</v>
      </c>
      <c r="F1147" s="3" t="b">
        <v>0</v>
      </c>
      <c r="G1147" s="3" t="s">
        <v>32</v>
      </c>
      <c r="H1147" s="6">
        <v>44930.150821759264</v>
      </c>
      <c r="I1147" s="3" t="b">
        <v>0</v>
      </c>
      <c r="J1147" s="3" t="b">
        <v>0</v>
      </c>
      <c r="K1147" s="3" t="s">
        <v>33</v>
      </c>
      <c r="L1147" s="3" t="s">
        <v>34</v>
      </c>
      <c r="M1147" s="8">
        <v>105000</v>
      </c>
      <c r="N1147" s="11"/>
      <c r="O1147" s="3" t="s">
        <v>1100</v>
      </c>
      <c r="P1147" s="3" t="s">
        <v>1101</v>
      </c>
    </row>
    <row r="1148" spans="1:16" x14ac:dyDescent="0.3">
      <c r="A1148" s="3" t="s">
        <v>66</v>
      </c>
      <c r="B1148" s="3" t="s">
        <v>1109</v>
      </c>
      <c r="C1148" s="3" t="s">
        <v>1110</v>
      </c>
      <c r="D1148" s="3" t="s">
        <v>76</v>
      </c>
      <c r="E1148" s="3" t="s">
        <v>31</v>
      </c>
      <c r="F1148" s="3" t="b">
        <v>0</v>
      </c>
      <c r="G1148" s="3" t="s">
        <v>84</v>
      </c>
      <c r="H1148" s="6">
        <v>44930.688356481478</v>
      </c>
      <c r="I1148" s="3" t="b">
        <v>1</v>
      </c>
      <c r="J1148" s="3" t="b">
        <v>0</v>
      </c>
      <c r="K1148" s="3" t="s">
        <v>33</v>
      </c>
      <c r="L1148" s="3" t="s">
        <v>34</v>
      </c>
      <c r="M1148" s="8">
        <v>106256.8984375</v>
      </c>
      <c r="N1148" s="11"/>
      <c r="O1148" s="3" t="s">
        <v>1111</v>
      </c>
      <c r="P1148" s="3" t="s">
        <v>1112</v>
      </c>
    </row>
    <row r="1149" spans="1:16" x14ac:dyDescent="0.3">
      <c r="A1149" s="3" t="s">
        <v>66</v>
      </c>
      <c r="B1149" s="3" t="s">
        <v>343</v>
      </c>
      <c r="C1149" s="3" t="s">
        <v>1092</v>
      </c>
      <c r="D1149" s="3" t="s">
        <v>1113</v>
      </c>
      <c r="E1149" s="3" t="s">
        <v>31</v>
      </c>
      <c r="F1149" s="3" t="b">
        <v>0</v>
      </c>
      <c r="G1149" s="3" t="s">
        <v>84</v>
      </c>
      <c r="H1149" s="6">
        <v>44948.715138888889</v>
      </c>
      <c r="I1149" s="3" t="b">
        <v>0</v>
      </c>
      <c r="J1149" s="3" t="b">
        <v>1</v>
      </c>
      <c r="K1149" s="3" t="s">
        <v>33</v>
      </c>
      <c r="L1149" s="3" t="s">
        <v>34</v>
      </c>
      <c r="M1149" s="8">
        <v>58926</v>
      </c>
      <c r="N1149" s="11"/>
      <c r="O1149" s="3" t="s">
        <v>238</v>
      </c>
      <c r="P1149" s="3" t="s">
        <v>1093</v>
      </c>
    </row>
    <row r="1150" spans="1:16" x14ac:dyDescent="0.3">
      <c r="A1150" s="3" t="s">
        <v>66</v>
      </c>
      <c r="B1150" s="3" t="s">
        <v>1114</v>
      </c>
      <c r="C1150" s="3" t="s">
        <v>33</v>
      </c>
      <c r="D1150" s="3" t="s">
        <v>30</v>
      </c>
      <c r="E1150" s="3" t="s">
        <v>31</v>
      </c>
      <c r="F1150" s="3" t="b">
        <v>0</v>
      </c>
      <c r="G1150" s="3" t="s">
        <v>84</v>
      </c>
      <c r="H1150" s="6">
        <v>44951.934108796297</v>
      </c>
      <c r="I1150" s="3" t="b">
        <v>0</v>
      </c>
      <c r="J1150" s="3" t="b">
        <v>0</v>
      </c>
      <c r="K1150" s="3" t="s">
        <v>33</v>
      </c>
      <c r="L1150" s="3" t="s">
        <v>34</v>
      </c>
      <c r="M1150" s="8">
        <v>105000</v>
      </c>
      <c r="N1150" s="11"/>
      <c r="O1150" s="3" t="s">
        <v>1115</v>
      </c>
      <c r="P1150" s="3" t="s">
        <v>1116</v>
      </c>
    </row>
    <row r="1151" spans="1:16" x14ac:dyDescent="0.3">
      <c r="A1151" s="3" t="s">
        <v>66</v>
      </c>
      <c r="B1151" s="3" t="s">
        <v>66</v>
      </c>
      <c r="C1151" s="3" t="s">
        <v>33</v>
      </c>
      <c r="D1151" s="3" t="s">
        <v>30</v>
      </c>
      <c r="E1151" s="3" t="s">
        <v>31</v>
      </c>
      <c r="F1151" s="3" t="b">
        <v>0</v>
      </c>
      <c r="G1151" s="3" t="s">
        <v>88</v>
      </c>
      <c r="H1151" s="6">
        <v>44946.357546296298</v>
      </c>
      <c r="I1151" s="3" t="b">
        <v>0</v>
      </c>
      <c r="J1151" s="3" t="b">
        <v>1</v>
      </c>
      <c r="K1151" s="3" t="s">
        <v>33</v>
      </c>
      <c r="L1151" s="3" t="s">
        <v>34</v>
      </c>
      <c r="M1151" s="8">
        <v>105000</v>
      </c>
      <c r="N1151" s="11"/>
      <c r="O1151" s="3" t="s">
        <v>158</v>
      </c>
      <c r="P1151" s="3" t="s">
        <v>1121</v>
      </c>
    </row>
    <row r="1152" spans="1:16" x14ac:dyDescent="0.3">
      <c r="A1152" s="3" t="s">
        <v>66</v>
      </c>
      <c r="B1152" s="3" t="s">
        <v>1128</v>
      </c>
      <c r="C1152" s="3" t="s">
        <v>386</v>
      </c>
      <c r="D1152" s="3" t="s">
        <v>41</v>
      </c>
      <c r="E1152" s="3" t="s">
        <v>31</v>
      </c>
      <c r="F1152" s="3" t="b">
        <v>0</v>
      </c>
      <c r="G1152" s="3" t="s">
        <v>386</v>
      </c>
      <c r="H1152" s="6">
        <v>44956.523541666669</v>
      </c>
      <c r="I1152" s="3" t="b">
        <v>0</v>
      </c>
      <c r="J1152" s="3" t="b">
        <v>0</v>
      </c>
      <c r="K1152" s="3" t="s">
        <v>386</v>
      </c>
      <c r="L1152" s="3" t="s">
        <v>34</v>
      </c>
      <c r="M1152" s="8">
        <v>64800</v>
      </c>
      <c r="N1152" s="11"/>
      <c r="O1152" s="3" t="s">
        <v>1129</v>
      </c>
      <c r="P1152" s="3" t="s">
        <v>1130</v>
      </c>
    </row>
    <row r="1153" spans="1:16" x14ac:dyDescent="0.3">
      <c r="A1153" s="3" t="s">
        <v>66</v>
      </c>
      <c r="B1153" s="3" t="s">
        <v>66</v>
      </c>
      <c r="C1153" s="3" t="s">
        <v>1134</v>
      </c>
      <c r="D1153" s="3" t="s">
        <v>76</v>
      </c>
      <c r="E1153" s="3" t="s">
        <v>31</v>
      </c>
      <c r="F1153" s="3" t="b">
        <v>0</v>
      </c>
      <c r="G1153" s="3" t="s">
        <v>64</v>
      </c>
      <c r="H1153" s="6">
        <v>44936.807592592602</v>
      </c>
      <c r="I1153" s="3" t="b">
        <v>0</v>
      </c>
      <c r="J1153" s="3" t="b">
        <v>0</v>
      </c>
      <c r="K1153" s="3" t="s">
        <v>33</v>
      </c>
      <c r="L1153" s="3" t="s">
        <v>48</v>
      </c>
      <c r="M1153" s="8"/>
      <c r="N1153" s="11">
        <v>60</v>
      </c>
      <c r="O1153" s="3" t="s">
        <v>1135</v>
      </c>
      <c r="P1153" s="3" t="s">
        <v>1136</v>
      </c>
    </row>
    <row r="1154" spans="1:16" x14ac:dyDescent="0.3">
      <c r="A1154" s="3" t="s">
        <v>66</v>
      </c>
      <c r="B1154" s="3" t="s">
        <v>1137</v>
      </c>
      <c r="C1154" s="3" t="s">
        <v>314</v>
      </c>
      <c r="D1154" s="3" t="s">
        <v>106</v>
      </c>
      <c r="E1154" s="3" t="s">
        <v>31</v>
      </c>
      <c r="F1154" s="3" t="b">
        <v>0</v>
      </c>
      <c r="G1154" s="3" t="s">
        <v>58</v>
      </c>
      <c r="H1154" s="6">
        <v>44939.340231481481</v>
      </c>
      <c r="I1154" s="3" t="b">
        <v>0</v>
      </c>
      <c r="J1154" s="3" t="b">
        <v>0</v>
      </c>
      <c r="K1154" s="3" t="s">
        <v>33</v>
      </c>
      <c r="L1154" s="3" t="s">
        <v>34</v>
      </c>
      <c r="M1154" s="8">
        <v>190950</v>
      </c>
      <c r="N1154" s="11"/>
      <c r="O1154" s="3" t="s">
        <v>238</v>
      </c>
      <c r="P1154" s="3" t="s">
        <v>1138</v>
      </c>
    </row>
    <row r="1155" spans="1:16" x14ac:dyDescent="0.3">
      <c r="A1155" s="3" t="s">
        <v>66</v>
      </c>
      <c r="B1155" s="3" t="s">
        <v>1142</v>
      </c>
      <c r="C1155" s="3" t="s">
        <v>87</v>
      </c>
      <c r="D1155" s="3" t="s">
        <v>30</v>
      </c>
      <c r="E1155" s="3" t="s">
        <v>133</v>
      </c>
      <c r="F1155" s="3" t="b">
        <v>1</v>
      </c>
      <c r="G1155" s="3" t="s">
        <v>110</v>
      </c>
      <c r="H1155" s="6">
        <v>44931.705439814818</v>
      </c>
      <c r="I1155" s="3" t="b">
        <v>0</v>
      </c>
      <c r="J1155" s="3" t="b">
        <v>0</v>
      </c>
      <c r="K1155" s="3" t="s">
        <v>110</v>
      </c>
      <c r="L1155" s="3" t="s">
        <v>34</v>
      </c>
      <c r="M1155" s="8">
        <v>122500</v>
      </c>
      <c r="N1155" s="11"/>
      <c r="O1155" s="3" t="s">
        <v>1143</v>
      </c>
      <c r="P1155" s="3" t="s">
        <v>1144</v>
      </c>
    </row>
    <row r="1156" spans="1:16" x14ac:dyDescent="0.3">
      <c r="A1156" s="3" t="s">
        <v>66</v>
      </c>
      <c r="B1156" s="3" t="s">
        <v>611</v>
      </c>
      <c r="C1156" s="3" t="s">
        <v>87</v>
      </c>
      <c r="D1156" s="3" t="s">
        <v>860</v>
      </c>
      <c r="E1156" s="3" t="s">
        <v>31</v>
      </c>
      <c r="F1156" s="3" t="b">
        <v>1</v>
      </c>
      <c r="G1156" s="3" t="s">
        <v>64</v>
      </c>
      <c r="H1156" s="6">
        <v>44934.628321759257</v>
      </c>
      <c r="I1156" s="3" t="b">
        <v>1</v>
      </c>
      <c r="J1156" s="3" t="b">
        <v>1</v>
      </c>
      <c r="K1156" s="3" t="s">
        <v>33</v>
      </c>
      <c r="L1156" s="3" t="s">
        <v>34</v>
      </c>
      <c r="M1156" s="8">
        <v>245000</v>
      </c>
      <c r="N1156" s="11"/>
      <c r="O1156" s="3" t="s">
        <v>1154</v>
      </c>
      <c r="P1156" s="3" t="s">
        <v>756</v>
      </c>
    </row>
    <row r="1157" spans="1:16" x14ac:dyDescent="0.3">
      <c r="A1157" s="3" t="s">
        <v>66</v>
      </c>
      <c r="B1157" s="3" t="s">
        <v>66</v>
      </c>
      <c r="C1157" s="3" t="s">
        <v>1155</v>
      </c>
      <c r="D1157" s="3" t="s">
        <v>76</v>
      </c>
      <c r="E1157" s="3" t="s">
        <v>133</v>
      </c>
      <c r="F1157" s="3" t="b">
        <v>0</v>
      </c>
      <c r="G1157" s="3" t="s">
        <v>88</v>
      </c>
      <c r="H1157" s="6">
        <v>44927.603090277778</v>
      </c>
      <c r="I1157" s="3" t="b">
        <v>0</v>
      </c>
      <c r="J1157" s="3" t="b">
        <v>0</v>
      </c>
      <c r="K1157" s="3" t="s">
        <v>33</v>
      </c>
      <c r="L1157" s="3" t="s">
        <v>34</v>
      </c>
      <c r="M1157" s="8">
        <v>165000</v>
      </c>
      <c r="N1157" s="11"/>
      <c r="O1157" s="3" t="s">
        <v>1156</v>
      </c>
      <c r="P1157" s="3" t="s">
        <v>1157</v>
      </c>
    </row>
    <row r="1158" spans="1:16" x14ac:dyDescent="0.3">
      <c r="A1158" s="3" t="s">
        <v>66</v>
      </c>
      <c r="B1158" s="3" t="s">
        <v>1158</v>
      </c>
      <c r="C1158" s="3" t="s">
        <v>1159</v>
      </c>
      <c r="D1158" s="3" t="s">
        <v>41</v>
      </c>
      <c r="E1158" s="3" t="s">
        <v>31</v>
      </c>
      <c r="F1158" s="3" t="b">
        <v>0</v>
      </c>
      <c r="G1158" s="3" t="s">
        <v>64</v>
      </c>
      <c r="H1158" s="6">
        <v>44938.422696759262</v>
      </c>
      <c r="I1158" s="3" t="b">
        <v>0</v>
      </c>
      <c r="J1158" s="3" t="b">
        <v>1</v>
      </c>
      <c r="K1158" s="3" t="s">
        <v>33</v>
      </c>
      <c r="L1158" s="3" t="s">
        <v>34</v>
      </c>
      <c r="M1158" s="8">
        <v>133000</v>
      </c>
      <c r="N1158" s="11"/>
      <c r="O1158" s="3" t="s">
        <v>1160</v>
      </c>
      <c r="P1158" s="3" t="s">
        <v>1161</v>
      </c>
    </row>
    <row r="1159" spans="1:16" x14ac:dyDescent="0.3">
      <c r="A1159" s="3" t="s">
        <v>66</v>
      </c>
      <c r="B1159" s="3" t="s">
        <v>66</v>
      </c>
      <c r="C1159" s="3" t="s">
        <v>1170</v>
      </c>
      <c r="D1159" s="3" t="s">
        <v>41</v>
      </c>
      <c r="E1159" s="3" t="s">
        <v>31</v>
      </c>
      <c r="F1159" s="3" t="b">
        <v>0</v>
      </c>
      <c r="G1159" s="3" t="s">
        <v>1171</v>
      </c>
      <c r="H1159" s="6">
        <v>44943.353842592587</v>
      </c>
      <c r="I1159" s="3" t="b">
        <v>1</v>
      </c>
      <c r="J1159" s="3" t="b">
        <v>0</v>
      </c>
      <c r="K1159" s="3" t="s">
        <v>1171</v>
      </c>
      <c r="L1159" s="3" t="s">
        <v>34</v>
      </c>
      <c r="M1159" s="8">
        <v>98283</v>
      </c>
      <c r="N1159" s="11"/>
      <c r="O1159" s="3" t="s">
        <v>1172</v>
      </c>
      <c r="P1159" s="3" t="s">
        <v>1173</v>
      </c>
    </row>
    <row r="1160" spans="1:16" x14ac:dyDescent="0.3">
      <c r="A1160" s="3" t="s">
        <v>66</v>
      </c>
      <c r="B1160" s="3" t="s">
        <v>66</v>
      </c>
      <c r="C1160" s="3" t="s">
        <v>164</v>
      </c>
      <c r="D1160" s="3" t="s">
        <v>30</v>
      </c>
      <c r="E1160" s="3" t="s">
        <v>133</v>
      </c>
      <c r="F1160" s="3" t="b">
        <v>0</v>
      </c>
      <c r="G1160" s="3" t="s">
        <v>84</v>
      </c>
      <c r="H1160" s="6">
        <v>44957.048495370371</v>
      </c>
      <c r="I1160" s="3" t="b">
        <v>0</v>
      </c>
      <c r="J1160" s="3" t="b">
        <v>0</v>
      </c>
      <c r="K1160" s="3" t="s">
        <v>33</v>
      </c>
      <c r="L1160" s="3" t="s">
        <v>48</v>
      </c>
      <c r="M1160" s="8"/>
      <c r="N1160" s="11">
        <v>100</v>
      </c>
      <c r="O1160" s="3" t="s">
        <v>1174</v>
      </c>
      <c r="P1160" s="3" t="s">
        <v>1175</v>
      </c>
    </row>
    <row r="1161" spans="1:16" x14ac:dyDescent="0.3">
      <c r="A1161" s="3" t="s">
        <v>66</v>
      </c>
      <c r="B1161" s="3" t="s">
        <v>1181</v>
      </c>
      <c r="C1161" s="3" t="s">
        <v>75</v>
      </c>
      <c r="D1161" s="3" t="s">
        <v>53</v>
      </c>
      <c r="E1161" s="3" t="s">
        <v>31</v>
      </c>
      <c r="F1161" s="3" t="b">
        <v>0</v>
      </c>
      <c r="G1161" s="3" t="s">
        <v>32</v>
      </c>
      <c r="H1161" s="6">
        <v>44928.546041666668</v>
      </c>
      <c r="I1161" s="3" t="b">
        <v>0</v>
      </c>
      <c r="J1161" s="3" t="b">
        <v>0</v>
      </c>
      <c r="K1161" s="3" t="s">
        <v>33</v>
      </c>
      <c r="L1161" s="3" t="s">
        <v>48</v>
      </c>
      <c r="M1161" s="8"/>
      <c r="N1161" s="11">
        <v>25.5</v>
      </c>
      <c r="O1161" s="3" t="s">
        <v>1182</v>
      </c>
      <c r="P1161" s="3" t="s">
        <v>1183</v>
      </c>
    </row>
    <row r="1162" spans="1:16" x14ac:dyDescent="0.3">
      <c r="A1162" s="3" t="s">
        <v>66</v>
      </c>
      <c r="B1162" s="3" t="s">
        <v>66</v>
      </c>
      <c r="C1162" s="3" t="s">
        <v>1184</v>
      </c>
      <c r="D1162" s="3" t="s">
        <v>827</v>
      </c>
      <c r="E1162" s="3" t="s">
        <v>31</v>
      </c>
      <c r="F1162" s="3" t="b">
        <v>0</v>
      </c>
      <c r="G1162" s="3" t="s">
        <v>32</v>
      </c>
      <c r="H1162" s="6">
        <v>44955.672164351847</v>
      </c>
      <c r="I1162" s="3" t="b">
        <v>0</v>
      </c>
      <c r="J1162" s="3" t="b">
        <v>0</v>
      </c>
      <c r="K1162" s="3" t="s">
        <v>33</v>
      </c>
      <c r="L1162" s="3" t="s">
        <v>34</v>
      </c>
      <c r="M1162" s="8">
        <v>147500</v>
      </c>
      <c r="N1162" s="11"/>
      <c r="O1162" s="3" t="s">
        <v>1185</v>
      </c>
      <c r="P1162" s="3" t="s">
        <v>1186</v>
      </c>
    </row>
    <row r="1163" spans="1:16" x14ac:dyDescent="0.3">
      <c r="A1163" s="3" t="s">
        <v>66</v>
      </c>
      <c r="B1163" s="3" t="s">
        <v>1187</v>
      </c>
      <c r="C1163" s="3" t="s">
        <v>1188</v>
      </c>
      <c r="D1163" s="3" t="s">
        <v>53</v>
      </c>
      <c r="E1163" s="3" t="s">
        <v>31</v>
      </c>
      <c r="F1163" s="3" t="b">
        <v>0</v>
      </c>
      <c r="G1163" s="3" t="s">
        <v>32</v>
      </c>
      <c r="H1163" s="6">
        <v>44957.962673611109</v>
      </c>
      <c r="I1163" s="3" t="b">
        <v>0</v>
      </c>
      <c r="J1163" s="3" t="b">
        <v>1</v>
      </c>
      <c r="K1163" s="3" t="s">
        <v>33</v>
      </c>
      <c r="L1163" s="3" t="s">
        <v>48</v>
      </c>
      <c r="M1163" s="8"/>
      <c r="N1163" s="11">
        <v>84.209999084472656</v>
      </c>
      <c r="O1163" s="3" t="s">
        <v>1189</v>
      </c>
      <c r="P1163" s="3" t="s">
        <v>313</v>
      </c>
    </row>
    <row r="1164" spans="1:16" x14ac:dyDescent="0.3">
      <c r="A1164" s="3" t="s">
        <v>66</v>
      </c>
      <c r="B1164" s="3" t="s">
        <v>66</v>
      </c>
      <c r="C1164" s="3" t="s">
        <v>87</v>
      </c>
      <c r="D1164" s="3" t="s">
        <v>76</v>
      </c>
      <c r="E1164" s="3" t="s">
        <v>31</v>
      </c>
      <c r="F1164" s="3" t="b">
        <v>1</v>
      </c>
      <c r="G1164" s="3" t="s">
        <v>110</v>
      </c>
      <c r="H1164" s="6">
        <v>44928.781446759262</v>
      </c>
      <c r="I1164" s="3" t="b">
        <v>1</v>
      </c>
      <c r="J1164" s="3" t="b">
        <v>1</v>
      </c>
      <c r="K1164" s="3" t="s">
        <v>110</v>
      </c>
      <c r="L1164" s="3" t="s">
        <v>34</v>
      </c>
      <c r="M1164" s="8">
        <v>137320.3125</v>
      </c>
      <c r="N1164" s="11"/>
      <c r="O1164" s="3" t="s">
        <v>1196</v>
      </c>
      <c r="P1164" s="3" t="s">
        <v>1197</v>
      </c>
    </row>
    <row r="1165" spans="1:16" x14ac:dyDescent="0.3">
      <c r="A1165" s="3" t="s">
        <v>66</v>
      </c>
      <c r="B1165" s="3" t="s">
        <v>1207</v>
      </c>
      <c r="C1165" s="3" t="s">
        <v>1208</v>
      </c>
      <c r="D1165" s="3" t="s">
        <v>30</v>
      </c>
      <c r="E1165" s="3" t="s">
        <v>31</v>
      </c>
      <c r="F1165" s="3" t="b">
        <v>0</v>
      </c>
      <c r="G1165" s="3" t="s">
        <v>110</v>
      </c>
      <c r="H1165" s="6">
        <v>44937.784861111111</v>
      </c>
      <c r="I1165" s="3" t="b">
        <v>0</v>
      </c>
      <c r="J1165" s="3" t="b">
        <v>0</v>
      </c>
      <c r="K1165" s="3" t="s">
        <v>110</v>
      </c>
      <c r="L1165" s="3" t="s">
        <v>34</v>
      </c>
      <c r="M1165" s="8">
        <v>98275.5</v>
      </c>
      <c r="N1165" s="11"/>
      <c r="O1165" s="3" t="s">
        <v>1209</v>
      </c>
      <c r="P1165" s="3" t="s">
        <v>1210</v>
      </c>
    </row>
    <row r="1166" spans="1:16" x14ac:dyDescent="0.3">
      <c r="A1166" s="3" t="s">
        <v>66</v>
      </c>
      <c r="B1166" s="3" t="s">
        <v>1219</v>
      </c>
      <c r="C1166" s="3" t="s">
        <v>1220</v>
      </c>
      <c r="D1166" s="3" t="s">
        <v>370</v>
      </c>
      <c r="E1166" s="3" t="s">
        <v>31</v>
      </c>
      <c r="F1166" s="3" t="b">
        <v>0</v>
      </c>
      <c r="G1166" s="3" t="s">
        <v>58</v>
      </c>
      <c r="H1166" s="6">
        <v>44928.546435185177</v>
      </c>
      <c r="I1166" s="3" t="b">
        <v>0</v>
      </c>
      <c r="J1166" s="3" t="b">
        <v>1</v>
      </c>
      <c r="K1166" s="3" t="s">
        <v>33</v>
      </c>
      <c r="L1166" s="3" t="s">
        <v>34</v>
      </c>
      <c r="M1166" s="8">
        <v>122470.5</v>
      </c>
      <c r="N1166" s="11"/>
      <c r="O1166" s="3" t="s">
        <v>107</v>
      </c>
      <c r="P1166" s="3" t="s">
        <v>1221</v>
      </c>
    </row>
    <row r="1167" spans="1:16" x14ac:dyDescent="0.3">
      <c r="A1167" s="3" t="s">
        <v>66</v>
      </c>
      <c r="B1167" s="3" t="s">
        <v>66</v>
      </c>
      <c r="C1167" s="3" t="s">
        <v>87</v>
      </c>
      <c r="D1167" s="3" t="s">
        <v>30</v>
      </c>
      <c r="E1167" s="3" t="s">
        <v>133</v>
      </c>
      <c r="F1167" s="3" t="b">
        <v>1</v>
      </c>
      <c r="G1167" s="3" t="s">
        <v>32</v>
      </c>
      <c r="H1167" s="6">
        <v>44938.674490740741</v>
      </c>
      <c r="I1167" s="3" t="b">
        <v>0</v>
      </c>
      <c r="J1167" s="3" t="b">
        <v>0</v>
      </c>
      <c r="K1167" s="3" t="s">
        <v>33</v>
      </c>
      <c r="L1167" s="3" t="s">
        <v>48</v>
      </c>
      <c r="M1167" s="8"/>
      <c r="N1167" s="11">
        <v>70</v>
      </c>
      <c r="O1167" s="3" t="s">
        <v>1231</v>
      </c>
      <c r="P1167" s="3" t="s">
        <v>1232</v>
      </c>
    </row>
    <row r="1168" spans="1:16" x14ac:dyDescent="0.3">
      <c r="A1168" s="3" t="s">
        <v>66</v>
      </c>
      <c r="B1168" s="3" t="s">
        <v>1239</v>
      </c>
      <c r="C1168" s="3" t="s">
        <v>87</v>
      </c>
      <c r="D1168" s="3" t="s">
        <v>30</v>
      </c>
      <c r="E1168" s="3" t="s">
        <v>31</v>
      </c>
      <c r="F1168" s="3" t="b">
        <v>1</v>
      </c>
      <c r="G1168" s="3" t="s">
        <v>110</v>
      </c>
      <c r="H1168" s="6">
        <v>44937.951168981483</v>
      </c>
      <c r="I1168" s="3" t="b">
        <v>0</v>
      </c>
      <c r="J1168" s="3" t="b">
        <v>0</v>
      </c>
      <c r="K1168" s="3" t="s">
        <v>110</v>
      </c>
      <c r="L1168" s="3" t="s">
        <v>48</v>
      </c>
      <c r="M1168" s="8"/>
      <c r="N1168" s="11">
        <v>67.5</v>
      </c>
      <c r="O1168" s="3" t="s">
        <v>589</v>
      </c>
      <c r="P1168" s="3" t="s">
        <v>1240</v>
      </c>
    </row>
    <row r="1169" spans="1:16" x14ac:dyDescent="0.3">
      <c r="A1169" s="3" t="s">
        <v>66</v>
      </c>
      <c r="B1169" s="3" t="s">
        <v>1241</v>
      </c>
      <c r="C1169" s="3" t="s">
        <v>33</v>
      </c>
      <c r="D1169" s="3" t="s">
        <v>30</v>
      </c>
      <c r="E1169" s="3" t="s">
        <v>31</v>
      </c>
      <c r="F1169" s="3" t="b">
        <v>0</v>
      </c>
      <c r="G1169" s="3" t="s">
        <v>84</v>
      </c>
      <c r="H1169" s="6">
        <v>44943.88212962963</v>
      </c>
      <c r="I1169" s="3" t="b">
        <v>0</v>
      </c>
      <c r="J1169" s="3" t="b">
        <v>0</v>
      </c>
      <c r="K1169" s="3" t="s">
        <v>33</v>
      </c>
      <c r="L1169" s="3" t="s">
        <v>34</v>
      </c>
      <c r="M1169" s="8">
        <v>117500</v>
      </c>
      <c r="N1169" s="11"/>
      <c r="O1169" s="3" t="s">
        <v>727</v>
      </c>
      <c r="P1169" s="3" t="s">
        <v>1242</v>
      </c>
    </row>
    <row r="1170" spans="1:16" x14ac:dyDescent="0.3">
      <c r="A1170" s="3" t="s">
        <v>66</v>
      </c>
      <c r="B1170" s="3" t="s">
        <v>66</v>
      </c>
      <c r="C1170" s="3" t="s">
        <v>1250</v>
      </c>
      <c r="D1170" s="3" t="s">
        <v>188</v>
      </c>
      <c r="E1170" s="3" t="s">
        <v>31</v>
      </c>
      <c r="F1170" s="3" t="b">
        <v>0</v>
      </c>
      <c r="G1170" s="3" t="s">
        <v>32</v>
      </c>
      <c r="H1170" s="6">
        <v>44943.422500000001</v>
      </c>
      <c r="I1170" s="3" t="b">
        <v>0</v>
      </c>
      <c r="J1170" s="3" t="b">
        <v>1</v>
      </c>
      <c r="K1170" s="3" t="s">
        <v>33</v>
      </c>
      <c r="L1170" s="3" t="s">
        <v>34</v>
      </c>
      <c r="M1170" s="8">
        <v>125000</v>
      </c>
      <c r="N1170" s="11"/>
      <c r="O1170" s="3" t="s">
        <v>255</v>
      </c>
      <c r="P1170" s="3"/>
    </row>
    <row r="1171" spans="1:16" x14ac:dyDescent="0.3">
      <c r="A1171" s="3" t="s">
        <v>66</v>
      </c>
      <c r="B1171" s="3" t="s">
        <v>1091</v>
      </c>
      <c r="C1171" s="3" t="s">
        <v>1260</v>
      </c>
      <c r="D1171" s="3" t="s">
        <v>1261</v>
      </c>
      <c r="E1171" s="3" t="s">
        <v>31</v>
      </c>
      <c r="F1171" s="3" t="b">
        <v>0</v>
      </c>
      <c r="G1171" s="3" t="s">
        <v>58</v>
      </c>
      <c r="H1171" s="6">
        <v>44941.423622685194</v>
      </c>
      <c r="I1171" s="3" t="b">
        <v>0</v>
      </c>
      <c r="J1171" s="3" t="b">
        <v>0</v>
      </c>
      <c r="K1171" s="3" t="s">
        <v>33</v>
      </c>
      <c r="L1171" s="3" t="s">
        <v>34</v>
      </c>
      <c r="M1171" s="8">
        <v>190950</v>
      </c>
      <c r="N1171" s="11"/>
      <c r="O1171" s="3" t="s">
        <v>238</v>
      </c>
      <c r="P1171" s="3" t="s">
        <v>1262</v>
      </c>
    </row>
    <row r="1172" spans="1:16" x14ac:dyDescent="0.3">
      <c r="A1172" s="3" t="s">
        <v>66</v>
      </c>
      <c r="B1172" s="3" t="s">
        <v>66</v>
      </c>
      <c r="C1172" s="3" t="s">
        <v>1263</v>
      </c>
      <c r="D1172" s="3" t="s">
        <v>53</v>
      </c>
      <c r="E1172" s="3" t="s">
        <v>31</v>
      </c>
      <c r="F1172" s="3" t="b">
        <v>0</v>
      </c>
      <c r="G1172" s="3" t="s">
        <v>140</v>
      </c>
      <c r="H1172" s="6">
        <v>44957.170624999999</v>
      </c>
      <c r="I1172" s="3" t="b">
        <v>1</v>
      </c>
      <c r="J1172" s="3" t="b">
        <v>0</v>
      </c>
      <c r="K1172" s="3" t="s">
        <v>33</v>
      </c>
      <c r="L1172" s="3" t="s">
        <v>48</v>
      </c>
      <c r="M1172" s="8"/>
      <c r="N1172" s="11">
        <v>69.5</v>
      </c>
      <c r="O1172" s="3" t="s">
        <v>1264</v>
      </c>
      <c r="P1172" s="3"/>
    </row>
    <row r="1173" spans="1:16" x14ac:dyDescent="0.3">
      <c r="A1173" s="3" t="s">
        <v>66</v>
      </c>
      <c r="B1173" s="3" t="s">
        <v>1276</v>
      </c>
      <c r="C1173" s="3" t="s">
        <v>1277</v>
      </c>
      <c r="D1173" s="3" t="s">
        <v>41</v>
      </c>
      <c r="E1173" s="3" t="s">
        <v>31</v>
      </c>
      <c r="F1173" s="3" t="b">
        <v>0</v>
      </c>
      <c r="G1173" s="3" t="s">
        <v>1278</v>
      </c>
      <c r="H1173" s="6">
        <v>44942.343645833331</v>
      </c>
      <c r="I1173" s="3" t="b">
        <v>0</v>
      </c>
      <c r="J1173" s="3" t="b">
        <v>0</v>
      </c>
      <c r="K1173" s="3" t="s">
        <v>1278</v>
      </c>
      <c r="L1173" s="3" t="s">
        <v>34</v>
      </c>
      <c r="M1173" s="8">
        <v>147500</v>
      </c>
      <c r="N1173" s="11"/>
      <c r="O1173" s="3" t="s">
        <v>1279</v>
      </c>
      <c r="P1173" s="3" t="s">
        <v>1280</v>
      </c>
    </row>
    <row r="1174" spans="1:16" x14ac:dyDescent="0.3">
      <c r="A1174" s="3" t="s">
        <v>66</v>
      </c>
      <c r="B1174" s="3" t="s">
        <v>1286</v>
      </c>
      <c r="C1174" s="3" t="s">
        <v>417</v>
      </c>
      <c r="D1174" s="3" t="s">
        <v>188</v>
      </c>
      <c r="E1174" s="3" t="s">
        <v>133</v>
      </c>
      <c r="F1174" s="3" t="b">
        <v>0</v>
      </c>
      <c r="G1174" s="3" t="s">
        <v>140</v>
      </c>
      <c r="H1174" s="6">
        <v>44949.643078703702</v>
      </c>
      <c r="I1174" s="3" t="b">
        <v>0</v>
      </c>
      <c r="J1174" s="3" t="b">
        <v>0</v>
      </c>
      <c r="K1174" s="3" t="s">
        <v>33</v>
      </c>
      <c r="L1174" s="3" t="s">
        <v>48</v>
      </c>
      <c r="M1174" s="8"/>
      <c r="N1174" s="11">
        <v>55</v>
      </c>
      <c r="O1174" s="3" t="s">
        <v>1287</v>
      </c>
      <c r="P1174" s="3" t="s">
        <v>1288</v>
      </c>
    </row>
    <row r="1175" spans="1:16" x14ac:dyDescent="0.3">
      <c r="A1175" s="3" t="s">
        <v>66</v>
      </c>
      <c r="B1175" s="3" t="s">
        <v>1290</v>
      </c>
      <c r="C1175" s="3" t="s">
        <v>87</v>
      </c>
      <c r="D1175" s="3" t="s">
        <v>30</v>
      </c>
      <c r="E1175" s="3" t="s">
        <v>133</v>
      </c>
      <c r="F1175" s="3" t="b">
        <v>1</v>
      </c>
      <c r="G1175" s="3" t="s">
        <v>88</v>
      </c>
      <c r="H1175" s="6">
        <v>44951.918541666673</v>
      </c>
      <c r="I1175" s="3" t="b">
        <v>0</v>
      </c>
      <c r="J1175" s="3" t="b">
        <v>0</v>
      </c>
      <c r="K1175" s="3" t="s">
        <v>33</v>
      </c>
      <c r="L1175" s="3" t="s">
        <v>48</v>
      </c>
      <c r="M1175" s="8"/>
      <c r="N1175" s="11">
        <v>65</v>
      </c>
      <c r="O1175" s="3" t="s">
        <v>1291</v>
      </c>
      <c r="P1175" s="3" t="s">
        <v>1292</v>
      </c>
    </row>
    <row r="1176" spans="1:16" x14ac:dyDescent="0.3">
      <c r="A1176" s="3" t="s">
        <v>66</v>
      </c>
      <c r="B1176" s="3" t="s">
        <v>1293</v>
      </c>
      <c r="C1176" s="3" t="s">
        <v>87</v>
      </c>
      <c r="D1176" s="3" t="s">
        <v>53</v>
      </c>
      <c r="E1176" s="3" t="s">
        <v>1294</v>
      </c>
      <c r="F1176" s="3" t="b">
        <v>1</v>
      </c>
      <c r="G1176" s="3" t="s">
        <v>110</v>
      </c>
      <c r="H1176" s="6">
        <v>44956.755208333343</v>
      </c>
      <c r="I1176" s="3" t="b">
        <v>0</v>
      </c>
      <c r="J1176" s="3" t="b">
        <v>0</v>
      </c>
      <c r="K1176" s="3" t="s">
        <v>110</v>
      </c>
      <c r="L1176" s="3" t="s">
        <v>48</v>
      </c>
      <c r="M1176" s="8"/>
      <c r="N1176" s="11">
        <v>27.5</v>
      </c>
      <c r="O1176" s="3" t="s">
        <v>1295</v>
      </c>
      <c r="P1176" s="3" t="s">
        <v>1296</v>
      </c>
    </row>
    <row r="1177" spans="1:16" x14ac:dyDescent="0.3">
      <c r="A1177" s="3" t="s">
        <v>66</v>
      </c>
      <c r="B1177" s="3" t="s">
        <v>143</v>
      </c>
      <c r="C1177" s="3" t="s">
        <v>321</v>
      </c>
      <c r="D1177" s="3" t="s">
        <v>76</v>
      </c>
      <c r="E1177" s="3" t="s">
        <v>31</v>
      </c>
      <c r="F1177" s="3" t="b">
        <v>0</v>
      </c>
      <c r="G1177" s="3" t="s">
        <v>58</v>
      </c>
      <c r="H1177" s="6">
        <v>44944.632094907407</v>
      </c>
      <c r="I1177" s="3" t="b">
        <v>1</v>
      </c>
      <c r="J1177" s="3" t="b">
        <v>0</v>
      </c>
      <c r="K1177" s="3" t="s">
        <v>33</v>
      </c>
      <c r="L1177" s="3" t="s">
        <v>34</v>
      </c>
      <c r="M1177" s="8">
        <v>110144.390625</v>
      </c>
      <c r="N1177" s="11"/>
      <c r="O1177" s="3" t="s">
        <v>1298</v>
      </c>
      <c r="P1177" s="3" t="s">
        <v>1230</v>
      </c>
    </row>
    <row r="1178" spans="1:16" x14ac:dyDescent="0.3">
      <c r="A1178" s="3" t="s">
        <v>66</v>
      </c>
      <c r="B1178" s="3" t="s">
        <v>343</v>
      </c>
      <c r="C1178" s="3" t="s">
        <v>565</v>
      </c>
      <c r="D1178" s="3" t="s">
        <v>41</v>
      </c>
      <c r="E1178" s="3" t="s">
        <v>31</v>
      </c>
      <c r="F1178" s="3" t="b">
        <v>0</v>
      </c>
      <c r="G1178" s="3" t="s">
        <v>64</v>
      </c>
      <c r="H1178" s="6">
        <v>44952.672500000001</v>
      </c>
      <c r="I1178" s="3" t="b">
        <v>0</v>
      </c>
      <c r="J1178" s="3" t="b">
        <v>1</v>
      </c>
      <c r="K1178" s="3" t="s">
        <v>33</v>
      </c>
      <c r="L1178" s="3" t="s">
        <v>34</v>
      </c>
      <c r="M1178" s="8">
        <v>109750</v>
      </c>
      <c r="N1178" s="11"/>
      <c r="O1178" s="3" t="s">
        <v>875</v>
      </c>
      <c r="P1178" s="3" t="s">
        <v>1302</v>
      </c>
    </row>
    <row r="1179" spans="1:16" x14ac:dyDescent="0.3">
      <c r="A1179" s="3" t="s">
        <v>66</v>
      </c>
      <c r="B1179" s="3" t="s">
        <v>422</v>
      </c>
      <c r="C1179" s="3" t="s">
        <v>87</v>
      </c>
      <c r="D1179" s="3" t="s">
        <v>188</v>
      </c>
      <c r="E1179" s="3" t="s">
        <v>133</v>
      </c>
      <c r="F1179" s="3" t="b">
        <v>1</v>
      </c>
      <c r="G1179" s="3" t="s">
        <v>110</v>
      </c>
      <c r="H1179" s="6">
        <v>44936.918310185189</v>
      </c>
      <c r="I1179" s="3" t="b">
        <v>1</v>
      </c>
      <c r="J1179" s="3" t="b">
        <v>0</v>
      </c>
      <c r="K1179" s="3" t="s">
        <v>110</v>
      </c>
      <c r="L1179" s="3" t="s">
        <v>48</v>
      </c>
      <c r="M1179" s="8"/>
      <c r="N1179" s="11">
        <v>60</v>
      </c>
      <c r="O1179" s="3" t="s">
        <v>1309</v>
      </c>
      <c r="P1179" s="3" t="s">
        <v>1310</v>
      </c>
    </row>
    <row r="1180" spans="1:16" x14ac:dyDescent="0.3">
      <c r="A1180" s="3" t="s">
        <v>66</v>
      </c>
      <c r="B1180" s="3" t="s">
        <v>66</v>
      </c>
      <c r="C1180" s="3" t="s">
        <v>1311</v>
      </c>
      <c r="D1180" s="3" t="s">
        <v>30</v>
      </c>
      <c r="E1180" s="3" t="s">
        <v>133</v>
      </c>
      <c r="F1180" s="3" t="b">
        <v>0</v>
      </c>
      <c r="G1180" s="3" t="s">
        <v>64</v>
      </c>
      <c r="H1180" s="6">
        <v>44953.922951388893</v>
      </c>
      <c r="I1180" s="3" t="b">
        <v>0</v>
      </c>
      <c r="J1180" s="3" t="b">
        <v>0</v>
      </c>
      <c r="K1180" s="3" t="s">
        <v>33</v>
      </c>
      <c r="L1180" s="3" t="s">
        <v>48</v>
      </c>
      <c r="M1180" s="8"/>
      <c r="N1180" s="11">
        <v>69</v>
      </c>
      <c r="O1180" s="3" t="s">
        <v>1312</v>
      </c>
      <c r="P1180" s="3" t="s">
        <v>1313</v>
      </c>
    </row>
    <row r="1181" spans="1:16" x14ac:dyDescent="0.3">
      <c r="A1181" s="3" t="s">
        <v>66</v>
      </c>
      <c r="B1181" s="3" t="s">
        <v>66</v>
      </c>
      <c r="C1181" s="3" t="s">
        <v>87</v>
      </c>
      <c r="D1181" s="3" t="s">
        <v>30</v>
      </c>
      <c r="E1181" s="3" t="s">
        <v>31</v>
      </c>
      <c r="F1181" s="3" t="b">
        <v>1</v>
      </c>
      <c r="G1181" s="3" t="s">
        <v>110</v>
      </c>
      <c r="H1181" s="6">
        <v>44951.582604166673</v>
      </c>
      <c r="I1181" s="3" t="b">
        <v>0</v>
      </c>
      <c r="J1181" s="3" t="b">
        <v>0</v>
      </c>
      <c r="K1181" s="3" t="s">
        <v>110</v>
      </c>
      <c r="L1181" s="3" t="s">
        <v>34</v>
      </c>
      <c r="M1181" s="8">
        <v>135000</v>
      </c>
      <c r="N1181" s="11"/>
      <c r="O1181" s="3" t="s">
        <v>1327</v>
      </c>
      <c r="P1181" s="3" t="s">
        <v>71</v>
      </c>
    </row>
    <row r="1182" spans="1:16" x14ac:dyDescent="0.3">
      <c r="A1182" s="3" t="s">
        <v>66</v>
      </c>
      <c r="B1182" s="3" t="s">
        <v>66</v>
      </c>
      <c r="C1182" s="3" t="s">
        <v>1344</v>
      </c>
      <c r="D1182" s="3" t="s">
        <v>41</v>
      </c>
      <c r="E1182" s="3" t="s">
        <v>31</v>
      </c>
      <c r="F1182" s="3" t="b">
        <v>0</v>
      </c>
      <c r="G1182" s="3" t="s">
        <v>797</v>
      </c>
      <c r="H1182" s="6">
        <v>44943.472569444442</v>
      </c>
      <c r="I1182" s="3" t="b">
        <v>1</v>
      </c>
      <c r="J1182" s="3" t="b">
        <v>0</v>
      </c>
      <c r="K1182" s="3" t="s">
        <v>797</v>
      </c>
      <c r="L1182" s="3" t="s">
        <v>34</v>
      </c>
      <c r="M1182" s="8">
        <v>96773</v>
      </c>
      <c r="N1182" s="11"/>
      <c r="O1182" s="3" t="s">
        <v>798</v>
      </c>
      <c r="P1182" s="3" t="s">
        <v>1345</v>
      </c>
    </row>
    <row r="1183" spans="1:16" x14ac:dyDescent="0.3">
      <c r="A1183" s="3" t="s">
        <v>66</v>
      </c>
      <c r="B1183" s="3" t="s">
        <v>1350</v>
      </c>
      <c r="C1183" s="3" t="s">
        <v>1351</v>
      </c>
      <c r="D1183" s="3" t="s">
        <v>1013</v>
      </c>
      <c r="E1183" s="3" t="s">
        <v>31</v>
      </c>
      <c r="F1183" s="3" t="b">
        <v>0</v>
      </c>
      <c r="G1183" s="3" t="s">
        <v>64</v>
      </c>
      <c r="H1183" s="6">
        <v>44938.922719907408</v>
      </c>
      <c r="I1183" s="3" t="b">
        <v>0</v>
      </c>
      <c r="J1183" s="3" t="b">
        <v>1</v>
      </c>
      <c r="K1183" s="3" t="s">
        <v>33</v>
      </c>
      <c r="L1183" s="3" t="s">
        <v>34</v>
      </c>
      <c r="M1183" s="8">
        <v>136000</v>
      </c>
      <c r="N1183" s="11"/>
      <c r="O1183" s="3" t="s">
        <v>1352</v>
      </c>
      <c r="P1183" s="3" t="s">
        <v>1353</v>
      </c>
    </row>
    <row r="1184" spans="1:16" x14ac:dyDescent="0.3">
      <c r="A1184" s="3" t="s">
        <v>66</v>
      </c>
      <c r="B1184" s="3" t="s">
        <v>343</v>
      </c>
      <c r="C1184" s="3" t="s">
        <v>903</v>
      </c>
      <c r="D1184" s="3" t="s">
        <v>41</v>
      </c>
      <c r="E1184" s="3" t="s">
        <v>31</v>
      </c>
      <c r="F1184" s="3" t="b">
        <v>0</v>
      </c>
      <c r="G1184" s="3" t="s">
        <v>436</v>
      </c>
      <c r="H1184" s="6">
        <v>44946.442280092589</v>
      </c>
      <c r="I1184" s="3" t="b">
        <v>0</v>
      </c>
      <c r="J1184" s="3" t="b">
        <v>0</v>
      </c>
      <c r="K1184" s="3" t="s">
        <v>436</v>
      </c>
      <c r="L1184" s="3" t="s">
        <v>34</v>
      </c>
      <c r="M1184" s="8">
        <v>131580</v>
      </c>
      <c r="N1184" s="11"/>
      <c r="O1184" s="3" t="s">
        <v>310</v>
      </c>
      <c r="P1184" s="3" t="s">
        <v>1356</v>
      </c>
    </row>
    <row r="1185" spans="1:16" x14ac:dyDescent="0.3">
      <c r="A1185" s="3" t="s">
        <v>66</v>
      </c>
      <c r="B1185" s="3" t="s">
        <v>66</v>
      </c>
      <c r="C1185" s="3" t="s">
        <v>1371</v>
      </c>
      <c r="D1185" s="3" t="s">
        <v>93</v>
      </c>
      <c r="E1185" s="3" t="s">
        <v>31</v>
      </c>
      <c r="F1185" s="3" t="b">
        <v>0</v>
      </c>
      <c r="G1185" s="3" t="s">
        <v>88</v>
      </c>
      <c r="H1185" s="6">
        <v>44935.171759259261</v>
      </c>
      <c r="I1185" s="3" t="b">
        <v>0</v>
      </c>
      <c r="J1185" s="3" t="b">
        <v>0</v>
      </c>
      <c r="K1185" s="3" t="s">
        <v>33</v>
      </c>
      <c r="L1185" s="3" t="s">
        <v>34</v>
      </c>
      <c r="M1185" s="8">
        <v>125000</v>
      </c>
      <c r="N1185" s="11"/>
      <c r="O1185" s="3" t="s">
        <v>1372</v>
      </c>
      <c r="P1185" s="3" t="s">
        <v>1373</v>
      </c>
    </row>
    <row r="1186" spans="1:16" x14ac:dyDescent="0.3">
      <c r="A1186" s="3" t="s">
        <v>66</v>
      </c>
      <c r="B1186" s="3" t="s">
        <v>1378</v>
      </c>
      <c r="C1186" s="3" t="s">
        <v>436</v>
      </c>
      <c r="D1186" s="3" t="s">
        <v>41</v>
      </c>
      <c r="E1186" s="3" t="s">
        <v>31</v>
      </c>
      <c r="F1186" s="3" t="b">
        <v>0</v>
      </c>
      <c r="G1186" s="3" t="s">
        <v>436</v>
      </c>
      <c r="H1186" s="6">
        <v>44935.925266203703</v>
      </c>
      <c r="I1186" s="3" t="b">
        <v>0</v>
      </c>
      <c r="J1186" s="3" t="b">
        <v>0</v>
      </c>
      <c r="K1186" s="3" t="s">
        <v>436</v>
      </c>
      <c r="L1186" s="3" t="s">
        <v>34</v>
      </c>
      <c r="M1186" s="8">
        <v>147500</v>
      </c>
      <c r="N1186" s="11"/>
      <c r="O1186" s="3" t="s">
        <v>1379</v>
      </c>
      <c r="P1186" s="3"/>
    </row>
    <row r="1187" spans="1:16" x14ac:dyDescent="0.3">
      <c r="A1187" s="3" t="s">
        <v>66</v>
      </c>
      <c r="B1187" s="3" t="s">
        <v>1386</v>
      </c>
      <c r="C1187" s="3" t="s">
        <v>87</v>
      </c>
      <c r="D1187" s="3" t="s">
        <v>30</v>
      </c>
      <c r="E1187" s="3" t="s">
        <v>31</v>
      </c>
      <c r="F1187" s="3" t="b">
        <v>1</v>
      </c>
      <c r="G1187" s="3" t="s">
        <v>110</v>
      </c>
      <c r="H1187" s="6">
        <v>44957.89947916667</v>
      </c>
      <c r="I1187" s="3" t="b">
        <v>0</v>
      </c>
      <c r="J1187" s="3" t="b">
        <v>0</v>
      </c>
      <c r="K1187" s="3" t="s">
        <v>110</v>
      </c>
      <c r="L1187" s="3" t="s">
        <v>34</v>
      </c>
      <c r="M1187" s="8">
        <v>180000</v>
      </c>
      <c r="N1187" s="11"/>
      <c r="O1187" s="3" t="s">
        <v>1387</v>
      </c>
      <c r="P1187" s="3" t="s">
        <v>625</v>
      </c>
    </row>
    <row r="1188" spans="1:16" x14ac:dyDescent="0.3">
      <c r="A1188" s="3" t="s">
        <v>66</v>
      </c>
      <c r="B1188" s="3" t="s">
        <v>66</v>
      </c>
      <c r="C1188" s="3" t="s">
        <v>585</v>
      </c>
      <c r="D1188" s="3" t="s">
        <v>93</v>
      </c>
      <c r="E1188" s="3" t="s">
        <v>31</v>
      </c>
      <c r="F1188" s="3" t="b">
        <v>0</v>
      </c>
      <c r="G1188" s="3" t="s">
        <v>32</v>
      </c>
      <c r="H1188" s="6">
        <v>44932.269571759258</v>
      </c>
      <c r="I1188" s="3" t="b">
        <v>0</v>
      </c>
      <c r="J1188" s="3" t="b">
        <v>1</v>
      </c>
      <c r="K1188" s="3" t="s">
        <v>33</v>
      </c>
      <c r="L1188" s="3" t="s">
        <v>34</v>
      </c>
      <c r="M1188" s="8">
        <v>175000</v>
      </c>
      <c r="N1188" s="11"/>
      <c r="O1188" s="3" t="s">
        <v>1393</v>
      </c>
      <c r="P1188" s="3" t="s">
        <v>1394</v>
      </c>
    </row>
    <row r="1189" spans="1:16" x14ac:dyDescent="0.3">
      <c r="A1189" s="3" t="s">
        <v>66</v>
      </c>
      <c r="B1189" s="3" t="s">
        <v>66</v>
      </c>
      <c r="C1189" s="3" t="s">
        <v>213</v>
      </c>
      <c r="D1189" s="3" t="s">
        <v>41</v>
      </c>
      <c r="E1189" s="3" t="s">
        <v>31</v>
      </c>
      <c r="F1189" s="3" t="b">
        <v>0</v>
      </c>
      <c r="G1189" s="3" t="s">
        <v>213</v>
      </c>
      <c r="H1189" s="6">
        <v>44943.765694444453</v>
      </c>
      <c r="I1189" s="3" t="b">
        <v>1</v>
      </c>
      <c r="J1189" s="3" t="b">
        <v>0</v>
      </c>
      <c r="K1189" s="3" t="s">
        <v>213</v>
      </c>
      <c r="L1189" s="3" t="s">
        <v>34</v>
      </c>
      <c r="M1189" s="8">
        <v>96773</v>
      </c>
      <c r="N1189" s="11"/>
      <c r="O1189" s="3" t="s">
        <v>1413</v>
      </c>
      <c r="P1189" s="3" t="s">
        <v>1414</v>
      </c>
    </row>
    <row r="1190" spans="1:16" x14ac:dyDescent="0.3">
      <c r="A1190" s="3" t="s">
        <v>66</v>
      </c>
      <c r="B1190" s="3" t="s">
        <v>1415</v>
      </c>
      <c r="C1190" s="3" t="s">
        <v>33</v>
      </c>
      <c r="D1190" s="3" t="s">
        <v>30</v>
      </c>
      <c r="E1190" s="3" t="s">
        <v>133</v>
      </c>
      <c r="F1190" s="3" t="b">
        <v>0</v>
      </c>
      <c r="G1190" s="3" t="s">
        <v>64</v>
      </c>
      <c r="H1190" s="6">
        <v>44929.691886574074</v>
      </c>
      <c r="I1190" s="3" t="b">
        <v>1</v>
      </c>
      <c r="J1190" s="3" t="b">
        <v>0</v>
      </c>
      <c r="K1190" s="3" t="s">
        <v>33</v>
      </c>
      <c r="L1190" s="3" t="s">
        <v>48</v>
      </c>
      <c r="M1190" s="8"/>
      <c r="N1190" s="11">
        <v>65</v>
      </c>
      <c r="O1190" s="3" t="s">
        <v>589</v>
      </c>
      <c r="P1190" s="3" t="s">
        <v>1416</v>
      </c>
    </row>
    <row r="1191" spans="1:16" x14ac:dyDescent="0.3">
      <c r="A1191" s="3" t="s">
        <v>66</v>
      </c>
      <c r="B1191" s="3" t="s">
        <v>1417</v>
      </c>
      <c r="C1191" s="3" t="s">
        <v>1418</v>
      </c>
      <c r="D1191" s="3" t="s">
        <v>1419</v>
      </c>
      <c r="E1191" s="3" t="s">
        <v>31</v>
      </c>
      <c r="F1191" s="3" t="b">
        <v>0</v>
      </c>
      <c r="G1191" s="3" t="s">
        <v>140</v>
      </c>
      <c r="H1191" s="6">
        <v>44932.000439814823</v>
      </c>
      <c r="I1191" s="3" t="b">
        <v>0</v>
      </c>
      <c r="J1191" s="3" t="b">
        <v>1</v>
      </c>
      <c r="K1191" s="3" t="s">
        <v>33</v>
      </c>
      <c r="L1191" s="3" t="s">
        <v>34</v>
      </c>
      <c r="M1191" s="8">
        <v>154000</v>
      </c>
      <c r="N1191" s="11"/>
      <c r="O1191" s="3" t="s">
        <v>665</v>
      </c>
      <c r="P1191" s="3" t="s">
        <v>1367</v>
      </c>
    </row>
    <row r="1192" spans="1:16" x14ac:dyDescent="0.3">
      <c r="A1192" s="3" t="s">
        <v>66</v>
      </c>
      <c r="B1192" s="3" t="s">
        <v>1427</v>
      </c>
      <c r="C1192" s="3" t="s">
        <v>109</v>
      </c>
      <c r="D1192" s="3" t="s">
        <v>30</v>
      </c>
      <c r="E1192" s="3" t="s">
        <v>133</v>
      </c>
      <c r="F1192" s="3" t="b">
        <v>0</v>
      </c>
      <c r="G1192" s="3" t="s">
        <v>88</v>
      </c>
      <c r="H1192" s="6">
        <v>44931.980081018519</v>
      </c>
      <c r="I1192" s="3" t="b">
        <v>0</v>
      </c>
      <c r="J1192" s="3" t="b">
        <v>1</v>
      </c>
      <c r="K1192" s="3" t="s">
        <v>33</v>
      </c>
      <c r="L1192" s="3" t="s">
        <v>48</v>
      </c>
      <c r="M1192" s="8"/>
      <c r="N1192" s="11">
        <v>72.5</v>
      </c>
      <c r="O1192" s="3" t="s">
        <v>1428</v>
      </c>
      <c r="P1192" s="3" t="s">
        <v>1429</v>
      </c>
    </row>
    <row r="1193" spans="1:16" x14ac:dyDescent="0.3">
      <c r="A1193" s="3" t="s">
        <v>66</v>
      </c>
      <c r="B1193" s="3" t="s">
        <v>1091</v>
      </c>
      <c r="C1193" s="3" t="s">
        <v>1430</v>
      </c>
      <c r="D1193" s="3" t="s">
        <v>237</v>
      </c>
      <c r="E1193" s="3" t="s">
        <v>31</v>
      </c>
      <c r="F1193" s="3" t="b">
        <v>0</v>
      </c>
      <c r="G1193" s="3" t="s">
        <v>64</v>
      </c>
      <c r="H1193" s="6">
        <v>44953.67291666667</v>
      </c>
      <c r="I1193" s="3" t="b">
        <v>0</v>
      </c>
      <c r="J1193" s="3" t="b">
        <v>1</v>
      </c>
      <c r="K1193" s="3" t="s">
        <v>33</v>
      </c>
      <c r="L1193" s="3" t="s">
        <v>34</v>
      </c>
      <c r="M1193" s="8">
        <v>208114</v>
      </c>
      <c r="N1193" s="11"/>
      <c r="O1193" s="3" t="s">
        <v>238</v>
      </c>
      <c r="P1193" s="3" t="s">
        <v>1093</v>
      </c>
    </row>
    <row r="1194" spans="1:16" x14ac:dyDescent="0.3">
      <c r="A1194" s="3" t="s">
        <v>66</v>
      </c>
      <c r="B1194" s="3" t="s">
        <v>1435</v>
      </c>
      <c r="C1194" s="3" t="s">
        <v>97</v>
      </c>
      <c r="D1194" s="3" t="s">
        <v>76</v>
      </c>
      <c r="E1194" s="3" t="s">
        <v>31</v>
      </c>
      <c r="F1194" s="3" t="b">
        <v>0</v>
      </c>
      <c r="G1194" s="3" t="s">
        <v>140</v>
      </c>
      <c r="H1194" s="6">
        <v>44927.263020833343</v>
      </c>
      <c r="I1194" s="3" t="b">
        <v>1</v>
      </c>
      <c r="J1194" s="3" t="b">
        <v>0</v>
      </c>
      <c r="K1194" s="3" t="s">
        <v>33</v>
      </c>
      <c r="L1194" s="3" t="s">
        <v>34</v>
      </c>
      <c r="M1194" s="8">
        <v>175000</v>
      </c>
      <c r="N1194" s="11"/>
      <c r="O1194" s="3" t="s">
        <v>80</v>
      </c>
      <c r="P1194" s="3" t="s">
        <v>1436</v>
      </c>
    </row>
    <row r="1195" spans="1:16" x14ac:dyDescent="0.3">
      <c r="A1195" s="3" t="s">
        <v>66</v>
      </c>
      <c r="B1195" s="3" t="s">
        <v>1461</v>
      </c>
      <c r="C1195" s="3" t="s">
        <v>1462</v>
      </c>
      <c r="D1195" s="3" t="s">
        <v>93</v>
      </c>
      <c r="E1195" s="3" t="s">
        <v>31</v>
      </c>
      <c r="F1195" s="3" t="b">
        <v>0</v>
      </c>
      <c r="G1195" s="3" t="s">
        <v>58</v>
      </c>
      <c r="H1195" s="6">
        <v>44935.464120370372</v>
      </c>
      <c r="I1195" s="3" t="b">
        <v>0</v>
      </c>
      <c r="J1195" s="3" t="b">
        <v>1</v>
      </c>
      <c r="K1195" s="3" t="s">
        <v>33</v>
      </c>
      <c r="L1195" s="3" t="s">
        <v>34</v>
      </c>
      <c r="M1195" s="8">
        <v>90000</v>
      </c>
      <c r="N1195" s="11"/>
      <c r="O1195" s="3" t="s">
        <v>1463</v>
      </c>
      <c r="P1195" s="3" t="s">
        <v>1464</v>
      </c>
    </row>
    <row r="1196" spans="1:16" x14ac:dyDescent="0.3">
      <c r="A1196" s="3" t="s">
        <v>66</v>
      </c>
      <c r="B1196" s="3" t="s">
        <v>253</v>
      </c>
      <c r="C1196" s="3" t="s">
        <v>87</v>
      </c>
      <c r="D1196" s="3" t="s">
        <v>30</v>
      </c>
      <c r="E1196" s="3" t="s">
        <v>133</v>
      </c>
      <c r="F1196" s="3" t="b">
        <v>1</v>
      </c>
      <c r="G1196" s="3" t="s">
        <v>84</v>
      </c>
      <c r="H1196" s="6">
        <v>44941.632847222223</v>
      </c>
      <c r="I1196" s="3" t="b">
        <v>0</v>
      </c>
      <c r="J1196" s="3" t="b">
        <v>0</v>
      </c>
      <c r="K1196" s="3" t="s">
        <v>33</v>
      </c>
      <c r="L1196" s="3" t="s">
        <v>48</v>
      </c>
      <c r="M1196" s="8"/>
      <c r="N1196" s="11">
        <v>72</v>
      </c>
      <c r="O1196" s="3" t="s">
        <v>1473</v>
      </c>
      <c r="P1196" s="3" t="s">
        <v>1474</v>
      </c>
    </row>
    <row r="1197" spans="1:16" x14ac:dyDescent="0.3">
      <c r="A1197" s="3" t="s">
        <v>66</v>
      </c>
      <c r="B1197" s="3" t="s">
        <v>1482</v>
      </c>
      <c r="C1197" s="3" t="s">
        <v>1483</v>
      </c>
      <c r="D1197" s="3" t="s">
        <v>93</v>
      </c>
      <c r="E1197" s="3" t="s">
        <v>31</v>
      </c>
      <c r="F1197" s="3" t="b">
        <v>0</v>
      </c>
      <c r="G1197" s="3" t="s">
        <v>84</v>
      </c>
      <c r="H1197" s="6">
        <v>44957.463680555556</v>
      </c>
      <c r="I1197" s="3" t="b">
        <v>0</v>
      </c>
      <c r="J1197" s="3" t="b">
        <v>1</v>
      </c>
      <c r="K1197" s="3" t="s">
        <v>33</v>
      </c>
      <c r="L1197" s="3" t="s">
        <v>34</v>
      </c>
      <c r="M1197" s="8">
        <v>115000</v>
      </c>
      <c r="N1197" s="11"/>
      <c r="O1197" s="3" t="s">
        <v>1484</v>
      </c>
      <c r="P1197" s="3" t="s">
        <v>1485</v>
      </c>
    </row>
    <row r="1198" spans="1:16" x14ac:dyDescent="0.3">
      <c r="A1198" s="3" t="s">
        <v>66</v>
      </c>
      <c r="B1198" s="3" t="s">
        <v>66</v>
      </c>
      <c r="C1198" s="3" t="s">
        <v>1488</v>
      </c>
      <c r="D1198" s="3" t="s">
        <v>76</v>
      </c>
      <c r="E1198" s="3" t="s">
        <v>31</v>
      </c>
      <c r="F1198" s="3" t="b">
        <v>0</v>
      </c>
      <c r="G1198" s="3" t="s">
        <v>140</v>
      </c>
      <c r="H1198" s="6">
        <v>44928.054525462961</v>
      </c>
      <c r="I1198" s="3" t="b">
        <v>0</v>
      </c>
      <c r="J1198" s="3" t="b">
        <v>1</v>
      </c>
      <c r="K1198" s="3" t="s">
        <v>33</v>
      </c>
      <c r="L1198" s="3" t="s">
        <v>34</v>
      </c>
      <c r="M1198" s="8">
        <v>144481.5</v>
      </c>
      <c r="N1198" s="11"/>
      <c r="O1198" s="3" t="s">
        <v>107</v>
      </c>
      <c r="P1198" s="3" t="s">
        <v>725</v>
      </c>
    </row>
    <row r="1199" spans="1:16" x14ac:dyDescent="0.3">
      <c r="A1199" s="3" t="s">
        <v>66</v>
      </c>
      <c r="B1199" s="3" t="s">
        <v>143</v>
      </c>
      <c r="C1199" s="3" t="s">
        <v>140</v>
      </c>
      <c r="D1199" s="3" t="s">
        <v>188</v>
      </c>
      <c r="E1199" s="3" t="s">
        <v>133</v>
      </c>
      <c r="F1199" s="3" t="b">
        <v>0</v>
      </c>
      <c r="G1199" s="3" t="s">
        <v>88</v>
      </c>
      <c r="H1199" s="6">
        <v>44957.006898148153</v>
      </c>
      <c r="I1199" s="3" t="b">
        <v>1</v>
      </c>
      <c r="J1199" s="3" t="b">
        <v>0</v>
      </c>
      <c r="K1199" s="3" t="s">
        <v>33</v>
      </c>
      <c r="L1199" s="3" t="s">
        <v>48</v>
      </c>
      <c r="M1199" s="8"/>
      <c r="N1199" s="11">
        <v>75</v>
      </c>
      <c r="O1199" s="3" t="s">
        <v>1489</v>
      </c>
      <c r="P1199" s="3" t="s">
        <v>1490</v>
      </c>
    </row>
    <row r="1200" spans="1:16" x14ac:dyDescent="0.3">
      <c r="A1200" s="3" t="s">
        <v>66</v>
      </c>
      <c r="B1200" s="3" t="s">
        <v>66</v>
      </c>
      <c r="C1200" s="3" t="s">
        <v>87</v>
      </c>
      <c r="D1200" s="3" t="s">
        <v>30</v>
      </c>
      <c r="E1200" s="3" t="s">
        <v>31</v>
      </c>
      <c r="F1200" s="3" t="b">
        <v>1</v>
      </c>
      <c r="G1200" s="3" t="s">
        <v>64</v>
      </c>
      <c r="H1200" s="6">
        <v>44937.713530092587</v>
      </c>
      <c r="I1200" s="3" t="b">
        <v>0</v>
      </c>
      <c r="J1200" s="3" t="b">
        <v>0</v>
      </c>
      <c r="K1200" s="3" t="s">
        <v>33</v>
      </c>
      <c r="L1200" s="3" t="s">
        <v>48</v>
      </c>
      <c r="M1200" s="8"/>
      <c r="N1200" s="11">
        <v>62.5</v>
      </c>
      <c r="O1200" s="3" t="s">
        <v>589</v>
      </c>
      <c r="P1200" s="3" t="s">
        <v>1493</v>
      </c>
    </row>
    <row r="1201" spans="1:16" x14ac:dyDescent="0.3">
      <c r="A1201" s="3" t="s">
        <v>66</v>
      </c>
      <c r="B1201" s="3" t="s">
        <v>1499</v>
      </c>
      <c r="C1201" s="3" t="s">
        <v>1488</v>
      </c>
      <c r="D1201" s="3" t="s">
        <v>30</v>
      </c>
      <c r="E1201" s="3" t="s">
        <v>133</v>
      </c>
      <c r="F1201" s="3" t="b">
        <v>0</v>
      </c>
      <c r="G1201" s="3" t="s">
        <v>58</v>
      </c>
      <c r="H1201" s="6">
        <v>44953.632592592592</v>
      </c>
      <c r="I1201" s="3" t="b">
        <v>0</v>
      </c>
      <c r="J1201" s="3" t="b">
        <v>0</v>
      </c>
      <c r="K1201" s="3" t="s">
        <v>33</v>
      </c>
      <c r="L1201" s="3" t="s">
        <v>48</v>
      </c>
      <c r="M1201" s="8"/>
      <c r="N1201" s="11">
        <v>55</v>
      </c>
      <c r="O1201" s="3" t="s">
        <v>589</v>
      </c>
      <c r="P1201" s="3" t="s">
        <v>1500</v>
      </c>
    </row>
    <row r="1202" spans="1:16" x14ac:dyDescent="0.3">
      <c r="A1202" s="3" t="s">
        <v>66</v>
      </c>
      <c r="B1202" s="3" t="s">
        <v>343</v>
      </c>
      <c r="C1202" s="3" t="s">
        <v>321</v>
      </c>
      <c r="D1202" s="3" t="s">
        <v>93</v>
      </c>
      <c r="E1202" s="3" t="s">
        <v>31</v>
      </c>
      <c r="F1202" s="3" t="b">
        <v>0</v>
      </c>
      <c r="G1202" s="3" t="s">
        <v>64</v>
      </c>
      <c r="H1202" s="6">
        <v>44948.255011574067</v>
      </c>
      <c r="I1202" s="3" t="b">
        <v>0</v>
      </c>
      <c r="J1202" s="3" t="b">
        <v>1</v>
      </c>
      <c r="K1202" s="3" t="s">
        <v>33</v>
      </c>
      <c r="L1202" s="3" t="s">
        <v>34</v>
      </c>
      <c r="M1202" s="8">
        <v>115000</v>
      </c>
      <c r="N1202" s="11"/>
      <c r="O1202" s="3" t="s">
        <v>245</v>
      </c>
      <c r="P1202" s="3" t="s">
        <v>1507</v>
      </c>
    </row>
    <row r="1203" spans="1:16" x14ac:dyDescent="0.3">
      <c r="A1203" s="3" t="s">
        <v>66</v>
      </c>
      <c r="B1203" s="3" t="s">
        <v>1508</v>
      </c>
      <c r="C1203" s="3" t="s">
        <v>417</v>
      </c>
      <c r="D1203" s="3" t="s">
        <v>30</v>
      </c>
      <c r="E1203" s="3" t="s">
        <v>133</v>
      </c>
      <c r="F1203" s="3" t="b">
        <v>0</v>
      </c>
      <c r="G1203" s="3" t="s">
        <v>110</v>
      </c>
      <c r="H1203" s="6">
        <v>44943.951620370368</v>
      </c>
      <c r="I1203" s="3" t="b">
        <v>0</v>
      </c>
      <c r="J1203" s="3" t="b">
        <v>0</v>
      </c>
      <c r="K1203" s="3" t="s">
        <v>110</v>
      </c>
      <c r="L1203" s="3" t="s">
        <v>48</v>
      </c>
      <c r="M1203" s="8"/>
      <c r="N1203" s="11">
        <v>50</v>
      </c>
      <c r="O1203" s="3" t="s">
        <v>1509</v>
      </c>
      <c r="P1203" s="3" t="s">
        <v>1510</v>
      </c>
    </row>
    <row r="1204" spans="1:16" x14ac:dyDescent="0.3">
      <c r="A1204" s="3" t="s">
        <v>66</v>
      </c>
      <c r="B1204" s="3" t="s">
        <v>1517</v>
      </c>
      <c r="C1204" s="3" t="s">
        <v>87</v>
      </c>
      <c r="D1204" s="3" t="s">
        <v>1013</v>
      </c>
      <c r="E1204" s="3" t="s">
        <v>31</v>
      </c>
      <c r="F1204" s="3" t="b">
        <v>1</v>
      </c>
      <c r="G1204" s="3" t="s">
        <v>84</v>
      </c>
      <c r="H1204" s="6">
        <v>44952.3</v>
      </c>
      <c r="I1204" s="3" t="b">
        <v>0</v>
      </c>
      <c r="J1204" s="3" t="b">
        <v>1</v>
      </c>
      <c r="K1204" s="3" t="s">
        <v>33</v>
      </c>
      <c r="L1204" s="3" t="s">
        <v>34</v>
      </c>
      <c r="M1204" s="8">
        <v>146000</v>
      </c>
      <c r="N1204" s="11"/>
      <c r="O1204" s="3" t="s">
        <v>1518</v>
      </c>
      <c r="P1204" s="3" t="s">
        <v>1519</v>
      </c>
    </row>
    <row r="1205" spans="1:16" x14ac:dyDescent="0.3">
      <c r="A1205" s="3" t="s">
        <v>66</v>
      </c>
      <c r="B1205" s="3" t="s">
        <v>1541</v>
      </c>
      <c r="C1205" s="3" t="s">
        <v>1542</v>
      </c>
      <c r="D1205" s="3" t="s">
        <v>41</v>
      </c>
      <c r="E1205" s="3" t="s">
        <v>31</v>
      </c>
      <c r="F1205" s="3" t="b">
        <v>0</v>
      </c>
      <c r="G1205" s="3" t="s">
        <v>842</v>
      </c>
      <c r="H1205" s="6">
        <v>44950.010127314818</v>
      </c>
      <c r="I1205" s="3" t="b">
        <v>0</v>
      </c>
      <c r="J1205" s="3" t="b">
        <v>0</v>
      </c>
      <c r="K1205" s="3" t="s">
        <v>842</v>
      </c>
      <c r="L1205" s="3" t="s">
        <v>34</v>
      </c>
      <c r="M1205" s="8">
        <v>50400</v>
      </c>
      <c r="N1205" s="11"/>
      <c r="O1205" s="3" t="s">
        <v>1543</v>
      </c>
      <c r="P1205" s="3" t="s">
        <v>1544</v>
      </c>
    </row>
    <row r="1206" spans="1:16" x14ac:dyDescent="0.3">
      <c r="A1206" s="3" t="s">
        <v>66</v>
      </c>
      <c r="B1206" s="3" t="s">
        <v>1016</v>
      </c>
      <c r="C1206" s="3" t="s">
        <v>87</v>
      </c>
      <c r="D1206" s="3" t="s">
        <v>30</v>
      </c>
      <c r="E1206" s="3" t="s">
        <v>31</v>
      </c>
      <c r="F1206" s="3" t="b">
        <v>1</v>
      </c>
      <c r="G1206" s="3" t="s">
        <v>58</v>
      </c>
      <c r="H1206" s="6">
        <v>44951.642071759263</v>
      </c>
      <c r="I1206" s="3" t="b">
        <v>1</v>
      </c>
      <c r="J1206" s="3" t="b">
        <v>1</v>
      </c>
      <c r="K1206" s="3" t="s">
        <v>33</v>
      </c>
      <c r="L1206" s="3" t="s">
        <v>34</v>
      </c>
      <c r="M1206" s="8">
        <v>160000</v>
      </c>
      <c r="N1206" s="11"/>
      <c r="O1206" s="3" t="s">
        <v>1551</v>
      </c>
      <c r="P1206" s="3" t="s">
        <v>1552</v>
      </c>
    </row>
    <row r="1207" spans="1:16" x14ac:dyDescent="0.3">
      <c r="A1207" s="3" t="s">
        <v>66</v>
      </c>
      <c r="B1207" s="3" t="s">
        <v>343</v>
      </c>
      <c r="C1207" s="3" t="s">
        <v>33</v>
      </c>
      <c r="D1207" s="3" t="s">
        <v>30</v>
      </c>
      <c r="E1207" s="3" t="s">
        <v>31</v>
      </c>
      <c r="F1207" s="3" t="b">
        <v>0</v>
      </c>
      <c r="G1207" s="3" t="s">
        <v>32</v>
      </c>
      <c r="H1207" s="6">
        <v>44956.755347222221</v>
      </c>
      <c r="I1207" s="3" t="b">
        <v>0</v>
      </c>
      <c r="J1207" s="3" t="b">
        <v>1</v>
      </c>
      <c r="K1207" s="3" t="s">
        <v>33</v>
      </c>
      <c r="L1207" s="3" t="s">
        <v>34</v>
      </c>
      <c r="M1207" s="8">
        <v>155000</v>
      </c>
      <c r="N1207" s="11"/>
      <c r="O1207" s="3" t="s">
        <v>1560</v>
      </c>
      <c r="P1207" s="3" t="s">
        <v>1561</v>
      </c>
    </row>
    <row r="1208" spans="1:16" x14ac:dyDescent="0.3">
      <c r="A1208" s="3" t="s">
        <v>66</v>
      </c>
      <c r="B1208" s="3" t="s">
        <v>66</v>
      </c>
      <c r="C1208" s="3" t="s">
        <v>79</v>
      </c>
      <c r="D1208" s="3" t="s">
        <v>237</v>
      </c>
      <c r="E1208" s="3" t="s">
        <v>31</v>
      </c>
      <c r="F1208" s="3" t="b">
        <v>0</v>
      </c>
      <c r="G1208" s="3" t="s">
        <v>64</v>
      </c>
      <c r="H1208" s="6">
        <v>44937.588368055563</v>
      </c>
      <c r="I1208" s="3" t="b">
        <v>0</v>
      </c>
      <c r="J1208" s="3" t="b">
        <v>1</v>
      </c>
      <c r="K1208" s="3" t="s">
        <v>33</v>
      </c>
      <c r="L1208" s="3" t="s">
        <v>34</v>
      </c>
      <c r="M1208" s="8">
        <v>187500</v>
      </c>
      <c r="N1208" s="11"/>
      <c r="O1208" s="3" t="s">
        <v>196</v>
      </c>
      <c r="P1208" s="3" t="s">
        <v>1575</v>
      </c>
    </row>
    <row r="1209" spans="1:16" x14ac:dyDescent="0.3">
      <c r="A1209" s="3" t="s">
        <v>66</v>
      </c>
      <c r="B1209" s="3" t="s">
        <v>66</v>
      </c>
      <c r="C1209" s="3" t="s">
        <v>87</v>
      </c>
      <c r="D1209" s="3" t="s">
        <v>76</v>
      </c>
      <c r="E1209" s="3" t="s">
        <v>31</v>
      </c>
      <c r="F1209" s="3" t="b">
        <v>1</v>
      </c>
      <c r="G1209" s="3" t="s">
        <v>58</v>
      </c>
      <c r="H1209" s="6">
        <v>44935.797349537039</v>
      </c>
      <c r="I1209" s="3" t="b">
        <v>1</v>
      </c>
      <c r="J1209" s="3" t="b">
        <v>0</v>
      </c>
      <c r="K1209" s="3" t="s">
        <v>33</v>
      </c>
      <c r="L1209" s="3" t="s">
        <v>34</v>
      </c>
      <c r="M1209" s="8">
        <v>137290.484375</v>
      </c>
      <c r="N1209" s="11"/>
      <c r="O1209" s="3" t="s">
        <v>1589</v>
      </c>
      <c r="P1209" s="3" t="s">
        <v>1590</v>
      </c>
    </row>
    <row r="1210" spans="1:16" x14ac:dyDescent="0.3">
      <c r="A1210" s="3" t="s">
        <v>66</v>
      </c>
      <c r="B1210" s="3" t="s">
        <v>343</v>
      </c>
      <c r="C1210" s="3" t="s">
        <v>1375</v>
      </c>
      <c r="D1210" s="3" t="s">
        <v>30</v>
      </c>
      <c r="E1210" s="3" t="s">
        <v>31</v>
      </c>
      <c r="F1210" s="3" t="b">
        <v>0</v>
      </c>
      <c r="G1210" s="3" t="s">
        <v>32</v>
      </c>
      <c r="H1210" s="6">
        <v>44950.339699074073</v>
      </c>
      <c r="I1210" s="3" t="b">
        <v>0</v>
      </c>
      <c r="J1210" s="3" t="b">
        <v>1</v>
      </c>
      <c r="K1210" s="3" t="s">
        <v>33</v>
      </c>
      <c r="L1210" s="3" t="s">
        <v>34</v>
      </c>
      <c r="M1210" s="8">
        <v>172500</v>
      </c>
      <c r="N1210" s="11"/>
      <c r="O1210" s="3" t="s">
        <v>158</v>
      </c>
      <c r="P1210" s="3" t="s">
        <v>183</v>
      </c>
    </row>
    <row r="1211" spans="1:16" x14ac:dyDescent="0.3">
      <c r="A1211" s="3" t="s">
        <v>66</v>
      </c>
      <c r="B1211" s="3" t="s">
        <v>66</v>
      </c>
      <c r="C1211" s="3" t="s">
        <v>87</v>
      </c>
      <c r="D1211" s="3" t="s">
        <v>30</v>
      </c>
      <c r="E1211" s="3" t="s">
        <v>31</v>
      </c>
      <c r="F1211" s="3" t="b">
        <v>1</v>
      </c>
      <c r="G1211" s="3" t="s">
        <v>140</v>
      </c>
      <c r="H1211" s="6">
        <v>44952.951793981483</v>
      </c>
      <c r="I1211" s="3" t="b">
        <v>0</v>
      </c>
      <c r="J1211" s="3" t="b">
        <v>0</v>
      </c>
      <c r="K1211" s="3" t="s">
        <v>33</v>
      </c>
      <c r="L1211" s="3" t="s">
        <v>34</v>
      </c>
      <c r="M1211" s="8">
        <v>89500</v>
      </c>
      <c r="N1211" s="11"/>
      <c r="O1211" s="3" t="s">
        <v>502</v>
      </c>
      <c r="P1211" s="3" t="s">
        <v>1591</v>
      </c>
    </row>
    <row r="1212" spans="1:16" x14ac:dyDescent="0.3">
      <c r="A1212" s="3" t="s">
        <v>66</v>
      </c>
      <c r="B1212" s="3" t="s">
        <v>1592</v>
      </c>
      <c r="C1212" s="3" t="s">
        <v>173</v>
      </c>
      <c r="D1212" s="3" t="s">
        <v>93</v>
      </c>
      <c r="E1212" s="3" t="s">
        <v>31</v>
      </c>
      <c r="F1212" s="3" t="b">
        <v>0</v>
      </c>
      <c r="G1212" s="3" t="s">
        <v>84</v>
      </c>
      <c r="H1212" s="6">
        <v>44944.215416666673</v>
      </c>
      <c r="I1212" s="3" t="b">
        <v>1</v>
      </c>
      <c r="J1212" s="3" t="b">
        <v>0</v>
      </c>
      <c r="K1212" s="3" t="s">
        <v>33</v>
      </c>
      <c r="L1212" s="3" t="s">
        <v>34</v>
      </c>
      <c r="M1212" s="8">
        <v>125000</v>
      </c>
      <c r="N1212" s="11"/>
      <c r="O1212" s="3" t="s">
        <v>1593</v>
      </c>
      <c r="P1212" s="3" t="s">
        <v>1594</v>
      </c>
    </row>
    <row r="1213" spans="1:16" x14ac:dyDescent="0.3">
      <c r="A1213" s="3" t="s">
        <v>66</v>
      </c>
      <c r="B1213" s="3" t="s">
        <v>1598</v>
      </c>
      <c r="C1213" s="3" t="s">
        <v>87</v>
      </c>
      <c r="D1213" s="3" t="s">
        <v>1599</v>
      </c>
      <c r="E1213" s="3" t="s">
        <v>31</v>
      </c>
      <c r="F1213" s="3" t="b">
        <v>1</v>
      </c>
      <c r="G1213" s="3" t="s">
        <v>32</v>
      </c>
      <c r="H1213" s="6">
        <v>44932.796481481477</v>
      </c>
      <c r="I1213" s="3" t="b">
        <v>0</v>
      </c>
      <c r="J1213" s="3" t="b">
        <v>1</v>
      </c>
      <c r="K1213" s="3" t="s">
        <v>33</v>
      </c>
      <c r="L1213" s="3" t="s">
        <v>34</v>
      </c>
      <c r="M1213" s="8">
        <v>180000</v>
      </c>
      <c r="N1213" s="11"/>
      <c r="O1213" s="3" t="s">
        <v>1600</v>
      </c>
      <c r="P1213" s="3" t="s">
        <v>1601</v>
      </c>
    </row>
    <row r="1214" spans="1:16" x14ac:dyDescent="0.3">
      <c r="A1214" s="3" t="s">
        <v>66</v>
      </c>
      <c r="B1214" s="3" t="s">
        <v>1605</v>
      </c>
      <c r="C1214" s="3" t="s">
        <v>1606</v>
      </c>
      <c r="D1214" s="3" t="s">
        <v>188</v>
      </c>
      <c r="E1214" s="3" t="s">
        <v>31</v>
      </c>
      <c r="F1214" s="3" t="b">
        <v>0</v>
      </c>
      <c r="G1214" s="3" t="s">
        <v>140</v>
      </c>
      <c r="H1214" s="6">
        <v>44949.934814814813</v>
      </c>
      <c r="I1214" s="3" t="b">
        <v>0</v>
      </c>
      <c r="J1214" s="3" t="b">
        <v>0</v>
      </c>
      <c r="K1214" s="3" t="s">
        <v>33</v>
      </c>
      <c r="L1214" s="3" t="s">
        <v>34</v>
      </c>
      <c r="M1214" s="8">
        <v>87500</v>
      </c>
      <c r="N1214" s="11"/>
      <c r="O1214" s="3" t="s">
        <v>1607</v>
      </c>
      <c r="P1214" s="3" t="s">
        <v>1608</v>
      </c>
    </row>
    <row r="1215" spans="1:16" x14ac:dyDescent="0.3">
      <c r="A1215" s="3" t="s">
        <v>66</v>
      </c>
      <c r="B1215" s="3" t="s">
        <v>1634</v>
      </c>
      <c r="C1215" s="3" t="s">
        <v>960</v>
      </c>
      <c r="D1215" s="3" t="s">
        <v>41</v>
      </c>
      <c r="E1215" s="3" t="s">
        <v>31</v>
      </c>
      <c r="F1215" s="3" t="b">
        <v>0</v>
      </c>
      <c r="G1215" s="3" t="s">
        <v>961</v>
      </c>
      <c r="H1215" s="6">
        <v>44931.912476851852</v>
      </c>
      <c r="I1215" s="3" t="b">
        <v>0</v>
      </c>
      <c r="J1215" s="3" t="b">
        <v>0</v>
      </c>
      <c r="K1215" s="3" t="s">
        <v>961</v>
      </c>
      <c r="L1215" s="3" t="s">
        <v>34</v>
      </c>
      <c r="M1215" s="8">
        <v>96760.5</v>
      </c>
      <c r="N1215" s="11"/>
      <c r="O1215" s="3" t="s">
        <v>962</v>
      </c>
      <c r="P1215" s="3" t="s">
        <v>1635</v>
      </c>
    </row>
    <row r="1216" spans="1:16" x14ac:dyDescent="0.3">
      <c r="A1216" s="3" t="s">
        <v>66</v>
      </c>
      <c r="B1216" s="3" t="s">
        <v>1636</v>
      </c>
      <c r="C1216" s="3" t="s">
        <v>593</v>
      </c>
      <c r="D1216" s="3" t="s">
        <v>41</v>
      </c>
      <c r="E1216" s="3" t="s">
        <v>31</v>
      </c>
      <c r="F1216" s="3" t="b">
        <v>0</v>
      </c>
      <c r="G1216" s="3" t="s">
        <v>436</v>
      </c>
      <c r="H1216" s="6">
        <v>44940.258506944447</v>
      </c>
      <c r="I1216" s="3" t="b">
        <v>0</v>
      </c>
      <c r="J1216" s="3" t="b">
        <v>0</v>
      </c>
      <c r="K1216" s="3" t="s">
        <v>436</v>
      </c>
      <c r="L1216" s="3" t="s">
        <v>34</v>
      </c>
      <c r="M1216" s="8">
        <v>147500</v>
      </c>
      <c r="N1216" s="11"/>
      <c r="O1216" s="3" t="s">
        <v>793</v>
      </c>
      <c r="P1216" s="3" t="s">
        <v>1637</v>
      </c>
    </row>
    <row r="1217" spans="1:16" x14ac:dyDescent="0.3">
      <c r="A1217" s="3" t="s">
        <v>66</v>
      </c>
      <c r="B1217" s="3" t="s">
        <v>143</v>
      </c>
      <c r="C1217" s="3" t="s">
        <v>1184</v>
      </c>
      <c r="D1217" s="3" t="s">
        <v>30</v>
      </c>
      <c r="E1217" s="3" t="s">
        <v>31</v>
      </c>
      <c r="F1217" s="3" t="b">
        <v>0</v>
      </c>
      <c r="G1217" s="3" t="s">
        <v>64</v>
      </c>
      <c r="H1217" s="6">
        <v>44942.989293981482</v>
      </c>
      <c r="I1217" s="3" t="b">
        <v>0</v>
      </c>
      <c r="J1217" s="3" t="b">
        <v>0</v>
      </c>
      <c r="K1217" s="3" t="s">
        <v>33</v>
      </c>
      <c r="L1217" s="3" t="s">
        <v>34</v>
      </c>
      <c r="M1217" s="8">
        <v>112500</v>
      </c>
      <c r="N1217" s="11"/>
      <c r="O1217" s="3" t="s">
        <v>1646</v>
      </c>
      <c r="P1217" s="3" t="s">
        <v>1647</v>
      </c>
    </row>
    <row r="1218" spans="1:16" x14ac:dyDescent="0.3">
      <c r="A1218" s="3" t="s">
        <v>66</v>
      </c>
      <c r="B1218" s="3" t="s">
        <v>1648</v>
      </c>
      <c r="C1218" s="3" t="s">
        <v>1649</v>
      </c>
      <c r="D1218" s="3" t="s">
        <v>126</v>
      </c>
      <c r="E1218" s="3" t="s">
        <v>31</v>
      </c>
      <c r="F1218" s="3" t="b">
        <v>0</v>
      </c>
      <c r="G1218" s="3" t="s">
        <v>32</v>
      </c>
      <c r="H1218" s="6">
        <v>44952.798564814817</v>
      </c>
      <c r="I1218" s="3" t="b">
        <v>0</v>
      </c>
      <c r="J1218" s="3" t="b">
        <v>0</v>
      </c>
      <c r="K1218" s="3" t="s">
        <v>33</v>
      </c>
      <c r="L1218" s="3" t="s">
        <v>34</v>
      </c>
      <c r="M1218" s="8">
        <v>95000</v>
      </c>
      <c r="N1218" s="11"/>
      <c r="O1218" s="3" t="s">
        <v>1650</v>
      </c>
      <c r="P1218" s="3" t="s">
        <v>1651</v>
      </c>
    </row>
    <row r="1219" spans="1:16" x14ac:dyDescent="0.3">
      <c r="A1219" s="3" t="s">
        <v>66</v>
      </c>
      <c r="B1219" s="3" t="s">
        <v>1652</v>
      </c>
      <c r="C1219" s="3" t="s">
        <v>1099</v>
      </c>
      <c r="D1219" s="3" t="s">
        <v>30</v>
      </c>
      <c r="E1219" s="3" t="s">
        <v>31</v>
      </c>
      <c r="F1219" s="3" t="b">
        <v>0</v>
      </c>
      <c r="G1219" s="3" t="s">
        <v>84</v>
      </c>
      <c r="H1219" s="6">
        <v>44957.713900462957</v>
      </c>
      <c r="I1219" s="3" t="b">
        <v>0</v>
      </c>
      <c r="J1219" s="3" t="b">
        <v>0</v>
      </c>
      <c r="K1219" s="3" t="s">
        <v>33</v>
      </c>
      <c r="L1219" s="3" t="s">
        <v>34</v>
      </c>
      <c r="M1219" s="8">
        <v>95000</v>
      </c>
      <c r="N1219" s="11"/>
      <c r="O1219" s="3" t="s">
        <v>1653</v>
      </c>
      <c r="P1219" s="3" t="s">
        <v>1654</v>
      </c>
    </row>
    <row r="1220" spans="1:16" x14ac:dyDescent="0.3">
      <c r="A1220" s="3" t="s">
        <v>66</v>
      </c>
      <c r="B1220" s="3" t="s">
        <v>66</v>
      </c>
      <c r="C1220" s="3" t="s">
        <v>87</v>
      </c>
      <c r="D1220" s="3" t="s">
        <v>30</v>
      </c>
      <c r="E1220" s="3" t="s">
        <v>31</v>
      </c>
      <c r="F1220" s="3" t="b">
        <v>1</v>
      </c>
      <c r="G1220" s="3" t="s">
        <v>110</v>
      </c>
      <c r="H1220" s="6">
        <v>44942.892546296287</v>
      </c>
      <c r="I1220" s="3" t="b">
        <v>0</v>
      </c>
      <c r="J1220" s="3" t="b">
        <v>0</v>
      </c>
      <c r="K1220" s="3" t="s">
        <v>110</v>
      </c>
      <c r="L1220" s="3" t="s">
        <v>34</v>
      </c>
      <c r="M1220" s="8">
        <v>99500</v>
      </c>
      <c r="N1220" s="11"/>
      <c r="O1220" s="3" t="s">
        <v>624</v>
      </c>
      <c r="P1220" s="3" t="s">
        <v>1658</v>
      </c>
    </row>
    <row r="1221" spans="1:16" x14ac:dyDescent="0.3">
      <c r="A1221" s="3" t="s">
        <v>66</v>
      </c>
      <c r="B1221" s="3" t="s">
        <v>1659</v>
      </c>
      <c r="C1221" s="3" t="s">
        <v>87</v>
      </c>
      <c r="D1221" s="3" t="s">
        <v>30</v>
      </c>
      <c r="E1221" s="3" t="s">
        <v>31</v>
      </c>
      <c r="F1221" s="3" t="b">
        <v>1</v>
      </c>
      <c r="G1221" s="3" t="s">
        <v>140</v>
      </c>
      <c r="H1221" s="6">
        <v>44932.757986111108</v>
      </c>
      <c r="I1221" s="3" t="b">
        <v>0</v>
      </c>
      <c r="J1221" s="3" t="b">
        <v>0</v>
      </c>
      <c r="K1221" s="3" t="s">
        <v>33</v>
      </c>
      <c r="L1221" s="3" t="s">
        <v>48</v>
      </c>
      <c r="M1221" s="8"/>
      <c r="N1221" s="11">
        <v>70</v>
      </c>
      <c r="O1221" s="3" t="s">
        <v>1660</v>
      </c>
      <c r="P1221" s="3" t="s">
        <v>1661</v>
      </c>
    </row>
    <row r="1222" spans="1:16" x14ac:dyDescent="0.3">
      <c r="A1222" s="3" t="s">
        <v>66</v>
      </c>
      <c r="B1222" s="3" t="s">
        <v>1663</v>
      </c>
      <c r="C1222" s="3" t="s">
        <v>87</v>
      </c>
      <c r="D1222" s="3" t="s">
        <v>30</v>
      </c>
      <c r="E1222" s="3" t="s">
        <v>31</v>
      </c>
      <c r="F1222" s="3" t="b">
        <v>1</v>
      </c>
      <c r="G1222" s="3" t="s">
        <v>84</v>
      </c>
      <c r="H1222" s="6">
        <v>44951.93408564815</v>
      </c>
      <c r="I1222" s="3" t="b">
        <v>0</v>
      </c>
      <c r="J1222" s="3" t="b">
        <v>0</v>
      </c>
      <c r="K1222" s="3" t="s">
        <v>33</v>
      </c>
      <c r="L1222" s="3" t="s">
        <v>34</v>
      </c>
      <c r="M1222" s="8">
        <v>150000</v>
      </c>
      <c r="N1222" s="11"/>
      <c r="O1222" s="3" t="s">
        <v>325</v>
      </c>
      <c r="P1222" s="3" t="s">
        <v>1664</v>
      </c>
    </row>
    <row r="1223" spans="1:16" x14ac:dyDescent="0.3">
      <c r="A1223" s="3" t="s">
        <v>66</v>
      </c>
      <c r="B1223" s="3" t="s">
        <v>1668</v>
      </c>
      <c r="C1223" s="3" t="s">
        <v>1669</v>
      </c>
      <c r="D1223" s="3" t="s">
        <v>41</v>
      </c>
      <c r="E1223" s="3" t="s">
        <v>31</v>
      </c>
      <c r="F1223" s="3" t="b">
        <v>0</v>
      </c>
      <c r="G1223" s="3" t="s">
        <v>436</v>
      </c>
      <c r="H1223" s="6">
        <v>44931.522615740738</v>
      </c>
      <c r="I1223" s="3" t="b">
        <v>0</v>
      </c>
      <c r="J1223" s="3" t="b">
        <v>0</v>
      </c>
      <c r="K1223" s="3" t="s">
        <v>436</v>
      </c>
      <c r="L1223" s="3" t="s">
        <v>34</v>
      </c>
      <c r="M1223" s="8">
        <v>147500</v>
      </c>
      <c r="N1223" s="11"/>
      <c r="O1223" s="3" t="s">
        <v>1670</v>
      </c>
      <c r="P1223" s="3" t="s">
        <v>1671</v>
      </c>
    </row>
    <row r="1224" spans="1:16" x14ac:dyDescent="0.3">
      <c r="A1224" s="3" t="s">
        <v>66</v>
      </c>
      <c r="B1224" s="3" t="s">
        <v>66</v>
      </c>
      <c r="C1224" s="3" t="s">
        <v>87</v>
      </c>
      <c r="D1224" s="3" t="s">
        <v>53</v>
      </c>
      <c r="E1224" s="3" t="s">
        <v>133</v>
      </c>
      <c r="F1224" s="3" t="b">
        <v>1</v>
      </c>
      <c r="G1224" s="3" t="s">
        <v>84</v>
      </c>
      <c r="H1224" s="6">
        <v>44952.142418981479</v>
      </c>
      <c r="I1224" s="3" t="b">
        <v>0</v>
      </c>
      <c r="J1224" s="3" t="b">
        <v>0</v>
      </c>
      <c r="K1224" s="3" t="s">
        <v>33</v>
      </c>
      <c r="L1224" s="3" t="s">
        <v>48</v>
      </c>
      <c r="M1224" s="8"/>
      <c r="N1224" s="11">
        <v>59</v>
      </c>
      <c r="O1224" s="3" t="s">
        <v>1679</v>
      </c>
      <c r="P1224" s="3" t="s">
        <v>1680</v>
      </c>
    </row>
    <row r="1225" spans="1:16" x14ac:dyDescent="0.3">
      <c r="A1225" s="3" t="s">
        <v>66</v>
      </c>
      <c r="B1225" s="3" t="s">
        <v>1682</v>
      </c>
      <c r="C1225" s="3" t="s">
        <v>1683</v>
      </c>
      <c r="D1225" s="3" t="s">
        <v>827</v>
      </c>
      <c r="E1225" s="3" t="s">
        <v>31</v>
      </c>
      <c r="F1225" s="3" t="b">
        <v>0</v>
      </c>
      <c r="G1225" s="3" t="s">
        <v>58</v>
      </c>
      <c r="H1225" s="6">
        <v>44936.005810185183</v>
      </c>
      <c r="I1225" s="3" t="b">
        <v>0</v>
      </c>
      <c r="J1225" s="3" t="b">
        <v>0</v>
      </c>
      <c r="K1225" s="3" t="s">
        <v>33</v>
      </c>
      <c r="L1225" s="3" t="s">
        <v>34</v>
      </c>
      <c r="M1225" s="8">
        <v>190950</v>
      </c>
      <c r="N1225" s="11"/>
      <c r="O1225" s="3" t="s">
        <v>238</v>
      </c>
      <c r="P1225" s="3" t="s">
        <v>941</v>
      </c>
    </row>
    <row r="1226" spans="1:16" x14ac:dyDescent="0.3">
      <c r="A1226" s="3" t="s">
        <v>66</v>
      </c>
      <c r="B1226" s="3" t="s">
        <v>113</v>
      </c>
      <c r="C1226" s="3" t="s">
        <v>1691</v>
      </c>
      <c r="D1226" s="3" t="s">
        <v>30</v>
      </c>
      <c r="E1226" s="3" t="s">
        <v>31</v>
      </c>
      <c r="F1226" s="3" t="b">
        <v>0</v>
      </c>
      <c r="G1226" s="3" t="s">
        <v>32</v>
      </c>
      <c r="H1226" s="6">
        <v>44947.062106481477</v>
      </c>
      <c r="I1226" s="3" t="b">
        <v>0</v>
      </c>
      <c r="J1226" s="3" t="b">
        <v>0</v>
      </c>
      <c r="K1226" s="3" t="s">
        <v>33</v>
      </c>
      <c r="L1226" s="3" t="s">
        <v>34</v>
      </c>
      <c r="M1226" s="8">
        <v>145000</v>
      </c>
      <c r="N1226" s="11"/>
      <c r="O1226" s="3" t="s">
        <v>114</v>
      </c>
      <c r="P1226" s="3" t="s">
        <v>1692</v>
      </c>
    </row>
    <row r="1227" spans="1:16" x14ac:dyDescent="0.3">
      <c r="A1227" s="3" t="s">
        <v>66</v>
      </c>
      <c r="B1227" s="3" t="s">
        <v>1701</v>
      </c>
      <c r="C1227" s="3" t="s">
        <v>87</v>
      </c>
      <c r="D1227" s="3" t="s">
        <v>76</v>
      </c>
      <c r="E1227" s="3" t="s">
        <v>31</v>
      </c>
      <c r="F1227" s="3" t="b">
        <v>1</v>
      </c>
      <c r="G1227" s="3" t="s">
        <v>64</v>
      </c>
      <c r="H1227" s="6">
        <v>44939.922418981478</v>
      </c>
      <c r="I1227" s="3" t="b">
        <v>1</v>
      </c>
      <c r="J1227" s="3" t="b">
        <v>0</v>
      </c>
      <c r="K1227" s="3" t="s">
        <v>33</v>
      </c>
      <c r="L1227" s="3" t="s">
        <v>48</v>
      </c>
      <c r="M1227" s="8"/>
      <c r="N1227" s="11">
        <v>52.5</v>
      </c>
      <c r="O1227" s="3" t="s">
        <v>1702</v>
      </c>
      <c r="P1227" s="3"/>
    </row>
    <row r="1228" spans="1:16" x14ac:dyDescent="0.3">
      <c r="A1228" s="3" t="s">
        <v>66</v>
      </c>
      <c r="B1228" s="3" t="s">
        <v>1718</v>
      </c>
      <c r="C1228" s="3" t="s">
        <v>57</v>
      </c>
      <c r="D1228" s="3" t="s">
        <v>188</v>
      </c>
      <c r="E1228" s="3" t="s">
        <v>133</v>
      </c>
      <c r="F1228" s="3" t="b">
        <v>0</v>
      </c>
      <c r="G1228" s="3" t="s">
        <v>84</v>
      </c>
      <c r="H1228" s="6">
        <v>44932.922824074078</v>
      </c>
      <c r="I1228" s="3" t="b">
        <v>1</v>
      </c>
      <c r="J1228" s="3" t="b">
        <v>0</v>
      </c>
      <c r="K1228" s="3" t="s">
        <v>33</v>
      </c>
      <c r="L1228" s="3" t="s">
        <v>48</v>
      </c>
      <c r="M1228" s="8"/>
      <c r="N1228" s="11">
        <v>65</v>
      </c>
      <c r="O1228" s="3" t="s">
        <v>1719</v>
      </c>
      <c r="P1228" s="3"/>
    </row>
    <row r="1229" spans="1:16" x14ac:dyDescent="0.3">
      <c r="A1229" s="3" t="s">
        <v>66</v>
      </c>
      <c r="B1229" s="3" t="s">
        <v>1721</v>
      </c>
      <c r="C1229" s="3" t="s">
        <v>1722</v>
      </c>
      <c r="D1229" s="3" t="s">
        <v>188</v>
      </c>
      <c r="E1229" s="3" t="s">
        <v>31</v>
      </c>
      <c r="F1229" s="3" t="b">
        <v>0</v>
      </c>
      <c r="G1229" s="3" t="s">
        <v>88</v>
      </c>
      <c r="H1229" s="6">
        <v>44929.047337962962</v>
      </c>
      <c r="I1229" s="3" t="b">
        <v>1</v>
      </c>
      <c r="J1229" s="3" t="b">
        <v>0</v>
      </c>
      <c r="K1229" s="3" t="s">
        <v>33</v>
      </c>
      <c r="L1229" s="3" t="s">
        <v>34</v>
      </c>
      <c r="M1229" s="8">
        <v>102500</v>
      </c>
      <c r="N1229" s="11"/>
      <c r="O1229" s="3" t="s">
        <v>255</v>
      </c>
      <c r="P1229" s="3" t="s">
        <v>1723</v>
      </c>
    </row>
    <row r="1230" spans="1:16" x14ac:dyDescent="0.3">
      <c r="A1230" s="3" t="s">
        <v>66</v>
      </c>
      <c r="B1230" s="3" t="s">
        <v>1730</v>
      </c>
      <c r="C1230" s="3" t="s">
        <v>396</v>
      </c>
      <c r="D1230" s="3" t="s">
        <v>76</v>
      </c>
      <c r="E1230" s="3" t="s">
        <v>133</v>
      </c>
      <c r="F1230" s="3" t="b">
        <v>0</v>
      </c>
      <c r="G1230" s="3" t="s">
        <v>88</v>
      </c>
      <c r="H1230" s="6">
        <v>44940.591215277767</v>
      </c>
      <c r="I1230" s="3" t="b">
        <v>1</v>
      </c>
      <c r="J1230" s="3" t="b">
        <v>0</v>
      </c>
      <c r="K1230" s="3" t="s">
        <v>33</v>
      </c>
      <c r="L1230" s="3" t="s">
        <v>48</v>
      </c>
      <c r="M1230" s="8"/>
      <c r="N1230" s="11">
        <v>67.5</v>
      </c>
      <c r="O1230" s="3" t="s">
        <v>1731</v>
      </c>
      <c r="P1230" s="3" t="s">
        <v>1732</v>
      </c>
    </row>
    <row r="1231" spans="1:16" x14ac:dyDescent="0.3">
      <c r="A1231" s="3" t="s">
        <v>66</v>
      </c>
      <c r="B1231" s="3" t="s">
        <v>1734</v>
      </c>
      <c r="C1231" s="3" t="s">
        <v>75</v>
      </c>
      <c r="D1231" s="3" t="s">
        <v>30</v>
      </c>
      <c r="E1231" s="3" t="s">
        <v>31</v>
      </c>
      <c r="F1231" s="3" t="b">
        <v>0</v>
      </c>
      <c r="G1231" s="3" t="s">
        <v>140</v>
      </c>
      <c r="H1231" s="6">
        <v>44954.47210648148</v>
      </c>
      <c r="I1231" s="3" t="b">
        <v>1</v>
      </c>
      <c r="J1231" s="3" t="b">
        <v>0</v>
      </c>
      <c r="K1231" s="3" t="s">
        <v>33</v>
      </c>
      <c r="L1231" s="3" t="s">
        <v>34</v>
      </c>
      <c r="M1231" s="8">
        <v>80000</v>
      </c>
      <c r="N1231" s="11"/>
      <c r="O1231" s="3" t="s">
        <v>80</v>
      </c>
      <c r="P1231" s="3" t="s">
        <v>1735</v>
      </c>
    </row>
    <row r="1232" spans="1:16" x14ac:dyDescent="0.3">
      <c r="A1232" s="3" t="s">
        <v>66</v>
      </c>
      <c r="B1232" s="3" t="s">
        <v>484</v>
      </c>
      <c r="C1232" s="3" t="s">
        <v>1741</v>
      </c>
      <c r="D1232" s="3" t="s">
        <v>76</v>
      </c>
      <c r="E1232" s="3" t="s">
        <v>31</v>
      </c>
      <c r="F1232" s="3" t="b">
        <v>0</v>
      </c>
      <c r="G1232" s="3" t="s">
        <v>140</v>
      </c>
      <c r="H1232" s="6">
        <v>44945.787592592591</v>
      </c>
      <c r="I1232" s="3" t="b">
        <v>0</v>
      </c>
      <c r="J1232" s="3" t="b">
        <v>1</v>
      </c>
      <c r="K1232" s="3" t="s">
        <v>33</v>
      </c>
      <c r="L1232" s="3" t="s">
        <v>34</v>
      </c>
      <c r="M1232" s="8">
        <v>130000</v>
      </c>
      <c r="N1232" s="11"/>
      <c r="O1232" s="3" t="s">
        <v>1742</v>
      </c>
      <c r="P1232" s="3" t="s">
        <v>1743</v>
      </c>
    </row>
    <row r="1233" spans="1:16" x14ac:dyDescent="0.3">
      <c r="A1233" s="3" t="s">
        <v>66</v>
      </c>
      <c r="B1233" s="3" t="s">
        <v>66</v>
      </c>
      <c r="C1233" s="3" t="s">
        <v>435</v>
      </c>
      <c r="D1233" s="3" t="s">
        <v>41</v>
      </c>
      <c r="E1233" s="3" t="s">
        <v>31</v>
      </c>
      <c r="F1233" s="3" t="b">
        <v>0</v>
      </c>
      <c r="G1233" s="3" t="s">
        <v>436</v>
      </c>
      <c r="H1233" s="6">
        <v>44949.79891203704</v>
      </c>
      <c r="I1233" s="3" t="b">
        <v>0</v>
      </c>
      <c r="J1233" s="3" t="b">
        <v>0</v>
      </c>
      <c r="K1233" s="3" t="s">
        <v>436</v>
      </c>
      <c r="L1233" s="3" t="s">
        <v>34</v>
      </c>
      <c r="M1233" s="8">
        <v>147500</v>
      </c>
      <c r="N1233" s="11"/>
      <c r="O1233" s="3" t="s">
        <v>1746</v>
      </c>
      <c r="P1233" s="3" t="s">
        <v>1747</v>
      </c>
    </row>
    <row r="1234" spans="1:16" x14ac:dyDescent="0.3">
      <c r="A1234" s="3" t="s">
        <v>66</v>
      </c>
      <c r="B1234" s="3" t="s">
        <v>743</v>
      </c>
      <c r="C1234" s="3" t="s">
        <v>87</v>
      </c>
      <c r="D1234" s="3" t="s">
        <v>30</v>
      </c>
      <c r="E1234" s="3" t="s">
        <v>31</v>
      </c>
      <c r="F1234" s="3" t="b">
        <v>1</v>
      </c>
      <c r="G1234" s="3" t="s">
        <v>110</v>
      </c>
      <c r="H1234" s="6">
        <v>44944.659953703696</v>
      </c>
      <c r="I1234" s="3" t="b">
        <v>0</v>
      </c>
      <c r="J1234" s="3" t="b">
        <v>0</v>
      </c>
      <c r="K1234" s="3" t="s">
        <v>110</v>
      </c>
      <c r="L1234" s="3" t="s">
        <v>34</v>
      </c>
      <c r="M1234" s="8">
        <v>165000</v>
      </c>
      <c r="N1234" s="11"/>
      <c r="O1234" s="3" t="s">
        <v>790</v>
      </c>
      <c r="P1234" s="3" t="s">
        <v>374</v>
      </c>
    </row>
    <row r="1235" spans="1:16" x14ac:dyDescent="0.3">
      <c r="A1235" s="3" t="s">
        <v>66</v>
      </c>
      <c r="B1235" s="3" t="s">
        <v>66</v>
      </c>
      <c r="C1235" s="3" t="s">
        <v>87</v>
      </c>
      <c r="D1235" s="3" t="s">
        <v>30</v>
      </c>
      <c r="E1235" s="3" t="s">
        <v>31</v>
      </c>
      <c r="F1235" s="3" t="b">
        <v>1</v>
      </c>
      <c r="G1235" s="3" t="s">
        <v>140</v>
      </c>
      <c r="H1235" s="6">
        <v>44936.667245370372</v>
      </c>
      <c r="I1235" s="3" t="b">
        <v>0</v>
      </c>
      <c r="J1235" s="3" t="b">
        <v>0</v>
      </c>
      <c r="K1235" s="3" t="s">
        <v>33</v>
      </c>
      <c r="L1235" s="3" t="s">
        <v>48</v>
      </c>
      <c r="M1235" s="8"/>
      <c r="N1235" s="11">
        <v>79</v>
      </c>
      <c r="O1235" s="3" t="s">
        <v>1756</v>
      </c>
      <c r="P1235" s="3" t="s">
        <v>1757</v>
      </c>
    </row>
    <row r="1236" spans="1:16" x14ac:dyDescent="0.3">
      <c r="A1236" s="3" t="s">
        <v>66</v>
      </c>
      <c r="B1236" s="3" t="s">
        <v>66</v>
      </c>
      <c r="C1236" s="3" t="s">
        <v>1758</v>
      </c>
      <c r="D1236" s="3" t="s">
        <v>41</v>
      </c>
      <c r="E1236" s="3" t="s">
        <v>31</v>
      </c>
      <c r="F1236" s="3" t="b">
        <v>0</v>
      </c>
      <c r="G1236" s="3" t="s">
        <v>532</v>
      </c>
      <c r="H1236" s="6">
        <v>44940.68372685185</v>
      </c>
      <c r="I1236" s="3" t="b">
        <v>0</v>
      </c>
      <c r="J1236" s="3" t="b">
        <v>0</v>
      </c>
      <c r="K1236" s="3" t="s">
        <v>532</v>
      </c>
      <c r="L1236" s="3" t="s">
        <v>34</v>
      </c>
      <c r="M1236" s="8">
        <v>147500</v>
      </c>
      <c r="N1236" s="11"/>
      <c r="O1236" s="3" t="s">
        <v>533</v>
      </c>
      <c r="P1236" s="3" t="s">
        <v>1759</v>
      </c>
    </row>
    <row r="1237" spans="1:16" x14ac:dyDescent="0.3">
      <c r="A1237" s="3" t="s">
        <v>66</v>
      </c>
      <c r="B1237" s="3" t="s">
        <v>1762</v>
      </c>
      <c r="C1237" s="3" t="s">
        <v>87</v>
      </c>
      <c r="D1237" s="3" t="s">
        <v>76</v>
      </c>
      <c r="E1237" s="3" t="s">
        <v>133</v>
      </c>
      <c r="F1237" s="3" t="b">
        <v>1</v>
      </c>
      <c r="G1237" s="3" t="s">
        <v>110</v>
      </c>
      <c r="H1237" s="6">
        <v>44930.623692129629</v>
      </c>
      <c r="I1237" s="3" t="b">
        <v>0</v>
      </c>
      <c r="J1237" s="3" t="b">
        <v>1</v>
      </c>
      <c r="K1237" s="3" t="s">
        <v>110</v>
      </c>
      <c r="L1237" s="3" t="s">
        <v>48</v>
      </c>
      <c r="M1237" s="8"/>
      <c r="N1237" s="11">
        <v>60</v>
      </c>
      <c r="O1237" s="3" t="s">
        <v>589</v>
      </c>
      <c r="P1237" s="3" t="s">
        <v>1763</v>
      </c>
    </row>
    <row r="1238" spans="1:16" x14ac:dyDescent="0.3">
      <c r="A1238" s="3" t="s">
        <v>66</v>
      </c>
      <c r="B1238" s="3" t="s">
        <v>1772</v>
      </c>
      <c r="C1238" s="3" t="s">
        <v>491</v>
      </c>
      <c r="D1238" s="3" t="s">
        <v>30</v>
      </c>
      <c r="E1238" s="3" t="s">
        <v>31</v>
      </c>
      <c r="F1238" s="3" t="b">
        <v>0</v>
      </c>
      <c r="G1238" s="3" t="s">
        <v>64</v>
      </c>
      <c r="H1238" s="6">
        <v>44944.130300925928</v>
      </c>
      <c r="I1238" s="3" t="b">
        <v>0</v>
      </c>
      <c r="J1238" s="3" t="b">
        <v>0</v>
      </c>
      <c r="K1238" s="3" t="s">
        <v>33</v>
      </c>
      <c r="L1238" s="3" t="s">
        <v>34</v>
      </c>
      <c r="M1238" s="8">
        <v>117500</v>
      </c>
      <c r="N1238" s="11"/>
      <c r="O1238" s="3" t="s">
        <v>727</v>
      </c>
      <c r="P1238" s="3" t="s">
        <v>1773</v>
      </c>
    </row>
    <row r="1239" spans="1:16" x14ac:dyDescent="0.3">
      <c r="A1239" s="3" t="s">
        <v>66</v>
      </c>
      <c r="B1239" s="3" t="s">
        <v>1794</v>
      </c>
      <c r="C1239" s="3" t="s">
        <v>87</v>
      </c>
      <c r="D1239" s="3" t="s">
        <v>1795</v>
      </c>
      <c r="E1239" s="3" t="s">
        <v>31</v>
      </c>
      <c r="F1239" s="3" t="b">
        <v>1</v>
      </c>
      <c r="G1239" s="3" t="s">
        <v>32</v>
      </c>
      <c r="H1239" s="6">
        <v>44932.338263888887</v>
      </c>
      <c r="I1239" s="3" t="b">
        <v>1</v>
      </c>
      <c r="J1239" s="3" t="b">
        <v>0</v>
      </c>
      <c r="K1239" s="3" t="s">
        <v>33</v>
      </c>
      <c r="L1239" s="3" t="s">
        <v>34</v>
      </c>
      <c r="M1239" s="8">
        <v>150000</v>
      </c>
      <c r="N1239" s="11"/>
      <c r="O1239" s="3" t="s">
        <v>1796</v>
      </c>
      <c r="P1239" s="3" t="s">
        <v>1797</v>
      </c>
    </row>
    <row r="1240" spans="1:16" x14ac:dyDescent="0.3">
      <c r="A1240" s="3" t="s">
        <v>66</v>
      </c>
      <c r="B1240" s="3" t="s">
        <v>66</v>
      </c>
      <c r="C1240" s="3" t="s">
        <v>270</v>
      </c>
      <c r="D1240" s="3" t="s">
        <v>188</v>
      </c>
      <c r="E1240" s="3" t="s">
        <v>31</v>
      </c>
      <c r="F1240" s="3" t="b">
        <v>0</v>
      </c>
      <c r="G1240" s="3" t="s">
        <v>110</v>
      </c>
      <c r="H1240" s="6">
        <v>44949.769201388888</v>
      </c>
      <c r="I1240" s="3" t="b">
        <v>0</v>
      </c>
      <c r="J1240" s="3" t="b">
        <v>0</v>
      </c>
      <c r="K1240" s="3" t="s">
        <v>110</v>
      </c>
      <c r="L1240" s="3" t="s">
        <v>34</v>
      </c>
      <c r="M1240" s="8">
        <v>90000</v>
      </c>
      <c r="N1240" s="11"/>
      <c r="O1240" s="3" t="s">
        <v>1817</v>
      </c>
      <c r="P1240" s="3" t="s">
        <v>1818</v>
      </c>
    </row>
    <row r="1241" spans="1:16" x14ac:dyDescent="0.3">
      <c r="A1241" s="3" t="s">
        <v>66</v>
      </c>
      <c r="B1241" s="3" t="s">
        <v>66</v>
      </c>
      <c r="C1241" s="3" t="s">
        <v>178</v>
      </c>
      <c r="D1241" s="3" t="s">
        <v>30</v>
      </c>
      <c r="E1241" s="3" t="s">
        <v>133</v>
      </c>
      <c r="F1241" s="3" t="b">
        <v>0</v>
      </c>
      <c r="G1241" s="3" t="s">
        <v>58</v>
      </c>
      <c r="H1241" s="6">
        <v>44943.756724537037</v>
      </c>
      <c r="I1241" s="3" t="b">
        <v>1</v>
      </c>
      <c r="J1241" s="3" t="b">
        <v>0</v>
      </c>
      <c r="K1241" s="3" t="s">
        <v>33</v>
      </c>
      <c r="L1241" s="3" t="s">
        <v>48</v>
      </c>
      <c r="M1241" s="8"/>
      <c r="N1241" s="11">
        <v>85</v>
      </c>
      <c r="O1241" s="3" t="s">
        <v>1819</v>
      </c>
      <c r="P1241" s="3" t="s">
        <v>1820</v>
      </c>
    </row>
    <row r="1242" spans="1:16" x14ac:dyDescent="0.3">
      <c r="A1242" s="3" t="s">
        <v>66</v>
      </c>
      <c r="B1242" s="3" t="s">
        <v>1828</v>
      </c>
      <c r="C1242" s="3" t="s">
        <v>808</v>
      </c>
      <c r="D1242" s="3" t="s">
        <v>1829</v>
      </c>
      <c r="E1242" s="3" t="s">
        <v>31</v>
      </c>
      <c r="F1242" s="3" t="b">
        <v>0</v>
      </c>
      <c r="G1242" s="3" t="s">
        <v>808</v>
      </c>
      <c r="H1242" s="6">
        <v>44944.856319444443</v>
      </c>
      <c r="I1242" s="3" t="b">
        <v>1</v>
      </c>
      <c r="J1242" s="3" t="b">
        <v>0</v>
      </c>
      <c r="K1242" s="3" t="s">
        <v>808</v>
      </c>
      <c r="L1242" s="3" t="s">
        <v>34</v>
      </c>
      <c r="M1242" s="8">
        <v>72960</v>
      </c>
      <c r="N1242" s="11"/>
      <c r="O1242" s="3" t="s">
        <v>1830</v>
      </c>
      <c r="P1242" s="3" t="s">
        <v>1831</v>
      </c>
    </row>
    <row r="1243" spans="1:16" x14ac:dyDescent="0.3">
      <c r="A1243" s="3" t="s">
        <v>66</v>
      </c>
      <c r="B1243" s="3" t="s">
        <v>1843</v>
      </c>
      <c r="C1243" s="3" t="s">
        <v>109</v>
      </c>
      <c r="D1243" s="3" t="s">
        <v>53</v>
      </c>
      <c r="E1243" s="3" t="s">
        <v>31</v>
      </c>
      <c r="F1243" s="3" t="b">
        <v>0</v>
      </c>
      <c r="G1243" s="3" t="s">
        <v>58</v>
      </c>
      <c r="H1243" s="6">
        <v>44933.128206018519</v>
      </c>
      <c r="I1243" s="3" t="b">
        <v>0</v>
      </c>
      <c r="J1243" s="3" t="b">
        <v>0</v>
      </c>
      <c r="K1243" s="3" t="s">
        <v>33</v>
      </c>
      <c r="L1243" s="3" t="s">
        <v>34</v>
      </c>
      <c r="M1243" s="8">
        <v>80000</v>
      </c>
      <c r="N1243" s="11"/>
      <c r="O1243" s="3" t="s">
        <v>957</v>
      </c>
      <c r="P1243" s="3" t="s">
        <v>958</v>
      </c>
    </row>
    <row r="1244" spans="1:16" x14ac:dyDescent="0.3">
      <c r="A1244" s="3" t="s">
        <v>66</v>
      </c>
      <c r="B1244" s="3" t="s">
        <v>66</v>
      </c>
      <c r="C1244" s="3" t="s">
        <v>1524</v>
      </c>
      <c r="D1244" s="3" t="s">
        <v>93</v>
      </c>
      <c r="E1244" s="3" t="s">
        <v>31</v>
      </c>
      <c r="F1244" s="3" t="b">
        <v>0</v>
      </c>
      <c r="G1244" s="3" t="s">
        <v>110</v>
      </c>
      <c r="H1244" s="6">
        <v>44944.40965277778</v>
      </c>
      <c r="I1244" s="3" t="b">
        <v>0</v>
      </c>
      <c r="J1244" s="3" t="b">
        <v>1</v>
      </c>
      <c r="K1244" s="3" t="s">
        <v>110</v>
      </c>
      <c r="L1244" s="3" t="s">
        <v>34</v>
      </c>
      <c r="M1244" s="8">
        <v>150000</v>
      </c>
      <c r="N1244" s="11"/>
      <c r="O1244" s="3" t="s">
        <v>1866</v>
      </c>
      <c r="P1244" s="3" t="s">
        <v>1867</v>
      </c>
    </row>
    <row r="1245" spans="1:16" x14ac:dyDescent="0.3">
      <c r="A1245" s="3" t="s">
        <v>66</v>
      </c>
      <c r="B1245" s="3" t="s">
        <v>1091</v>
      </c>
      <c r="C1245" s="3" t="s">
        <v>87</v>
      </c>
      <c r="D1245" s="3" t="s">
        <v>1868</v>
      </c>
      <c r="E1245" s="3" t="s">
        <v>31</v>
      </c>
      <c r="F1245" s="3" t="b">
        <v>1</v>
      </c>
      <c r="G1245" s="3" t="s">
        <v>88</v>
      </c>
      <c r="H1245" s="6">
        <v>44952.967129629629</v>
      </c>
      <c r="I1245" s="3" t="b">
        <v>0</v>
      </c>
      <c r="J1245" s="3" t="b">
        <v>1</v>
      </c>
      <c r="K1245" s="3" t="s">
        <v>33</v>
      </c>
      <c r="L1245" s="3" t="s">
        <v>34</v>
      </c>
      <c r="M1245" s="8">
        <v>200256</v>
      </c>
      <c r="N1245" s="11"/>
      <c r="O1245" s="3" t="s">
        <v>238</v>
      </c>
      <c r="P1245" s="3" t="s">
        <v>1093</v>
      </c>
    </row>
    <row r="1246" spans="1:16" x14ac:dyDescent="0.3">
      <c r="A1246" s="3" t="s">
        <v>66</v>
      </c>
      <c r="B1246" s="3" t="s">
        <v>1869</v>
      </c>
      <c r="C1246" s="3" t="s">
        <v>87</v>
      </c>
      <c r="D1246" s="3" t="s">
        <v>30</v>
      </c>
      <c r="E1246" s="3" t="s">
        <v>31</v>
      </c>
      <c r="F1246" s="3" t="b">
        <v>1</v>
      </c>
      <c r="G1246" s="3" t="s">
        <v>58</v>
      </c>
      <c r="H1246" s="6">
        <v>44942.615393518521</v>
      </c>
      <c r="I1246" s="3" t="b">
        <v>0</v>
      </c>
      <c r="J1246" s="3" t="b">
        <v>0</v>
      </c>
      <c r="K1246" s="3" t="s">
        <v>33</v>
      </c>
      <c r="L1246" s="3" t="s">
        <v>34</v>
      </c>
      <c r="M1246" s="8">
        <v>145000</v>
      </c>
      <c r="N1246" s="11"/>
      <c r="O1246" s="3" t="s">
        <v>1870</v>
      </c>
      <c r="P1246" s="3" t="s">
        <v>1871</v>
      </c>
    </row>
    <row r="1247" spans="1:16" x14ac:dyDescent="0.3">
      <c r="A1247" s="3" t="s">
        <v>66</v>
      </c>
      <c r="B1247" s="3" t="s">
        <v>1878</v>
      </c>
      <c r="C1247" s="3" t="s">
        <v>1879</v>
      </c>
      <c r="D1247" s="3" t="s">
        <v>41</v>
      </c>
      <c r="E1247" s="3" t="s">
        <v>31</v>
      </c>
      <c r="F1247" s="3" t="b">
        <v>0</v>
      </c>
      <c r="G1247" s="3" t="s">
        <v>69</v>
      </c>
      <c r="H1247" s="6">
        <v>44945.795474537037</v>
      </c>
      <c r="I1247" s="3" t="b">
        <v>1</v>
      </c>
      <c r="J1247" s="3" t="b">
        <v>0</v>
      </c>
      <c r="K1247" s="3" t="s">
        <v>69</v>
      </c>
      <c r="L1247" s="3" t="s">
        <v>34</v>
      </c>
      <c r="M1247" s="8">
        <v>56700</v>
      </c>
      <c r="N1247" s="11"/>
      <c r="O1247" s="3" t="s">
        <v>1880</v>
      </c>
      <c r="P1247" s="3" t="s">
        <v>374</v>
      </c>
    </row>
    <row r="1248" spans="1:16" x14ac:dyDescent="0.3">
      <c r="A1248" s="3" t="s">
        <v>66</v>
      </c>
      <c r="B1248" s="3" t="s">
        <v>1881</v>
      </c>
      <c r="C1248" s="3" t="s">
        <v>1882</v>
      </c>
      <c r="D1248" s="3" t="s">
        <v>188</v>
      </c>
      <c r="E1248" s="3" t="s">
        <v>133</v>
      </c>
      <c r="F1248" s="3" t="b">
        <v>0</v>
      </c>
      <c r="G1248" s="3" t="s">
        <v>140</v>
      </c>
      <c r="H1248" s="6">
        <v>44928.617546296293</v>
      </c>
      <c r="I1248" s="3" t="b">
        <v>0</v>
      </c>
      <c r="J1248" s="3" t="b">
        <v>0</v>
      </c>
      <c r="K1248" s="3" t="s">
        <v>33</v>
      </c>
      <c r="L1248" s="3" t="s">
        <v>48</v>
      </c>
      <c r="M1248" s="8"/>
      <c r="N1248" s="11">
        <v>62.5</v>
      </c>
      <c r="O1248" s="3" t="s">
        <v>1883</v>
      </c>
      <c r="P1248" s="3" t="s">
        <v>1884</v>
      </c>
    </row>
    <row r="1249" spans="1:16" x14ac:dyDescent="0.3">
      <c r="A1249" s="3" t="s">
        <v>66</v>
      </c>
      <c r="B1249" s="3" t="s">
        <v>1286</v>
      </c>
      <c r="C1249" s="3" t="s">
        <v>236</v>
      </c>
      <c r="D1249" s="3" t="s">
        <v>188</v>
      </c>
      <c r="E1249" s="3" t="s">
        <v>133</v>
      </c>
      <c r="F1249" s="3" t="b">
        <v>0</v>
      </c>
      <c r="G1249" s="3" t="s">
        <v>58</v>
      </c>
      <c r="H1249" s="6">
        <v>44938.758055555547</v>
      </c>
      <c r="I1249" s="3" t="b">
        <v>1</v>
      </c>
      <c r="J1249" s="3" t="b">
        <v>0</v>
      </c>
      <c r="K1249" s="3" t="s">
        <v>33</v>
      </c>
      <c r="L1249" s="3" t="s">
        <v>48</v>
      </c>
      <c r="M1249" s="8"/>
      <c r="N1249" s="11">
        <v>55</v>
      </c>
      <c r="O1249" s="3" t="s">
        <v>1885</v>
      </c>
      <c r="P1249" s="3" t="s">
        <v>1886</v>
      </c>
    </row>
    <row r="1250" spans="1:16" x14ac:dyDescent="0.3">
      <c r="A1250" s="3" t="s">
        <v>66</v>
      </c>
      <c r="B1250" s="3" t="s">
        <v>1901</v>
      </c>
      <c r="C1250" s="3" t="s">
        <v>813</v>
      </c>
      <c r="D1250" s="3" t="s">
        <v>188</v>
      </c>
      <c r="E1250" s="3" t="s">
        <v>31</v>
      </c>
      <c r="F1250" s="3" t="b">
        <v>0</v>
      </c>
      <c r="G1250" s="3" t="s">
        <v>64</v>
      </c>
      <c r="H1250" s="6">
        <v>44939.88071759259</v>
      </c>
      <c r="I1250" s="3" t="b">
        <v>1</v>
      </c>
      <c r="J1250" s="3" t="b">
        <v>0</v>
      </c>
      <c r="K1250" s="3" t="s">
        <v>33</v>
      </c>
      <c r="L1250" s="3" t="s">
        <v>34</v>
      </c>
      <c r="M1250" s="8">
        <v>145000</v>
      </c>
      <c r="N1250" s="11"/>
      <c r="O1250" s="3" t="s">
        <v>1902</v>
      </c>
      <c r="P1250" s="3" t="s">
        <v>563</v>
      </c>
    </row>
    <row r="1251" spans="1:16" x14ac:dyDescent="0.3">
      <c r="A1251" s="3" t="s">
        <v>66</v>
      </c>
      <c r="B1251" s="3" t="s">
        <v>1905</v>
      </c>
      <c r="C1251" s="3" t="s">
        <v>1338</v>
      </c>
      <c r="D1251" s="3" t="s">
        <v>41</v>
      </c>
      <c r="E1251" s="3" t="s">
        <v>31</v>
      </c>
      <c r="F1251" s="3" t="b">
        <v>0</v>
      </c>
      <c r="G1251" s="3" t="s">
        <v>213</v>
      </c>
      <c r="H1251" s="6">
        <v>44933.382361111107</v>
      </c>
      <c r="I1251" s="3" t="b">
        <v>1</v>
      </c>
      <c r="J1251" s="3" t="b">
        <v>0</v>
      </c>
      <c r="K1251" s="3" t="s">
        <v>213</v>
      </c>
      <c r="L1251" s="3" t="s">
        <v>34</v>
      </c>
      <c r="M1251" s="8">
        <v>80850</v>
      </c>
      <c r="N1251" s="11"/>
      <c r="O1251" s="3" t="s">
        <v>1339</v>
      </c>
      <c r="P1251" s="3" t="s">
        <v>1906</v>
      </c>
    </row>
    <row r="1252" spans="1:16" x14ac:dyDescent="0.3">
      <c r="A1252" s="3" t="s">
        <v>66</v>
      </c>
      <c r="B1252" s="3" t="s">
        <v>66</v>
      </c>
      <c r="C1252" s="3" t="s">
        <v>739</v>
      </c>
      <c r="D1252" s="3" t="s">
        <v>41</v>
      </c>
      <c r="E1252" s="3" t="s">
        <v>31</v>
      </c>
      <c r="F1252" s="3" t="b">
        <v>0</v>
      </c>
      <c r="G1252" s="3" t="s">
        <v>740</v>
      </c>
      <c r="H1252" s="6">
        <v>44946.843738425923</v>
      </c>
      <c r="I1252" s="3" t="b">
        <v>0</v>
      </c>
      <c r="J1252" s="3" t="b">
        <v>0</v>
      </c>
      <c r="K1252" s="3" t="s">
        <v>740</v>
      </c>
      <c r="L1252" s="3" t="s">
        <v>34</v>
      </c>
      <c r="M1252" s="8">
        <v>98283</v>
      </c>
      <c r="N1252" s="11"/>
      <c r="O1252" s="3" t="s">
        <v>1913</v>
      </c>
      <c r="P1252" s="3" t="s">
        <v>1914</v>
      </c>
    </row>
    <row r="1253" spans="1:16" x14ac:dyDescent="0.3">
      <c r="A1253" s="3" t="s">
        <v>66</v>
      </c>
      <c r="B1253" s="3" t="s">
        <v>1915</v>
      </c>
      <c r="C1253" s="3" t="s">
        <v>1916</v>
      </c>
      <c r="D1253" s="3" t="s">
        <v>41</v>
      </c>
      <c r="E1253" s="3" t="s">
        <v>31</v>
      </c>
      <c r="F1253" s="3" t="b">
        <v>0</v>
      </c>
      <c r="G1253" s="3" t="s">
        <v>1917</v>
      </c>
      <c r="H1253" s="6">
        <v>44943.646041666667</v>
      </c>
      <c r="I1253" s="3" t="b">
        <v>0</v>
      </c>
      <c r="J1253" s="3" t="b">
        <v>0</v>
      </c>
      <c r="K1253" s="3" t="s">
        <v>1917</v>
      </c>
      <c r="L1253" s="3" t="s">
        <v>34</v>
      </c>
      <c r="M1253" s="8">
        <v>96773</v>
      </c>
      <c r="N1253" s="11"/>
      <c r="O1253" s="3" t="s">
        <v>1918</v>
      </c>
      <c r="P1253" s="3" t="s">
        <v>1919</v>
      </c>
    </row>
    <row r="1254" spans="1:16" x14ac:dyDescent="0.3">
      <c r="A1254" s="3" t="s">
        <v>66</v>
      </c>
      <c r="B1254" s="3" t="s">
        <v>343</v>
      </c>
      <c r="C1254" s="3" t="s">
        <v>87</v>
      </c>
      <c r="D1254" s="3" t="s">
        <v>30</v>
      </c>
      <c r="E1254" s="3" t="s">
        <v>31</v>
      </c>
      <c r="F1254" s="3" t="b">
        <v>1</v>
      </c>
      <c r="G1254" s="3" t="s">
        <v>88</v>
      </c>
      <c r="H1254" s="6">
        <v>44936.935011574067</v>
      </c>
      <c r="I1254" s="3" t="b">
        <v>0</v>
      </c>
      <c r="J1254" s="3" t="b">
        <v>0</v>
      </c>
      <c r="K1254" s="3" t="s">
        <v>33</v>
      </c>
      <c r="L1254" s="3" t="s">
        <v>34</v>
      </c>
      <c r="M1254" s="8">
        <v>142500</v>
      </c>
      <c r="N1254" s="11"/>
      <c r="O1254" s="3" t="s">
        <v>1930</v>
      </c>
      <c r="P1254" s="3" t="s">
        <v>1931</v>
      </c>
    </row>
    <row r="1255" spans="1:16" x14ac:dyDescent="0.3">
      <c r="A1255" s="3" t="s">
        <v>66</v>
      </c>
      <c r="B1255" s="3" t="s">
        <v>66</v>
      </c>
      <c r="C1255" s="3" t="s">
        <v>87</v>
      </c>
      <c r="D1255" s="3" t="s">
        <v>30</v>
      </c>
      <c r="E1255" s="3" t="s">
        <v>133</v>
      </c>
      <c r="F1255" s="3" t="b">
        <v>1</v>
      </c>
      <c r="G1255" s="3" t="s">
        <v>58</v>
      </c>
      <c r="H1255" s="6">
        <v>44949.58929398148</v>
      </c>
      <c r="I1255" s="3" t="b">
        <v>0</v>
      </c>
      <c r="J1255" s="3" t="b">
        <v>0</v>
      </c>
      <c r="K1255" s="3" t="s">
        <v>33</v>
      </c>
      <c r="L1255" s="3" t="s">
        <v>48</v>
      </c>
      <c r="M1255" s="8"/>
      <c r="N1255" s="11">
        <v>68.5</v>
      </c>
      <c r="O1255" s="3" t="s">
        <v>1796</v>
      </c>
      <c r="P1255" s="3" t="s">
        <v>1932</v>
      </c>
    </row>
    <row r="1256" spans="1:16" x14ac:dyDescent="0.3">
      <c r="A1256" s="3" t="s">
        <v>66</v>
      </c>
      <c r="B1256" s="3" t="s">
        <v>113</v>
      </c>
      <c r="C1256" s="3" t="s">
        <v>1155</v>
      </c>
      <c r="D1256" s="3" t="s">
        <v>188</v>
      </c>
      <c r="E1256" s="3" t="s">
        <v>133</v>
      </c>
      <c r="F1256" s="3" t="b">
        <v>0</v>
      </c>
      <c r="G1256" s="3" t="s">
        <v>32</v>
      </c>
      <c r="H1256" s="6">
        <v>44957.754236111112</v>
      </c>
      <c r="I1256" s="3" t="b">
        <v>0</v>
      </c>
      <c r="J1256" s="3" t="b">
        <v>0</v>
      </c>
      <c r="K1256" s="3" t="s">
        <v>33</v>
      </c>
      <c r="L1256" s="3" t="s">
        <v>34</v>
      </c>
      <c r="M1256" s="8">
        <v>169000</v>
      </c>
      <c r="N1256" s="11"/>
      <c r="O1256" s="3" t="s">
        <v>1943</v>
      </c>
      <c r="P1256" s="3" t="s">
        <v>1944</v>
      </c>
    </row>
    <row r="1257" spans="1:16" x14ac:dyDescent="0.3">
      <c r="A1257" s="3" t="s">
        <v>66</v>
      </c>
      <c r="B1257" s="3" t="s">
        <v>1958</v>
      </c>
      <c r="C1257" s="3" t="s">
        <v>641</v>
      </c>
      <c r="D1257" s="3" t="s">
        <v>350</v>
      </c>
      <c r="E1257" s="3" t="s">
        <v>31</v>
      </c>
      <c r="F1257" s="3" t="b">
        <v>0</v>
      </c>
      <c r="G1257" s="3" t="s">
        <v>58</v>
      </c>
      <c r="H1257" s="6">
        <v>44932.755474537043</v>
      </c>
      <c r="I1257" s="3" t="b">
        <v>0</v>
      </c>
      <c r="J1257" s="3" t="b">
        <v>0</v>
      </c>
      <c r="K1257" s="3" t="s">
        <v>33</v>
      </c>
      <c r="L1257" s="3" t="s">
        <v>34</v>
      </c>
      <c r="M1257" s="8">
        <v>135600</v>
      </c>
      <c r="N1257" s="11"/>
      <c r="O1257" s="3" t="s">
        <v>228</v>
      </c>
      <c r="P1257" s="3" t="s">
        <v>623</v>
      </c>
    </row>
    <row r="1258" spans="1:16" x14ac:dyDescent="0.3">
      <c r="A1258" s="3" t="s">
        <v>66</v>
      </c>
      <c r="B1258" s="3" t="s">
        <v>66</v>
      </c>
      <c r="C1258" s="3" t="s">
        <v>1916</v>
      </c>
      <c r="D1258" s="3" t="s">
        <v>41</v>
      </c>
      <c r="E1258" s="3" t="s">
        <v>31</v>
      </c>
      <c r="F1258" s="3" t="b">
        <v>0</v>
      </c>
      <c r="G1258" s="3" t="s">
        <v>1917</v>
      </c>
      <c r="H1258" s="6">
        <v>44931.075219907398</v>
      </c>
      <c r="I1258" s="3" t="b">
        <v>0</v>
      </c>
      <c r="J1258" s="3" t="b">
        <v>0</v>
      </c>
      <c r="K1258" s="3" t="s">
        <v>1917</v>
      </c>
      <c r="L1258" s="3" t="s">
        <v>34</v>
      </c>
      <c r="M1258" s="8">
        <v>147500</v>
      </c>
      <c r="N1258" s="11"/>
      <c r="O1258" s="3" t="s">
        <v>1026</v>
      </c>
      <c r="P1258" s="3" t="s">
        <v>1961</v>
      </c>
    </row>
    <row r="1259" spans="1:16" x14ac:dyDescent="0.3">
      <c r="A1259" s="3" t="s">
        <v>66</v>
      </c>
      <c r="B1259" s="3" t="s">
        <v>1962</v>
      </c>
      <c r="C1259" s="3" t="s">
        <v>1963</v>
      </c>
      <c r="D1259" s="3" t="s">
        <v>287</v>
      </c>
      <c r="E1259" s="3" t="s">
        <v>31</v>
      </c>
      <c r="F1259" s="3" t="b">
        <v>0</v>
      </c>
      <c r="G1259" s="3" t="s">
        <v>110</v>
      </c>
      <c r="H1259" s="6">
        <v>44942.000856481478</v>
      </c>
      <c r="I1259" s="3" t="b">
        <v>1</v>
      </c>
      <c r="J1259" s="3" t="b">
        <v>0</v>
      </c>
      <c r="K1259" s="3" t="s">
        <v>110</v>
      </c>
      <c r="L1259" s="3" t="s">
        <v>34</v>
      </c>
      <c r="M1259" s="8">
        <v>106358</v>
      </c>
      <c r="N1259" s="11"/>
      <c r="O1259" s="3" t="s">
        <v>1964</v>
      </c>
      <c r="P1259" s="3"/>
    </row>
    <row r="1260" spans="1:16" x14ac:dyDescent="0.3">
      <c r="A1260" s="3" t="s">
        <v>66</v>
      </c>
      <c r="B1260" s="3" t="s">
        <v>66</v>
      </c>
      <c r="C1260" s="3" t="s">
        <v>87</v>
      </c>
      <c r="D1260" s="3" t="s">
        <v>263</v>
      </c>
      <c r="E1260" s="3" t="s">
        <v>133</v>
      </c>
      <c r="F1260" s="3" t="b">
        <v>1</v>
      </c>
      <c r="G1260" s="3" t="s">
        <v>32</v>
      </c>
      <c r="H1260" s="6">
        <v>44940.089594907397</v>
      </c>
      <c r="I1260" s="3" t="b">
        <v>0</v>
      </c>
      <c r="J1260" s="3" t="b">
        <v>0</v>
      </c>
      <c r="K1260" s="3" t="s">
        <v>33</v>
      </c>
      <c r="L1260" s="3" t="s">
        <v>48</v>
      </c>
      <c r="M1260" s="8"/>
      <c r="N1260" s="11">
        <v>45</v>
      </c>
      <c r="O1260" s="3" t="s">
        <v>264</v>
      </c>
      <c r="P1260" s="3" t="s">
        <v>1969</v>
      </c>
    </row>
    <row r="1261" spans="1:16" x14ac:dyDescent="0.3">
      <c r="A1261" s="3" t="s">
        <v>66</v>
      </c>
      <c r="B1261" s="3" t="s">
        <v>1970</v>
      </c>
      <c r="C1261" s="3" t="s">
        <v>396</v>
      </c>
      <c r="D1261" s="3" t="s">
        <v>76</v>
      </c>
      <c r="E1261" s="3" t="s">
        <v>31</v>
      </c>
      <c r="F1261" s="3" t="b">
        <v>0</v>
      </c>
      <c r="G1261" s="3" t="s">
        <v>64</v>
      </c>
      <c r="H1261" s="6">
        <v>44957.670486111107</v>
      </c>
      <c r="I1261" s="3" t="b">
        <v>1</v>
      </c>
      <c r="J1261" s="3" t="b">
        <v>0</v>
      </c>
      <c r="K1261" s="3" t="s">
        <v>33</v>
      </c>
      <c r="L1261" s="3" t="s">
        <v>48</v>
      </c>
      <c r="M1261" s="8"/>
      <c r="N1261" s="11">
        <v>87.5</v>
      </c>
      <c r="O1261" s="3" t="s">
        <v>1509</v>
      </c>
      <c r="P1261" s="3" t="s">
        <v>1971</v>
      </c>
    </row>
    <row r="1262" spans="1:16" x14ac:dyDescent="0.3">
      <c r="A1262" s="3" t="s">
        <v>66</v>
      </c>
      <c r="B1262" s="3" t="s">
        <v>1977</v>
      </c>
      <c r="C1262" s="3" t="s">
        <v>396</v>
      </c>
      <c r="D1262" s="3" t="s">
        <v>30</v>
      </c>
      <c r="E1262" s="3" t="s">
        <v>133</v>
      </c>
      <c r="F1262" s="3" t="b">
        <v>0</v>
      </c>
      <c r="G1262" s="3" t="s">
        <v>58</v>
      </c>
      <c r="H1262" s="6">
        <v>44936.892187500001</v>
      </c>
      <c r="I1262" s="3" t="b">
        <v>0</v>
      </c>
      <c r="J1262" s="3" t="b">
        <v>0</v>
      </c>
      <c r="K1262" s="3" t="s">
        <v>33</v>
      </c>
      <c r="L1262" s="3" t="s">
        <v>48</v>
      </c>
      <c r="M1262" s="8"/>
      <c r="N1262" s="11">
        <v>75</v>
      </c>
      <c r="O1262" s="3" t="s">
        <v>752</v>
      </c>
      <c r="P1262" s="3" t="s">
        <v>1978</v>
      </c>
    </row>
    <row r="1263" spans="1:16" x14ac:dyDescent="0.3">
      <c r="A1263" s="3" t="s">
        <v>66</v>
      </c>
      <c r="B1263" s="3" t="s">
        <v>253</v>
      </c>
      <c r="C1263" s="3" t="s">
        <v>33</v>
      </c>
      <c r="D1263" s="3" t="s">
        <v>237</v>
      </c>
      <c r="E1263" s="3" t="s">
        <v>31</v>
      </c>
      <c r="F1263" s="3" t="b">
        <v>0</v>
      </c>
      <c r="G1263" s="3" t="s">
        <v>84</v>
      </c>
      <c r="H1263" s="6">
        <v>44947.593900462962</v>
      </c>
      <c r="I1263" s="3" t="b">
        <v>1</v>
      </c>
      <c r="J1263" s="3" t="b">
        <v>1</v>
      </c>
      <c r="K1263" s="3" t="s">
        <v>33</v>
      </c>
      <c r="L1263" s="3" t="s">
        <v>34</v>
      </c>
      <c r="M1263" s="8">
        <v>205000</v>
      </c>
      <c r="N1263" s="11"/>
      <c r="O1263" s="3" t="s">
        <v>196</v>
      </c>
      <c r="P1263" s="3" t="s">
        <v>1988</v>
      </c>
    </row>
    <row r="1264" spans="1:16" x14ac:dyDescent="0.3">
      <c r="A1264" s="3" t="s">
        <v>66</v>
      </c>
      <c r="B1264" s="3" t="s">
        <v>1991</v>
      </c>
      <c r="C1264" s="3" t="s">
        <v>1263</v>
      </c>
      <c r="D1264" s="3" t="s">
        <v>93</v>
      </c>
      <c r="E1264" s="3" t="s">
        <v>31</v>
      </c>
      <c r="F1264" s="3" t="b">
        <v>0</v>
      </c>
      <c r="G1264" s="3" t="s">
        <v>58</v>
      </c>
      <c r="H1264" s="6">
        <v>44938.299768518518</v>
      </c>
      <c r="I1264" s="3" t="b">
        <v>0</v>
      </c>
      <c r="J1264" s="3" t="b">
        <v>0</v>
      </c>
      <c r="K1264" s="3" t="s">
        <v>33</v>
      </c>
      <c r="L1264" s="3" t="s">
        <v>34</v>
      </c>
      <c r="M1264" s="8">
        <v>90000</v>
      </c>
      <c r="N1264" s="11"/>
      <c r="O1264" s="3" t="s">
        <v>1992</v>
      </c>
      <c r="P1264" s="3" t="s">
        <v>1993</v>
      </c>
    </row>
    <row r="1265" spans="1:16" x14ac:dyDescent="0.3">
      <c r="A1265" s="3" t="s">
        <v>66</v>
      </c>
      <c r="B1265" s="3" t="s">
        <v>204</v>
      </c>
      <c r="C1265" s="3" t="s">
        <v>236</v>
      </c>
      <c r="D1265" s="3" t="s">
        <v>30</v>
      </c>
      <c r="E1265" s="3" t="s">
        <v>31</v>
      </c>
      <c r="F1265" s="3" t="b">
        <v>0</v>
      </c>
      <c r="G1265" s="3" t="s">
        <v>88</v>
      </c>
      <c r="H1265" s="6">
        <v>44935.674386574072</v>
      </c>
      <c r="I1265" s="3" t="b">
        <v>0</v>
      </c>
      <c r="J1265" s="3" t="b">
        <v>1</v>
      </c>
      <c r="K1265" s="3" t="s">
        <v>33</v>
      </c>
      <c r="L1265" s="3" t="s">
        <v>34</v>
      </c>
      <c r="M1265" s="8">
        <v>127500</v>
      </c>
      <c r="N1265" s="11"/>
      <c r="O1265" s="3" t="s">
        <v>1994</v>
      </c>
      <c r="P1265" s="3" t="s">
        <v>1995</v>
      </c>
    </row>
    <row r="1266" spans="1:16" x14ac:dyDescent="0.3">
      <c r="A1266" s="3" t="s">
        <v>66</v>
      </c>
      <c r="B1266" s="3" t="s">
        <v>2016</v>
      </c>
      <c r="C1266" s="3" t="s">
        <v>87</v>
      </c>
      <c r="D1266" s="3" t="s">
        <v>30</v>
      </c>
      <c r="E1266" s="3" t="s">
        <v>133</v>
      </c>
      <c r="F1266" s="3" t="b">
        <v>1</v>
      </c>
      <c r="G1266" s="3" t="s">
        <v>110</v>
      </c>
      <c r="H1266" s="6">
        <v>44930.873703703714</v>
      </c>
      <c r="I1266" s="3" t="b">
        <v>0</v>
      </c>
      <c r="J1266" s="3" t="b">
        <v>0</v>
      </c>
      <c r="K1266" s="3" t="s">
        <v>110</v>
      </c>
      <c r="L1266" s="3" t="s">
        <v>48</v>
      </c>
      <c r="M1266" s="8"/>
      <c r="N1266" s="11">
        <v>55</v>
      </c>
      <c r="O1266" s="3" t="s">
        <v>2017</v>
      </c>
      <c r="P1266" s="3" t="s">
        <v>2018</v>
      </c>
    </row>
    <row r="1267" spans="1:16" x14ac:dyDescent="0.3">
      <c r="A1267" s="3" t="s">
        <v>66</v>
      </c>
      <c r="B1267" s="3" t="s">
        <v>2023</v>
      </c>
      <c r="C1267" s="3" t="s">
        <v>2024</v>
      </c>
      <c r="D1267" s="3" t="s">
        <v>41</v>
      </c>
      <c r="E1267" s="3" t="s">
        <v>31</v>
      </c>
      <c r="F1267" s="3" t="b">
        <v>0</v>
      </c>
      <c r="G1267" s="3" t="s">
        <v>88</v>
      </c>
      <c r="H1267" s="6">
        <v>44930.527453703697</v>
      </c>
      <c r="I1267" s="3" t="b">
        <v>0</v>
      </c>
      <c r="J1267" s="3" t="b">
        <v>0</v>
      </c>
      <c r="K1267" s="3" t="s">
        <v>33</v>
      </c>
      <c r="L1267" s="3" t="s">
        <v>34</v>
      </c>
      <c r="M1267" s="8">
        <v>147500</v>
      </c>
      <c r="N1267" s="11"/>
      <c r="O1267" s="3" t="s">
        <v>2025</v>
      </c>
      <c r="P1267" s="3" t="s">
        <v>2026</v>
      </c>
    </row>
    <row r="1268" spans="1:16" x14ac:dyDescent="0.3">
      <c r="A1268" s="3" t="s">
        <v>66</v>
      </c>
      <c r="B1268" s="3" t="s">
        <v>2029</v>
      </c>
      <c r="C1268" s="3" t="s">
        <v>2030</v>
      </c>
      <c r="D1268" s="3" t="s">
        <v>53</v>
      </c>
      <c r="E1268" s="3" t="s">
        <v>31</v>
      </c>
      <c r="F1268" s="3" t="b">
        <v>0</v>
      </c>
      <c r="G1268" s="3" t="s">
        <v>58</v>
      </c>
      <c r="H1268" s="6">
        <v>44939.673587962963</v>
      </c>
      <c r="I1268" s="3" t="b">
        <v>1</v>
      </c>
      <c r="J1268" s="3" t="b">
        <v>0</v>
      </c>
      <c r="K1268" s="3" t="s">
        <v>33</v>
      </c>
      <c r="L1268" s="3" t="s">
        <v>34</v>
      </c>
      <c r="M1268" s="8">
        <v>87500</v>
      </c>
      <c r="N1268" s="11"/>
      <c r="O1268" s="3" t="s">
        <v>2031</v>
      </c>
      <c r="P1268" s="3" t="s">
        <v>2032</v>
      </c>
    </row>
    <row r="1269" spans="1:16" x14ac:dyDescent="0.3">
      <c r="A1269" s="3" t="s">
        <v>66</v>
      </c>
      <c r="B1269" s="3" t="s">
        <v>66</v>
      </c>
      <c r="C1269" s="3" t="s">
        <v>87</v>
      </c>
      <c r="D1269" s="3" t="s">
        <v>30</v>
      </c>
      <c r="E1269" s="3" t="s">
        <v>133</v>
      </c>
      <c r="F1269" s="3" t="b">
        <v>1</v>
      </c>
      <c r="G1269" s="3" t="s">
        <v>88</v>
      </c>
      <c r="H1269" s="6">
        <v>44936.852037037039</v>
      </c>
      <c r="I1269" s="3" t="b">
        <v>0</v>
      </c>
      <c r="J1269" s="3" t="b">
        <v>0</v>
      </c>
      <c r="K1269" s="3" t="s">
        <v>33</v>
      </c>
      <c r="L1269" s="3" t="s">
        <v>48</v>
      </c>
      <c r="M1269" s="8"/>
      <c r="N1269" s="11">
        <v>46.5</v>
      </c>
      <c r="O1269" s="3" t="s">
        <v>2033</v>
      </c>
      <c r="P1269" s="3" t="s">
        <v>2034</v>
      </c>
    </row>
    <row r="1270" spans="1:16" x14ac:dyDescent="0.3">
      <c r="A1270" s="3" t="s">
        <v>66</v>
      </c>
      <c r="B1270" s="3" t="s">
        <v>2044</v>
      </c>
      <c r="C1270" s="3" t="s">
        <v>87</v>
      </c>
      <c r="D1270" s="3" t="s">
        <v>30</v>
      </c>
      <c r="E1270" s="3" t="s">
        <v>31</v>
      </c>
      <c r="F1270" s="3" t="b">
        <v>1</v>
      </c>
      <c r="G1270" s="3" t="s">
        <v>84</v>
      </c>
      <c r="H1270" s="6">
        <v>44953.050104166658</v>
      </c>
      <c r="I1270" s="3" t="b">
        <v>0</v>
      </c>
      <c r="J1270" s="3" t="b">
        <v>0</v>
      </c>
      <c r="K1270" s="3" t="s">
        <v>33</v>
      </c>
      <c r="L1270" s="3" t="s">
        <v>34</v>
      </c>
      <c r="M1270" s="8">
        <v>144000</v>
      </c>
      <c r="N1270" s="11"/>
      <c r="O1270" s="3" t="s">
        <v>2045</v>
      </c>
      <c r="P1270" s="3" t="s">
        <v>2046</v>
      </c>
    </row>
    <row r="1271" spans="1:16" x14ac:dyDescent="0.3">
      <c r="A1271" s="3" t="s">
        <v>66</v>
      </c>
      <c r="B1271" s="3" t="s">
        <v>66</v>
      </c>
      <c r="C1271" s="3" t="s">
        <v>565</v>
      </c>
      <c r="D1271" s="3" t="s">
        <v>188</v>
      </c>
      <c r="E1271" s="3" t="s">
        <v>133</v>
      </c>
      <c r="F1271" s="3" t="b">
        <v>0</v>
      </c>
      <c r="G1271" s="3" t="s">
        <v>88</v>
      </c>
      <c r="H1271" s="6">
        <v>44956.632094907407</v>
      </c>
      <c r="I1271" s="3" t="b">
        <v>1</v>
      </c>
      <c r="J1271" s="3" t="b">
        <v>0</v>
      </c>
      <c r="K1271" s="3" t="s">
        <v>33</v>
      </c>
      <c r="L1271" s="3" t="s">
        <v>48</v>
      </c>
      <c r="M1271" s="8"/>
      <c r="N1271" s="11">
        <v>55</v>
      </c>
      <c r="O1271" s="3" t="s">
        <v>2047</v>
      </c>
      <c r="P1271" s="3" t="s">
        <v>2048</v>
      </c>
    </row>
    <row r="1272" spans="1:16" x14ac:dyDescent="0.3">
      <c r="A1272" s="3" t="s">
        <v>66</v>
      </c>
      <c r="B1272" s="3" t="s">
        <v>66</v>
      </c>
      <c r="C1272" s="3" t="s">
        <v>520</v>
      </c>
      <c r="D1272" s="3" t="s">
        <v>30</v>
      </c>
      <c r="E1272" s="3" t="s">
        <v>31</v>
      </c>
      <c r="F1272" s="3" t="b">
        <v>0</v>
      </c>
      <c r="G1272" s="3" t="s">
        <v>84</v>
      </c>
      <c r="H1272" s="6">
        <v>44945.492847222216</v>
      </c>
      <c r="I1272" s="3" t="b">
        <v>0</v>
      </c>
      <c r="J1272" s="3" t="b">
        <v>0</v>
      </c>
      <c r="K1272" s="3" t="s">
        <v>33</v>
      </c>
      <c r="L1272" s="3" t="s">
        <v>34</v>
      </c>
      <c r="M1272" s="8">
        <v>112500</v>
      </c>
      <c r="N1272" s="11"/>
      <c r="O1272" s="3" t="s">
        <v>1560</v>
      </c>
      <c r="P1272" s="3" t="s">
        <v>2049</v>
      </c>
    </row>
    <row r="1273" spans="1:16" x14ac:dyDescent="0.3">
      <c r="A1273" s="3" t="s">
        <v>66</v>
      </c>
      <c r="B1273" s="3" t="s">
        <v>66</v>
      </c>
      <c r="C1273" s="3" t="s">
        <v>87</v>
      </c>
      <c r="D1273" s="3" t="s">
        <v>76</v>
      </c>
      <c r="E1273" s="3" t="s">
        <v>31</v>
      </c>
      <c r="F1273" s="3" t="b">
        <v>1</v>
      </c>
      <c r="G1273" s="3" t="s">
        <v>32</v>
      </c>
      <c r="H1273" s="6">
        <v>44930.797037037039</v>
      </c>
      <c r="I1273" s="3" t="b">
        <v>1</v>
      </c>
      <c r="J1273" s="3" t="b">
        <v>0</v>
      </c>
      <c r="K1273" s="3" t="s">
        <v>33</v>
      </c>
      <c r="L1273" s="3" t="s">
        <v>48</v>
      </c>
      <c r="M1273" s="8"/>
      <c r="N1273" s="11">
        <v>47.93499755859375</v>
      </c>
      <c r="O1273" s="3" t="s">
        <v>2050</v>
      </c>
      <c r="P1273" s="3" t="s">
        <v>2051</v>
      </c>
    </row>
    <row r="1274" spans="1:16" x14ac:dyDescent="0.3">
      <c r="A1274" s="3" t="s">
        <v>66</v>
      </c>
      <c r="B1274" s="3" t="s">
        <v>66</v>
      </c>
      <c r="C1274" s="3" t="s">
        <v>87</v>
      </c>
      <c r="D1274" s="3" t="s">
        <v>30</v>
      </c>
      <c r="E1274" s="3" t="s">
        <v>31</v>
      </c>
      <c r="F1274" s="3" t="b">
        <v>1</v>
      </c>
      <c r="G1274" s="3" t="s">
        <v>58</v>
      </c>
      <c r="H1274" s="6">
        <v>44937.798495370371</v>
      </c>
      <c r="I1274" s="3" t="b">
        <v>1</v>
      </c>
      <c r="J1274" s="3" t="b">
        <v>1</v>
      </c>
      <c r="K1274" s="3" t="s">
        <v>33</v>
      </c>
      <c r="L1274" s="3" t="s">
        <v>34</v>
      </c>
      <c r="M1274" s="8">
        <v>130000</v>
      </c>
      <c r="N1274" s="11"/>
      <c r="O1274" s="3" t="s">
        <v>1215</v>
      </c>
      <c r="P1274" s="3" t="s">
        <v>2055</v>
      </c>
    </row>
    <row r="1275" spans="1:16" x14ac:dyDescent="0.3">
      <c r="A1275" s="3" t="s">
        <v>66</v>
      </c>
      <c r="B1275" s="3" t="s">
        <v>143</v>
      </c>
      <c r="C1275" s="3" t="s">
        <v>87</v>
      </c>
      <c r="D1275" s="3" t="s">
        <v>30</v>
      </c>
      <c r="E1275" s="3" t="s">
        <v>31</v>
      </c>
      <c r="F1275" s="3" t="b">
        <v>1</v>
      </c>
      <c r="G1275" s="3" t="s">
        <v>140</v>
      </c>
      <c r="H1275" s="6">
        <v>44937.491759259261</v>
      </c>
      <c r="I1275" s="3" t="b">
        <v>0</v>
      </c>
      <c r="J1275" s="3" t="b">
        <v>1</v>
      </c>
      <c r="K1275" s="3" t="s">
        <v>33</v>
      </c>
      <c r="L1275" s="3" t="s">
        <v>34</v>
      </c>
      <c r="M1275" s="8">
        <v>120000</v>
      </c>
      <c r="N1275" s="11"/>
      <c r="O1275" s="3" t="s">
        <v>80</v>
      </c>
      <c r="P1275" s="3" t="s">
        <v>2065</v>
      </c>
    </row>
    <row r="1276" spans="1:16" x14ac:dyDescent="0.3">
      <c r="A1276" s="3" t="s">
        <v>66</v>
      </c>
      <c r="B1276" s="3" t="s">
        <v>2076</v>
      </c>
      <c r="C1276" s="3" t="s">
        <v>2077</v>
      </c>
      <c r="D1276" s="3" t="s">
        <v>827</v>
      </c>
      <c r="E1276" s="3" t="s">
        <v>31</v>
      </c>
      <c r="F1276" s="3" t="b">
        <v>0</v>
      </c>
      <c r="G1276" s="3" t="s">
        <v>84</v>
      </c>
      <c r="H1276" s="6">
        <v>44928.755497685182</v>
      </c>
      <c r="I1276" s="3" t="b">
        <v>0</v>
      </c>
      <c r="J1276" s="3" t="b">
        <v>0</v>
      </c>
      <c r="K1276" s="3" t="s">
        <v>33</v>
      </c>
      <c r="L1276" s="3" t="s">
        <v>34</v>
      </c>
      <c r="M1276" s="8">
        <v>146100</v>
      </c>
      <c r="N1276" s="11"/>
      <c r="O1276" s="3" t="s">
        <v>119</v>
      </c>
      <c r="P1276" s="3" t="s">
        <v>2078</v>
      </c>
    </row>
    <row r="1277" spans="1:16" x14ac:dyDescent="0.3">
      <c r="A1277" s="3" t="s">
        <v>66</v>
      </c>
      <c r="B1277" s="3" t="s">
        <v>2079</v>
      </c>
      <c r="C1277" s="3" t="s">
        <v>164</v>
      </c>
      <c r="D1277" s="3" t="s">
        <v>188</v>
      </c>
      <c r="E1277" s="3" t="s">
        <v>133</v>
      </c>
      <c r="F1277" s="3" t="b">
        <v>0</v>
      </c>
      <c r="G1277" s="3" t="s">
        <v>64</v>
      </c>
      <c r="H1277" s="6">
        <v>44945.60050925926</v>
      </c>
      <c r="I1277" s="3" t="b">
        <v>0</v>
      </c>
      <c r="J1277" s="3" t="b">
        <v>0</v>
      </c>
      <c r="K1277" s="3" t="s">
        <v>33</v>
      </c>
      <c r="L1277" s="3" t="s">
        <v>48</v>
      </c>
      <c r="M1277" s="8"/>
      <c r="N1277" s="11">
        <v>85</v>
      </c>
      <c r="O1277" s="3" t="s">
        <v>2080</v>
      </c>
      <c r="P1277" s="3" t="s">
        <v>2081</v>
      </c>
    </row>
    <row r="1278" spans="1:16" x14ac:dyDescent="0.3">
      <c r="A1278" s="3" t="s">
        <v>66</v>
      </c>
      <c r="B1278" s="3" t="s">
        <v>2124</v>
      </c>
      <c r="C1278" s="3" t="s">
        <v>2109</v>
      </c>
      <c r="D1278" s="3" t="s">
        <v>41</v>
      </c>
      <c r="E1278" s="3" t="s">
        <v>31</v>
      </c>
      <c r="F1278" s="3" t="b">
        <v>0</v>
      </c>
      <c r="G1278" s="3" t="s">
        <v>69</v>
      </c>
      <c r="H1278" s="6">
        <v>44951.958067129628</v>
      </c>
      <c r="I1278" s="3" t="b">
        <v>0</v>
      </c>
      <c r="J1278" s="3" t="b">
        <v>0</v>
      </c>
      <c r="K1278" s="3" t="s">
        <v>69</v>
      </c>
      <c r="L1278" s="3" t="s">
        <v>34</v>
      </c>
      <c r="M1278" s="8">
        <v>147500</v>
      </c>
      <c r="N1278" s="11"/>
      <c r="O1278" s="3" t="s">
        <v>356</v>
      </c>
      <c r="P1278" s="3" t="s">
        <v>2125</v>
      </c>
    </row>
    <row r="1279" spans="1:16" x14ac:dyDescent="0.3">
      <c r="A1279" s="3" t="s">
        <v>66</v>
      </c>
      <c r="B1279" s="3" t="s">
        <v>66</v>
      </c>
      <c r="C1279" s="3" t="s">
        <v>87</v>
      </c>
      <c r="D1279" s="3" t="s">
        <v>860</v>
      </c>
      <c r="E1279" s="3" t="s">
        <v>31</v>
      </c>
      <c r="F1279" s="3" t="b">
        <v>1</v>
      </c>
      <c r="G1279" s="3" t="s">
        <v>110</v>
      </c>
      <c r="H1279" s="6">
        <v>44934.323553240742</v>
      </c>
      <c r="I1279" s="3" t="b">
        <v>0</v>
      </c>
      <c r="J1279" s="3" t="b">
        <v>1</v>
      </c>
      <c r="K1279" s="3" t="s">
        <v>110</v>
      </c>
      <c r="L1279" s="3" t="s">
        <v>34</v>
      </c>
      <c r="M1279" s="8">
        <v>120000</v>
      </c>
      <c r="N1279" s="11"/>
      <c r="O1279" s="3" t="s">
        <v>2126</v>
      </c>
      <c r="P1279" s="3" t="s">
        <v>2127</v>
      </c>
    </row>
    <row r="1280" spans="1:16" x14ac:dyDescent="0.3">
      <c r="A1280" s="3" t="s">
        <v>66</v>
      </c>
      <c r="B1280" s="3" t="s">
        <v>1128</v>
      </c>
      <c r="C1280" s="3" t="s">
        <v>40</v>
      </c>
      <c r="D1280" s="3" t="s">
        <v>41</v>
      </c>
      <c r="E1280" s="3" t="s">
        <v>31</v>
      </c>
      <c r="F1280" s="3" t="b">
        <v>0</v>
      </c>
      <c r="G1280" s="3" t="s">
        <v>42</v>
      </c>
      <c r="H1280" s="6">
        <v>44947.846736111111</v>
      </c>
      <c r="I1280" s="3" t="b">
        <v>0</v>
      </c>
      <c r="J1280" s="3" t="b">
        <v>0</v>
      </c>
      <c r="K1280" s="3" t="s">
        <v>42</v>
      </c>
      <c r="L1280" s="3" t="s">
        <v>34</v>
      </c>
      <c r="M1280" s="8">
        <v>89100</v>
      </c>
      <c r="N1280" s="11"/>
      <c r="O1280" s="3" t="s">
        <v>2137</v>
      </c>
      <c r="P1280" s="3" t="s">
        <v>2138</v>
      </c>
    </row>
    <row r="1281" spans="1:16" x14ac:dyDescent="0.3">
      <c r="A1281" s="3" t="s">
        <v>66</v>
      </c>
      <c r="B1281" s="3" t="s">
        <v>66</v>
      </c>
      <c r="C1281" s="3" t="s">
        <v>960</v>
      </c>
      <c r="D1281" s="3" t="s">
        <v>41</v>
      </c>
      <c r="E1281" s="3" t="s">
        <v>31</v>
      </c>
      <c r="F1281" s="3" t="b">
        <v>0</v>
      </c>
      <c r="G1281" s="3" t="s">
        <v>961</v>
      </c>
      <c r="H1281" s="6">
        <v>44953.757951388892</v>
      </c>
      <c r="I1281" s="3" t="b">
        <v>0</v>
      </c>
      <c r="J1281" s="3" t="b">
        <v>0</v>
      </c>
      <c r="K1281" s="3" t="s">
        <v>961</v>
      </c>
      <c r="L1281" s="3" t="s">
        <v>34</v>
      </c>
      <c r="M1281" s="8">
        <v>147500</v>
      </c>
      <c r="N1281" s="11"/>
      <c r="O1281" s="3" t="s">
        <v>2139</v>
      </c>
      <c r="P1281" s="3" t="s">
        <v>2140</v>
      </c>
    </row>
    <row r="1282" spans="1:16" x14ac:dyDescent="0.3">
      <c r="A1282" s="3" t="s">
        <v>66</v>
      </c>
      <c r="B1282" s="3" t="s">
        <v>2151</v>
      </c>
      <c r="C1282" s="3" t="s">
        <v>164</v>
      </c>
      <c r="D1282" s="3" t="s">
        <v>188</v>
      </c>
      <c r="E1282" s="3" t="s">
        <v>31</v>
      </c>
      <c r="F1282" s="3" t="b">
        <v>0</v>
      </c>
      <c r="G1282" s="3" t="s">
        <v>64</v>
      </c>
      <c r="H1282" s="6">
        <v>44939.922384259262</v>
      </c>
      <c r="I1282" s="3" t="b">
        <v>0</v>
      </c>
      <c r="J1282" s="3" t="b">
        <v>0</v>
      </c>
      <c r="K1282" s="3" t="s">
        <v>33</v>
      </c>
      <c r="L1282" s="3" t="s">
        <v>34</v>
      </c>
      <c r="M1282" s="8">
        <v>112500</v>
      </c>
      <c r="N1282" s="11"/>
      <c r="O1282" s="3" t="s">
        <v>2152</v>
      </c>
      <c r="P1282" s="3" t="s">
        <v>2153</v>
      </c>
    </row>
    <row r="1283" spans="1:16" x14ac:dyDescent="0.3">
      <c r="A1283" s="3" t="s">
        <v>66</v>
      </c>
      <c r="B1283" s="3" t="s">
        <v>611</v>
      </c>
      <c r="C1283" s="3" t="s">
        <v>447</v>
      </c>
      <c r="D1283" s="3" t="s">
        <v>41</v>
      </c>
      <c r="E1283" s="3" t="s">
        <v>31</v>
      </c>
      <c r="F1283" s="3" t="b">
        <v>0</v>
      </c>
      <c r="G1283" s="3" t="s">
        <v>32</v>
      </c>
      <c r="H1283" s="6">
        <v>44939.877164351848</v>
      </c>
      <c r="I1283" s="3" t="b">
        <v>0</v>
      </c>
      <c r="J1283" s="3" t="b">
        <v>1</v>
      </c>
      <c r="K1283" s="3" t="s">
        <v>33</v>
      </c>
      <c r="L1283" s="3" t="s">
        <v>34</v>
      </c>
      <c r="M1283" s="8">
        <v>99150</v>
      </c>
      <c r="N1283" s="11"/>
      <c r="O1283" s="3" t="s">
        <v>2154</v>
      </c>
      <c r="P1283" s="3" t="s">
        <v>862</v>
      </c>
    </row>
    <row r="1284" spans="1:16" x14ac:dyDescent="0.3">
      <c r="A1284" s="3" t="s">
        <v>66</v>
      </c>
      <c r="B1284" s="3" t="s">
        <v>343</v>
      </c>
      <c r="C1284" s="3" t="s">
        <v>87</v>
      </c>
      <c r="D1284" s="3" t="s">
        <v>30</v>
      </c>
      <c r="E1284" s="3" t="s">
        <v>31</v>
      </c>
      <c r="F1284" s="3" t="b">
        <v>1</v>
      </c>
      <c r="G1284" s="3" t="s">
        <v>88</v>
      </c>
      <c r="H1284" s="6">
        <v>44949.090613425928</v>
      </c>
      <c r="I1284" s="3" t="b">
        <v>0</v>
      </c>
      <c r="J1284" s="3" t="b">
        <v>0</v>
      </c>
      <c r="K1284" s="3" t="s">
        <v>33</v>
      </c>
      <c r="L1284" s="3" t="s">
        <v>34</v>
      </c>
      <c r="M1284" s="8">
        <v>175000</v>
      </c>
      <c r="N1284" s="11"/>
      <c r="O1284" s="3" t="s">
        <v>344</v>
      </c>
      <c r="P1284" s="3" t="s">
        <v>2157</v>
      </c>
    </row>
    <row r="1285" spans="1:16" x14ac:dyDescent="0.3">
      <c r="A1285" s="3" t="s">
        <v>66</v>
      </c>
      <c r="B1285" s="3" t="s">
        <v>143</v>
      </c>
      <c r="C1285" s="3" t="s">
        <v>447</v>
      </c>
      <c r="D1285" s="3" t="s">
        <v>93</v>
      </c>
      <c r="E1285" s="3" t="s">
        <v>31</v>
      </c>
      <c r="F1285" s="3" t="b">
        <v>0</v>
      </c>
      <c r="G1285" s="3" t="s">
        <v>88</v>
      </c>
      <c r="H1285" s="6">
        <v>44938.301145833328</v>
      </c>
      <c r="I1285" s="3" t="b">
        <v>0</v>
      </c>
      <c r="J1285" s="3" t="b">
        <v>1</v>
      </c>
      <c r="K1285" s="3" t="s">
        <v>33</v>
      </c>
      <c r="L1285" s="3" t="s">
        <v>34</v>
      </c>
      <c r="M1285" s="8">
        <v>150000</v>
      </c>
      <c r="N1285" s="11"/>
      <c r="O1285" s="3" t="s">
        <v>2165</v>
      </c>
      <c r="P1285" s="3" t="s">
        <v>2166</v>
      </c>
    </row>
    <row r="1286" spans="1:16" x14ac:dyDescent="0.3">
      <c r="A1286" s="3" t="s">
        <v>66</v>
      </c>
      <c r="B1286" s="3" t="s">
        <v>66</v>
      </c>
      <c r="C1286" s="3" t="s">
        <v>33</v>
      </c>
      <c r="D1286" s="3" t="s">
        <v>106</v>
      </c>
      <c r="E1286" s="3" t="s">
        <v>31</v>
      </c>
      <c r="F1286" s="3" t="b">
        <v>0</v>
      </c>
      <c r="G1286" s="3" t="s">
        <v>110</v>
      </c>
      <c r="H1286" s="6">
        <v>44950.625416666669</v>
      </c>
      <c r="I1286" s="3" t="b">
        <v>1</v>
      </c>
      <c r="J1286" s="3" t="b">
        <v>1</v>
      </c>
      <c r="K1286" s="3" t="s">
        <v>110</v>
      </c>
      <c r="L1286" s="3" t="s">
        <v>34</v>
      </c>
      <c r="M1286" s="8">
        <v>125000</v>
      </c>
      <c r="N1286" s="11"/>
      <c r="O1286" s="3" t="s">
        <v>440</v>
      </c>
      <c r="P1286" s="3" t="s">
        <v>441</v>
      </c>
    </row>
    <row r="1287" spans="1:16" x14ac:dyDescent="0.3">
      <c r="A1287" s="3" t="s">
        <v>66</v>
      </c>
      <c r="B1287" s="3" t="s">
        <v>66</v>
      </c>
      <c r="C1287" s="3" t="s">
        <v>2168</v>
      </c>
      <c r="D1287" s="3" t="s">
        <v>30</v>
      </c>
      <c r="E1287" s="3" t="s">
        <v>31</v>
      </c>
      <c r="F1287" s="3" t="b">
        <v>0</v>
      </c>
      <c r="G1287" s="3" t="s">
        <v>88</v>
      </c>
      <c r="H1287" s="6">
        <v>44951.684895833343</v>
      </c>
      <c r="I1287" s="3" t="b">
        <v>0</v>
      </c>
      <c r="J1287" s="3" t="b">
        <v>0</v>
      </c>
      <c r="K1287" s="3" t="s">
        <v>33</v>
      </c>
      <c r="L1287" s="3" t="s">
        <v>34</v>
      </c>
      <c r="M1287" s="8">
        <v>95000</v>
      </c>
      <c r="N1287" s="11"/>
      <c r="O1287" s="3" t="s">
        <v>2169</v>
      </c>
      <c r="P1287" s="3" t="s">
        <v>2170</v>
      </c>
    </row>
    <row r="1288" spans="1:16" x14ac:dyDescent="0.3">
      <c r="A1288" s="3" t="s">
        <v>66</v>
      </c>
      <c r="B1288" s="3" t="s">
        <v>66</v>
      </c>
      <c r="C1288" s="3" t="s">
        <v>87</v>
      </c>
      <c r="D1288" s="3" t="s">
        <v>30</v>
      </c>
      <c r="E1288" s="3" t="s">
        <v>31</v>
      </c>
      <c r="F1288" s="3" t="b">
        <v>1</v>
      </c>
      <c r="G1288" s="3" t="s">
        <v>32</v>
      </c>
      <c r="H1288" s="6">
        <v>44936.891944444447</v>
      </c>
      <c r="I1288" s="3" t="b">
        <v>0</v>
      </c>
      <c r="J1288" s="3" t="b">
        <v>1</v>
      </c>
      <c r="K1288" s="3" t="s">
        <v>33</v>
      </c>
      <c r="L1288" s="3" t="s">
        <v>34</v>
      </c>
      <c r="M1288" s="8">
        <v>105000</v>
      </c>
      <c r="N1288" s="11"/>
      <c r="O1288" s="3" t="s">
        <v>1063</v>
      </c>
      <c r="P1288" s="3" t="s">
        <v>2184</v>
      </c>
    </row>
    <row r="1289" spans="1:16" x14ac:dyDescent="0.3">
      <c r="A1289" s="3" t="s">
        <v>66</v>
      </c>
      <c r="B1289" s="3" t="s">
        <v>2210</v>
      </c>
      <c r="C1289" s="3" t="s">
        <v>2211</v>
      </c>
      <c r="D1289" s="3" t="s">
        <v>41</v>
      </c>
      <c r="E1289" s="3" t="s">
        <v>31</v>
      </c>
      <c r="F1289" s="3" t="b">
        <v>0</v>
      </c>
      <c r="G1289" s="3" t="s">
        <v>2212</v>
      </c>
      <c r="H1289" s="6">
        <v>44942.955578703702</v>
      </c>
      <c r="I1289" s="3" t="b">
        <v>0</v>
      </c>
      <c r="J1289" s="3" t="b">
        <v>0</v>
      </c>
      <c r="K1289" s="3" t="s">
        <v>2212</v>
      </c>
      <c r="L1289" s="3" t="s">
        <v>34</v>
      </c>
      <c r="M1289" s="8">
        <v>133000</v>
      </c>
      <c r="N1289" s="11"/>
      <c r="O1289" s="3" t="s">
        <v>179</v>
      </c>
      <c r="P1289" s="3" t="s">
        <v>2213</v>
      </c>
    </row>
    <row r="1290" spans="1:16" x14ac:dyDescent="0.3">
      <c r="A1290" s="3" t="s">
        <v>66</v>
      </c>
      <c r="B1290" s="3" t="s">
        <v>66</v>
      </c>
      <c r="C1290" s="3" t="s">
        <v>2224</v>
      </c>
      <c r="D1290" s="3" t="s">
        <v>30</v>
      </c>
      <c r="E1290" s="3" t="s">
        <v>31</v>
      </c>
      <c r="F1290" s="3" t="b">
        <v>0</v>
      </c>
      <c r="G1290" s="3" t="s">
        <v>58</v>
      </c>
      <c r="H1290" s="6">
        <v>44931.728877314818</v>
      </c>
      <c r="I1290" s="3" t="b">
        <v>1</v>
      </c>
      <c r="J1290" s="3" t="b">
        <v>0</v>
      </c>
      <c r="K1290" s="3" t="s">
        <v>33</v>
      </c>
      <c r="L1290" s="3" t="s">
        <v>34</v>
      </c>
      <c r="M1290" s="8">
        <v>130000</v>
      </c>
      <c r="N1290" s="11"/>
      <c r="O1290" s="3" t="s">
        <v>2225</v>
      </c>
      <c r="P1290" s="3" t="s">
        <v>2226</v>
      </c>
    </row>
    <row r="1291" spans="1:16" x14ac:dyDescent="0.3">
      <c r="A1291" s="3" t="s">
        <v>66</v>
      </c>
      <c r="B1291" s="3" t="s">
        <v>66</v>
      </c>
      <c r="C1291" s="3" t="s">
        <v>2241</v>
      </c>
      <c r="D1291" s="3" t="s">
        <v>30</v>
      </c>
      <c r="E1291" s="3" t="s">
        <v>31</v>
      </c>
      <c r="F1291" s="3" t="b">
        <v>0</v>
      </c>
      <c r="G1291" s="3" t="s">
        <v>64</v>
      </c>
      <c r="H1291" s="6">
        <v>44931.629120370373</v>
      </c>
      <c r="I1291" s="3" t="b">
        <v>0</v>
      </c>
      <c r="J1291" s="3" t="b">
        <v>0</v>
      </c>
      <c r="K1291" s="3" t="s">
        <v>33</v>
      </c>
      <c r="L1291" s="3" t="s">
        <v>34</v>
      </c>
      <c r="M1291" s="8">
        <v>110000</v>
      </c>
      <c r="N1291" s="11"/>
      <c r="O1291" s="3" t="s">
        <v>2242</v>
      </c>
      <c r="P1291" s="3" t="s">
        <v>2243</v>
      </c>
    </row>
    <row r="1292" spans="1:16" x14ac:dyDescent="0.3">
      <c r="A1292" s="3" t="s">
        <v>66</v>
      </c>
      <c r="B1292" s="3" t="s">
        <v>66</v>
      </c>
      <c r="C1292" s="3" t="s">
        <v>2012</v>
      </c>
      <c r="D1292" s="3" t="s">
        <v>1666</v>
      </c>
      <c r="E1292" s="3" t="s">
        <v>31</v>
      </c>
      <c r="F1292" s="3" t="b">
        <v>0</v>
      </c>
      <c r="G1292" s="3" t="s">
        <v>140</v>
      </c>
      <c r="H1292" s="6">
        <v>44954.679305555554</v>
      </c>
      <c r="I1292" s="3" t="b">
        <v>0</v>
      </c>
      <c r="J1292" s="3" t="b">
        <v>0</v>
      </c>
      <c r="K1292" s="3" t="s">
        <v>33</v>
      </c>
      <c r="L1292" s="3" t="s">
        <v>34</v>
      </c>
      <c r="M1292" s="8">
        <v>102150</v>
      </c>
      <c r="N1292" s="11"/>
      <c r="O1292" s="3" t="s">
        <v>2250</v>
      </c>
      <c r="P1292" s="3" t="s">
        <v>2251</v>
      </c>
    </row>
    <row r="1293" spans="1:16" x14ac:dyDescent="0.3">
      <c r="A1293" s="3" t="s">
        <v>66</v>
      </c>
      <c r="B1293" s="3" t="s">
        <v>2029</v>
      </c>
      <c r="C1293" s="3" t="s">
        <v>244</v>
      </c>
      <c r="D1293" s="3" t="s">
        <v>1419</v>
      </c>
      <c r="E1293" s="3" t="s">
        <v>31</v>
      </c>
      <c r="F1293" s="3" t="b">
        <v>0</v>
      </c>
      <c r="G1293" s="3" t="s">
        <v>88</v>
      </c>
      <c r="H1293" s="6">
        <v>44941.549629629633</v>
      </c>
      <c r="I1293" s="3" t="b">
        <v>1</v>
      </c>
      <c r="J1293" s="3" t="b">
        <v>1</v>
      </c>
      <c r="K1293" s="3" t="s">
        <v>33</v>
      </c>
      <c r="L1293" s="3" t="s">
        <v>34</v>
      </c>
      <c r="M1293" s="8">
        <v>130000</v>
      </c>
      <c r="N1293" s="11"/>
      <c r="O1293" s="3" t="s">
        <v>418</v>
      </c>
      <c r="P1293" s="3" t="s">
        <v>419</v>
      </c>
    </row>
    <row r="1294" spans="1:16" x14ac:dyDescent="0.3">
      <c r="A1294" s="3" t="s">
        <v>66</v>
      </c>
      <c r="B1294" s="3" t="s">
        <v>2287</v>
      </c>
      <c r="C1294" s="3" t="s">
        <v>87</v>
      </c>
      <c r="D1294" s="3" t="s">
        <v>30</v>
      </c>
      <c r="E1294" s="3" t="s">
        <v>133</v>
      </c>
      <c r="F1294" s="3" t="b">
        <v>1</v>
      </c>
      <c r="G1294" s="3" t="s">
        <v>110</v>
      </c>
      <c r="H1294" s="6">
        <v>44951.707233796304</v>
      </c>
      <c r="I1294" s="3" t="b">
        <v>0</v>
      </c>
      <c r="J1294" s="3" t="b">
        <v>0</v>
      </c>
      <c r="K1294" s="3" t="s">
        <v>110</v>
      </c>
      <c r="L1294" s="3" t="s">
        <v>34</v>
      </c>
      <c r="M1294" s="8">
        <v>107500</v>
      </c>
      <c r="N1294" s="11"/>
      <c r="O1294" s="3" t="s">
        <v>2288</v>
      </c>
      <c r="P1294" s="3" t="s">
        <v>2289</v>
      </c>
    </row>
    <row r="1295" spans="1:16" x14ac:dyDescent="0.3">
      <c r="A1295" s="3" t="s">
        <v>66</v>
      </c>
      <c r="B1295" s="3" t="s">
        <v>66</v>
      </c>
      <c r="C1295" s="3" t="s">
        <v>109</v>
      </c>
      <c r="D1295" s="3" t="s">
        <v>30</v>
      </c>
      <c r="E1295" s="3" t="s">
        <v>31</v>
      </c>
      <c r="F1295" s="3" t="b">
        <v>0</v>
      </c>
      <c r="G1295" s="3" t="s">
        <v>88</v>
      </c>
      <c r="H1295" s="6">
        <v>44932.548483796287</v>
      </c>
      <c r="I1295" s="3" t="b">
        <v>0</v>
      </c>
      <c r="J1295" s="3" t="b">
        <v>0</v>
      </c>
      <c r="K1295" s="3" t="s">
        <v>33</v>
      </c>
      <c r="L1295" s="3" t="s">
        <v>34</v>
      </c>
      <c r="M1295" s="8">
        <v>130000</v>
      </c>
      <c r="N1295" s="11"/>
      <c r="O1295" s="3" t="s">
        <v>2301</v>
      </c>
      <c r="P1295" s="3" t="s">
        <v>2302</v>
      </c>
    </row>
    <row r="1296" spans="1:16" x14ac:dyDescent="0.3">
      <c r="A1296" s="3" t="s">
        <v>66</v>
      </c>
      <c r="B1296" s="3" t="s">
        <v>2303</v>
      </c>
      <c r="C1296" s="3" t="s">
        <v>87</v>
      </c>
      <c r="D1296" s="3" t="s">
        <v>1076</v>
      </c>
      <c r="E1296" s="3" t="s">
        <v>31</v>
      </c>
      <c r="F1296" s="3" t="b">
        <v>1</v>
      </c>
      <c r="G1296" s="3" t="s">
        <v>84</v>
      </c>
      <c r="H1296" s="6">
        <v>44952.300023148149</v>
      </c>
      <c r="I1296" s="3" t="b">
        <v>0</v>
      </c>
      <c r="J1296" s="3" t="b">
        <v>1</v>
      </c>
      <c r="K1296" s="3" t="s">
        <v>33</v>
      </c>
      <c r="L1296" s="3" t="s">
        <v>34</v>
      </c>
      <c r="M1296" s="8">
        <v>146000</v>
      </c>
      <c r="N1296" s="11"/>
      <c r="O1296" s="3" t="s">
        <v>1518</v>
      </c>
      <c r="P1296" s="3" t="s">
        <v>1519</v>
      </c>
    </row>
    <row r="1297" spans="1:16" x14ac:dyDescent="0.3">
      <c r="A1297" s="3" t="s">
        <v>66</v>
      </c>
      <c r="B1297" s="3" t="s">
        <v>253</v>
      </c>
      <c r="C1297" s="3" t="s">
        <v>33</v>
      </c>
      <c r="D1297" s="3" t="s">
        <v>30</v>
      </c>
      <c r="E1297" s="3" t="s">
        <v>31</v>
      </c>
      <c r="F1297" s="3" t="b">
        <v>0</v>
      </c>
      <c r="G1297" s="3" t="s">
        <v>140</v>
      </c>
      <c r="H1297" s="6">
        <v>44949.68472222222</v>
      </c>
      <c r="I1297" s="3" t="b">
        <v>0</v>
      </c>
      <c r="J1297" s="3" t="b">
        <v>1</v>
      </c>
      <c r="K1297" s="3" t="s">
        <v>33</v>
      </c>
      <c r="L1297" s="3" t="s">
        <v>34</v>
      </c>
      <c r="M1297" s="8">
        <v>255000</v>
      </c>
      <c r="N1297" s="11"/>
      <c r="O1297" s="3" t="s">
        <v>507</v>
      </c>
      <c r="P1297" s="3"/>
    </row>
    <row r="1298" spans="1:16" x14ac:dyDescent="0.3">
      <c r="A1298" s="3" t="s">
        <v>66</v>
      </c>
      <c r="B1298" s="3" t="s">
        <v>66</v>
      </c>
      <c r="C1298" s="3" t="s">
        <v>2308</v>
      </c>
      <c r="D1298" s="3" t="s">
        <v>30</v>
      </c>
      <c r="E1298" s="3" t="s">
        <v>133</v>
      </c>
      <c r="F1298" s="3" t="b">
        <v>0</v>
      </c>
      <c r="G1298" s="3" t="s">
        <v>110</v>
      </c>
      <c r="H1298" s="6">
        <v>44957.816782407397</v>
      </c>
      <c r="I1298" s="3" t="b">
        <v>0</v>
      </c>
      <c r="J1298" s="3" t="b">
        <v>0</v>
      </c>
      <c r="K1298" s="3" t="s">
        <v>110</v>
      </c>
      <c r="L1298" s="3" t="s">
        <v>48</v>
      </c>
      <c r="M1298" s="8"/>
      <c r="N1298" s="11">
        <v>42.5</v>
      </c>
      <c r="O1298" s="3" t="s">
        <v>502</v>
      </c>
      <c r="P1298" s="3" t="s">
        <v>2309</v>
      </c>
    </row>
    <row r="1299" spans="1:16" x14ac:dyDescent="0.3">
      <c r="A1299" s="3" t="s">
        <v>66</v>
      </c>
      <c r="B1299" s="3" t="s">
        <v>66</v>
      </c>
      <c r="C1299" s="3" t="s">
        <v>491</v>
      </c>
      <c r="D1299" s="3" t="s">
        <v>1149</v>
      </c>
      <c r="E1299" s="3" t="s">
        <v>31</v>
      </c>
      <c r="F1299" s="3" t="b">
        <v>0</v>
      </c>
      <c r="G1299" s="3" t="s">
        <v>84</v>
      </c>
      <c r="H1299" s="6">
        <v>44947.063437500001</v>
      </c>
      <c r="I1299" s="3" t="b">
        <v>0</v>
      </c>
      <c r="J1299" s="3" t="b">
        <v>0</v>
      </c>
      <c r="K1299" s="3" t="s">
        <v>33</v>
      </c>
      <c r="L1299" s="3" t="s">
        <v>34</v>
      </c>
      <c r="M1299" s="8">
        <v>117500</v>
      </c>
      <c r="N1299" s="11"/>
      <c r="O1299" s="3" t="s">
        <v>727</v>
      </c>
      <c r="P1299" s="3" t="s">
        <v>2310</v>
      </c>
    </row>
    <row r="1300" spans="1:16" x14ac:dyDescent="0.3">
      <c r="A1300" s="3" t="s">
        <v>66</v>
      </c>
      <c r="B1300" s="3" t="s">
        <v>343</v>
      </c>
      <c r="C1300" s="3" t="s">
        <v>317</v>
      </c>
      <c r="D1300" s="3" t="s">
        <v>41</v>
      </c>
      <c r="E1300" s="3" t="s">
        <v>31</v>
      </c>
      <c r="F1300" s="3" t="b">
        <v>0</v>
      </c>
      <c r="G1300" s="3" t="s">
        <v>317</v>
      </c>
      <c r="H1300" s="6">
        <v>44953.443171296298</v>
      </c>
      <c r="I1300" s="3" t="b">
        <v>0</v>
      </c>
      <c r="J1300" s="3" t="b">
        <v>0</v>
      </c>
      <c r="K1300" s="3" t="s">
        <v>317</v>
      </c>
      <c r="L1300" s="3" t="s">
        <v>34</v>
      </c>
      <c r="M1300" s="8">
        <v>131580</v>
      </c>
      <c r="N1300" s="11"/>
      <c r="O1300" s="3" t="s">
        <v>2315</v>
      </c>
      <c r="P1300" s="3" t="s">
        <v>2316</v>
      </c>
    </row>
    <row r="1301" spans="1:16" x14ac:dyDescent="0.3">
      <c r="A1301" s="3" t="s">
        <v>66</v>
      </c>
      <c r="B1301" s="3" t="s">
        <v>1762</v>
      </c>
      <c r="C1301" s="3" t="s">
        <v>87</v>
      </c>
      <c r="D1301" s="3" t="s">
        <v>30</v>
      </c>
      <c r="E1301" s="3" t="s">
        <v>133</v>
      </c>
      <c r="F1301" s="3" t="b">
        <v>1</v>
      </c>
      <c r="G1301" s="3" t="s">
        <v>84</v>
      </c>
      <c r="H1301" s="6">
        <v>44936.006365740737</v>
      </c>
      <c r="I1301" s="3" t="b">
        <v>0</v>
      </c>
      <c r="J1301" s="3" t="b">
        <v>0</v>
      </c>
      <c r="K1301" s="3" t="s">
        <v>33</v>
      </c>
      <c r="L1301" s="3" t="s">
        <v>48</v>
      </c>
      <c r="M1301" s="8"/>
      <c r="N1301" s="11">
        <v>55</v>
      </c>
      <c r="O1301" s="3" t="s">
        <v>589</v>
      </c>
      <c r="P1301" s="3"/>
    </row>
    <row r="1302" spans="1:16" x14ac:dyDescent="0.3">
      <c r="A1302" s="3" t="s">
        <v>66</v>
      </c>
      <c r="B1302" s="3" t="s">
        <v>2317</v>
      </c>
      <c r="C1302" s="3" t="s">
        <v>2318</v>
      </c>
      <c r="D1302" s="3" t="s">
        <v>867</v>
      </c>
      <c r="E1302" s="3" t="s">
        <v>31</v>
      </c>
      <c r="F1302" s="3" t="b">
        <v>0</v>
      </c>
      <c r="G1302" s="3" t="s">
        <v>32</v>
      </c>
      <c r="H1302" s="6">
        <v>44953.003750000003</v>
      </c>
      <c r="I1302" s="3" t="b">
        <v>0</v>
      </c>
      <c r="J1302" s="3" t="b">
        <v>0</v>
      </c>
      <c r="K1302" s="3" t="s">
        <v>33</v>
      </c>
      <c r="L1302" s="3" t="s">
        <v>48</v>
      </c>
      <c r="M1302" s="8"/>
      <c r="N1302" s="11">
        <v>75</v>
      </c>
      <c r="O1302" s="3" t="s">
        <v>2319</v>
      </c>
      <c r="P1302" s="3" t="s">
        <v>2320</v>
      </c>
    </row>
    <row r="1303" spans="1:16" x14ac:dyDescent="0.3">
      <c r="A1303" s="3" t="s">
        <v>66</v>
      </c>
      <c r="B1303" s="3" t="s">
        <v>66</v>
      </c>
      <c r="C1303" s="3" t="s">
        <v>57</v>
      </c>
      <c r="D1303" s="3" t="s">
        <v>188</v>
      </c>
      <c r="E1303" s="3" t="s">
        <v>133</v>
      </c>
      <c r="F1303" s="3" t="b">
        <v>0</v>
      </c>
      <c r="G1303" s="3" t="s">
        <v>32</v>
      </c>
      <c r="H1303" s="6">
        <v>44956.797013888892</v>
      </c>
      <c r="I1303" s="3" t="b">
        <v>1</v>
      </c>
      <c r="J1303" s="3" t="b">
        <v>0</v>
      </c>
      <c r="K1303" s="3" t="s">
        <v>33</v>
      </c>
      <c r="L1303" s="3" t="s">
        <v>48</v>
      </c>
      <c r="M1303" s="8"/>
      <c r="N1303" s="11">
        <v>55</v>
      </c>
      <c r="O1303" s="3" t="s">
        <v>648</v>
      </c>
      <c r="P1303" s="3" t="s">
        <v>2321</v>
      </c>
    </row>
    <row r="1304" spans="1:16" x14ac:dyDescent="0.3">
      <c r="A1304" s="3" t="s">
        <v>66</v>
      </c>
      <c r="B1304" s="3" t="s">
        <v>66</v>
      </c>
      <c r="C1304" s="3" t="s">
        <v>2322</v>
      </c>
      <c r="D1304" s="3" t="s">
        <v>188</v>
      </c>
      <c r="E1304" s="3" t="s">
        <v>133</v>
      </c>
      <c r="F1304" s="3" t="b">
        <v>0</v>
      </c>
      <c r="G1304" s="3" t="s">
        <v>88</v>
      </c>
      <c r="H1304" s="6">
        <v>44949.840196759258</v>
      </c>
      <c r="I1304" s="3" t="b">
        <v>1</v>
      </c>
      <c r="J1304" s="3" t="b">
        <v>0</v>
      </c>
      <c r="K1304" s="3" t="s">
        <v>33</v>
      </c>
      <c r="L1304" s="3" t="s">
        <v>48</v>
      </c>
      <c r="M1304" s="8"/>
      <c r="N1304" s="11">
        <v>50</v>
      </c>
      <c r="O1304" s="3" t="s">
        <v>2323</v>
      </c>
      <c r="P1304" s="3" t="s">
        <v>2324</v>
      </c>
    </row>
    <row r="1305" spans="1:16" x14ac:dyDescent="0.3">
      <c r="A1305" s="3" t="s">
        <v>66</v>
      </c>
      <c r="B1305" s="3" t="s">
        <v>66</v>
      </c>
      <c r="C1305" s="3" t="s">
        <v>87</v>
      </c>
      <c r="D1305" s="3" t="s">
        <v>76</v>
      </c>
      <c r="E1305" s="3" t="s">
        <v>31</v>
      </c>
      <c r="F1305" s="3" t="b">
        <v>1</v>
      </c>
      <c r="G1305" s="3" t="s">
        <v>84</v>
      </c>
      <c r="H1305" s="6">
        <v>44949.88113425926</v>
      </c>
      <c r="I1305" s="3" t="b">
        <v>0</v>
      </c>
      <c r="J1305" s="3" t="b">
        <v>0</v>
      </c>
      <c r="K1305" s="3" t="s">
        <v>33</v>
      </c>
      <c r="L1305" s="3" t="s">
        <v>34</v>
      </c>
      <c r="M1305" s="8">
        <v>130000</v>
      </c>
      <c r="N1305" s="11"/>
      <c r="O1305" s="3" t="s">
        <v>2325</v>
      </c>
      <c r="P1305" s="3" t="s">
        <v>2326</v>
      </c>
    </row>
    <row r="1306" spans="1:16" x14ac:dyDescent="0.3">
      <c r="A1306" s="3" t="s">
        <v>66</v>
      </c>
      <c r="B1306" s="3" t="s">
        <v>66</v>
      </c>
      <c r="C1306" s="3" t="s">
        <v>87</v>
      </c>
      <c r="D1306" s="3" t="s">
        <v>30</v>
      </c>
      <c r="E1306" s="3" t="s">
        <v>31</v>
      </c>
      <c r="F1306" s="3" t="b">
        <v>1</v>
      </c>
      <c r="G1306" s="3" t="s">
        <v>58</v>
      </c>
      <c r="H1306" s="6">
        <v>44952.591377314813</v>
      </c>
      <c r="I1306" s="3" t="b">
        <v>0</v>
      </c>
      <c r="J1306" s="3" t="b">
        <v>1</v>
      </c>
      <c r="K1306" s="3" t="s">
        <v>33</v>
      </c>
      <c r="L1306" s="3" t="s">
        <v>34</v>
      </c>
      <c r="M1306" s="8">
        <v>127500</v>
      </c>
      <c r="N1306" s="11"/>
      <c r="O1306" s="3" t="s">
        <v>502</v>
      </c>
      <c r="P1306" s="3" t="s">
        <v>2327</v>
      </c>
    </row>
    <row r="1307" spans="1:16" x14ac:dyDescent="0.3">
      <c r="A1307" s="3" t="s">
        <v>66</v>
      </c>
      <c r="B1307" s="3" t="s">
        <v>66</v>
      </c>
      <c r="C1307" s="3" t="s">
        <v>565</v>
      </c>
      <c r="D1307" s="3" t="s">
        <v>804</v>
      </c>
      <c r="E1307" s="3" t="s">
        <v>31</v>
      </c>
      <c r="F1307" s="3" t="b">
        <v>0</v>
      </c>
      <c r="G1307" s="3" t="s">
        <v>88</v>
      </c>
      <c r="H1307" s="6">
        <v>44930.98064814815</v>
      </c>
      <c r="I1307" s="3" t="b">
        <v>0</v>
      </c>
      <c r="J1307" s="3" t="b">
        <v>0</v>
      </c>
      <c r="K1307" s="3" t="s">
        <v>33</v>
      </c>
      <c r="L1307" s="3" t="s">
        <v>34</v>
      </c>
      <c r="M1307" s="8">
        <v>207500</v>
      </c>
      <c r="N1307" s="11"/>
      <c r="O1307" s="3" t="s">
        <v>255</v>
      </c>
      <c r="P1307" s="3" t="s">
        <v>2329</v>
      </c>
    </row>
    <row r="1308" spans="1:16" x14ac:dyDescent="0.3">
      <c r="A1308" s="3" t="s">
        <v>66</v>
      </c>
      <c r="B1308" s="3" t="s">
        <v>2330</v>
      </c>
      <c r="C1308" s="3" t="s">
        <v>1542</v>
      </c>
      <c r="D1308" s="3" t="s">
        <v>41</v>
      </c>
      <c r="E1308" s="3" t="s">
        <v>31</v>
      </c>
      <c r="F1308" s="3" t="b">
        <v>0</v>
      </c>
      <c r="G1308" s="3" t="s">
        <v>842</v>
      </c>
      <c r="H1308" s="6">
        <v>44943.038113425922</v>
      </c>
      <c r="I1308" s="3" t="b">
        <v>0</v>
      </c>
      <c r="J1308" s="3" t="b">
        <v>0</v>
      </c>
      <c r="K1308" s="3" t="s">
        <v>842</v>
      </c>
      <c r="L1308" s="3" t="s">
        <v>34</v>
      </c>
      <c r="M1308" s="8">
        <v>45000</v>
      </c>
      <c r="N1308" s="11"/>
      <c r="O1308" s="3" t="s">
        <v>2331</v>
      </c>
      <c r="P1308" s="3" t="s">
        <v>2332</v>
      </c>
    </row>
    <row r="1309" spans="1:16" x14ac:dyDescent="0.3">
      <c r="A1309" s="3" t="s">
        <v>66</v>
      </c>
      <c r="B1309" s="3" t="s">
        <v>66</v>
      </c>
      <c r="C1309" s="3" t="s">
        <v>87</v>
      </c>
      <c r="D1309" s="3" t="s">
        <v>307</v>
      </c>
      <c r="E1309" s="3" t="s">
        <v>133</v>
      </c>
      <c r="F1309" s="3" t="b">
        <v>1</v>
      </c>
      <c r="G1309" s="3" t="s">
        <v>84</v>
      </c>
      <c r="H1309" s="6">
        <v>44936.934444444443</v>
      </c>
      <c r="I1309" s="3" t="b">
        <v>0</v>
      </c>
      <c r="J1309" s="3" t="b">
        <v>0</v>
      </c>
      <c r="K1309" s="3" t="s">
        <v>33</v>
      </c>
      <c r="L1309" s="3" t="s">
        <v>48</v>
      </c>
      <c r="M1309" s="8"/>
      <c r="N1309" s="11">
        <v>75.160003662109375</v>
      </c>
      <c r="O1309" s="3" t="s">
        <v>114</v>
      </c>
      <c r="P1309" s="3" t="s">
        <v>2338</v>
      </c>
    </row>
    <row r="1310" spans="1:16" x14ac:dyDescent="0.3">
      <c r="A1310" s="3" t="s">
        <v>66</v>
      </c>
      <c r="B1310" s="3" t="s">
        <v>66</v>
      </c>
      <c r="C1310" s="3" t="s">
        <v>57</v>
      </c>
      <c r="D1310" s="3" t="s">
        <v>30</v>
      </c>
      <c r="E1310" s="3" t="s">
        <v>133</v>
      </c>
      <c r="F1310" s="3" t="b">
        <v>0</v>
      </c>
      <c r="G1310" s="3" t="s">
        <v>84</v>
      </c>
      <c r="H1310" s="6">
        <v>44936.684756944444</v>
      </c>
      <c r="I1310" s="3" t="b">
        <v>1</v>
      </c>
      <c r="J1310" s="3" t="b">
        <v>0</v>
      </c>
      <c r="K1310" s="3" t="s">
        <v>33</v>
      </c>
      <c r="L1310" s="3" t="s">
        <v>48</v>
      </c>
      <c r="M1310" s="8"/>
      <c r="N1310" s="11">
        <v>60</v>
      </c>
      <c r="O1310" s="3" t="s">
        <v>502</v>
      </c>
      <c r="P1310" s="3" t="s">
        <v>2341</v>
      </c>
    </row>
    <row r="1311" spans="1:16" x14ac:dyDescent="0.3">
      <c r="A1311" s="3" t="s">
        <v>66</v>
      </c>
      <c r="B1311" s="3" t="s">
        <v>2357</v>
      </c>
      <c r="C1311" s="3" t="s">
        <v>435</v>
      </c>
      <c r="D1311" s="3" t="s">
        <v>41</v>
      </c>
      <c r="E1311" s="3" t="s">
        <v>31</v>
      </c>
      <c r="F1311" s="3" t="b">
        <v>0</v>
      </c>
      <c r="G1311" s="3" t="s">
        <v>436</v>
      </c>
      <c r="H1311" s="6">
        <v>44937.300439814811</v>
      </c>
      <c r="I1311" s="3" t="b">
        <v>0</v>
      </c>
      <c r="J1311" s="3" t="b">
        <v>0</v>
      </c>
      <c r="K1311" s="3" t="s">
        <v>436</v>
      </c>
      <c r="L1311" s="3" t="s">
        <v>34</v>
      </c>
      <c r="M1311" s="8">
        <v>98301.5</v>
      </c>
      <c r="N1311" s="11"/>
      <c r="O1311" s="3" t="s">
        <v>1670</v>
      </c>
      <c r="P1311" s="3" t="s">
        <v>2067</v>
      </c>
    </row>
    <row r="1312" spans="1:16" x14ac:dyDescent="0.3">
      <c r="A1312" s="3" t="s">
        <v>66</v>
      </c>
      <c r="B1312" s="3" t="s">
        <v>484</v>
      </c>
      <c r="C1312" s="3" t="s">
        <v>2358</v>
      </c>
      <c r="D1312" s="3" t="s">
        <v>188</v>
      </c>
      <c r="E1312" s="3" t="s">
        <v>133</v>
      </c>
      <c r="F1312" s="3" t="b">
        <v>0</v>
      </c>
      <c r="G1312" s="3" t="s">
        <v>140</v>
      </c>
      <c r="H1312" s="6">
        <v>44936.750567129631</v>
      </c>
      <c r="I1312" s="3" t="b">
        <v>1</v>
      </c>
      <c r="J1312" s="3" t="b">
        <v>0</v>
      </c>
      <c r="K1312" s="3" t="s">
        <v>33</v>
      </c>
      <c r="L1312" s="3" t="s">
        <v>48</v>
      </c>
      <c r="M1312" s="8"/>
      <c r="N1312" s="11">
        <v>55.284999847412109</v>
      </c>
      <c r="O1312" s="3" t="s">
        <v>426</v>
      </c>
      <c r="P1312" s="3" t="s">
        <v>38</v>
      </c>
    </row>
    <row r="1313" spans="1:16" x14ac:dyDescent="0.3">
      <c r="A1313" s="3" t="s">
        <v>66</v>
      </c>
      <c r="B1313" s="3" t="s">
        <v>998</v>
      </c>
      <c r="C1313" s="3" t="s">
        <v>87</v>
      </c>
      <c r="D1313" s="3" t="s">
        <v>53</v>
      </c>
      <c r="E1313" s="3" t="s">
        <v>133</v>
      </c>
      <c r="F1313" s="3" t="b">
        <v>1</v>
      </c>
      <c r="G1313" s="3" t="s">
        <v>64</v>
      </c>
      <c r="H1313" s="6">
        <v>44938.756006944437</v>
      </c>
      <c r="I1313" s="3" t="b">
        <v>0</v>
      </c>
      <c r="J1313" s="3" t="b">
        <v>0</v>
      </c>
      <c r="K1313" s="3" t="s">
        <v>33</v>
      </c>
      <c r="L1313" s="3" t="s">
        <v>34</v>
      </c>
      <c r="M1313" s="8">
        <v>135000</v>
      </c>
      <c r="N1313" s="11"/>
      <c r="O1313" s="3" t="s">
        <v>2382</v>
      </c>
      <c r="P1313" s="3" t="s">
        <v>2383</v>
      </c>
    </row>
    <row r="1314" spans="1:16" x14ac:dyDescent="0.3">
      <c r="A1314" s="3" t="s">
        <v>66</v>
      </c>
      <c r="B1314" s="3" t="s">
        <v>484</v>
      </c>
      <c r="C1314" s="3" t="s">
        <v>87</v>
      </c>
      <c r="D1314" s="3" t="s">
        <v>76</v>
      </c>
      <c r="E1314" s="3" t="s">
        <v>31</v>
      </c>
      <c r="F1314" s="3" t="b">
        <v>1</v>
      </c>
      <c r="G1314" s="3" t="s">
        <v>84</v>
      </c>
      <c r="H1314" s="6">
        <v>44951.174791666657</v>
      </c>
      <c r="I1314" s="3" t="b">
        <v>0</v>
      </c>
      <c r="J1314" s="3" t="b">
        <v>1</v>
      </c>
      <c r="K1314" s="3" t="s">
        <v>33</v>
      </c>
      <c r="L1314" s="3" t="s">
        <v>34</v>
      </c>
      <c r="M1314" s="8">
        <v>100000</v>
      </c>
      <c r="N1314" s="11"/>
      <c r="O1314" s="3" t="s">
        <v>2395</v>
      </c>
      <c r="P1314" s="3" t="s">
        <v>661</v>
      </c>
    </row>
    <row r="1315" spans="1:16" x14ac:dyDescent="0.3">
      <c r="A1315" s="3" t="s">
        <v>66</v>
      </c>
      <c r="B1315" s="3" t="s">
        <v>113</v>
      </c>
      <c r="C1315" s="3" t="s">
        <v>945</v>
      </c>
      <c r="D1315" s="3" t="s">
        <v>307</v>
      </c>
      <c r="E1315" s="3" t="s">
        <v>31</v>
      </c>
      <c r="F1315" s="3" t="b">
        <v>0</v>
      </c>
      <c r="G1315" s="3" t="s">
        <v>64</v>
      </c>
      <c r="H1315" s="6">
        <v>44952.755810185183</v>
      </c>
      <c r="I1315" s="3" t="b">
        <v>1</v>
      </c>
      <c r="J1315" s="3" t="b">
        <v>0</v>
      </c>
      <c r="K1315" s="3" t="s">
        <v>33</v>
      </c>
      <c r="L1315" s="3" t="s">
        <v>48</v>
      </c>
      <c r="M1315" s="8"/>
      <c r="N1315" s="11">
        <v>69.699996948242188</v>
      </c>
      <c r="O1315" s="3" t="s">
        <v>114</v>
      </c>
      <c r="P1315" s="3" t="s">
        <v>2397</v>
      </c>
    </row>
    <row r="1316" spans="1:16" x14ac:dyDescent="0.3">
      <c r="A1316" s="3" t="s">
        <v>66</v>
      </c>
      <c r="B1316" s="3" t="s">
        <v>66</v>
      </c>
      <c r="C1316" s="3" t="s">
        <v>2398</v>
      </c>
      <c r="D1316" s="3" t="s">
        <v>93</v>
      </c>
      <c r="E1316" s="3" t="s">
        <v>31</v>
      </c>
      <c r="F1316" s="3" t="b">
        <v>0</v>
      </c>
      <c r="G1316" s="3" t="s">
        <v>88</v>
      </c>
      <c r="H1316" s="6">
        <v>44928.255844907413</v>
      </c>
      <c r="I1316" s="3" t="b">
        <v>0</v>
      </c>
      <c r="J1316" s="3" t="b">
        <v>0</v>
      </c>
      <c r="K1316" s="3" t="s">
        <v>33</v>
      </c>
      <c r="L1316" s="3" t="s">
        <v>34</v>
      </c>
      <c r="M1316" s="8">
        <v>125000</v>
      </c>
      <c r="N1316" s="11"/>
      <c r="O1316" s="3" t="s">
        <v>552</v>
      </c>
      <c r="P1316" s="3" t="s">
        <v>2399</v>
      </c>
    </row>
    <row r="1317" spans="1:16" x14ac:dyDescent="0.3">
      <c r="A1317" s="3" t="s">
        <v>66</v>
      </c>
      <c r="B1317" s="3" t="s">
        <v>66</v>
      </c>
      <c r="C1317" s="3" t="s">
        <v>1649</v>
      </c>
      <c r="D1317" s="3" t="s">
        <v>93</v>
      </c>
      <c r="E1317" s="3" t="s">
        <v>31</v>
      </c>
      <c r="F1317" s="3" t="b">
        <v>0</v>
      </c>
      <c r="G1317" s="3" t="s">
        <v>64</v>
      </c>
      <c r="H1317" s="6">
        <v>44939.339085648149</v>
      </c>
      <c r="I1317" s="3" t="b">
        <v>0</v>
      </c>
      <c r="J1317" s="3" t="b">
        <v>1</v>
      </c>
      <c r="K1317" s="3" t="s">
        <v>33</v>
      </c>
      <c r="L1317" s="3" t="s">
        <v>34</v>
      </c>
      <c r="M1317" s="8">
        <v>90000</v>
      </c>
      <c r="N1317" s="11"/>
      <c r="O1317" s="3" t="s">
        <v>784</v>
      </c>
      <c r="P1317" s="3" t="s">
        <v>2403</v>
      </c>
    </row>
    <row r="1318" spans="1:16" x14ac:dyDescent="0.3">
      <c r="A1318" s="3" t="s">
        <v>66</v>
      </c>
      <c r="B1318" s="3" t="s">
        <v>611</v>
      </c>
      <c r="C1318" s="3" t="s">
        <v>2343</v>
      </c>
      <c r="D1318" s="3" t="s">
        <v>41</v>
      </c>
      <c r="E1318" s="3" t="s">
        <v>31</v>
      </c>
      <c r="F1318" s="3" t="b">
        <v>0</v>
      </c>
      <c r="G1318" s="3" t="s">
        <v>64</v>
      </c>
      <c r="H1318" s="6">
        <v>44937.38009259259</v>
      </c>
      <c r="I1318" s="3" t="b">
        <v>1</v>
      </c>
      <c r="J1318" s="3" t="b">
        <v>0</v>
      </c>
      <c r="K1318" s="3" t="s">
        <v>33</v>
      </c>
      <c r="L1318" s="3" t="s">
        <v>34</v>
      </c>
      <c r="M1318" s="8">
        <v>99150</v>
      </c>
      <c r="N1318" s="11"/>
      <c r="O1318" s="3" t="s">
        <v>1746</v>
      </c>
      <c r="P1318" s="3" t="s">
        <v>2439</v>
      </c>
    </row>
    <row r="1319" spans="1:16" x14ac:dyDescent="0.3">
      <c r="A1319" s="3" t="s">
        <v>66</v>
      </c>
      <c r="B1319" s="3" t="s">
        <v>2444</v>
      </c>
      <c r="C1319" s="3" t="s">
        <v>87</v>
      </c>
      <c r="D1319" s="3" t="s">
        <v>263</v>
      </c>
      <c r="E1319" s="3" t="s">
        <v>133</v>
      </c>
      <c r="F1319" s="3" t="b">
        <v>1</v>
      </c>
      <c r="G1319" s="3" t="s">
        <v>64</v>
      </c>
      <c r="H1319" s="6">
        <v>44951.348854166667</v>
      </c>
      <c r="I1319" s="3" t="b">
        <v>0</v>
      </c>
      <c r="J1319" s="3" t="b">
        <v>0</v>
      </c>
      <c r="K1319" s="3" t="s">
        <v>33</v>
      </c>
      <c r="L1319" s="3" t="s">
        <v>48</v>
      </c>
      <c r="M1319" s="8"/>
      <c r="N1319" s="11">
        <v>39.5</v>
      </c>
      <c r="O1319" s="3" t="s">
        <v>264</v>
      </c>
      <c r="P1319" s="3" t="s">
        <v>2445</v>
      </c>
    </row>
    <row r="1320" spans="1:16" x14ac:dyDescent="0.3">
      <c r="A1320" s="3" t="s">
        <v>66</v>
      </c>
      <c r="B1320" s="3" t="s">
        <v>66</v>
      </c>
      <c r="C1320" s="3" t="s">
        <v>2455</v>
      </c>
      <c r="D1320" s="3" t="s">
        <v>41</v>
      </c>
      <c r="E1320" s="3" t="s">
        <v>31</v>
      </c>
      <c r="F1320" s="3" t="b">
        <v>0</v>
      </c>
      <c r="G1320" s="3" t="s">
        <v>2313</v>
      </c>
      <c r="H1320" s="6">
        <v>44932.731273148151</v>
      </c>
      <c r="I1320" s="3" t="b">
        <v>1</v>
      </c>
      <c r="J1320" s="3" t="b">
        <v>0</v>
      </c>
      <c r="K1320" s="3" t="s">
        <v>2313</v>
      </c>
      <c r="L1320" s="3" t="s">
        <v>34</v>
      </c>
      <c r="M1320" s="8">
        <v>98301.5</v>
      </c>
      <c r="N1320" s="11"/>
      <c r="O1320" s="3" t="s">
        <v>2456</v>
      </c>
      <c r="P1320" s="3" t="s">
        <v>2457</v>
      </c>
    </row>
    <row r="1321" spans="1:16" x14ac:dyDescent="0.3">
      <c r="A1321" s="3" t="s">
        <v>66</v>
      </c>
      <c r="B1321" s="3" t="s">
        <v>2463</v>
      </c>
      <c r="C1321" s="3" t="s">
        <v>1916</v>
      </c>
      <c r="D1321" s="3" t="s">
        <v>41</v>
      </c>
      <c r="E1321" s="3" t="s">
        <v>31</v>
      </c>
      <c r="F1321" s="3" t="b">
        <v>0</v>
      </c>
      <c r="G1321" s="3" t="s">
        <v>1917</v>
      </c>
      <c r="H1321" s="6">
        <v>44942.462893518517</v>
      </c>
      <c r="I1321" s="3" t="b">
        <v>0</v>
      </c>
      <c r="J1321" s="3" t="b">
        <v>0</v>
      </c>
      <c r="K1321" s="3" t="s">
        <v>1917</v>
      </c>
      <c r="L1321" s="3" t="s">
        <v>34</v>
      </c>
      <c r="M1321" s="8">
        <v>98283</v>
      </c>
      <c r="N1321" s="11"/>
      <c r="O1321" s="3" t="s">
        <v>875</v>
      </c>
      <c r="P1321" s="3" t="s">
        <v>2464</v>
      </c>
    </row>
    <row r="1322" spans="1:16" x14ac:dyDescent="0.3">
      <c r="A1322" s="3" t="s">
        <v>66</v>
      </c>
      <c r="B1322" s="3" t="s">
        <v>2475</v>
      </c>
      <c r="C1322" s="3" t="s">
        <v>164</v>
      </c>
      <c r="D1322" s="3" t="s">
        <v>1580</v>
      </c>
      <c r="E1322" s="3" t="s">
        <v>31</v>
      </c>
      <c r="F1322" s="3" t="b">
        <v>0</v>
      </c>
      <c r="G1322" s="3" t="s">
        <v>140</v>
      </c>
      <c r="H1322" s="6">
        <v>44928.992685185192</v>
      </c>
      <c r="I1322" s="3" t="b">
        <v>0</v>
      </c>
      <c r="J1322" s="3" t="b">
        <v>1</v>
      </c>
      <c r="K1322" s="3" t="s">
        <v>33</v>
      </c>
      <c r="L1322" s="3" t="s">
        <v>34</v>
      </c>
      <c r="M1322" s="8">
        <v>130000</v>
      </c>
      <c r="N1322" s="11"/>
      <c r="O1322" s="3" t="s">
        <v>80</v>
      </c>
      <c r="P1322" s="3" t="s">
        <v>2476</v>
      </c>
    </row>
    <row r="1323" spans="1:16" x14ac:dyDescent="0.3">
      <c r="A1323" s="3" t="s">
        <v>66</v>
      </c>
      <c r="B1323" s="3" t="s">
        <v>66</v>
      </c>
      <c r="C1323" s="3" t="s">
        <v>2482</v>
      </c>
      <c r="D1323" s="3" t="s">
        <v>1113</v>
      </c>
      <c r="E1323" s="3" t="s">
        <v>31</v>
      </c>
      <c r="F1323" s="3" t="b">
        <v>0</v>
      </c>
      <c r="G1323" s="3" t="s">
        <v>58</v>
      </c>
      <c r="H1323" s="6">
        <v>44928.713113425933</v>
      </c>
      <c r="I1323" s="3" t="b">
        <v>0</v>
      </c>
      <c r="J1323" s="3" t="b">
        <v>1</v>
      </c>
      <c r="K1323" s="3" t="s">
        <v>33</v>
      </c>
      <c r="L1323" s="3" t="s">
        <v>34</v>
      </c>
      <c r="M1323" s="8">
        <v>123600</v>
      </c>
      <c r="N1323" s="11"/>
      <c r="O1323" s="3" t="s">
        <v>351</v>
      </c>
      <c r="P1323" s="3" t="s">
        <v>352</v>
      </c>
    </row>
    <row r="1324" spans="1:16" x14ac:dyDescent="0.3">
      <c r="A1324" s="3" t="s">
        <v>66</v>
      </c>
      <c r="B1324" s="3" t="s">
        <v>2494</v>
      </c>
      <c r="C1324" s="3" t="s">
        <v>1542</v>
      </c>
      <c r="D1324" s="3" t="s">
        <v>41</v>
      </c>
      <c r="E1324" s="3" t="s">
        <v>31</v>
      </c>
      <c r="F1324" s="3" t="b">
        <v>0</v>
      </c>
      <c r="G1324" s="3" t="s">
        <v>842</v>
      </c>
      <c r="H1324" s="6">
        <v>44943.037986111107</v>
      </c>
      <c r="I1324" s="3" t="b">
        <v>0</v>
      </c>
      <c r="J1324" s="3" t="b">
        <v>0</v>
      </c>
      <c r="K1324" s="3" t="s">
        <v>842</v>
      </c>
      <c r="L1324" s="3" t="s">
        <v>34</v>
      </c>
      <c r="M1324" s="8">
        <v>147500</v>
      </c>
      <c r="N1324" s="11"/>
      <c r="O1324" s="3" t="s">
        <v>2331</v>
      </c>
      <c r="P1324" s="3" t="s">
        <v>2495</v>
      </c>
    </row>
    <row r="1325" spans="1:16" x14ac:dyDescent="0.3">
      <c r="A1325" s="3" t="s">
        <v>66</v>
      </c>
      <c r="B1325" s="3" t="s">
        <v>2499</v>
      </c>
      <c r="C1325" s="3" t="s">
        <v>2500</v>
      </c>
      <c r="D1325" s="3" t="s">
        <v>41</v>
      </c>
      <c r="E1325" s="3" t="s">
        <v>31</v>
      </c>
      <c r="F1325" s="3" t="b">
        <v>0</v>
      </c>
      <c r="G1325" s="3" t="s">
        <v>69</v>
      </c>
      <c r="H1325" s="6">
        <v>44951.666354166657</v>
      </c>
      <c r="I1325" s="3" t="b">
        <v>0</v>
      </c>
      <c r="J1325" s="3" t="b">
        <v>0</v>
      </c>
      <c r="K1325" s="3" t="s">
        <v>69</v>
      </c>
      <c r="L1325" s="3" t="s">
        <v>34</v>
      </c>
      <c r="M1325" s="8">
        <v>200000</v>
      </c>
      <c r="N1325" s="11"/>
      <c r="O1325" s="3" t="s">
        <v>356</v>
      </c>
      <c r="P1325" s="3" t="s">
        <v>2501</v>
      </c>
    </row>
    <row r="1326" spans="1:16" x14ac:dyDescent="0.3">
      <c r="A1326" s="3" t="s">
        <v>66</v>
      </c>
      <c r="B1326" s="3" t="s">
        <v>66</v>
      </c>
      <c r="C1326" s="3" t="s">
        <v>87</v>
      </c>
      <c r="D1326" s="3" t="s">
        <v>30</v>
      </c>
      <c r="E1326" s="3" t="s">
        <v>133</v>
      </c>
      <c r="F1326" s="3" t="b">
        <v>1</v>
      </c>
      <c r="G1326" s="3" t="s">
        <v>58</v>
      </c>
      <c r="H1326" s="6">
        <v>44944.965752314813</v>
      </c>
      <c r="I1326" s="3" t="b">
        <v>0</v>
      </c>
      <c r="J1326" s="3" t="b">
        <v>0</v>
      </c>
      <c r="K1326" s="3" t="s">
        <v>33</v>
      </c>
      <c r="L1326" s="3" t="s">
        <v>48</v>
      </c>
      <c r="M1326" s="8"/>
      <c r="N1326" s="11">
        <v>57.5</v>
      </c>
      <c r="O1326" s="3" t="s">
        <v>589</v>
      </c>
      <c r="P1326" s="3" t="s">
        <v>2140</v>
      </c>
    </row>
    <row r="1327" spans="1:16" x14ac:dyDescent="0.3">
      <c r="A1327" s="3" t="s">
        <v>66</v>
      </c>
      <c r="B1327" s="3" t="s">
        <v>2524</v>
      </c>
      <c r="C1327" s="3" t="s">
        <v>2525</v>
      </c>
      <c r="D1327" s="3" t="s">
        <v>30</v>
      </c>
      <c r="E1327" s="3" t="s">
        <v>133</v>
      </c>
      <c r="F1327" s="3" t="b">
        <v>0</v>
      </c>
      <c r="G1327" s="3" t="s">
        <v>84</v>
      </c>
      <c r="H1327" s="6">
        <v>44957.672175925924</v>
      </c>
      <c r="I1327" s="3" t="b">
        <v>0</v>
      </c>
      <c r="J1327" s="3" t="b">
        <v>0</v>
      </c>
      <c r="K1327" s="3" t="s">
        <v>33</v>
      </c>
      <c r="L1327" s="3" t="s">
        <v>34</v>
      </c>
      <c r="M1327" s="8">
        <v>125000</v>
      </c>
      <c r="N1327" s="11"/>
      <c r="O1327" s="3" t="s">
        <v>1858</v>
      </c>
      <c r="P1327" s="3" t="s">
        <v>2526</v>
      </c>
    </row>
    <row r="1328" spans="1:16" x14ac:dyDescent="0.3">
      <c r="A1328" s="3" t="s">
        <v>66</v>
      </c>
      <c r="B1328" s="3" t="s">
        <v>2531</v>
      </c>
      <c r="C1328" s="3" t="s">
        <v>2336</v>
      </c>
      <c r="D1328" s="3" t="s">
        <v>41</v>
      </c>
      <c r="E1328" s="3" t="s">
        <v>31</v>
      </c>
      <c r="F1328" s="3" t="b">
        <v>0</v>
      </c>
      <c r="G1328" s="3" t="s">
        <v>597</v>
      </c>
      <c r="H1328" s="6">
        <v>44954.126030092593</v>
      </c>
      <c r="I1328" s="3" t="b">
        <v>0</v>
      </c>
      <c r="J1328" s="3" t="b">
        <v>0</v>
      </c>
      <c r="K1328" s="3" t="s">
        <v>597</v>
      </c>
      <c r="L1328" s="3" t="s">
        <v>34</v>
      </c>
      <c r="M1328" s="8">
        <v>45000</v>
      </c>
      <c r="N1328" s="11"/>
      <c r="O1328" s="3" t="s">
        <v>356</v>
      </c>
      <c r="P1328" s="3" t="s">
        <v>2532</v>
      </c>
    </row>
    <row r="1329" spans="1:16" x14ac:dyDescent="0.3">
      <c r="A1329" s="3" t="s">
        <v>66</v>
      </c>
      <c r="B1329" s="3" t="s">
        <v>2539</v>
      </c>
      <c r="C1329" s="3" t="s">
        <v>402</v>
      </c>
      <c r="D1329" s="3" t="s">
        <v>2540</v>
      </c>
      <c r="E1329" s="3" t="s">
        <v>133</v>
      </c>
      <c r="F1329" s="3" t="b">
        <v>0</v>
      </c>
      <c r="G1329" s="3" t="s">
        <v>403</v>
      </c>
      <c r="H1329" s="6">
        <v>44945.596979166658</v>
      </c>
      <c r="I1329" s="3" t="b">
        <v>0</v>
      </c>
      <c r="J1329" s="3" t="b">
        <v>0</v>
      </c>
      <c r="K1329" s="3" t="s">
        <v>403</v>
      </c>
      <c r="L1329" s="3" t="s">
        <v>48</v>
      </c>
      <c r="M1329" s="8"/>
      <c r="N1329" s="11">
        <v>26</v>
      </c>
      <c r="O1329" s="3" t="s">
        <v>2541</v>
      </c>
      <c r="P1329" s="3" t="s">
        <v>2542</v>
      </c>
    </row>
    <row r="1330" spans="1:16" x14ac:dyDescent="0.3">
      <c r="A1330" s="3" t="s">
        <v>66</v>
      </c>
      <c r="B1330" s="3" t="s">
        <v>66</v>
      </c>
      <c r="C1330" s="3" t="s">
        <v>321</v>
      </c>
      <c r="D1330" s="3" t="s">
        <v>30</v>
      </c>
      <c r="E1330" s="3" t="s">
        <v>31</v>
      </c>
      <c r="F1330" s="3" t="b">
        <v>0</v>
      </c>
      <c r="G1330" s="3" t="s">
        <v>88</v>
      </c>
      <c r="H1330" s="6">
        <v>44951.89298611111</v>
      </c>
      <c r="I1330" s="3" t="b">
        <v>0</v>
      </c>
      <c r="J1330" s="3" t="b">
        <v>0</v>
      </c>
      <c r="K1330" s="3" t="s">
        <v>33</v>
      </c>
      <c r="L1330" s="3" t="s">
        <v>48</v>
      </c>
      <c r="M1330" s="8"/>
      <c r="N1330" s="11">
        <v>82.5</v>
      </c>
      <c r="O1330" s="3" t="s">
        <v>2557</v>
      </c>
      <c r="P1330" s="3" t="s">
        <v>2558</v>
      </c>
    </row>
    <row r="1331" spans="1:16" x14ac:dyDescent="0.3">
      <c r="A1331" s="3" t="s">
        <v>66</v>
      </c>
      <c r="B1331" s="3" t="s">
        <v>343</v>
      </c>
      <c r="C1331" s="3" t="s">
        <v>2566</v>
      </c>
      <c r="D1331" s="3" t="s">
        <v>93</v>
      </c>
      <c r="E1331" s="3" t="s">
        <v>31</v>
      </c>
      <c r="F1331" s="3" t="b">
        <v>0</v>
      </c>
      <c r="G1331" s="3" t="s">
        <v>88</v>
      </c>
      <c r="H1331" s="6">
        <v>44942.257986111108</v>
      </c>
      <c r="I1331" s="3" t="b">
        <v>1</v>
      </c>
      <c r="J1331" s="3" t="b">
        <v>0</v>
      </c>
      <c r="K1331" s="3" t="s">
        <v>33</v>
      </c>
      <c r="L1331" s="3" t="s">
        <v>34</v>
      </c>
      <c r="M1331" s="8">
        <v>125000</v>
      </c>
      <c r="N1331" s="11"/>
      <c r="O1331" s="3" t="s">
        <v>786</v>
      </c>
      <c r="P1331" s="3" t="s">
        <v>2567</v>
      </c>
    </row>
    <row r="1332" spans="1:16" x14ac:dyDescent="0.3">
      <c r="A1332" s="3" t="s">
        <v>66</v>
      </c>
      <c r="B1332" s="3" t="s">
        <v>484</v>
      </c>
      <c r="C1332" s="3" t="s">
        <v>87</v>
      </c>
      <c r="D1332" s="3" t="s">
        <v>30</v>
      </c>
      <c r="E1332" s="3" t="s">
        <v>31</v>
      </c>
      <c r="F1332" s="3" t="b">
        <v>1</v>
      </c>
      <c r="G1332" s="3" t="s">
        <v>64</v>
      </c>
      <c r="H1332" s="6">
        <v>44949.921087962961</v>
      </c>
      <c r="I1332" s="3" t="b">
        <v>0</v>
      </c>
      <c r="J1332" s="3" t="b">
        <v>0</v>
      </c>
      <c r="K1332" s="3" t="s">
        <v>33</v>
      </c>
      <c r="L1332" s="3" t="s">
        <v>34</v>
      </c>
      <c r="M1332" s="8">
        <v>122500</v>
      </c>
      <c r="N1332" s="11"/>
      <c r="O1332" s="3" t="s">
        <v>1303</v>
      </c>
      <c r="P1332" s="3" t="s">
        <v>2571</v>
      </c>
    </row>
    <row r="1333" spans="1:16" x14ac:dyDescent="0.3">
      <c r="A1333" s="3" t="s">
        <v>66</v>
      </c>
      <c r="B1333" s="3" t="s">
        <v>2576</v>
      </c>
      <c r="C1333" s="3" t="s">
        <v>87</v>
      </c>
      <c r="D1333" s="3" t="s">
        <v>30</v>
      </c>
      <c r="E1333" s="3" t="s">
        <v>31</v>
      </c>
      <c r="F1333" s="3" t="b">
        <v>1</v>
      </c>
      <c r="G1333" s="3" t="s">
        <v>140</v>
      </c>
      <c r="H1333" s="6">
        <v>44952.660173611112</v>
      </c>
      <c r="I1333" s="3" t="b">
        <v>0</v>
      </c>
      <c r="J1333" s="3" t="b">
        <v>0</v>
      </c>
      <c r="K1333" s="3" t="s">
        <v>33</v>
      </c>
      <c r="L1333" s="3" t="s">
        <v>34</v>
      </c>
      <c r="M1333" s="8">
        <v>105000</v>
      </c>
      <c r="N1333" s="11"/>
      <c r="O1333" s="3" t="s">
        <v>2577</v>
      </c>
      <c r="P1333" s="3" t="s">
        <v>2578</v>
      </c>
    </row>
    <row r="1334" spans="1:16" x14ac:dyDescent="0.3">
      <c r="A1334" s="3" t="s">
        <v>66</v>
      </c>
      <c r="B1334" s="3" t="s">
        <v>2579</v>
      </c>
      <c r="C1334" s="3" t="s">
        <v>2580</v>
      </c>
      <c r="D1334" s="3" t="s">
        <v>41</v>
      </c>
      <c r="E1334" s="3" t="s">
        <v>31</v>
      </c>
      <c r="F1334" s="3" t="b">
        <v>0</v>
      </c>
      <c r="G1334" s="3" t="s">
        <v>2581</v>
      </c>
      <c r="H1334" s="6">
        <v>44937.194733796299</v>
      </c>
      <c r="I1334" s="3" t="b">
        <v>1</v>
      </c>
      <c r="J1334" s="3" t="b">
        <v>0</v>
      </c>
      <c r="K1334" s="3" t="s">
        <v>2581</v>
      </c>
      <c r="L1334" s="3" t="s">
        <v>34</v>
      </c>
      <c r="M1334" s="8">
        <v>147500</v>
      </c>
      <c r="N1334" s="11"/>
      <c r="O1334" s="3" t="s">
        <v>837</v>
      </c>
      <c r="P1334" s="3" t="s">
        <v>2582</v>
      </c>
    </row>
    <row r="1335" spans="1:16" x14ac:dyDescent="0.3">
      <c r="A1335" s="3" t="s">
        <v>66</v>
      </c>
      <c r="B1335" s="3" t="s">
        <v>2596</v>
      </c>
      <c r="C1335" s="3" t="s">
        <v>87</v>
      </c>
      <c r="D1335" s="3" t="s">
        <v>2449</v>
      </c>
      <c r="E1335" s="3" t="s">
        <v>31</v>
      </c>
      <c r="F1335" s="3" t="b">
        <v>1</v>
      </c>
      <c r="G1335" s="3" t="s">
        <v>88</v>
      </c>
      <c r="H1335" s="6">
        <v>44956.465648148151</v>
      </c>
      <c r="I1335" s="3" t="b">
        <v>1</v>
      </c>
      <c r="J1335" s="3" t="b">
        <v>1</v>
      </c>
      <c r="K1335" s="3" t="s">
        <v>33</v>
      </c>
      <c r="L1335" s="3" t="s">
        <v>34</v>
      </c>
      <c r="M1335" s="8">
        <v>251000</v>
      </c>
      <c r="N1335" s="11"/>
      <c r="O1335" s="3" t="s">
        <v>1077</v>
      </c>
      <c r="P1335" s="3" t="s">
        <v>2597</v>
      </c>
    </row>
    <row r="1336" spans="1:16" x14ac:dyDescent="0.3">
      <c r="A1336" s="3" t="s">
        <v>66</v>
      </c>
      <c r="B1336" s="3" t="s">
        <v>66</v>
      </c>
      <c r="C1336" s="3" t="s">
        <v>87</v>
      </c>
      <c r="D1336" s="3" t="s">
        <v>76</v>
      </c>
      <c r="E1336" s="3" t="s">
        <v>31</v>
      </c>
      <c r="F1336" s="3" t="b">
        <v>1</v>
      </c>
      <c r="G1336" s="3" t="s">
        <v>58</v>
      </c>
      <c r="H1336" s="6">
        <v>44946.937326388892</v>
      </c>
      <c r="I1336" s="3" t="b">
        <v>0</v>
      </c>
      <c r="J1336" s="3" t="b">
        <v>1</v>
      </c>
      <c r="K1336" s="3" t="s">
        <v>33</v>
      </c>
      <c r="L1336" s="3" t="s">
        <v>34</v>
      </c>
      <c r="M1336" s="8">
        <v>109500</v>
      </c>
      <c r="N1336" s="11"/>
      <c r="O1336" s="3" t="s">
        <v>2602</v>
      </c>
      <c r="P1336" s="3" t="s">
        <v>2603</v>
      </c>
    </row>
    <row r="1337" spans="1:16" x14ac:dyDescent="0.3">
      <c r="A1337" s="3" t="s">
        <v>66</v>
      </c>
      <c r="B1337" s="3" t="s">
        <v>143</v>
      </c>
      <c r="C1337" s="3" t="s">
        <v>87</v>
      </c>
      <c r="D1337" s="3" t="s">
        <v>30</v>
      </c>
      <c r="E1337" s="3" t="s">
        <v>31</v>
      </c>
      <c r="F1337" s="3" t="b">
        <v>1</v>
      </c>
      <c r="G1337" s="3" t="s">
        <v>110</v>
      </c>
      <c r="H1337" s="6">
        <v>44949.935752314806</v>
      </c>
      <c r="I1337" s="3" t="b">
        <v>0</v>
      </c>
      <c r="J1337" s="3" t="b">
        <v>0</v>
      </c>
      <c r="K1337" s="3" t="s">
        <v>110</v>
      </c>
      <c r="L1337" s="3" t="s">
        <v>48</v>
      </c>
      <c r="M1337" s="8"/>
      <c r="N1337" s="11">
        <v>82.5</v>
      </c>
      <c r="O1337" s="3" t="s">
        <v>2604</v>
      </c>
      <c r="P1337" s="3" t="s">
        <v>2605</v>
      </c>
    </row>
    <row r="1338" spans="1:16" x14ac:dyDescent="0.3">
      <c r="A1338" s="3" t="s">
        <v>66</v>
      </c>
      <c r="B1338" s="3" t="s">
        <v>2610</v>
      </c>
      <c r="C1338" s="3" t="s">
        <v>960</v>
      </c>
      <c r="D1338" s="3" t="s">
        <v>41</v>
      </c>
      <c r="E1338" s="3" t="s">
        <v>31</v>
      </c>
      <c r="F1338" s="3" t="b">
        <v>0</v>
      </c>
      <c r="G1338" s="3" t="s">
        <v>961</v>
      </c>
      <c r="H1338" s="6">
        <v>44931.662546296298</v>
      </c>
      <c r="I1338" s="3" t="b">
        <v>0</v>
      </c>
      <c r="J1338" s="3" t="b">
        <v>0</v>
      </c>
      <c r="K1338" s="3" t="s">
        <v>961</v>
      </c>
      <c r="L1338" s="3" t="s">
        <v>34</v>
      </c>
      <c r="M1338" s="8">
        <v>89100</v>
      </c>
      <c r="N1338" s="11"/>
      <c r="O1338" s="3" t="s">
        <v>2611</v>
      </c>
      <c r="P1338" s="3" t="s">
        <v>2612</v>
      </c>
    </row>
    <row r="1339" spans="1:16" x14ac:dyDescent="0.3">
      <c r="A1339" s="3" t="s">
        <v>66</v>
      </c>
      <c r="B1339" s="3" t="s">
        <v>2619</v>
      </c>
      <c r="C1339" s="3" t="s">
        <v>87</v>
      </c>
      <c r="D1339" s="3" t="s">
        <v>53</v>
      </c>
      <c r="E1339" s="3" t="s">
        <v>31</v>
      </c>
      <c r="F1339" s="3" t="b">
        <v>1</v>
      </c>
      <c r="G1339" s="3" t="s">
        <v>88</v>
      </c>
      <c r="H1339" s="6">
        <v>44937.2265625</v>
      </c>
      <c r="I1339" s="3" t="b">
        <v>1</v>
      </c>
      <c r="J1339" s="3" t="b">
        <v>1</v>
      </c>
      <c r="K1339" s="3" t="s">
        <v>33</v>
      </c>
      <c r="L1339" s="3" t="s">
        <v>34</v>
      </c>
      <c r="M1339" s="8">
        <v>185000</v>
      </c>
      <c r="N1339" s="11"/>
      <c r="O1339" s="3" t="s">
        <v>255</v>
      </c>
      <c r="P1339" s="3" t="s">
        <v>2620</v>
      </c>
    </row>
    <row r="1340" spans="1:16" x14ac:dyDescent="0.3">
      <c r="A1340" s="3" t="s">
        <v>66</v>
      </c>
      <c r="B1340" s="3" t="s">
        <v>956</v>
      </c>
      <c r="C1340" s="3" t="s">
        <v>109</v>
      </c>
      <c r="D1340" s="3" t="s">
        <v>53</v>
      </c>
      <c r="E1340" s="3" t="s">
        <v>31</v>
      </c>
      <c r="F1340" s="3" t="b">
        <v>0</v>
      </c>
      <c r="G1340" s="3" t="s">
        <v>58</v>
      </c>
      <c r="H1340" s="6">
        <v>44947.42287037037</v>
      </c>
      <c r="I1340" s="3" t="b">
        <v>0</v>
      </c>
      <c r="J1340" s="3" t="b">
        <v>0</v>
      </c>
      <c r="K1340" s="3" t="s">
        <v>33</v>
      </c>
      <c r="L1340" s="3" t="s">
        <v>34</v>
      </c>
      <c r="M1340" s="8">
        <v>80000</v>
      </c>
      <c r="N1340" s="11"/>
      <c r="O1340" s="3" t="s">
        <v>957</v>
      </c>
      <c r="P1340" s="3" t="s">
        <v>958</v>
      </c>
    </row>
    <row r="1341" spans="1:16" x14ac:dyDescent="0.3">
      <c r="A1341" s="3" t="s">
        <v>66</v>
      </c>
      <c r="B1341" s="3" t="s">
        <v>66</v>
      </c>
      <c r="C1341" s="3" t="s">
        <v>87</v>
      </c>
      <c r="D1341" s="3" t="s">
        <v>76</v>
      </c>
      <c r="E1341" s="3" t="s">
        <v>31</v>
      </c>
      <c r="F1341" s="3" t="b">
        <v>1</v>
      </c>
      <c r="G1341" s="3" t="s">
        <v>58</v>
      </c>
      <c r="H1341" s="6">
        <v>44937.631493055553</v>
      </c>
      <c r="I1341" s="3" t="b">
        <v>0</v>
      </c>
      <c r="J1341" s="3" t="b">
        <v>0</v>
      </c>
      <c r="K1341" s="3" t="s">
        <v>33</v>
      </c>
      <c r="L1341" s="3" t="s">
        <v>48</v>
      </c>
      <c r="M1341" s="8"/>
      <c r="N1341" s="11">
        <v>42</v>
      </c>
      <c r="O1341" s="3" t="s">
        <v>2628</v>
      </c>
      <c r="P1341" s="3" t="s">
        <v>2629</v>
      </c>
    </row>
    <row r="1342" spans="1:16" x14ac:dyDescent="0.3">
      <c r="A1342" s="3" t="s">
        <v>66</v>
      </c>
      <c r="B1342" s="3" t="s">
        <v>343</v>
      </c>
      <c r="C1342" s="3" t="s">
        <v>447</v>
      </c>
      <c r="D1342" s="3" t="s">
        <v>1419</v>
      </c>
      <c r="E1342" s="3" t="s">
        <v>31</v>
      </c>
      <c r="F1342" s="3" t="b">
        <v>0</v>
      </c>
      <c r="G1342" s="3" t="s">
        <v>84</v>
      </c>
      <c r="H1342" s="6">
        <v>44944.632939814823</v>
      </c>
      <c r="I1342" s="3" t="b">
        <v>1</v>
      </c>
      <c r="J1342" s="3" t="b">
        <v>1</v>
      </c>
      <c r="K1342" s="3" t="s">
        <v>33</v>
      </c>
      <c r="L1342" s="3" t="s">
        <v>34</v>
      </c>
      <c r="M1342" s="8">
        <v>230000</v>
      </c>
      <c r="N1342" s="11"/>
      <c r="O1342" s="3" t="s">
        <v>196</v>
      </c>
      <c r="P1342" s="3" t="s">
        <v>2631</v>
      </c>
    </row>
    <row r="1343" spans="1:16" x14ac:dyDescent="0.3">
      <c r="A1343" s="3" t="s">
        <v>66</v>
      </c>
      <c r="B1343" s="3" t="s">
        <v>66</v>
      </c>
      <c r="C1343" s="3" t="s">
        <v>402</v>
      </c>
      <c r="D1343" s="3" t="s">
        <v>41</v>
      </c>
      <c r="E1343" s="3" t="s">
        <v>31</v>
      </c>
      <c r="F1343" s="3" t="b">
        <v>0</v>
      </c>
      <c r="G1343" s="3" t="s">
        <v>403</v>
      </c>
      <c r="H1343" s="6">
        <v>44943.524074074077</v>
      </c>
      <c r="I1343" s="3" t="b">
        <v>0</v>
      </c>
      <c r="J1343" s="3" t="b">
        <v>0</v>
      </c>
      <c r="K1343" s="3" t="s">
        <v>403</v>
      </c>
      <c r="L1343" s="3" t="s">
        <v>34</v>
      </c>
      <c r="M1343" s="8">
        <v>147500</v>
      </c>
      <c r="N1343" s="11"/>
      <c r="O1343" s="3" t="s">
        <v>356</v>
      </c>
      <c r="P1343" s="3" t="s">
        <v>2635</v>
      </c>
    </row>
    <row r="1344" spans="1:16" x14ac:dyDescent="0.3">
      <c r="A1344" s="3" t="s">
        <v>66</v>
      </c>
      <c r="B1344" s="3" t="s">
        <v>2636</v>
      </c>
      <c r="C1344" s="3" t="s">
        <v>87</v>
      </c>
      <c r="D1344" s="3" t="s">
        <v>263</v>
      </c>
      <c r="E1344" s="3" t="s">
        <v>31</v>
      </c>
      <c r="F1344" s="3" t="b">
        <v>1</v>
      </c>
      <c r="G1344" s="3" t="s">
        <v>110</v>
      </c>
      <c r="H1344" s="6">
        <v>44948.50277777778</v>
      </c>
      <c r="I1344" s="3" t="b">
        <v>1</v>
      </c>
      <c r="J1344" s="3" t="b">
        <v>0</v>
      </c>
      <c r="K1344" s="3" t="s">
        <v>110</v>
      </c>
      <c r="L1344" s="3" t="s">
        <v>48</v>
      </c>
      <c r="M1344" s="8"/>
      <c r="N1344" s="11">
        <v>25</v>
      </c>
      <c r="O1344" s="3" t="s">
        <v>264</v>
      </c>
      <c r="P1344" s="3" t="s">
        <v>2637</v>
      </c>
    </row>
    <row r="1345" spans="1:16" x14ac:dyDescent="0.3">
      <c r="A1345" s="3" t="s">
        <v>66</v>
      </c>
      <c r="B1345" s="3" t="s">
        <v>66</v>
      </c>
      <c r="C1345" s="3" t="s">
        <v>960</v>
      </c>
      <c r="D1345" s="3" t="s">
        <v>41</v>
      </c>
      <c r="E1345" s="3" t="s">
        <v>31</v>
      </c>
      <c r="F1345" s="3" t="b">
        <v>0</v>
      </c>
      <c r="G1345" s="3" t="s">
        <v>961</v>
      </c>
      <c r="H1345" s="6">
        <v>44956.519884259258</v>
      </c>
      <c r="I1345" s="3" t="b">
        <v>0</v>
      </c>
      <c r="J1345" s="3" t="b">
        <v>0</v>
      </c>
      <c r="K1345" s="3" t="s">
        <v>961</v>
      </c>
      <c r="L1345" s="3" t="s">
        <v>34</v>
      </c>
      <c r="M1345" s="8">
        <v>96773</v>
      </c>
      <c r="N1345" s="11"/>
      <c r="O1345" s="3" t="s">
        <v>2086</v>
      </c>
      <c r="P1345" s="3" t="s">
        <v>2647</v>
      </c>
    </row>
    <row r="1346" spans="1:16" x14ac:dyDescent="0.3">
      <c r="A1346" s="3" t="s">
        <v>66</v>
      </c>
      <c r="B1346" s="3" t="s">
        <v>66</v>
      </c>
      <c r="C1346" s="3" t="s">
        <v>87</v>
      </c>
      <c r="D1346" s="3" t="s">
        <v>76</v>
      </c>
      <c r="E1346" s="3" t="s">
        <v>31</v>
      </c>
      <c r="F1346" s="3" t="b">
        <v>1</v>
      </c>
      <c r="G1346" s="3" t="s">
        <v>84</v>
      </c>
      <c r="H1346" s="6">
        <v>44948.756643518522</v>
      </c>
      <c r="I1346" s="3" t="b">
        <v>0</v>
      </c>
      <c r="J1346" s="3" t="b">
        <v>0</v>
      </c>
      <c r="K1346" s="3" t="s">
        <v>33</v>
      </c>
      <c r="L1346" s="3" t="s">
        <v>34</v>
      </c>
      <c r="M1346" s="8">
        <v>180000</v>
      </c>
      <c r="N1346" s="11"/>
      <c r="O1346" s="3" t="s">
        <v>2668</v>
      </c>
      <c r="P1346" s="3" t="s">
        <v>2669</v>
      </c>
    </row>
    <row r="1347" spans="1:16" x14ac:dyDescent="0.3">
      <c r="A1347" s="3" t="s">
        <v>66</v>
      </c>
      <c r="B1347" s="3" t="s">
        <v>66</v>
      </c>
      <c r="C1347" s="3" t="s">
        <v>447</v>
      </c>
      <c r="D1347" s="3" t="s">
        <v>188</v>
      </c>
      <c r="E1347" s="3" t="s">
        <v>31</v>
      </c>
      <c r="F1347" s="3" t="b">
        <v>0</v>
      </c>
      <c r="G1347" s="3" t="s">
        <v>110</v>
      </c>
      <c r="H1347" s="6">
        <v>44957.732986111107</v>
      </c>
      <c r="I1347" s="3" t="b">
        <v>0</v>
      </c>
      <c r="J1347" s="3" t="b">
        <v>0</v>
      </c>
      <c r="K1347" s="3" t="s">
        <v>110</v>
      </c>
      <c r="L1347" s="3" t="s">
        <v>34</v>
      </c>
      <c r="M1347" s="8">
        <v>165000</v>
      </c>
      <c r="N1347" s="11"/>
      <c r="O1347" s="3" t="s">
        <v>1719</v>
      </c>
      <c r="P1347" s="3" t="s">
        <v>2670</v>
      </c>
    </row>
    <row r="1348" spans="1:16" x14ac:dyDescent="0.3">
      <c r="A1348" s="3" t="s">
        <v>66</v>
      </c>
      <c r="B1348" s="3" t="s">
        <v>1276</v>
      </c>
      <c r="C1348" s="3" t="s">
        <v>2675</v>
      </c>
      <c r="D1348" s="3" t="s">
        <v>41</v>
      </c>
      <c r="E1348" s="3" t="s">
        <v>31</v>
      </c>
      <c r="F1348" s="3" t="b">
        <v>0</v>
      </c>
      <c r="G1348" s="3" t="s">
        <v>2676</v>
      </c>
      <c r="H1348" s="6">
        <v>44953.968877314823</v>
      </c>
      <c r="I1348" s="3" t="b">
        <v>1</v>
      </c>
      <c r="J1348" s="3" t="b">
        <v>0</v>
      </c>
      <c r="K1348" s="3" t="s">
        <v>2676</v>
      </c>
      <c r="L1348" s="3" t="s">
        <v>34</v>
      </c>
      <c r="M1348" s="8">
        <v>98283</v>
      </c>
      <c r="N1348" s="11"/>
      <c r="O1348" s="3" t="s">
        <v>2677</v>
      </c>
      <c r="P1348" s="3" t="s">
        <v>2678</v>
      </c>
    </row>
    <row r="1349" spans="1:16" x14ac:dyDescent="0.3">
      <c r="A1349" s="3" t="s">
        <v>66</v>
      </c>
      <c r="B1349" s="3" t="s">
        <v>2683</v>
      </c>
      <c r="C1349" s="3" t="s">
        <v>87</v>
      </c>
      <c r="D1349" s="3" t="s">
        <v>860</v>
      </c>
      <c r="E1349" s="3" t="s">
        <v>31</v>
      </c>
      <c r="F1349" s="3" t="b">
        <v>1</v>
      </c>
      <c r="G1349" s="3" t="s">
        <v>140</v>
      </c>
      <c r="H1349" s="6">
        <v>44948.334930555553</v>
      </c>
      <c r="I1349" s="3" t="b">
        <v>0</v>
      </c>
      <c r="J1349" s="3" t="b">
        <v>0</v>
      </c>
      <c r="K1349" s="3" t="s">
        <v>33</v>
      </c>
      <c r="L1349" s="3" t="s">
        <v>34</v>
      </c>
      <c r="M1349" s="8">
        <v>114500</v>
      </c>
      <c r="N1349" s="11"/>
      <c r="O1349" s="3" t="s">
        <v>2684</v>
      </c>
      <c r="P1349" s="3" t="s">
        <v>2685</v>
      </c>
    </row>
    <row r="1350" spans="1:16" x14ac:dyDescent="0.3">
      <c r="A1350" s="3" t="s">
        <v>66</v>
      </c>
      <c r="B1350" s="3" t="s">
        <v>528</v>
      </c>
      <c r="C1350" s="3" t="s">
        <v>87</v>
      </c>
      <c r="D1350" s="3" t="s">
        <v>1013</v>
      </c>
      <c r="E1350" s="3" t="s">
        <v>31</v>
      </c>
      <c r="F1350" s="3" t="b">
        <v>1</v>
      </c>
      <c r="G1350" s="3" t="s">
        <v>32</v>
      </c>
      <c r="H1350" s="6">
        <v>44944.506354166668</v>
      </c>
      <c r="I1350" s="3" t="b">
        <v>0</v>
      </c>
      <c r="J1350" s="3" t="b">
        <v>1</v>
      </c>
      <c r="K1350" s="3" t="s">
        <v>33</v>
      </c>
      <c r="L1350" s="3" t="s">
        <v>34</v>
      </c>
      <c r="M1350" s="8">
        <v>145000</v>
      </c>
      <c r="N1350" s="11"/>
      <c r="O1350" s="3" t="s">
        <v>2689</v>
      </c>
      <c r="P1350" s="3" t="s">
        <v>2690</v>
      </c>
    </row>
    <row r="1351" spans="1:16" x14ac:dyDescent="0.3">
      <c r="A1351" s="3" t="s">
        <v>66</v>
      </c>
      <c r="B1351" s="3" t="s">
        <v>2691</v>
      </c>
      <c r="C1351" s="3" t="s">
        <v>1001</v>
      </c>
      <c r="D1351" s="3" t="s">
        <v>93</v>
      </c>
      <c r="E1351" s="3" t="s">
        <v>31</v>
      </c>
      <c r="F1351" s="3" t="b">
        <v>0</v>
      </c>
      <c r="G1351" s="3" t="s">
        <v>317</v>
      </c>
      <c r="H1351" s="6">
        <v>44943.288472222222</v>
      </c>
      <c r="I1351" s="3" t="b">
        <v>1</v>
      </c>
      <c r="J1351" s="3" t="b">
        <v>0</v>
      </c>
      <c r="K1351" s="3" t="s">
        <v>317</v>
      </c>
      <c r="L1351" s="3" t="s">
        <v>34</v>
      </c>
      <c r="M1351" s="8">
        <v>90000</v>
      </c>
      <c r="N1351" s="11"/>
      <c r="O1351" s="3" t="s">
        <v>2692</v>
      </c>
      <c r="P1351" s="3" t="s">
        <v>2693</v>
      </c>
    </row>
    <row r="1352" spans="1:16" x14ac:dyDescent="0.3">
      <c r="A1352" s="3" t="s">
        <v>66</v>
      </c>
      <c r="B1352" s="3" t="s">
        <v>1286</v>
      </c>
      <c r="C1352" s="3" t="s">
        <v>321</v>
      </c>
      <c r="D1352" s="3" t="s">
        <v>307</v>
      </c>
      <c r="E1352" s="3" t="s">
        <v>133</v>
      </c>
      <c r="F1352" s="3" t="b">
        <v>0</v>
      </c>
      <c r="G1352" s="3" t="s">
        <v>88</v>
      </c>
      <c r="H1352" s="6">
        <v>44945.743113425917</v>
      </c>
      <c r="I1352" s="3" t="b">
        <v>1</v>
      </c>
      <c r="J1352" s="3" t="b">
        <v>0</v>
      </c>
      <c r="K1352" s="3" t="s">
        <v>33</v>
      </c>
      <c r="L1352" s="3" t="s">
        <v>34</v>
      </c>
      <c r="M1352" s="8">
        <v>130000</v>
      </c>
      <c r="N1352" s="11"/>
      <c r="O1352" s="3" t="s">
        <v>114</v>
      </c>
      <c r="P1352" s="3" t="s">
        <v>2700</v>
      </c>
    </row>
    <row r="1353" spans="1:16" x14ac:dyDescent="0.3">
      <c r="A1353" s="3" t="s">
        <v>66</v>
      </c>
      <c r="B1353" s="3" t="s">
        <v>253</v>
      </c>
      <c r="C1353" s="3" t="s">
        <v>87</v>
      </c>
      <c r="D1353" s="3" t="s">
        <v>30</v>
      </c>
      <c r="E1353" s="3" t="s">
        <v>133</v>
      </c>
      <c r="F1353" s="3" t="b">
        <v>1</v>
      </c>
      <c r="G1353" s="3" t="s">
        <v>88</v>
      </c>
      <c r="H1353" s="6">
        <v>44944.842372685183</v>
      </c>
      <c r="I1353" s="3" t="b">
        <v>1</v>
      </c>
      <c r="J1353" s="3" t="b">
        <v>0</v>
      </c>
      <c r="K1353" s="3" t="s">
        <v>33</v>
      </c>
      <c r="L1353" s="3" t="s">
        <v>48</v>
      </c>
      <c r="M1353" s="8"/>
      <c r="N1353" s="11">
        <v>80</v>
      </c>
      <c r="O1353" s="3" t="s">
        <v>196</v>
      </c>
      <c r="P1353" s="3" t="s">
        <v>2705</v>
      </c>
    </row>
    <row r="1354" spans="1:16" x14ac:dyDescent="0.3">
      <c r="A1354" s="3" t="s">
        <v>66</v>
      </c>
      <c r="B1354" s="3" t="s">
        <v>66</v>
      </c>
      <c r="C1354" s="3" t="s">
        <v>79</v>
      </c>
      <c r="D1354" s="3" t="s">
        <v>188</v>
      </c>
      <c r="E1354" s="3" t="s">
        <v>31</v>
      </c>
      <c r="F1354" s="3" t="b">
        <v>0</v>
      </c>
      <c r="G1354" s="3" t="s">
        <v>64</v>
      </c>
      <c r="H1354" s="6">
        <v>44956.879942129628</v>
      </c>
      <c r="I1354" s="3" t="b">
        <v>0</v>
      </c>
      <c r="J1354" s="3" t="b">
        <v>1</v>
      </c>
      <c r="K1354" s="3" t="s">
        <v>33</v>
      </c>
      <c r="L1354" s="3" t="s">
        <v>34</v>
      </c>
      <c r="M1354" s="8">
        <v>215000</v>
      </c>
      <c r="N1354" s="11"/>
      <c r="O1354" s="3" t="s">
        <v>2706</v>
      </c>
      <c r="P1354" s="3" t="s">
        <v>2707</v>
      </c>
    </row>
    <row r="1355" spans="1:16" x14ac:dyDescent="0.3">
      <c r="A1355" s="3" t="s">
        <v>66</v>
      </c>
      <c r="B1355" s="3" t="s">
        <v>2710</v>
      </c>
      <c r="C1355" s="3" t="s">
        <v>79</v>
      </c>
      <c r="D1355" s="3" t="s">
        <v>76</v>
      </c>
      <c r="E1355" s="3" t="s">
        <v>31</v>
      </c>
      <c r="F1355" s="3" t="b">
        <v>0</v>
      </c>
      <c r="G1355" s="3" t="s">
        <v>58</v>
      </c>
      <c r="H1355" s="6">
        <v>44929.734212962961</v>
      </c>
      <c r="I1355" s="3" t="b">
        <v>1</v>
      </c>
      <c r="J1355" s="3" t="b">
        <v>0</v>
      </c>
      <c r="K1355" s="3" t="s">
        <v>33</v>
      </c>
      <c r="L1355" s="3" t="s">
        <v>34</v>
      </c>
      <c r="M1355" s="8">
        <v>119523</v>
      </c>
      <c r="N1355" s="11"/>
      <c r="O1355" s="3" t="s">
        <v>2711</v>
      </c>
      <c r="P1355" s="3" t="s">
        <v>2712</v>
      </c>
    </row>
    <row r="1356" spans="1:16" x14ac:dyDescent="0.3">
      <c r="A1356" s="3" t="s">
        <v>66</v>
      </c>
      <c r="B1356" s="3" t="s">
        <v>2721</v>
      </c>
      <c r="C1356" s="3" t="s">
        <v>33</v>
      </c>
      <c r="D1356" s="3" t="s">
        <v>41</v>
      </c>
      <c r="E1356" s="3" t="s">
        <v>31</v>
      </c>
      <c r="F1356" s="3" t="b">
        <v>0</v>
      </c>
      <c r="G1356" s="3" t="s">
        <v>110</v>
      </c>
      <c r="H1356" s="6">
        <v>44935.399004629631</v>
      </c>
      <c r="I1356" s="3" t="b">
        <v>0</v>
      </c>
      <c r="J1356" s="3" t="b">
        <v>0</v>
      </c>
      <c r="K1356" s="3" t="s">
        <v>110</v>
      </c>
      <c r="L1356" s="3" t="s">
        <v>34</v>
      </c>
      <c r="M1356" s="8">
        <v>133000</v>
      </c>
      <c r="N1356" s="11"/>
      <c r="O1356" s="3" t="s">
        <v>2722</v>
      </c>
      <c r="P1356" s="3" t="s">
        <v>2723</v>
      </c>
    </row>
    <row r="1357" spans="1:16" x14ac:dyDescent="0.3">
      <c r="A1357" s="3" t="s">
        <v>66</v>
      </c>
      <c r="B1357" s="3" t="s">
        <v>2728</v>
      </c>
      <c r="C1357" s="3" t="s">
        <v>2451</v>
      </c>
      <c r="D1357" s="3" t="s">
        <v>106</v>
      </c>
      <c r="E1357" s="3" t="s">
        <v>31</v>
      </c>
      <c r="F1357" s="3" t="b">
        <v>0</v>
      </c>
      <c r="G1357" s="3" t="s">
        <v>140</v>
      </c>
      <c r="H1357" s="6">
        <v>44950.623993055553</v>
      </c>
      <c r="I1357" s="3" t="b">
        <v>0</v>
      </c>
      <c r="J1357" s="3" t="b">
        <v>0</v>
      </c>
      <c r="K1357" s="3" t="s">
        <v>33</v>
      </c>
      <c r="L1357" s="3" t="s">
        <v>34</v>
      </c>
      <c r="M1357" s="8">
        <v>145000</v>
      </c>
      <c r="N1357" s="11"/>
      <c r="O1357" s="3" t="s">
        <v>175</v>
      </c>
      <c r="P1357" s="3"/>
    </row>
    <row r="1358" spans="1:16" x14ac:dyDescent="0.3">
      <c r="A1358" s="3" t="s">
        <v>66</v>
      </c>
      <c r="B1358" s="3" t="s">
        <v>143</v>
      </c>
      <c r="C1358" s="3" t="s">
        <v>187</v>
      </c>
      <c r="D1358" s="3" t="s">
        <v>76</v>
      </c>
      <c r="E1358" s="3" t="s">
        <v>31</v>
      </c>
      <c r="F1358" s="3" t="b">
        <v>0</v>
      </c>
      <c r="G1358" s="3" t="s">
        <v>64</v>
      </c>
      <c r="H1358" s="6">
        <v>44944.839085648149</v>
      </c>
      <c r="I1358" s="3" t="b">
        <v>1</v>
      </c>
      <c r="J1358" s="3" t="b">
        <v>0</v>
      </c>
      <c r="K1358" s="3" t="s">
        <v>33</v>
      </c>
      <c r="L1358" s="3" t="s">
        <v>34</v>
      </c>
      <c r="M1358" s="8">
        <v>110144.390625</v>
      </c>
      <c r="N1358" s="11"/>
      <c r="O1358" s="3" t="s">
        <v>1298</v>
      </c>
      <c r="P1358" s="3" t="s">
        <v>1230</v>
      </c>
    </row>
    <row r="1359" spans="1:16" x14ac:dyDescent="0.3">
      <c r="A1359" s="3" t="s">
        <v>66</v>
      </c>
      <c r="B1359" s="3" t="s">
        <v>2771</v>
      </c>
      <c r="C1359" s="3" t="s">
        <v>2772</v>
      </c>
      <c r="D1359" s="3" t="s">
        <v>41</v>
      </c>
      <c r="E1359" s="3" t="s">
        <v>31</v>
      </c>
      <c r="F1359" s="3" t="b">
        <v>0</v>
      </c>
      <c r="G1359" s="3" t="s">
        <v>42</v>
      </c>
      <c r="H1359" s="6">
        <v>44933.761331018519</v>
      </c>
      <c r="I1359" s="3" t="b">
        <v>0</v>
      </c>
      <c r="J1359" s="3" t="b">
        <v>0</v>
      </c>
      <c r="K1359" s="3" t="s">
        <v>42</v>
      </c>
      <c r="L1359" s="3" t="s">
        <v>34</v>
      </c>
      <c r="M1359" s="8">
        <v>98301.5</v>
      </c>
      <c r="N1359" s="11"/>
      <c r="O1359" s="3" t="s">
        <v>1880</v>
      </c>
      <c r="P1359" s="3" t="s">
        <v>2773</v>
      </c>
    </row>
    <row r="1360" spans="1:16" x14ac:dyDescent="0.3">
      <c r="A1360" s="3" t="s">
        <v>66</v>
      </c>
      <c r="B1360" s="3" t="s">
        <v>2778</v>
      </c>
      <c r="C1360" s="3" t="s">
        <v>2779</v>
      </c>
      <c r="D1360" s="3" t="s">
        <v>41</v>
      </c>
      <c r="E1360" s="3" t="s">
        <v>31</v>
      </c>
      <c r="F1360" s="3" t="b">
        <v>0</v>
      </c>
      <c r="G1360" s="3" t="s">
        <v>2779</v>
      </c>
      <c r="H1360" s="6">
        <v>44936.150405092587</v>
      </c>
      <c r="I1360" s="3" t="b">
        <v>1</v>
      </c>
      <c r="J1360" s="3" t="b">
        <v>0</v>
      </c>
      <c r="K1360" s="3" t="s">
        <v>2779</v>
      </c>
      <c r="L1360" s="3" t="s">
        <v>34</v>
      </c>
      <c r="M1360" s="8">
        <v>93600</v>
      </c>
      <c r="N1360" s="11"/>
      <c r="O1360" s="3" t="s">
        <v>2780</v>
      </c>
      <c r="P1360" s="3"/>
    </row>
    <row r="1361" spans="1:16" x14ac:dyDescent="0.3">
      <c r="A1361" s="3" t="s">
        <v>66</v>
      </c>
      <c r="B1361" s="3" t="s">
        <v>2788</v>
      </c>
      <c r="C1361" s="3" t="s">
        <v>87</v>
      </c>
      <c r="D1361" s="3" t="s">
        <v>53</v>
      </c>
      <c r="E1361" s="3" t="s">
        <v>31</v>
      </c>
      <c r="F1361" s="3" t="b">
        <v>1</v>
      </c>
      <c r="G1361" s="3" t="s">
        <v>58</v>
      </c>
      <c r="H1361" s="6">
        <v>44928.921805555547</v>
      </c>
      <c r="I1361" s="3" t="b">
        <v>1</v>
      </c>
      <c r="J1361" s="3" t="b">
        <v>1</v>
      </c>
      <c r="K1361" s="3" t="s">
        <v>33</v>
      </c>
      <c r="L1361" s="3" t="s">
        <v>34</v>
      </c>
      <c r="M1361" s="8">
        <v>192500</v>
      </c>
      <c r="N1361" s="11"/>
      <c r="O1361" s="3" t="s">
        <v>255</v>
      </c>
      <c r="P1361" s="3" t="s">
        <v>2789</v>
      </c>
    </row>
    <row r="1362" spans="1:16" x14ac:dyDescent="0.3">
      <c r="A1362" s="3" t="s">
        <v>66</v>
      </c>
      <c r="B1362" s="3" t="s">
        <v>66</v>
      </c>
      <c r="C1362" s="3" t="s">
        <v>223</v>
      </c>
      <c r="D1362" s="3" t="s">
        <v>705</v>
      </c>
      <c r="E1362" s="3" t="s">
        <v>31</v>
      </c>
      <c r="F1362" s="3" t="b">
        <v>0</v>
      </c>
      <c r="G1362" s="3" t="s">
        <v>64</v>
      </c>
      <c r="H1362" s="6">
        <v>44940.754548611112</v>
      </c>
      <c r="I1362" s="3" t="b">
        <v>1</v>
      </c>
      <c r="J1362" s="3" t="b">
        <v>0</v>
      </c>
      <c r="K1362" s="3" t="s">
        <v>33</v>
      </c>
      <c r="L1362" s="3" t="s">
        <v>34</v>
      </c>
      <c r="M1362" s="8">
        <v>96500</v>
      </c>
      <c r="N1362" s="11"/>
      <c r="O1362" s="3" t="s">
        <v>371</v>
      </c>
      <c r="P1362" s="3" t="s">
        <v>524</v>
      </c>
    </row>
    <row r="1363" spans="1:16" x14ac:dyDescent="0.3">
      <c r="A1363" s="3" t="s">
        <v>66</v>
      </c>
      <c r="B1363" s="3" t="s">
        <v>66</v>
      </c>
      <c r="C1363" s="3" t="s">
        <v>800</v>
      </c>
      <c r="D1363" s="3" t="s">
        <v>76</v>
      </c>
      <c r="E1363" s="3" t="s">
        <v>31</v>
      </c>
      <c r="F1363" s="3" t="b">
        <v>0</v>
      </c>
      <c r="G1363" s="3" t="s">
        <v>140</v>
      </c>
      <c r="H1363" s="6">
        <v>44957.128738425927</v>
      </c>
      <c r="I1363" s="3" t="b">
        <v>0</v>
      </c>
      <c r="J1363" s="3" t="b">
        <v>1</v>
      </c>
      <c r="K1363" s="3" t="s">
        <v>33</v>
      </c>
      <c r="L1363" s="3" t="s">
        <v>34</v>
      </c>
      <c r="M1363" s="8">
        <v>110000</v>
      </c>
      <c r="N1363" s="11"/>
      <c r="O1363" s="3" t="s">
        <v>2802</v>
      </c>
      <c r="P1363" s="3" t="s">
        <v>2803</v>
      </c>
    </row>
    <row r="1364" spans="1:16" x14ac:dyDescent="0.3">
      <c r="A1364" s="3" t="s">
        <v>66</v>
      </c>
      <c r="B1364" s="3" t="s">
        <v>66</v>
      </c>
      <c r="C1364" s="3" t="s">
        <v>1277</v>
      </c>
      <c r="D1364" s="3" t="s">
        <v>41</v>
      </c>
      <c r="E1364" s="3" t="s">
        <v>31</v>
      </c>
      <c r="F1364" s="3" t="b">
        <v>0</v>
      </c>
      <c r="G1364" s="3" t="s">
        <v>1278</v>
      </c>
      <c r="H1364" s="6">
        <v>44938.759768518517</v>
      </c>
      <c r="I1364" s="3" t="b">
        <v>0</v>
      </c>
      <c r="J1364" s="3" t="b">
        <v>0</v>
      </c>
      <c r="K1364" s="3" t="s">
        <v>1278</v>
      </c>
      <c r="L1364" s="3" t="s">
        <v>34</v>
      </c>
      <c r="M1364" s="8">
        <v>147500</v>
      </c>
      <c r="N1364" s="11"/>
      <c r="O1364" s="3" t="s">
        <v>2804</v>
      </c>
      <c r="P1364" s="3" t="s">
        <v>2805</v>
      </c>
    </row>
    <row r="1365" spans="1:16" x14ac:dyDescent="0.3">
      <c r="A1365" s="3" t="s">
        <v>66</v>
      </c>
      <c r="B1365" s="3" t="s">
        <v>1016</v>
      </c>
      <c r="C1365" s="3" t="s">
        <v>75</v>
      </c>
      <c r="D1365" s="3" t="s">
        <v>76</v>
      </c>
      <c r="E1365" s="3" t="s">
        <v>133</v>
      </c>
      <c r="F1365" s="3" t="b">
        <v>0</v>
      </c>
      <c r="G1365" s="3" t="s">
        <v>140</v>
      </c>
      <c r="H1365" s="6">
        <v>44939.639872685177</v>
      </c>
      <c r="I1365" s="3" t="b">
        <v>0</v>
      </c>
      <c r="J1365" s="3" t="b">
        <v>0</v>
      </c>
      <c r="K1365" s="3" t="s">
        <v>33</v>
      </c>
      <c r="L1365" s="3" t="s">
        <v>48</v>
      </c>
      <c r="M1365" s="8"/>
      <c r="N1365" s="11">
        <v>65</v>
      </c>
      <c r="O1365" s="3" t="s">
        <v>2811</v>
      </c>
      <c r="P1365" s="3" t="s">
        <v>2812</v>
      </c>
    </row>
    <row r="1366" spans="1:16" x14ac:dyDescent="0.3">
      <c r="A1366" s="3" t="s">
        <v>66</v>
      </c>
      <c r="B1366" s="3" t="s">
        <v>2813</v>
      </c>
      <c r="C1366" s="3" t="s">
        <v>403</v>
      </c>
      <c r="D1366" s="3" t="s">
        <v>41</v>
      </c>
      <c r="E1366" s="3" t="s">
        <v>31</v>
      </c>
      <c r="F1366" s="3" t="b">
        <v>0</v>
      </c>
      <c r="G1366" s="3" t="s">
        <v>403</v>
      </c>
      <c r="H1366" s="6">
        <v>44953.677905092591</v>
      </c>
      <c r="I1366" s="3" t="b">
        <v>0</v>
      </c>
      <c r="J1366" s="3" t="b">
        <v>0</v>
      </c>
      <c r="K1366" s="3" t="s">
        <v>403</v>
      </c>
      <c r="L1366" s="3" t="s">
        <v>34</v>
      </c>
      <c r="M1366" s="8">
        <v>98283</v>
      </c>
      <c r="N1366" s="11"/>
      <c r="O1366" s="3" t="s">
        <v>2814</v>
      </c>
      <c r="P1366" s="3" t="s">
        <v>2815</v>
      </c>
    </row>
    <row r="1367" spans="1:16" x14ac:dyDescent="0.3">
      <c r="A1367" s="3" t="s">
        <v>66</v>
      </c>
      <c r="B1367" s="3" t="s">
        <v>2817</v>
      </c>
      <c r="C1367" s="3" t="s">
        <v>164</v>
      </c>
      <c r="D1367" s="3" t="s">
        <v>1666</v>
      </c>
      <c r="E1367" s="3" t="s">
        <v>31</v>
      </c>
      <c r="F1367" s="3" t="b">
        <v>0</v>
      </c>
      <c r="G1367" s="3" t="s">
        <v>32</v>
      </c>
      <c r="H1367" s="6">
        <v>44950.129953703698</v>
      </c>
      <c r="I1367" s="3" t="b">
        <v>0</v>
      </c>
      <c r="J1367" s="3" t="b">
        <v>1</v>
      </c>
      <c r="K1367" s="3" t="s">
        <v>33</v>
      </c>
      <c r="L1367" s="3" t="s">
        <v>34</v>
      </c>
      <c r="M1367" s="8">
        <v>152500</v>
      </c>
      <c r="N1367" s="11"/>
      <c r="O1367" s="3" t="s">
        <v>2818</v>
      </c>
      <c r="P1367" s="3" t="s">
        <v>2819</v>
      </c>
    </row>
    <row r="1368" spans="1:16" x14ac:dyDescent="0.3">
      <c r="A1368" s="3" t="s">
        <v>66</v>
      </c>
      <c r="B1368" s="3" t="s">
        <v>66</v>
      </c>
      <c r="C1368" s="3" t="s">
        <v>87</v>
      </c>
      <c r="D1368" s="3" t="s">
        <v>30</v>
      </c>
      <c r="E1368" s="3" t="s">
        <v>31</v>
      </c>
      <c r="F1368" s="3" t="b">
        <v>1</v>
      </c>
      <c r="G1368" s="3" t="s">
        <v>88</v>
      </c>
      <c r="H1368" s="6">
        <v>44930.647534722222</v>
      </c>
      <c r="I1368" s="3" t="b">
        <v>1</v>
      </c>
      <c r="J1368" s="3" t="b">
        <v>0</v>
      </c>
      <c r="K1368" s="3" t="s">
        <v>33</v>
      </c>
      <c r="L1368" s="3" t="s">
        <v>48</v>
      </c>
      <c r="M1368" s="8"/>
      <c r="N1368" s="11">
        <v>50</v>
      </c>
      <c r="O1368" s="3" t="s">
        <v>589</v>
      </c>
      <c r="P1368" s="3" t="s">
        <v>374</v>
      </c>
    </row>
    <row r="1369" spans="1:16" x14ac:dyDescent="0.3">
      <c r="A1369" s="3" t="s">
        <v>66</v>
      </c>
      <c r="B1369" s="3" t="s">
        <v>1091</v>
      </c>
      <c r="C1369" s="3" t="s">
        <v>2844</v>
      </c>
      <c r="D1369" s="3" t="s">
        <v>390</v>
      </c>
      <c r="E1369" s="3" t="s">
        <v>31</v>
      </c>
      <c r="F1369" s="3" t="b">
        <v>0</v>
      </c>
      <c r="G1369" s="3" t="s">
        <v>32</v>
      </c>
      <c r="H1369" s="6">
        <v>44934.211921296293</v>
      </c>
      <c r="I1369" s="3" t="b">
        <v>0</v>
      </c>
      <c r="J1369" s="3" t="b">
        <v>0</v>
      </c>
      <c r="K1369" s="3" t="s">
        <v>33</v>
      </c>
      <c r="L1369" s="3" t="s">
        <v>34</v>
      </c>
      <c r="M1369" s="8">
        <v>190950</v>
      </c>
      <c r="N1369" s="11"/>
      <c r="O1369" s="3" t="s">
        <v>238</v>
      </c>
      <c r="P1369" s="3" t="s">
        <v>2845</v>
      </c>
    </row>
    <row r="1370" spans="1:16" x14ac:dyDescent="0.3">
      <c r="A1370" s="3" t="s">
        <v>66</v>
      </c>
      <c r="B1370" s="3" t="s">
        <v>1016</v>
      </c>
      <c r="C1370" s="3" t="s">
        <v>87</v>
      </c>
      <c r="D1370" s="3" t="s">
        <v>307</v>
      </c>
      <c r="E1370" s="3" t="s">
        <v>31</v>
      </c>
      <c r="F1370" s="3" t="b">
        <v>1</v>
      </c>
      <c r="G1370" s="3" t="s">
        <v>64</v>
      </c>
      <c r="H1370" s="6">
        <v>44952.839143518519</v>
      </c>
      <c r="I1370" s="3" t="b">
        <v>1</v>
      </c>
      <c r="J1370" s="3" t="b">
        <v>1</v>
      </c>
      <c r="K1370" s="3" t="s">
        <v>33</v>
      </c>
      <c r="L1370" s="3" t="s">
        <v>34</v>
      </c>
      <c r="M1370" s="8">
        <v>150000</v>
      </c>
      <c r="N1370" s="11"/>
      <c r="O1370" s="3" t="s">
        <v>114</v>
      </c>
      <c r="P1370" s="3" t="s">
        <v>2855</v>
      </c>
    </row>
    <row r="1371" spans="1:16" x14ac:dyDescent="0.3">
      <c r="A1371" s="3" t="s">
        <v>66</v>
      </c>
      <c r="B1371" s="3" t="s">
        <v>2870</v>
      </c>
      <c r="C1371" s="3" t="s">
        <v>87</v>
      </c>
      <c r="D1371" s="3" t="s">
        <v>830</v>
      </c>
      <c r="E1371" s="3" t="s">
        <v>31</v>
      </c>
      <c r="F1371" s="3" t="b">
        <v>1</v>
      </c>
      <c r="G1371" s="3" t="s">
        <v>201</v>
      </c>
      <c r="H1371" s="6">
        <v>44936.620729166672</v>
      </c>
      <c r="I1371" s="3" t="b">
        <v>1</v>
      </c>
      <c r="J1371" s="3" t="b">
        <v>0</v>
      </c>
      <c r="K1371" s="3" t="s">
        <v>201</v>
      </c>
      <c r="L1371" s="3" t="s">
        <v>34</v>
      </c>
      <c r="M1371" s="8">
        <v>50500</v>
      </c>
      <c r="N1371" s="11"/>
      <c r="O1371" s="3" t="s">
        <v>2871</v>
      </c>
      <c r="P1371" s="3" t="s">
        <v>2872</v>
      </c>
    </row>
    <row r="1372" spans="1:16" x14ac:dyDescent="0.3">
      <c r="A1372" s="3" t="s">
        <v>66</v>
      </c>
      <c r="B1372" s="3" t="s">
        <v>611</v>
      </c>
      <c r="C1372" s="3" t="s">
        <v>75</v>
      </c>
      <c r="D1372" s="3" t="s">
        <v>41</v>
      </c>
      <c r="E1372" s="3" t="s">
        <v>31</v>
      </c>
      <c r="F1372" s="3" t="b">
        <v>0</v>
      </c>
      <c r="G1372" s="3" t="s">
        <v>140</v>
      </c>
      <c r="H1372" s="6">
        <v>44952.326527777783</v>
      </c>
      <c r="I1372" s="3" t="b">
        <v>1</v>
      </c>
      <c r="J1372" s="3" t="b">
        <v>0</v>
      </c>
      <c r="K1372" s="3" t="s">
        <v>33</v>
      </c>
      <c r="L1372" s="3" t="s">
        <v>34</v>
      </c>
      <c r="M1372" s="8">
        <v>99150</v>
      </c>
      <c r="N1372" s="11"/>
      <c r="O1372" s="3" t="s">
        <v>1746</v>
      </c>
      <c r="P1372" s="3" t="s">
        <v>2439</v>
      </c>
    </row>
    <row r="1373" spans="1:16" x14ac:dyDescent="0.3">
      <c r="A1373" s="3" t="s">
        <v>66</v>
      </c>
      <c r="B1373" s="3" t="s">
        <v>66</v>
      </c>
      <c r="C1373" s="3" t="s">
        <v>2898</v>
      </c>
      <c r="D1373" s="3" t="s">
        <v>41</v>
      </c>
      <c r="E1373" s="3" t="s">
        <v>31</v>
      </c>
      <c r="F1373" s="3" t="b">
        <v>0</v>
      </c>
      <c r="G1373" s="3" t="s">
        <v>961</v>
      </c>
      <c r="H1373" s="6">
        <v>44947.096666666657</v>
      </c>
      <c r="I1373" s="3" t="b">
        <v>0</v>
      </c>
      <c r="J1373" s="3" t="b">
        <v>0</v>
      </c>
      <c r="K1373" s="3" t="s">
        <v>961</v>
      </c>
      <c r="L1373" s="3" t="s">
        <v>34</v>
      </c>
      <c r="M1373" s="8">
        <v>96773</v>
      </c>
      <c r="N1373" s="11"/>
      <c r="O1373" s="3" t="s">
        <v>2899</v>
      </c>
      <c r="P1373" s="3" t="s">
        <v>2900</v>
      </c>
    </row>
    <row r="1374" spans="1:16" x14ac:dyDescent="0.3">
      <c r="A1374" s="3" t="s">
        <v>66</v>
      </c>
      <c r="B1374" s="3" t="s">
        <v>2901</v>
      </c>
      <c r="C1374" s="3" t="s">
        <v>314</v>
      </c>
      <c r="D1374" s="3" t="s">
        <v>1013</v>
      </c>
      <c r="E1374" s="3" t="s">
        <v>31</v>
      </c>
      <c r="F1374" s="3" t="b">
        <v>0</v>
      </c>
      <c r="G1374" s="3" t="s">
        <v>58</v>
      </c>
      <c r="H1374" s="6">
        <v>44942.44866898148</v>
      </c>
      <c r="I1374" s="3" t="b">
        <v>0</v>
      </c>
      <c r="J1374" s="3" t="b">
        <v>1</v>
      </c>
      <c r="K1374" s="3" t="s">
        <v>33</v>
      </c>
      <c r="L1374" s="3" t="s">
        <v>34</v>
      </c>
      <c r="M1374" s="8">
        <v>184500</v>
      </c>
      <c r="N1374" s="11"/>
      <c r="O1374" s="3" t="s">
        <v>784</v>
      </c>
      <c r="P1374" s="3" t="s">
        <v>2902</v>
      </c>
    </row>
    <row r="1375" spans="1:16" x14ac:dyDescent="0.3">
      <c r="A1375" s="3" t="s">
        <v>66</v>
      </c>
      <c r="B1375" s="3" t="s">
        <v>343</v>
      </c>
      <c r="C1375" s="3" t="s">
        <v>40</v>
      </c>
      <c r="D1375" s="3" t="s">
        <v>41</v>
      </c>
      <c r="E1375" s="3" t="s">
        <v>31</v>
      </c>
      <c r="F1375" s="3" t="b">
        <v>0</v>
      </c>
      <c r="G1375" s="3" t="s">
        <v>42</v>
      </c>
      <c r="H1375" s="6">
        <v>44944.010046296287</v>
      </c>
      <c r="I1375" s="3" t="b">
        <v>1</v>
      </c>
      <c r="J1375" s="3" t="b">
        <v>0</v>
      </c>
      <c r="K1375" s="3" t="s">
        <v>42</v>
      </c>
      <c r="L1375" s="3" t="s">
        <v>34</v>
      </c>
      <c r="M1375" s="8">
        <v>131580</v>
      </c>
      <c r="N1375" s="11"/>
      <c r="O1375" s="3" t="s">
        <v>1448</v>
      </c>
      <c r="P1375" s="3" t="s">
        <v>2911</v>
      </c>
    </row>
    <row r="1376" spans="1:16" x14ac:dyDescent="0.3">
      <c r="A1376" s="3" t="s">
        <v>66</v>
      </c>
      <c r="B1376" s="3" t="s">
        <v>2915</v>
      </c>
      <c r="C1376" s="3" t="s">
        <v>97</v>
      </c>
      <c r="D1376" s="3" t="s">
        <v>940</v>
      </c>
      <c r="E1376" s="3" t="s">
        <v>31</v>
      </c>
      <c r="F1376" s="3" t="b">
        <v>0</v>
      </c>
      <c r="G1376" s="3" t="s">
        <v>140</v>
      </c>
      <c r="H1376" s="6">
        <v>44950.29109953704</v>
      </c>
      <c r="I1376" s="3" t="b">
        <v>1</v>
      </c>
      <c r="J1376" s="3" t="b">
        <v>1</v>
      </c>
      <c r="K1376" s="3" t="s">
        <v>33</v>
      </c>
      <c r="L1376" s="3" t="s">
        <v>34</v>
      </c>
      <c r="M1376" s="8">
        <v>136125</v>
      </c>
      <c r="N1376" s="11"/>
      <c r="O1376" s="3" t="s">
        <v>2695</v>
      </c>
      <c r="P1376" s="3" t="s">
        <v>2916</v>
      </c>
    </row>
    <row r="1377" spans="1:16" x14ac:dyDescent="0.3">
      <c r="A1377" s="3" t="s">
        <v>66</v>
      </c>
      <c r="B1377" s="3" t="s">
        <v>2920</v>
      </c>
      <c r="C1377" s="3" t="s">
        <v>87</v>
      </c>
      <c r="D1377" s="3" t="s">
        <v>1013</v>
      </c>
      <c r="E1377" s="3" t="s">
        <v>31</v>
      </c>
      <c r="F1377" s="3" t="b">
        <v>1</v>
      </c>
      <c r="G1377" s="3" t="s">
        <v>84</v>
      </c>
      <c r="H1377" s="6">
        <v>44932.46435185185</v>
      </c>
      <c r="I1377" s="3" t="b">
        <v>0</v>
      </c>
      <c r="J1377" s="3" t="b">
        <v>1</v>
      </c>
      <c r="K1377" s="3" t="s">
        <v>33</v>
      </c>
      <c r="L1377" s="3" t="s">
        <v>34</v>
      </c>
      <c r="M1377" s="8">
        <v>172475.5</v>
      </c>
      <c r="N1377" s="11"/>
      <c r="O1377" s="3" t="s">
        <v>2921</v>
      </c>
      <c r="P1377" s="3" t="s">
        <v>2922</v>
      </c>
    </row>
    <row r="1378" spans="1:16" x14ac:dyDescent="0.3">
      <c r="A1378" s="3" t="s">
        <v>66</v>
      </c>
      <c r="B1378" s="3" t="s">
        <v>343</v>
      </c>
      <c r="C1378" s="3" t="s">
        <v>406</v>
      </c>
      <c r="D1378" s="3" t="s">
        <v>41</v>
      </c>
      <c r="E1378" s="3" t="s">
        <v>31</v>
      </c>
      <c r="F1378" s="3" t="b">
        <v>0</v>
      </c>
      <c r="G1378" s="3" t="s">
        <v>407</v>
      </c>
      <c r="H1378" s="6">
        <v>44957.744027777779</v>
      </c>
      <c r="I1378" s="3" t="b">
        <v>0</v>
      </c>
      <c r="J1378" s="3" t="b">
        <v>0</v>
      </c>
      <c r="K1378" s="3" t="s">
        <v>407</v>
      </c>
      <c r="L1378" s="3" t="s">
        <v>34</v>
      </c>
      <c r="M1378" s="8">
        <v>131580</v>
      </c>
      <c r="N1378" s="11"/>
      <c r="O1378" s="3" t="s">
        <v>2956</v>
      </c>
      <c r="P1378" s="3" t="s">
        <v>2957</v>
      </c>
    </row>
    <row r="1379" spans="1:16" x14ac:dyDescent="0.3">
      <c r="A1379" s="3" t="s">
        <v>66</v>
      </c>
      <c r="B1379" s="3" t="s">
        <v>66</v>
      </c>
      <c r="C1379" s="3" t="s">
        <v>2958</v>
      </c>
      <c r="D1379" s="3" t="s">
        <v>30</v>
      </c>
      <c r="E1379" s="3" t="s">
        <v>133</v>
      </c>
      <c r="F1379" s="3" t="b">
        <v>0</v>
      </c>
      <c r="G1379" s="3" t="s">
        <v>58</v>
      </c>
      <c r="H1379" s="6">
        <v>44939.590532407397</v>
      </c>
      <c r="I1379" s="3" t="b">
        <v>0</v>
      </c>
      <c r="J1379" s="3" t="b">
        <v>0</v>
      </c>
      <c r="K1379" s="3" t="s">
        <v>33</v>
      </c>
      <c r="L1379" s="3" t="s">
        <v>48</v>
      </c>
      <c r="M1379" s="8"/>
      <c r="N1379" s="11">
        <v>67.5</v>
      </c>
      <c r="O1379" s="3" t="s">
        <v>196</v>
      </c>
      <c r="P1379" s="3" t="s">
        <v>2959</v>
      </c>
    </row>
    <row r="1380" spans="1:16" x14ac:dyDescent="0.3">
      <c r="A1380" s="3" t="s">
        <v>66</v>
      </c>
      <c r="B1380" s="3" t="s">
        <v>113</v>
      </c>
      <c r="C1380" s="3" t="s">
        <v>87</v>
      </c>
      <c r="D1380" s="3" t="s">
        <v>307</v>
      </c>
      <c r="E1380" s="3" t="s">
        <v>31</v>
      </c>
      <c r="F1380" s="3" t="b">
        <v>1</v>
      </c>
      <c r="G1380" s="3" t="s">
        <v>64</v>
      </c>
      <c r="H1380" s="6">
        <v>44956.5466087963</v>
      </c>
      <c r="I1380" s="3" t="b">
        <v>1</v>
      </c>
      <c r="J1380" s="3" t="b">
        <v>0</v>
      </c>
      <c r="K1380" s="3" t="s">
        <v>33</v>
      </c>
      <c r="L1380" s="3" t="s">
        <v>34</v>
      </c>
      <c r="M1380" s="8">
        <v>140000</v>
      </c>
      <c r="N1380" s="11"/>
      <c r="O1380" s="3" t="s">
        <v>114</v>
      </c>
      <c r="P1380" s="3" t="s">
        <v>2960</v>
      </c>
    </row>
    <row r="1381" spans="1:16" x14ac:dyDescent="0.3">
      <c r="A1381" s="3" t="s">
        <v>66</v>
      </c>
      <c r="B1381" s="3" t="s">
        <v>2961</v>
      </c>
      <c r="C1381" s="3" t="s">
        <v>764</v>
      </c>
      <c r="D1381" s="3" t="s">
        <v>41</v>
      </c>
      <c r="E1381" s="3" t="s">
        <v>31</v>
      </c>
      <c r="F1381" s="3" t="b">
        <v>0</v>
      </c>
      <c r="G1381" s="3" t="s">
        <v>764</v>
      </c>
      <c r="H1381" s="6">
        <v>44945.335740740738</v>
      </c>
      <c r="I1381" s="3" t="b">
        <v>0</v>
      </c>
      <c r="J1381" s="3" t="b">
        <v>0</v>
      </c>
      <c r="K1381" s="3" t="s">
        <v>764</v>
      </c>
      <c r="L1381" s="3" t="s">
        <v>34</v>
      </c>
      <c r="M1381" s="8">
        <v>98283</v>
      </c>
      <c r="N1381" s="11"/>
      <c r="O1381" s="3" t="s">
        <v>2962</v>
      </c>
      <c r="P1381" s="3" t="s">
        <v>2963</v>
      </c>
    </row>
    <row r="1382" spans="1:16" x14ac:dyDescent="0.3">
      <c r="A1382" s="3" t="s">
        <v>66</v>
      </c>
      <c r="B1382" s="3" t="s">
        <v>2968</v>
      </c>
      <c r="C1382" s="3" t="s">
        <v>2969</v>
      </c>
      <c r="D1382" s="3" t="s">
        <v>41</v>
      </c>
      <c r="E1382" s="3" t="s">
        <v>31</v>
      </c>
      <c r="F1382" s="3" t="b">
        <v>0</v>
      </c>
      <c r="G1382" s="3" t="s">
        <v>2490</v>
      </c>
      <c r="H1382" s="6">
        <v>44942.589270833327</v>
      </c>
      <c r="I1382" s="3" t="b">
        <v>0</v>
      </c>
      <c r="J1382" s="3" t="b">
        <v>0</v>
      </c>
      <c r="K1382" s="3" t="s">
        <v>2490</v>
      </c>
      <c r="L1382" s="3" t="s">
        <v>34</v>
      </c>
      <c r="M1382" s="8">
        <v>147500</v>
      </c>
      <c r="N1382" s="11"/>
      <c r="O1382" s="3" t="s">
        <v>179</v>
      </c>
      <c r="P1382" s="3" t="s">
        <v>2970</v>
      </c>
    </row>
    <row r="1383" spans="1:16" x14ac:dyDescent="0.3">
      <c r="A1383" s="3" t="s">
        <v>66</v>
      </c>
      <c r="B1383" s="3" t="s">
        <v>2976</v>
      </c>
      <c r="C1383" s="3" t="s">
        <v>87</v>
      </c>
      <c r="D1383" s="3" t="s">
        <v>30</v>
      </c>
      <c r="E1383" s="3" t="s">
        <v>31</v>
      </c>
      <c r="F1383" s="3" t="b">
        <v>1</v>
      </c>
      <c r="G1383" s="3" t="s">
        <v>110</v>
      </c>
      <c r="H1383" s="6">
        <v>44934.490254629629</v>
      </c>
      <c r="I1383" s="3" t="b">
        <v>1</v>
      </c>
      <c r="J1383" s="3" t="b">
        <v>1</v>
      </c>
      <c r="K1383" s="3" t="s">
        <v>110</v>
      </c>
      <c r="L1383" s="3" t="s">
        <v>34</v>
      </c>
      <c r="M1383" s="8">
        <v>115000</v>
      </c>
      <c r="N1383" s="11"/>
      <c r="O1383" s="3" t="s">
        <v>80</v>
      </c>
      <c r="P1383" s="3" t="s">
        <v>2977</v>
      </c>
    </row>
    <row r="1384" spans="1:16" x14ac:dyDescent="0.3">
      <c r="A1384" s="3" t="s">
        <v>66</v>
      </c>
      <c r="B1384" s="3" t="s">
        <v>2987</v>
      </c>
      <c r="C1384" s="3" t="s">
        <v>1145</v>
      </c>
      <c r="D1384" s="3" t="s">
        <v>53</v>
      </c>
      <c r="E1384" s="3" t="s">
        <v>133</v>
      </c>
      <c r="F1384" s="3" t="b">
        <v>0</v>
      </c>
      <c r="G1384" s="3" t="s">
        <v>58</v>
      </c>
      <c r="H1384" s="6">
        <v>44928.629826388889</v>
      </c>
      <c r="I1384" s="3" t="b">
        <v>0</v>
      </c>
      <c r="J1384" s="3" t="b">
        <v>0</v>
      </c>
      <c r="K1384" s="3" t="s">
        <v>33</v>
      </c>
      <c r="L1384" s="3" t="s">
        <v>48</v>
      </c>
      <c r="M1384" s="8"/>
      <c r="N1384" s="11">
        <v>28.5</v>
      </c>
      <c r="O1384" s="3" t="s">
        <v>2988</v>
      </c>
      <c r="P1384" s="3"/>
    </row>
    <row r="1385" spans="1:16" x14ac:dyDescent="0.3">
      <c r="A1385" s="3" t="s">
        <v>66</v>
      </c>
      <c r="B1385" s="3" t="s">
        <v>66</v>
      </c>
      <c r="C1385" s="3" t="s">
        <v>87</v>
      </c>
      <c r="D1385" s="3" t="s">
        <v>76</v>
      </c>
      <c r="E1385" s="3" t="s">
        <v>31</v>
      </c>
      <c r="F1385" s="3" t="b">
        <v>1</v>
      </c>
      <c r="G1385" s="3" t="s">
        <v>32</v>
      </c>
      <c r="H1385" s="6">
        <v>44941.838414351849</v>
      </c>
      <c r="I1385" s="3" t="b">
        <v>0</v>
      </c>
      <c r="J1385" s="3" t="b">
        <v>1</v>
      </c>
      <c r="K1385" s="3" t="s">
        <v>33</v>
      </c>
      <c r="L1385" s="3" t="s">
        <v>34</v>
      </c>
      <c r="M1385" s="8">
        <v>135000</v>
      </c>
      <c r="N1385" s="11"/>
      <c r="O1385" s="3" t="s">
        <v>2993</v>
      </c>
      <c r="P1385" s="3" t="s">
        <v>2994</v>
      </c>
    </row>
    <row r="1386" spans="1:16" x14ac:dyDescent="0.3">
      <c r="A1386" s="3" t="s">
        <v>66</v>
      </c>
      <c r="B1386" s="3" t="s">
        <v>113</v>
      </c>
      <c r="C1386" s="3" t="s">
        <v>87</v>
      </c>
      <c r="D1386" s="3" t="s">
        <v>307</v>
      </c>
      <c r="E1386" s="3" t="s">
        <v>133</v>
      </c>
      <c r="F1386" s="3" t="b">
        <v>1</v>
      </c>
      <c r="G1386" s="3" t="s">
        <v>58</v>
      </c>
      <c r="H1386" s="6">
        <v>44937.631678240738</v>
      </c>
      <c r="I1386" s="3" t="b">
        <v>1</v>
      </c>
      <c r="J1386" s="3" t="b">
        <v>0</v>
      </c>
      <c r="K1386" s="3" t="s">
        <v>33</v>
      </c>
      <c r="L1386" s="3" t="s">
        <v>48</v>
      </c>
      <c r="M1386" s="8"/>
      <c r="N1386" s="11">
        <v>68.339996337890625</v>
      </c>
      <c r="O1386" s="3" t="s">
        <v>114</v>
      </c>
      <c r="P1386" s="3" t="s">
        <v>2998</v>
      </c>
    </row>
    <row r="1387" spans="1:16" x14ac:dyDescent="0.3">
      <c r="A1387" s="3" t="s">
        <v>66</v>
      </c>
      <c r="B1387" s="3" t="s">
        <v>66</v>
      </c>
      <c r="C1387" s="3" t="s">
        <v>2999</v>
      </c>
      <c r="D1387" s="3" t="s">
        <v>30</v>
      </c>
      <c r="E1387" s="3" t="s">
        <v>31</v>
      </c>
      <c r="F1387" s="3" t="b">
        <v>0</v>
      </c>
      <c r="G1387" s="3" t="s">
        <v>84</v>
      </c>
      <c r="H1387" s="6">
        <v>44929.943842592591</v>
      </c>
      <c r="I1387" s="3" t="b">
        <v>0</v>
      </c>
      <c r="J1387" s="3" t="b">
        <v>0</v>
      </c>
      <c r="K1387" s="3" t="s">
        <v>33</v>
      </c>
      <c r="L1387" s="3" t="s">
        <v>34</v>
      </c>
      <c r="M1387" s="8">
        <v>105000</v>
      </c>
      <c r="N1387" s="11"/>
      <c r="O1387" s="3" t="s">
        <v>3000</v>
      </c>
      <c r="P1387" s="3" t="s">
        <v>3001</v>
      </c>
    </row>
    <row r="1388" spans="1:16" x14ac:dyDescent="0.3">
      <c r="A1388" s="3" t="s">
        <v>66</v>
      </c>
      <c r="B1388" s="3" t="s">
        <v>3012</v>
      </c>
      <c r="C1388" s="3" t="s">
        <v>3013</v>
      </c>
      <c r="D1388" s="3" t="s">
        <v>106</v>
      </c>
      <c r="E1388" s="3" t="s">
        <v>31</v>
      </c>
      <c r="F1388" s="3" t="b">
        <v>0</v>
      </c>
      <c r="G1388" s="3" t="s">
        <v>110</v>
      </c>
      <c r="H1388" s="6">
        <v>44955.614421296297</v>
      </c>
      <c r="I1388" s="3" t="b">
        <v>0</v>
      </c>
      <c r="J1388" s="3" t="b">
        <v>0</v>
      </c>
      <c r="K1388" s="3" t="s">
        <v>110</v>
      </c>
      <c r="L1388" s="3" t="s">
        <v>34</v>
      </c>
      <c r="M1388" s="8">
        <v>177500</v>
      </c>
      <c r="N1388" s="11"/>
      <c r="O1388" s="3" t="s">
        <v>3014</v>
      </c>
      <c r="P1388" s="3" t="s">
        <v>3015</v>
      </c>
    </row>
    <row r="1389" spans="1:16" x14ac:dyDescent="0.3">
      <c r="A1389" s="3" t="s">
        <v>66</v>
      </c>
      <c r="B1389" s="3" t="s">
        <v>66</v>
      </c>
      <c r="C1389" s="3" t="s">
        <v>87</v>
      </c>
      <c r="D1389" s="3" t="s">
        <v>30</v>
      </c>
      <c r="E1389" s="3" t="s">
        <v>31</v>
      </c>
      <c r="F1389" s="3" t="b">
        <v>1</v>
      </c>
      <c r="G1389" s="3" t="s">
        <v>317</v>
      </c>
      <c r="H1389" s="6">
        <v>44938.360960648148</v>
      </c>
      <c r="I1389" s="3" t="b">
        <v>0</v>
      </c>
      <c r="J1389" s="3" t="b">
        <v>0</v>
      </c>
      <c r="K1389" s="3" t="s">
        <v>317</v>
      </c>
      <c r="L1389" s="3" t="s">
        <v>34</v>
      </c>
      <c r="M1389" s="8">
        <v>110000</v>
      </c>
      <c r="N1389" s="11"/>
      <c r="O1389" s="3" t="s">
        <v>3022</v>
      </c>
      <c r="P1389" s="3" t="s">
        <v>3023</v>
      </c>
    </row>
    <row r="1390" spans="1:16" x14ac:dyDescent="0.3">
      <c r="A1390" s="3" t="s">
        <v>66</v>
      </c>
      <c r="B1390" s="3" t="s">
        <v>3046</v>
      </c>
      <c r="C1390" s="3" t="s">
        <v>596</v>
      </c>
      <c r="D1390" s="3" t="s">
        <v>41</v>
      </c>
      <c r="E1390" s="3" t="s">
        <v>31</v>
      </c>
      <c r="F1390" s="3" t="b">
        <v>0</v>
      </c>
      <c r="G1390" s="3" t="s">
        <v>597</v>
      </c>
      <c r="H1390" s="6">
        <v>44951.871377314812</v>
      </c>
      <c r="I1390" s="3" t="b">
        <v>0</v>
      </c>
      <c r="J1390" s="3" t="b">
        <v>0</v>
      </c>
      <c r="K1390" s="3" t="s">
        <v>597</v>
      </c>
      <c r="L1390" s="3" t="s">
        <v>34</v>
      </c>
      <c r="M1390" s="8">
        <v>98283</v>
      </c>
      <c r="N1390" s="11"/>
      <c r="O1390" s="3" t="s">
        <v>1918</v>
      </c>
      <c r="P1390" s="3" t="s">
        <v>3047</v>
      </c>
    </row>
    <row r="1391" spans="1:16" x14ac:dyDescent="0.3">
      <c r="A1391" s="3" t="s">
        <v>66</v>
      </c>
      <c r="B1391" s="3" t="s">
        <v>3056</v>
      </c>
      <c r="C1391" s="3" t="s">
        <v>3057</v>
      </c>
      <c r="D1391" s="3" t="s">
        <v>93</v>
      </c>
      <c r="E1391" s="3" t="s">
        <v>31</v>
      </c>
      <c r="F1391" s="3" t="b">
        <v>0</v>
      </c>
      <c r="G1391" s="3" t="s">
        <v>317</v>
      </c>
      <c r="H1391" s="6">
        <v>44932.31490740741</v>
      </c>
      <c r="I1391" s="3" t="b">
        <v>1</v>
      </c>
      <c r="J1391" s="3" t="b">
        <v>0</v>
      </c>
      <c r="K1391" s="3" t="s">
        <v>317</v>
      </c>
      <c r="L1391" s="3" t="s">
        <v>34</v>
      </c>
      <c r="M1391" s="8">
        <v>90000</v>
      </c>
      <c r="N1391" s="11"/>
      <c r="O1391" s="3" t="s">
        <v>3058</v>
      </c>
      <c r="P1391" s="3" t="s">
        <v>439</v>
      </c>
    </row>
    <row r="1392" spans="1:16" x14ac:dyDescent="0.3">
      <c r="A1392" s="3" t="s">
        <v>66</v>
      </c>
      <c r="B1392" s="3" t="s">
        <v>343</v>
      </c>
      <c r="C1392" s="3" t="s">
        <v>651</v>
      </c>
      <c r="D1392" s="3" t="s">
        <v>41</v>
      </c>
      <c r="E1392" s="3" t="s">
        <v>31</v>
      </c>
      <c r="F1392" s="3" t="b">
        <v>0</v>
      </c>
      <c r="G1392" s="3" t="s">
        <v>651</v>
      </c>
      <c r="H1392" s="6">
        <v>44938.610335648147</v>
      </c>
      <c r="I1392" s="3" t="b">
        <v>1</v>
      </c>
      <c r="J1392" s="3" t="b">
        <v>0</v>
      </c>
      <c r="K1392" s="3" t="s">
        <v>651</v>
      </c>
      <c r="L1392" s="3" t="s">
        <v>34</v>
      </c>
      <c r="M1392" s="8">
        <v>131580</v>
      </c>
      <c r="N1392" s="11"/>
      <c r="O1392" s="3" t="s">
        <v>3059</v>
      </c>
      <c r="P1392" s="3" t="s">
        <v>3060</v>
      </c>
    </row>
    <row r="1393" spans="1:16" x14ac:dyDescent="0.3">
      <c r="A1393" s="3" t="s">
        <v>66</v>
      </c>
      <c r="B1393" s="3" t="s">
        <v>66</v>
      </c>
      <c r="C1393" s="3" t="s">
        <v>3063</v>
      </c>
      <c r="D1393" s="3" t="s">
        <v>237</v>
      </c>
      <c r="E1393" s="3" t="s">
        <v>31</v>
      </c>
      <c r="F1393" s="3" t="b">
        <v>0</v>
      </c>
      <c r="G1393" s="3" t="s">
        <v>64</v>
      </c>
      <c r="H1393" s="6">
        <v>44954.33798611111</v>
      </c>
      <c r="I1393" s="3" t="b">
        <v>0</v>
      </c>
      <c r="J1393" s="3" t="b">
        <v>1</v>
      </c>
      <c r="K1393" s="3" t="s">
        <v>33</v>
      </c>
      <c r="L1393" s="3" t="s">
        <v>34</v>
      </c>
      <c r="M1393" s="8">
        <v>152650</v>
      </c>
      <c r="N1393" s="11"/>
      <c r="O1393" s="3" t="s">
        <v>784</v>
      </c>
      <c r="P1393" s="3" t="s">
        <v>3064</v>
      </c>
    </row>
    <row r="1394" spans="1:16" x14ac:dyDescent="0.3">
      <c r="A1394" s="3" t="s">
        <v>66</v>
      </c>
      <c r="B1394" s="3" t="s">
        <v>66</v>
      </c>
      <c r="C1394" s="3" t="s">
        <v>87</v>
      </c>
      <c r="D1394" s="3" t="s">
        <v>307</v>
      </c>
      <c r="E1394" s="3" t="s">
        <v>31</v>
      </c>
      <c r="F1394" s="3" t="b">
        <v>1</v>
      </c>
      <c r="G1394" s="3" t="s">
        <v>64</v>
      </c>
      <c r="H1394" s="6">
        <v>44954.006203703713</v>
      </c>
      <c r="I1394" s="3" t="b">
        <v>1</v>
      </c>
      <c r="J1394" s="3" t="b">
        <v>1</v>
      </c>
      <c r="K1394" s="3" t="s">
        <v>33</v>
      </c>
      <c r="L1394" s="3" t="s">
        <v>48</v>
      </c>
      <c r="M1394" s="8"/>
      <c r="N1394" s="11">
        <v>45</v>
      </c>
      <c r="O1394" s="3" t="s">
        <v>114</v>
      </c>
      <c r="P1394" s="3" t="s">
        <v>3079</v>
      </c>
    </row>
    <row r="1395" spans="1:16" x14ac:dyDescent="0.3">
      <c r="A1395" s="3" t="s">
        <v>66</v>
      </c>
      <c r="B1395" s="3" t="s">
        <v>66</v>
      </c>
      <c r="C1395" s="3" t="s">
        <v>3097</v>
      </c>
      <c r="D1395" s="3" t="s">
        <v>188</v>
      </c>
      <c r="E1395" s="3" t="s">
        <v>31</v>
      </c>
      <c r="F1395" s="3" t="b">
        <v>0</v>
      </c>
      <c r="G1395" s="3" t="s">
        <v>140</v>
      </c>
      <c r="H1395" s="6">
        <v>44931.750543981478</v>
      </c>
      <c r="I1395" s="3" t="b">
        <v>1</v>
      </c>
      <c r="J1395" s="3" t="b">
        <v>0</v>
      </c>
      <c r="K1395" s="3" t="s">
        <v>33</v>
      </c>
      <c r="L1395" s="3" t="s">
        <v>48</v>
      </c>
      <c r="M1395" s="8"/>
      <c r="N1395" s="11">
        <v>67.5</v>
      </c>
      <c r="O1395" s="3" t="s">
        <v>2774</v>
      </c>
      <c r="P1395" s="3" t="s">
        <v>3098</v>
      </c>
    </row>
    <row r="1396" spans="1:16" x14ac:dyDescent="0.3">
      <c r="A1396" s="3" t="s">
        <v>66</v>
      </c>
      <c r="B1396" s="3" t="s">
        <v>1517</v>
      </c>
      <c r="C1396" s="3" t="s">
        <v>87</v>
      </c>
      <c r="D1396" s="3" t="s">
        <v>1076</v>
      </c>
      <c r="E1396" s="3" t="s">
        <v>31</v>
      </c>
      <c r="F1396" s="3" t="b">
        <v>1</v>
      </c>
      <c r="G1396" s="3" t="s">
        <v>58</v>
      </c>
      <c r="H1396" s="6">
        <v>44940.7971412037</v>
      </c>
      <c r="I1396" s="3" t="b">
        <v>0</v>
      </c>
      <c r="J1396" s="3" t="b">
        <v>1</v>
      </c>
      <c r="K1396" s="3" t="s">
        <v>33</v>
      </c>
      <c r="L1396" s="3" t="s">
        <v>34</v>
      </c>
      <c r="M1396" s="8">
        <v>140000</v>
      </c>
      <c r="N1396" s="11"/>
      <c r="O1396" s="3" t="s">
        <v>1518</v>
      </c>
      <c r="P1396" s="3" t="s">
        <v>1519</v>
      </c>
    </row>
    <row r="1397" spans="1:16" x14ac:dyDescent="0.3">
      <c r="A1397" s="3" t="s">
        <v>66</v>
      </c>
      <c r="B1397" s="3" t="s">
        <v>3111</v>
      </c>
      <c r="C1397" s="3" t="s">
        <v>83</v>
      </c>
      <c r="D1397" s="3" t="s">
        <v>287</v>
      </c>
      <c r="E1397" s="3" t="s">
        <v>31</v>
      </c>
      <c r="F1397" s="3" t="b">
        <v>0</v>
      </c>
      <c r="G1397" s="3" t="s">
        <v>110</v>
      </c>
      <c r="H1397" s="6">
        <v>44940.991284722222</v>
      </c>
      <c r="I1397" s="3" t="b">
        <v>0</v>
      </c>
      <c r="J1397" s="3" t="b">
        <v>0</v>
      </c>
      <c r="K1397" s="3" t="s">
        <v>110</v>
      </c>
      <c r="L1397" s="3" t="s">
        <v>34</v>
      </c>
      <c r="M1397" s="8">
        <v>90000</v>
      </c>
      <c r="N1397" s="11"/>
      <c r="O1397" s="3" t="s">
        <v>3112</v>
      </c>
      <c r="P1397" s="3" t="s">
        <v>3113</v>
      </c>
    </row>
    <row r="1398" spans="1:16" x14ac:dyDescent="0.3">
      <c r="A1398" s="3" t="s">
        <v>66</v>
      </c>
      <c r="B1398" s="3" t="s">
        <v>1762</v>
      </c>
      <c r="C1398" s="3" t="s">
        <v>87</v>
      </c>
      <c r="D1398" s="3" t="s">
        <v>30</v>
      </c>
      <c r="E1398" s="3" t="s">
        <v>133</v>
      </c>
      <c r="F1398" s="3" t="b">
        <v>1</v>
      </c>
      <c r="G1398" s="3" t="s">
        <v>64</v>
      </c>
      <c r="H1398" s="6">
        <v>44939.589085648149</v>
      </c>
      <c r="I1398" s="3" t="b">
        <v>0</v>
      </c>
      <c r="J1398" s="3" t="b">
        <v>0</v>
      </c>
      <c r="K1398" s="3" t="s">
        <v>33</v>
      </c>
      <c r="L1398" s="3" t="s">
        <v>48</v>
      </c>
      <c r="M1398" s="8"/>
      <c r="N1398" s="11">
        <v>72.5</v>
      </c>
      <c r="O1398" s="3" t="s">
        <v>589</v>
      </c>
      <c r="P1398" s="3" t="s">
        <v>328</v>
      </c>
    </row>
    <row r="1399" spans="1:16" x14ac:dyDescent="0.3">
      <c r="A1399" s="3" t="s">
        <v>66</v>
      </c>
      <c r="B1399" s="3" t="s">
        <v>66</v>
      </c>
      <c r="C1399" s="3" t="s">
        <v>87</v>
      </c>
      <c r="D1399" s="3" t="s">
        <v>30</v>
      </c>
      <c r="E1399" s="3" t="s">
        <v>133</v>
      </c>
      <c r="F1399" s="3" t="b">
        <v>1</v>
      </c>
      <c r="G1399" s="3" t="s">
        <v>140</v>
      </c>
      <c r="H1399" s="6">
        <v>44938.723078703697</v>
      </c>
      <c r="I1399" s="3" t="b">
        <v>1</v>
      </c>
      <c r="J1399" s="3" t="b">
        <v>0</v>
      </c>
      <c r="K1399" s="3" t="s">
        <v>33</v>
      </c>
      <c r="L1399" s="3" t="s">
        <v>48</v>
      </c>
      <c r="M1399" s="8"/>
      <c r="N1399" s="11">
        <v>76.5</v>
      </c>
      <c r="O1399" s="3" t="s">
        <v>502</v>
      </c>
      <c r="P1399" s="3" t="s">
        <v>3141</v>
      </c>
    </row>
    <row r="1400" spans="1:16" x14ac:dyDescent="0.3">
      <c r="A1400" s="3" t="s">
        <v>66</v>
      </c>
      <c r="B1400" s="3" t="s">
        <v>66</v>
      </c>
      <c r="C1400" s="3" t="s">
        <v>3142</v>
      </c>
      <c r="D1400" s="3" t="s">
        <v>93</v>
      </c>
      <c r="E1400" s="3" t="s">
        <v>31</v>
      </c>
      <c r="F1400" s="3" t="b">
        <v>0</v>
      </c>
      <c r="G1400" s="3" t="s">
        <v>140</v>
      </c>
      <c r="H1400" s="6">
        <v>44931.458877314813</v>
      </c>
      <c r="I1400" s="3" t="b">
        <v>0</v>
      </c>
      <c r="J1400" s="3" t="b">
        <v>1</v>
      </c>
      <c r="K1400" s="3" t="s">
        <v>33</v>
      </c>
      <c r="L1400" s="3" t="s">
        <v>34</v>
      </c>
      <c r="M1400" s="8">
        <v>125000</v>
      </c>
      <c r="N1400" s="11"/>
      <c r="O1400" s="3" t="s">
        <v>3143</v>
      </c>
      <c r="P1400" s="3" t="s">
        <v>3144</v>
      </c>
    </row>
    <row r="1401" spans="1:16" x14ac:dyDescent="0.3">
      <c r="A1401" s="3" t="s">
        <v>66</v>
      </c>
      <c r="B1401" s="3" t="s">
        <v>66</v>
      </c>
      <c r="C1401" s="3" t="s">
        <v>3145</v>
      </c>
      <c r="D1401" s="3" t="s">
        <v>41</v>
      </c>
      <c r="E1401" s="3" t="s">
        <v>31</v>
      </c>
      <c r="F1401" s="3" t="b">
        <v>0</v>
      </c>
      <c r="G1401" s="3" t="s">
        <v>3146</v>
      </c>
      <c r="H1401" s="6">
        <v>44928.785416666673</v>
      </c>
      <c r="I1401" s="3" t="b">
        <v>0</v>
      </c>
      <c r="J1401" s="3" t="b">
        <v>0</v>
      </c>
      <c r="K1401" s="3" t="s">
        <v>3146</v>
      </c>
      <c r="L1401" s="3" t="s">
        <v>34</v>
      </c>
      <c r="M1401" s="8">
        <v>96760.5</v>
      </c>
      <c r="N1401" s="11"/>
      <c r="O1401" s="3" t="s">
        <v>3147</v>
      </c>
      <c r="P1401" s="3" t="s">
        <v>3148</v>
      </c>
    </row>
    <row r="1402" spans="1:16" x14ac:dyDescent="0.3">
      <c r="A1402" s="3" t="s">
        <v>66</v>
      </c>
      <c r="B1402" s="3" t="s">
        <v>3149</v>
      </c>
      <c r="C1402" s="3" t="s">
        <v>87</v>
      </c>
      <c r="D1402" s="3" t="s">
        <v>188</v>
      </c>
      <c r="E1402" s="3" t="s">
        <v>133</v>
      </c>
      <c r="F1402" s="3" t="b">
        <v>1</v>
      </c>
      <c r="G1402" s="3" t="s">
        <v>84</v>
      </c>
      <c r="H1402" s="6">
        <v>44931.729270833333</v>
      </c>
      <c r="I1402" s="3" t="b">
        <v>1</v>
      </c>
      <c r="J1402" s="3" t="b">
        <v>0</v>
      </c>
      <c r="K1402" s="3" t="s">
        <v>33</v>
      </c>
      <c r="L1402" s="3" t="s">
        <v>48</v>
      </c>
      <c r="M1402" s="8"/>
      <c r="N1402" s="11">
        <v>70.220001220703125</v>
      </c>
      <c r="O1402" s="3" t="s">
        <v>3150</v>
      </c>
      <c r="P1402" s="3" t="s">
        <v>3151</v>
      </c>
    </row>
    <row r="1403" spans="1:16" x14ac:dyDescent="0.3">
      <c r="A1403" s="3" t="s">
        <v>66</v>
      </c>
      <c r="B1403" s="3" t="s">
        <v>143</v>
      </c>
      <c r="C1403" s="3" t="s">
        <v>3159</v>
      </c>
      <c r="D1403" s="3" t="s">
        <v>93</v>
      </c>
      <c r="E1403" s="3" t="s">
        <v>31</v>
      </c>
      <c r="F1403" s="3" t="b">
        <v>0</v>
      </c>
      <c r="G1403" s="3" t="s">
        <v>317</v>
      </c>
      <c r="H1403" s="6">
        <v>44949.385555555556</v>
      </c>
      <c r="I1403" s="3" t="b">
        <v>0</v>
      </c>
      <c r="J1403" s="3" t="b">
        <v>0</v>
      </c>
      <c r="K1403" s="3" t="s">
        <v>317</v>
      </c>
      <c r="L1403" s="3" t="s">
        <v>34</v>
      </c>
      <c r="M1403" s="8">
        <v>90000</v>
      </c>
      <c r="N1403" s="11"/>
      <c r="O1403" s="3" t="s">
        <v>1484</v>
      </c>
      <c r="P1403" s="3" t="s">
        <v>3160</v>
      </c>
    </row>
    <row r="1404" spans="1:16" x14ac:dyDescent="0.3">
      <c r="A1404" s="3" t="s">
        <v>66</v>
      </c>
      <c r="B1404" s="3" t="s">
        <v>66</v>
      </c>
      <c r="C1404" s="3" t="s">
        <v>87</v>
      </c>
      <c r="D1404" s="3" t="s">
        <v>30</v>
      </c>
      <c r="E1404" s="3" t="s">
        <v>133</v>
      </c>
      <c r="F1404" s="3" t="b">
        <v>1</v>
      </c>
      <c r="G1404" s="3" t="s">
        <v>58</v>
      </c>
      <c r="H1404" s="6">
        <v>44945.007094907407</v>
      </c>
      <c r="I1404" s="3" t="b">
        <v>0</v>
      </c>
      <c r="J1404" s="3" t="b">
        <v>0</v>
      </c>
      <c r="K1404" s="3" t="s">
        <v>33</v>
      </c>
      <c r="L1404" s="3" t="s">
        <v>48</v>
      </c>
      <c r="M1404" s="8"/>
      <c r="N1404" s="11">
        <v>65</v>
      </c>
      <c r="O1404" s="3" t="s">
        <v>3166</v>
      </c>
      <c r="P1404" s="3" t="s">
        <v>3167</v>
      </c>
    </row>
    <row r="1405" spans="1:16" x14ac:dyDescent="0.3">
      <c r="A1405" s="3" t="s">
        <v>66</v>
      </c>
      <c r="B1405" s="3" t="s">
        <v>3172</v>
      </c>
      <c r="C1405" s="3" t="s">
        <v>3057</v>
      </c>
      <c r="D1405" s="3" t="s">
        <v>93</v>
      </c>
      <c r="E1405" s="3" t="s">
        <v>31</v>
      </c>
      <c r="F1405" s="3" t="b">
        <v>0</v>
      </c>
      <c r="G1405" s="3" t="s">
        <v>317</v>
      </c>
      <c r="H1405" s="6">
        <v>44943.288460648153</v>
      </c>
      <c r="I1405" s="3" t="b">
        <v>0</v>
      </c>
      <c r="J1405" s="3" t="b">
        <v>0</v>
      </c>
      <c r="K1405" s="3" t="s">
        <v>317</v>
      </c>
      <c r="L1405" s="3" t="s">
        <v>34</v>
      </c>
      <c r="M1405" s="8">
        <v>125000</v>
      </c>
      <c r="N1405" s="11"/>
      <c r="O1405" s="3" t="s">
        <v>3173</v>
      </c>
      <c r="P1405" s="3" t="s">
        <v>3174</v>
      </c>
    </row>
    <row r="1406" spans="1:16" x14ac:dyDescent="0.3">
      <c r="A1406" s="3" t="s">
        <v>66</v>
      </c>
      <c r="B1406" s="3" t="s">
        <v>1091</v>
      </c>
      <c r="C1406" s="3" t="s">
        <v>3181</v>
      </c>
      <c r="D1406" s="3" t="s">
        <v>1419</v>
      </c>
      <c r="E1406" s="3" t="s">
        <v>31</v>
      </c>
      <c r="F1406" s="3" t="b">
        <v>0</v>
      </c>
      <c r="G1406" s="3" t="s">
        <v>140</v>
      </c>
      <c r="H1406" s="6">
        <v>44954.429305555554</v>
      </c>
      <c r="I1406" s="3" t="b">
        <v>0</v>
      </c>
      <c r="J1406" s="3" t="b">
        <v>1</v>
      </c>
      <c r="K1406" s="3" t="s">
        <v>33</v>
      </c>
      <c r="L1406" s="3" t="s">
        <v>34</v>
      </c>
      <c r="M1406" s="8">
        <v>208114</v>
      </c>
      <c r="N1406" s="11"/>
      <c r="O1406" s="3" t="s">
        <v>238</v>
      </c>
      <c r="P1406" s="3" t="s">
        <v>239</v>
      </c>
    </row>
    <row r="1407" spans="1:16" x14ac:dyDescent="0.3">
      <c r="A1407" s="3" t="s">
        <v>66</v>
      </c>
      <c r="B1407" s="3" t="s">
        <v>66</v>
      </c>
      <c r="C1407" s="3" t="s">
        <v>164</v>
      </c>
      <c r="D1407" s="3" t="s">
        <v>188</v>
      </c>
      <c r="E1407" s="3" t="s">
        <v>31</v>
      </c>
      <c r="F1407" s="3" t="b">
        <v>0</v>
      </c>
      <c r="G1407" s="3" t="s">
        <v>88</v>
      </c>
      <c r="H1407" s="6">
        <v>44930.689062500001</v>
      </c>
      <c r="I1407" s="3" t="b">
        <v>1</v>
      </c>
      <c r="J1407" s="3" t="b">
        <v>0</v>
      </c>
      <c r="K1407" s="3" t="s">
        <v>33</v>
      </c>
      <c r="L1407" s="3" t="s">
        <v>34</v>
      </c>
      <c r="M1407" s="8">
        <v>150000</v>
      </c>
      <c r="N1407" s="11"/>
      <c r="O1407" s="3" t="s">
        <v>3194</v>
      </c>
      <c r="P1407" s="3"/>
    </row>
    <row r="1408" spans="1:16" x14ac:dyDescent="0.3">
      <c r="A1408" s="3" t="s">
        <v>66</v>
      </c>
      <c r="B1408" s="3" t="s">
        <v>66</v>
      </c>
      <c r="C1408" s="3" t="s">
        <v>3202</v>
      </c>
      <c r="D1408" s="3" t="s">
        <v>3203</v>
      </c>
      <c r="E1408" s="3" t="s">
        <v>31</v>
      </c>
      <c r="F1408" s="3" t="b">
        <v>0</v>
      </c>
      <c r="G1408" s="3" t="s">
        <v>1171</v>
      </c>
      <c r="H1408" s="6">
        <v>44929.993807870371</v>
      </c>
      <c r="I1408" s="3" t="b">
        <v>1</v>
      </c>
      <c r="J1408" s="3" t="b">
        <v>0</v>
      </c>
      <c r="K1408" s="3" t="s">
        <v>1171</v>
      </c>
      <c r="L1408" s="3" t="s">
        <v>48</v>
      </c>
      <c r="M1408" s="8"/>
      <c r="N1408" s="11">
        <v>20</v>
      </c>
      <c r="O1408" s="3" t="s">
        <v>3204</v>
      </c>
      <c r="P1408" s="3" t="s">
        <v>3205</v>
      </c>
    </row>
    <row r="1409" spans="1:16" x14ac:dyDescent="0.3">
      <c r="A1409" s="3" t="s">
        <v>66</v>
      </c>
      <c r="B1409" s="3" t="s">
        <v>3211</v>
      </c>
      <c r="C1409" s="3" t="s">
        <v>3212</v>
      </c>
      <c r="D1409" s="3" t="s">
        <v>41</v>
      </c>
      <c r="E1409" s="3" t="s">
        <v>31</v>
      </c>
      <c r="F1409" s="3" t="b">
        <v>0</v>
      </c>
      <c r="G1409" s="3" t="s">
        <v>69</v>
      </c>
      <c r="H1409" s="6">
        <v>44953.05841435185</v>
      </c>
      <c r="I1409" s="3" t="b">
        <v>0</v>
      </c>
      <c r="J1409" s="3" t="b">
        <v>0</v>
      </c>
      <c r="K1409" s="3" t="s">
        <v>69</v>
      </c>
      <c r="L1409" s="3" t="s">
        <v>34</v>
      </c>
      <c r="M1409" s="8">
        <v>98283</v>
      </c>
      <c r="N1409" s="11"/>
      <c r="O1409" s="3" t="s">
        <v>3213</v>
      </c>
      <c r="P1409" s="3" t="s">
        <v>3214</v>
      </c>
    </row>
    <row r="1410" spans="1:16" x14ac:dyDescent="0.3">
      <c r="A1410" s="3" t="s">
        <v>66</v>
      </c>
      <c r="B1410" s="3" t="s">
        <v>3232</v>
      </c>
      <c r="C1410" s="3" t="s">
        <v>87</v>
      </c>
      <c r="D1410" s="3" t="s">
        <v>830</v>
      </c>
      <c r="E1410" s="3" t="s">
        <v>31</v>
      </c>
      <c r="F1410" s="3" t="b">
        <v>1</v>
      </c>
      <c r="G1410" s="3" t="s">
        <v>3233</v>
      </c>
      <c r="H1410" s="6">
        <v>44935.761736111112</v>
      </c>
      <c r="I1410" s="3" t="b">
        <v>0</v>
      </c>
      <c r="J1410" s="3" t="b">
        <v>0</v>
      </c>
      <c r="K1410" s="3" t="s">
        <v>3233</v>
      </c>
      <c r="L1410" s="3" t="s">
        <v>34</v>
      </c>
      <c r="M1410" s="8">
        <v>235000</v>
      </c>
      <c r="N1410" s="11"/>
      <c r="O1410" s="3" t="s">
        <v>3234</v>
      </c>
      <c r="P1410" s="3" t="s">
        <v>3235</v>
      </c>
    </row>
    <row r="1411" spans="1:16" x14ac:dyDescent="0.3">
      <c r="A1411" s="3" t="s">
        <v>66</v>
      </c>
      <c r="B1411" s="3" t="s">
        <v>3241</v>
      </c>
      <c r="C1411" s="3" t="s">
        <v>3057</v>
      </c>
      <c r="D1411" s="3" t="s">
        <v>93</v>
      </c>
      <c r="E1411" s="3" t="s">
        <v>31</v>
      </c>
      <c r="F1411" s="3" t="b">
        <v>0</v>
      </c>
      <c r="G1411" s="3" t="s">
        <v>317</v>
      </c>
      <c r="H1411" s="6">
        <v>44957.510034722232</v>
      </c>
      <c r="I1411" s="3" t="b">
        <v>0</v>
      </c>
      <c r="J1411" s="3" t="b">
        <v>0</v>
      </c>
      <c r="K1411" s="3" t="s">
        <v>317</v>
      </c>
      <c r="L1411" s="3" t="s">
        <v>34</v>
      </c>
      <c r="M1411" s="8">
        <v>90000</v>
      </c>
      <c r="N1411" s="11"/>
      <c r="O1411" s="3" t="s">
        <v>3242</v>
      </c>
      <c r="P1411" s="3" t="s">
        <v>3243</v>
      </c>
    </row>
    <row r="1412" spans="1:16" x14ac:dyDescent="0.3">
      <c r="A1412" s="3" t="s">
        <v>66</v>
      </c>
      <c r="B1412" s="3" t="s">
        <v>3244</v>
      </c>
      <c r="C1412" s="3" t="s">
        <v>3245</v>
      </c>
      <c r="D1412" s="3" t="s">
        <v>93</v>
      </c>
      <c r="E1412" s="3" t="s">
        <v>31</v>
      </c>
      <c r="F1412" s="3" t="b">
        <v>0</v>
      </c>
      <c r="G1412" s="3" t="s">
        <v>88</v>
      </c>
      <c r="H1412" s="6">
        <v>44944.38045138889</v>
      </c>
      <c r="I1412" s="3" t="b">
        <v>0</v>
      </c>
      <c r="J1412" s="3" t="b">
        <v>1</v>
      </c>
      <c r="K1412" s="3" t="s">
        <v>33</v>
      </c>
      <c r="L1412" s="3" t="s">
        <v>34</v>
      </c>
      <c r="M1412" s="8">
        <v>125000</v>
      </c>
      <c r="N1412" s="11"/>
      <c r="O1412" s="3" t="s">
        <v>3246</v>
      </c>
      <c r="P1412" s="3" t="s">
        <v>3247</v>
      </c>
    </row>
    <row r="1413" spans="1:16" x14ac:dyDescent="0.3">
      <c r="A1413" s="3" t="s">
        <v>66</v>
      </c>
      <c r="B1413" s="3" t="s">
        <v>3277</v>
      </c>
      <c r="C1413" s="3" t="s">
        <v>109</v>
      </c>
      <c r="D1413" s="3" t="s">
        <v>93</v>
      </c>
      <c r="E1413" s="3" t="s">
        <v>31</v>
      </c>
      <c r="F1413" s="3" t="b">
        <v>0</v>
      </c>
      <c r="G1413" s="3" t="s">
        <v>140</v>
      </c>
      <c r="H1413" s="6">
        <v>44940.4065162037</v>
      </c>
      <c r="I1413" s="3" t="b">
        <v>0</v>
      </c>
      <c r="J1413" s="3" t="b">
        <v>1</v>
      </c>
      <c r="K1413" s="3" t="s">
        <v>33</v>
      </c>
      <c r="L1413" s="3" t="s">
        <v>34</v>
      </c>
      <c r="M1413" s="8">
        <v>115000</v>
      </c>
      <c r="N1413" s="11"/>
      <c r="O1413" s="3" t="s">
        <v>351</v>
      </c>
      <c r="P1413" s="3" t="s">
        <v>3278</v>
      </c>
    </row>
    <row r="1414" spans="1:16" x14ac:dyDescent="0.3">
      <c r="A1414" s="3" t="s">
        <v>66</v>
      </c>
      <c r="B1414" s="3" t="s">
        <v>66</v>
      </c>
      <c r="C1414" s="3" t="s">
        <v>3286</v>
      </c>
      <c r="D1414" s="3" t="s">
        <v>41</v>
      </c>
      <c r="E1414" s="3" t="s">
        <v>31</v>
      </c>
      <c r="F1414" s="3" t="b">
        <v>0</v>
      </c>
      <c r="G1414" s="3" t="s">
        <v>3287</v>
      </c>
      <c r="H1414" s="6">
        <v>44957.478865740741</v>
      </c>
      <c r="I1414" s="3" t="b">
        <v>0</v>
      </c>
      <c r="J1414" s="3" t="b">
        <v>0</v>
      </c>
      <c r="K1414" s="3" t="s">
        <v>3287</v>
      </c>
      <c r="L1414" s="3" t="s">
        <v>34</v>
      </c>
      <c r="M1414" s="8">
        <v>147500</v>
      </c>
      <c r="N1414" s="11"/>
      <c r="O1414" s="3" t="s">
        <v>3288</v>
      </c>
      <c r="P1414" s="3" t="s">
        <v>3289</v>
      </c>
    </row>
    <row r="1415" spans="1:16" x14ac:dyDescent="0.3">
      <c r="A1415" s="3" t="s">
        <v>66</v>
      </c>
      <c r="B1415" s="3" t="s">
        <v>66</v>
      </c>
      <c r="C1415" s="3" t="s">
        <v>3145</v>
      </c>
      <c r="D1415" s="3" t="s">
        <v>41</v>
      </c>
      <c r="E1415" s="3" t="s">
        <v>31</v>
      </c>
      <c r="F1415" s="3" t="b">
        <v>0</v>
      </c>
      <c r="G1415" s="3" t="s">
        <v>3146</v>
      </c>
      <c r="H1415" s="6">
        <v>44954.017083333332</v>
      </c>
      <c r="I1415" s="3" t="b">
        <v>0</v>
      </c>
      <c r="J1415" s="3" t="b">
        <v>0</v>
      </c>
      <c r="K1415" s="3" t="s">
        <v>3146</v>
      </c>
      <c r="L1415" s="3" t="s">
        <v>34</v>
      </c>
      <c r="M1415" s="8">
        <v>133000</v>
      </c>
      <c r="N1415" s="11"/>
      <c r="O1415" s="3" t="s">
        <v>3293</v>
      </c>
      <c r="P1415" s="3" t="s">
        <v>1960</v>
      </c>
    </row>
    <row r="1416" spans="1:16" x14ac:dyDescent="0.3">
      <c r="A1416" s="3" t="s">
        <v>66</v>
      </c>
      <c r="B1416" s="3" t="s">
        <v>66</v>
      </c>
      <c r="C1416" s="3" t="s">
        <v>2502</v>
      </c>
      <c r="D1416" s="3" t="s">
        <v>30</v>
      </c>
      <c r="E1416" s="3" t="s">
        <v>31</v>
      </c>
      <c r="F1416" s="3" t="b">
        <v>0</v>
      </c>
      <c r="G1416" s="3" t="s">
        <v>140</v>
      </c>
      <c r="H1416" s="6">
        <v>44943.783773148149</v>
      </c>
      <c r="I1416" s="3" t="b">
        <v>0</v>
      </c>
      <c r="J1416" s="3" t="b">
        <v>0</v>
      </c>
      <c r="K1416" s="3" t="s">
        <v>33</v>
      </c>
      <c r="L1416" s="3" t="s">
        <v>48</v>
      </c>
      <c r="M1416" s="8"/>
      <c r="N1416" s="11">
        <v>59.5</v>
      </c>
      <c r="O1416" s="3" t="s">
        <v>589</v>
      </c>
      <c r="P1416" s="3" t="s">
        <v>3314</v>
      </c>
    </row>
    <row r="1417" spans="1:16" x14ac:dyDescent="0.3">
      <c r="A1417" s="3" t="s">
        <v>66</v>
      </c>
      <c r="B1417" s="3" t="s">
        <v>3342</v>
      </c>
      <c r="C1417" s="3" t="s">
        <v>417</v>
      </c>
      <c r="D1417" s="3" t="s">
        <v>76</v>
      </c>
      <c r="E1417" s="3" t="s">
        <v>133</v>
      </c>
      <c r="F1417" s="3" t="b">
        <v>0</v>
      </c>
      <c r="G1417" s="3" t="s">
        <v>58</v>
      </c>
      <c r="H1417" s="6">
        <v>44949.755532407413</v>
      </c>
      <c r="I1417" s="3" t="b">
        <v>1</v>
      </c>
      <c r="J1417" s="3" t="b">
        <v>0</v>
      </c>
      <c r="K1417" s="3" t="s">
        <v>33</v>
      </c>
      <c r="L1417" s="3" t="s">
        <v>48</v>
      </c>
      <c r="M1417" s="8"/>
      <c r="N1417" s="11">
        <v>56</v>
      </c>
      <c r="O1417" s="3" t="s">
        <v>3343</v>
      </c>
      <c r="P1417" s="3" t="s">
        <v>374</v>
      </c>
    </row>
    <row r="1418" spans="1:16" x14ac:dyDescent="0.3">
      <c r="A1418" s="3" t="s">
        <v>66</v>
      </c>
      <c r="B1418" s="3" t="s">
        <v>611</v>
      </c>
      <c r="C1418" s="3" t="s">
        <v>3057</v>
      </c>
      <c r="D1418" s="3" t="s">
        <v>41</v>
      </c>
      <c r="E1418" s="3" t="s">
        <v>31</v>
      </c>
      <c r="F1418" s="3" t="b">
        <v>0</v>
      </c>
      <c r="G1418" s="3" t="s">
        <v>317</v>
      </c>
      <c r="H1418" s="6">
        <v>44951.328240740739</v>
      </c>
      <c r="I1418" s="3" t="b">
        <v>0</v>
      </c>
      <c r="J1418" s="3" t="b">
        <v>0</v>
      </c>
      <c r="K1418" s="3" t="s">
        <v>317</v>
      </c>
      <c r="L1418" s="3" t="s">
        <v>34</v>
      </c>
      <c r="M1418" s="8">
        <v>99150</v>
      </c>
      <c r="N1418" s="11"/>
      <c r="O1418" s="3" t="s">
        <v>3354</v>
      </c>
      <c r="P1418" s="3" t="s">
        <v>3355</v>
      </c>
    </row>
    <row r="1419" spans="1:16" x14ac:dyDescent="0.3">
      <c r="A1419" s="3" t="s">
        <v>66</v>
      </c>
      <c r="B1419" s="3" t="s">
        <v>143</v>
      </c>
      <c r="C1419" s="3" t="s">
        <v>2451</v>
      </c>
      <c r="D1419" s="3" t="s">
        <v>93</v>
      </c>
      <c r="E1419" s="3" t="s">
        <v>31</v>
      </c>
      <c r="F1419" s="3" t="b">
        <v>0</v>
      </c>
      <c r="G1419" s="3" t="s">
        <v>84</v>
      </c>
      <c r="H1419" s="6">
        <v>44934.254548611112</v>
      </c>
      <c r="I1419" s="3" t="b">
        <v>0</v>
      </c>
      <c r="J1419" s="3" t="b">
        <v>1</v>
      </c>
      <c r="K1419" s="3" t="s">
        <v>33</v>
      </c>
      <c r="L1419" s="3" t="s">
        <v>34</v>
      </c>
      <c r="M1419" s="8">
        <v>150000</v>
      </c>
      <c r="N1419" s="11"/>
      <c r="O1419" s="3" t="s">
        <v>3042</v>
      </c>
      <c r="P1419" s="3" t="s">
        <v>3360</v>
      </c>
    </row>
    <row r="1420" spans="1:16" x14ac:dyDescent="0.3">
      <c r="A1420" s="3" t="s">
        <v>66</v>
      </c>
      <c r="B1420" s="3" t="s">
        <v>3413</v>
      </c>
      <c r="C1420" s="3" t="s">
        <v>40</v>
      </c>
      <c r="D1420" s="3" t="s">
        <v>41</v>
      </c>
      <c r="E1420" s="3" t="s">
        <v>31</v>
      </c>
      <c r="F1420" s="3" t="b">
        <v>0</v>
      </c>
      <c r="G1420" s="3" t="s">
        <v>42</v>
      </c>
      <c r="H1420" s="6">
        <v>44928.81454861111</v>
      </c>
      <c r="I1420" s="3" t="b">
        <v>0</v>
      </c>
      <c r="J1420" s="3" t="b">
        <v>0</v>
      </c>
      <c r="K1420" s="3" t="s">
        <v>42</v>
      </c>
      <c r="L1420" s="3" t="s">
        <v>34</v>
      </c>
      <c r="M1420" s="8">
        <v>98301.5</v>
      </c>
      <c r="N1420" s="11"/>
      <c r="O1420" s="3" t="s">
        <v>3414</v>
      </c>
      <c r="P1420" s="3" t="s">
        <v>3415</v>
      </c>
    </row>
    <row r="1421" spans="1:16" x14ac:dyDescent="0.3">
      <c r="A1421" s="3" t="s">
        <v>66</v>
      </c>
      <c r="B1421" s="3" t="s">
        <v>66</v>
      </c>
      <c r="C1421" s="3" t="s">
        <v>447</v>
      </c>
      <c r="D1421" s="3" t="s">
        <v>41</v>
      </c>
      <c r="E1421" s="3" t="s">
        <v>31</v>
      </c>
      <c r="F1421" s="3" t="b">
        <v>0</v>
      </c>
      <c r="G1421" s="3" t="s">
        <v>32</v>
      </c>
      <c r="H1421" s="6">
        <v>44952.086076388892</v>
      </c>
      <c r="I1421" s="3" t="b">
        <v>0</v>
      </c>
      <c r="J1421" s="3" t="b">
        <v>0</v>
      </c>
      <c r="K1421" s="3" t="s">
        <v>33</v>
      </c>
      <c r="L1421" s="3" t="s">
        <v>34</v>
      </c>
      <c r="M1421" s="8">
        <v>147500</v>
      </c>
      <c r="N1421" s="11"/>
      <c r="O1421" s="3" t="s">
        <v>3419</v>
      </c>
      <c r="P1421" s="3" t="s">
        <v>3420</v>
      </c>
    </row>
    <row r="1422" spans="1:16" x14ac:dyDescent="0.3">
      <c r="A1422" s="3" t="s">
        <v>66</v>
      </c>
      <c r="B1422" s="3" t="s">
        <v>3433</v>
      </c>
      <c r="C1422" s="3" t="s">
        <v>3434</v>
      </c>
      <c r="D1422" s="3" t="s">
        <v>30</v>
      </c>
      <c r="E1422" s="3" t="s">
        <v>31</v>
      </c>
      <c r="F1422" s="3" t="b">
        <v>0</v>
      </c>
      <c r="G1422" s="3" t="s">
        <v>64</v>
      </c>
      <c r="H1422" s="6">
        <v>44938.54215277778</v>
      </c>
      <c r="I1422" s="3" t="b">
        <v>0</v>
      </c>
      <c r="J1422" s="3" t="b">
        <v>0</v>
      </c>
      <c r="K1422" s="3" t="s">
        <v>33</v>
      </c>
      <c r="L1422" s="3" t="s">
        <v>48</v>
      </c>
      <c r="M1422" s="8"/>
      <c r="N1422" s="11">
        <v>15</v>
      </c>
      <c r="O1422" s="3" t="s">
        <v>3435</v>
      </c>
      <c r="P1422" s="3" t="s">
        <v>3436</v>
      </c>
    </row>
    <row r="1423" spans="1:16" x14ac:dyDescent="0.3">
      <c r="A1423" s="3" t="s">
        <v>66</v>
      </c>
      <c r="B1423" s="3" t="s">
        <v>3460</v>
      </c>
      <c r="C1423" s="3" t="s">
        <v>797</v>
      </c>
      <c r="D1423" s="3" t="s">
        <v>41</v>
      </c>
      <c r="E1423" s="3" t="s">
        <v>31</v>
      </c>
      <c r="F1423" s="3" t="b">
        <v>0</v>
      </c>
      <c r="G1423" s="3" t="s">
        <v>797</v>
      </c>
      <c r="H1423" s="6">
        <v>44932.27484953704</v>
      </c>
      <c r="I1423" s="3" t="b">
        <v>0</v>
      </c>
      <c r="J1423" s="3" t="b">
        <v>0</v>
      </c>
      <c r="K1423" s="3" t="s">
        <v>797</v>
      </c>
      <c r="L1423" s="3" t="s">
        <v>34</v>
      </c>
      <c r="M1423" s="8">
        <v>147500</v>
      </c>
      <c r="N1423" s="11"/>
      <c r="O1423" s="3" t="s">
        <v>3461</v>
      </c>
      <c r="P1423" s="3" t="s">
        <v>3462</v>
      </c>
    </row>
    <row r="1424" spans="1:16" x14ac:dyDescent="0.3">
      <c r="A1424" s="3" t="s">
        <v>66</v>
      </c>
      <c r="B1424" s="3" t="s">
        <v>3463</v>
      </c>
      <c r="C1424" s="3" t="s">
        <v>3464</v>
      </c>
      <c r="D1424" s="3" t="s">
        <v>41</v>
      </c>
      <c r="E1424" s="3" t="s">
        <v>31</v>
      </c>
      <c r="F1424" s="3" t="b">
        <v>0</v>
      </c>
      <c r="G1424" s="3" t="s">
        <v>797</v>
      </c>
      <c r="H1424" s="6">
        <v>44943.889120370368</v>
      </c>
      <c r="I1424" s="3" t="b">
        <v>0</v>
      </c>
      <c r="J1424" s="3" t="b">
        <v>0</v>
      </c>
      <c r="K1424" s="3" t="s">
        <v>797</v>
      </c>
      <c r="L1424" s="3" t="s">
        <v>34</v>
      </c>
      <c r="M1424" s="8">
        <v>133000</v>
      </c>
      <c r="N1424" s="11"/>
      <c r="O1424" s="3" t="s">
        <v>3461</v>
      </c>
      <c r="P1424" s="3" t="s">
        <v>3465</v>
      </c>
    </row>
    <row r="1425" spans="1:16" x14ac:dyDescent="0.3">
      <c r="A1425" s="3" t="s">
        <v>66</v>
      </c>
      <c r="B1425" s="3" t="s">
        <v>3491</v>
      </c>
      <c r="C1425" s="3" t="s">
        <v>3492</v>
      </c>
      <c r="D1425" s="3" t="s">
        <v>93</v>
      </c>
      <c r="E1425" s="3" t="s">
        <v>31</v>
      </c>
      <c r="F1425" s="3" t="b">
        <v>0</v>
      </c>
      <c r="G1425" s="3" t="s">
        <v>84</v>
      </c>
      <c r="H1425" s="6">
        <v>44956.298067129632</v>
      </c>
      <c r="I1425" s="3" t="b">
        <v>0</v>
      </c>
      <c r="J1425" s="3" t="b">
        <v>1</v>
      </c>
      <c r="K1425" s="3" t="s">
        <v>33</v>
      </c>
      <c r="L1425" s="3" t="s">
        <v>34</v>
      </c>
      <c r="M1425" s="8">
        <v>115000</v>
      </c>
      <c r="N1425" s="11"/>
      <c r="O1425" s="3" t="s">
        <v>3493</v>
      </c>
      <c r="P1425" s="3" t="s">
        <v>3494</v>
      </c>
    </row>
    <row r="1426" spans="1:16" x14ac:dyDescent="0.3">
      <c r="A1426" s="3" t="s">
        <v>66</v>
      </c>
      <c r="B1426" s="3" t="s">
        <v>3553</v>
      </c>
      <c r="C1426" s="3" t="s">
        <v>3554</v>
      </c>
      <c r="D1426" s="3" t="s">
        <v>93</v>
      </c>
      <c r="E1426" s="3" t="s">
        <v>31</v>
      </c>
      <c r="F1426" s="3" t="b">
        <v>0</v>
      </c>
      <c r="G1426" s="3" t="s">
        <v>84</v>
      </c>
      <c r="H1426" s="6">
        <v>44950.087083333332</v>
      </c>
      <c r="I1426" s="3" t="b">
        <v>0</v>
      </c>
      <c r="J1426" s="3" t="b">
        <v>0</v>
      </c>
      <c r="K1426" s="3" t="s">
        <v>33</v>
      </c>
      <c r="L1426" s="3" t="s">
        <v>34</v>
      </c>
      <c r="M1426" s="8">
        <v>90000</v>
      </c>
      <c r="N1426" s="11"/>
      <c r="O1426" s="3" t="s">
        <v>3555</v>
      </c>
      <c r="P1426" s="3" t="s">
        <v>3556</v>
      </c>
    </row>
    <row r="1427" spans="1:16" x14ac:dyDescent="0.3">
      <c r="A1427" s="3" t="s">
        <v>66</v>
      </c>
      <c r="B1427" s="3" t="s">
        <v>66</v>
      </c>
      <c r="C1427" s="3" t="s">
        <v>3057</v>
      </c>
      <c r="D1427" s="3" t="s">
        <v>93</v>
      </c>
      <c r="E1427" s="3" t="s">
        <v>31</v>
      </c>
      <c r="F1427" s="3" t="b">
        <v>0</v>
      </c>
      <c r="G1427" s="3" t="s">
        <v>317</v>
      </c>
      <c r="H1427" s="6">
        <v>44950.429502314822</v>
      </c>
      <c r="I1427" s="3" t="b">
        <v>0</v>
      </c>
      <c r="J1427" s="3" t="b">
        <v>0</v>
      </c>
      <c r="K1427" s="3" t="s">
        <v>317</v>
      </c>
      <c r="L1427" s="3" t="s">
        <v>34</v>
      </c>
      <c r="M1427" s="8">
        <v>90000</v>
      </c>
      <c r="N1427" s="11"/>
      <c r="O1427" s="3" t="s">
        <v>3559</v>
      </c>
      <c r="P1427" s="3" t="s">
        <v>3560</v>
      </c>
    </row>
    <row r="1428" spans="1:16" x14ac:dyDescent="0.3">
      <c r="A1428" s="3" t="s">
        <v>66</v>
      </c>
      <c r="B1428" s="3" t="s">
        <v>343</v>
      </c>
      <c r="C1428" s="3" t="s">
        <v>2676</v>
      </c>
      <c r="D1428" s="3" t="s">
        <v>41</v>
      </c>
      <c r="E1428" s="3" t="s">
        <v>31</v>
      </c>
      <c r="F1428" s="3" t="b">
        <v>0</v>
      </c>
      <c r="G1428" s="3" t="s">
        <v>2676</v>
      </c>
      <c r="H1428" s="6">
        <v>44945.189317129632</v>
      </c>
      <c r="I1428" s="3" t="b">
        <v>1</v>
      </c>
      <c r="J1428" s="3" t="b">
        <v>0</v>
      </c>
      <c r="K1428" s="3" t="s">
        <v>2676</v>
      </c>
      <c r="L1428" s="3" t="s">
        <v>34</v>
      </c>
      <c r="M1428" s="8">
        <v>131580</v>
      </c>
      <c r="N1428" s="11"/>
      <c r="O1428" s="3" t="s">
        <v>3581</v>
      </c>
      <c r="P1428" s="3" t="s">
        <v>3582</v>
      </c>
    </row>
    <row r="1429" spans="1:16" x14ac:dyDescent="0.3">
      <c r="A1429" s="3" t="s">
        <v>66</v>
      </c>
      <c r="B1429" s="3" t="s">
        <v>3594</v>
      </c>
      <c r="C1429" s="3" t="s">
        <v>3057</v>
      </c>
      <c r="D1429" s="3" t="s">
        <v>93</v>
      </c>
      <c r="E1429" s="3" t="s">
        <v>31</v>
      </c>
      <c r="F1429" s="3" t="b">
        <v>0</v>
      </c>
      <c r="G1429" s="3" t="s">
        <v>317</v>
      </c>
      <c r="H1429" s="6">
        <v>44950.512824074067</v>
      </c>
      <c r="I1429" s="3" t="b">
        <v>0</v>
      </c>
      <c r="J1429" s="3" t="b">
        <v>0</v>
      </c>
      <c r="K1429" s="3" t="s">
        <v>317</v>
      </c>
      <c r="L1429" s="3" t="s">
        <v>34</v>
      </c>
      <c r="M1429" s="8">
        <v>90000</v>
      </c>
      <c r="N1429" s="11"/>
      <c r="O1429" s="3" t="s">
        <v>3595</v>
      </c>
      <c r="P1429" s="3" t="s">
        <v>3596</v>
      </c>
    </row>
    <row r="1430" spans="1:16" x14ac:dyDescent="0.3">
      <c r="A1430" s="3" t="s">
        <v>66</v>
      </c>
      <c r="B1430" s="3" t="s">
        <v>143</v>
      </c>
      <c r="C1430" s="3" t="s">
        <v>3620</v>
      </c>
      <c r="D1430" s="3" t="s">
        <v>93</v>
      </c>
      <c r="E1430" s="3" t="s">
        <v>31</v>
      </c>
      <c r="F1430" s="3" t="b">
        <v>0</v>
      </c>
      <c r="G1430" s="3" t="s">
        <v>32</v>
      </c>
      <c r="H1430" s="6">
        <v>44953.340011574073</v>
      </c>
      <c r="I1430" s="3" t="b">
        <v>0</v>
      </c>
      <c r="J1430" s="3" t="b">
        <v>0</v>
      </c>
      <c r="K1430" s="3" t="s">
        <v>33</v>
      </c>
      <c r="L1430" s="3" t="s">
        <v>34</v>
      </c>
      <c r="M1430" s="8">
        <v>175000</v>
      </c>
      <c r="N1430" s="11"/>
      <c r="O1430" s="3" t="s">
        <v>3621</v>
      </c>
      <c r="P1430" s="3" t="s">
        <v>3622</v>
      </c>
    </row>
    <row r="1431" spans="1:16" x14ac:dyDescent="0.3">
      <c r="A1431" s="3" t="s">
        <v>66</v>
      </c>
      <c r="B1431" s="3" t="s">
        <v>3623</v>
      </c>
      <c r="C1431" s="3" t="s">
        <v>33</v>
      </c>
      <c r="D1431" s="3" t="s">
        <v>41</v>
      </c>
      <c r="E1431" s="3" t="s">
        <v>31</v>
      </c>
      <c r="F1431" s="3" t="b">
        <v>0</v>
      </c>
      <c r="G1431" s="3" t="s">
        <v>58</v>
      </c>
      <c r="H1431" s="6">
        <v>44936.34784722222</v>
      </c>
      <c r="I1431" s="3" t="b">
        <v>0</v>
      </c>
      <c r="J1431" s="3" t="b">
        <v>1</v>
      </c>
      <c r="K1431" s="3" t="s">
        <v>33</v>
      </c>
      <c r="L1431" s="3" t="s">
        <v>34</v>
      </c>
      <c r="M1431" s="8">
        <v>269500</v>
      </c>
      <c r="N1431" s="11"/>
      <c r="O1431" s="3" t="s">
        <v>954</v>
      </c>
      <c r="P1431" s="3" t="s">
        <v>3624</v>
      </c>
    </row>
    <row r="1432" spans="1:16" x14ac:dyDescent="0.3">
      <c r="A1432" s="3" t="s">
        <v>66</v>
      </c>
      <c r="B1432" s="3" t="s">
        <v>3642</v>
      </c>
      <c r="C1432" s="3" t="s">
        <v>87</v>
      </c>
      <c r="D1432" s="3" t="s">
        <v>53</v>
      </c>
      <c r="E1432" s="3" t="s">
        <v>31</v>
      </c>
      <c r="F1432" s="3" t="b">
        <v>1</v>
      </c>
      <c r="G1432" s="3" t="s">
        <v>58</v>
      </c>
      <c r="H1432" s="6">
        <v>44931.978831018518</v>
      </c>
      <c r="I1432" s="3" t="b">
        <v>1</v>
      </c>
      <c r="J1432" s="3" t="b">
        <v>0</v>
      </c>
      <c r="K1432" s="3" t="s">
        <v>33</v>
      </c>
      <c r="L1432" s="3" t="s">
        <v>48</v>
      </c>
      <c r="M1432" s="8"/>
      <c r="N1432" s="11">
        <v>135</v>
      </c>
      <c r="O1432" s="3" t="s">
        <v>1515</v>
      </c>
      <c r="P1432" s="3" t="s">
        <v>3643</v>
      </c>
    </row>
    <row r="1433" spans="1:16" x14ac:dyDescent="0.3">
      <c r="A1433" s="3" t="s">
        <v>66</v>
      </c>
      <c r="B1433" s="3" t="s">
        <v>3658</v>
      </c>
      <c r="C1433" s="3" t="s">
        <v>3212</v>
      </c>
      <c r="D1433" s="3" t="s">
        <v>41</v>
      </c>
      <c r="E1433" s="3" t="s">
        <v>31</v>
      </c>
      <c r="F1433" s="3" t="b">
        <v>0</v>
      </c>
      <c r="G1433" s="3" t="s">
        <v>69</v>
      </c>
      <c r="H1433" s="6">
        <v>44944.432615740741</v>
      </c>
      <c r="I1433" s="3" t="b">
        <v>0</v>
      </c>
      <c r="J1433" s="3" t="b">
        <v>0</v>
      </c>
      <c r="K1433" s="3" t="s">
        <v>69</v>
      </c>
      <c r="L1433" s="3" t="s">
        <v>34</v>
      </c>
      <c r="M1433" s="8">
        <v>98283</v>
      </c>
      <c r="N1433" s="11"/>
      <c r="O1433" s="3" t="s">
        <v>3213</v>
      </c>
      <c r="P1433" s="3" t="s">
        <v>3214</v>
      </c>
    </row>
    <row r="1434" spans="1:16" x14ac:dyDescent="0.3">
      <c r="A1434" s="3" t="s">
        <v>66</v>
      </c>
      <c r="B1434" s="3" t="s">
        <v>3666</v>
      </c>
      <c r="C1434" s="3" t="s">
        <v>403</v>
      </c>
      <c r="D1434" s="3" t="s">
        <v>41</v>
      </c>
      <c r="E1434" s="3" t="s">
        <v>31</v>
      </c>
      <c r="F1434" s="3" t="b">
        <v>0</v>
      </c>
      <c r="G1434" s="3" t="s">
        <v>403</v>
      </c>
      <c r="H1434" s="6">
        <v>44938.190046296288</v>
      </c>
      <c r="I1434" s="3" t="b">
        <v>0</v>
      </c>
      <c r="J1434" s="3" t="b">
        <v>0</v>
      </c>
      <c r="K1434" s="3" t="s">
        <v>403</v>
      </c>
      <c r="L1434" s="3" t="s">
        <v>34</v>
      </c>
      <c r="M1434" s="8">
        <v>147500</v>
      </c>
      <c r="N1434" s="11"/>
      <c r="O1434" s="3" t="s">
        <v>2814</v>
      </c>
      <c r="P1434" s="3" t="s">
        <v>3667</v>
      </c>
    </row>
    <row r="1435" spans="1:16" x14ac:dyDescent="0.3">
      <c r="A1435" s="3" t="s">
        <v>66</v>
      </c>
      <c r="B1435" s="3" t="s">
        <v>3670</v>
      </c>
      <c r="C1435" s="3" t="s">
        <v>87</v>
      </c>
      <c r="D1435" s="3" t="s">
        <v>30</v>
      </c>
      <c r="E1435" s="3" t="s">
        <v>133</v>
      </c>
      <c r="F1435" s="3" t="b">
        <v>1</v>
      </c>
      <c r="G1435" s="3" t="s">
        <v>58</v>
      </c>
      <c r="H1435" s="6">
        <v>44929.693229166667</v>
      </c>
      <c r="I1435" s="3" t="b">
        <v>1</v>
      </c>
      <c r="J1435" s="3" t="b">
        <v>0</v>
      </c>
      <c r="K1435" s="3" t="s">
        <v>33</v>
      </c>
      <c r="L1435" s="3" t="s">
        <v>48</v>
      </c>
      <c r="M1435" s="8"/>
      <c r="N1435" s="11">
        <v>62.5</v>
      </c>
      <c r="O1435" s="3" t="s">
        <v>3671</v>
      </c>
      <c r="P1435" s="3" t="s">
        <v>3672</v>
      </c>
    </row>
    <row r="1436" spans="1:16" x14ac:dyDescent="0.3">
      <c r="A1436" s="3" t="s">
        <v>66</v>
      </c>
      <c r="B1436" s="3" t="s">
        <v>3675</v>
      </c>
      <c r="C1436" s="3" t="s">
        <v>2772</v>
      </c>
      <c r="D1436" s="3" t="s">
        <v>41</v>
      </c>
      <c r="E1436" s="3" t="s">
        <v>31</v>
      </c>
      <c r="F1436" s="3" t="b">
        <v>0</v>
      </c>
      <c r="G1436" s="3" t="s">
        <v>42</v>
      </c>
      <c r="H1436" s="6">
        <v>44944.009814814817</v>
      </c>
      <c r="I1436" s="3" t="b">
        <v>0</v>
      </c>
      <c r="J1436" s="3" t="b">
        <v>0</v>
      </c>
      <c r="K1436" s="3" t="s">
        <v>42</v>
      </c>
      <c r="L1436" s="3" t="s">
        <v>34</v>
      </c>
      <c r="M1436" s="8">
        <v>89100</v>
      </c>
      <c r="N1436" s="11"/>
      <c r="O1436" s="3" t="s">
        <v>3676</v>
      </c>
      <c r="P1436" s="3" t="s">
        <v>3677</v>
      </c>
    </row>
    <row r="1437" spans="1:16" x14ac:dyDescent="0.3">
      <c r="A1437" s="3" t="s">
        <v>66</v>
      </c>
      <c r="B1437" s="3" t="s">
        <v>3680</v>
      </c>
      <c r="C1437" s="3" t="s">
        <v>549</v>
      </c>
      <c r="D1437" s="3" t="s">
        <v>93</v>
      </c>
      <c r="E1437" s="3" t="s">
        <v>31</v>
      </c>
      <c r="F1437" s="3" t="b">
        <v>0</v>
      </c>
      <c r="G1437" s="3" t="s">
        <v>58</v>
      </c>
      <c r="H1437" s="6">
        <v>44951.475081018521</v>
      </c>
      <c r="I1437" s="3" t="b">
        <v>0</v>
      </c>
      <c r="J1437" s="3" t="b">
        <v>0</v>
      </c>
      <c r="K1437" s="3" t="s">
        <v>33</v>
      </c>
      <c r="L1437" s="3" t="s">
        <v>34</v>
      </c>
      <c r="M1437" s="8">
        <v>125000</v>
      </c>
      <c r="N1437" s="11"/>
      <c r="O1437" s="3" t="s">
        <v>3681</v>
      </c>
      <c r="P1437" s="3" t="s">
        <v>3682</v>
      </c>
    </row>
    <row r="1438" spans="1:16" x14ac:dyDescent="0.3">
      <c r="A1438" s="3" t="s">
        <v>66</v>
      </c>
      <c r="B1438" s="3" t="s">
        <v>66</v>
      </c>
      <c r="C1438" s="3" t="s">
        <v>2308</v>
      </c>
      <c r="D1438" s="3" t="s">
        <v>30</v>
      </c>
      <c r="E1438" s="3" t="s">
        <v>31</v>
      </c>
      <c r="F1438" s="3" t="b">
        <v>0</v>
      </c>
      <c r="G1438" s="3" t="s">
        <v>64</v>
      </c>
      <c r="H1438" s="6">
        <v>44957.712430555563</v>
      </c>
      <c r="I1438" s="3" t="b">
        <v>0</v>
      </c>
      <c r="J1438" s="3" t="b">
        <v>0</v>
      </c>
      <c r="K1438" s="3" t="s">
        <v>33</v>
      </c>
      <c r="L1438" s="3" t="s">
        <v>48</v>
      </c>
      <c r="M1438" s="8"/>
      <c r="N1438" s="11">
        <v>51</v>
      </c>
      <c r="O1438" s="3" t="s">
        <v>3688</v>
      </c>
      <c r="P1438" s="3" t="s">
        <v>3689</v>
      </c>
    </row>
    <row r="1439" spans="1:16" x14ac:dyDescent="0.3">
      <c r="A1439" s="3" t="s">
        <v>66</v>
      </c>
      <c r="B1439" s="3" t="s">
        <v>3705</v>
      </c>
      <c r="C1439" s="3" t="s">
        <v>83</v>
      </c>
      <c r="D1439" s="3" t="s">
        <v>93</v>
      </c>
      <c r="E1439" s="3" t="s">
        <v>31</v>
      </c>
      <c r="F1439" s="3" t="b">
        <v>0</v>
      </c>
      <c r="G1439" s="3" t="s">
        <v>110</v>
      </c>
      <c r="H1439" s="6">
        <v>44950.269062500003</v>
      </c>
      <c r="I1439" s="3" t="b">
        <v>1</v>
      </c>
      <c r="J1439" s="3" t="b">
        <v>0</v>
      </c>
      <c r="K1439" s="3" t="s">
        <v>110</v>
      </c>
      <c r="L1439" s="3" t="s">
        <v>34</v>
      </c>
      <c r="M1439" s="8">
        <v>175000</v>
      </c>
      <c r="N1439" s="11"/>
      <c r="O1439" s="3" t="s">
        <v>3706</v>
      </c>
      <c r="P1439" s="3" t="s">
        <v>3707</v>
      </c>
    </row>
    <row r="1440" spans="1:16" x14ac:dyDescent="0.3">
      <c r="A1440" s="3" t="s">
        <v>66</v>
      </c>
      <c r="B1440" s="3" t="s">
        <v>2778</v>
      </c>
      <c r="C1440" s="3" t="s">
        <v>386</v>
      </c>
      <c r="D1440" s="3" t="s">
        <v>41</v>
      </c>
      <c r="E1440" s="3" t="s">
        <v>31</v>
      </c>
      <c r="F1440" s="3" t="b">
        <v>0</v>
      </c>
      <c r="G1440" s="3" t="s">
        <v>386</v>
      </c>
      <c r="H1440" s="6">
        <v>44957.19017361111</v>
      </c>
      <c r="I1440" s="3" t="b">
        <v>0</v>
      </c>
      <c r="J1440" s="3" t="b">
        <v>0</v>
      </c>
      <c r="K1440" s="3" t="s">
        <v>386</v>
      </c>
      <c r="L1440" s="3" t="s">
        <v>34</v>
      </c>
      <c r="M1440" s="8">
        <v>79200</v>
      </c>
      <c r="N1440" s="11"/>
      <c r="O1440" s="3" t="s">
        <v>1129</v>
      </c>
      <c r="P1440" s="3" t="s">
        <v>3719</v>
      </c>
    </row>
    <row r="1441" spans="1:16" x14ac:dyDescent="0.3">
      <c r="A1441" s="3" t="s">
        <v>66</v>
      </c>
      <c r="B1441" s="3" t="s">
        <v>66</v>
      </c>
      <c r="C1441" s="3" t="s">
        <v>3740</v>
      </c>
      <c r="D1441" s="3" t="s">
        <v>41</v>
      </c>
      <c r="E1441" s="3" t="s">
        <v>31</v>
      </c>
      <c r="F1441" s="3" t="b">
        <v>0</v>
      </c>
      <c r="G1441" s="3" t="s">
        <v>3741</v>
      </c>
      <c r="H1441" s="6">
        <v>44950.418078703697</v>
      </c>
      <c r="I1441" s="3" t="b">
        <v>0</v>
      </c>
      <c r="J1441" s="3" t="b">
        <v>0</v>
      </c>
      <c r="K1441" s="3" t="s">
        <v>3741</v>
      </c>
      <c r="L1441" s="3" t="s">
        <v>34</v>
      </c>
      <c r="M1441" s="8">
        <v>147500</v>
      </c>
      <c r="N1441" s="11"/>
      <c r="O1441" s="3" t="s">
        <v>533</v>
      </c>
      <c r="P1441" s="3" t="s">
        <v>1585</v>
      </c>
    </row>
    <row r="1442" spans="1:16" x14ac:dyDescent="0.3">
      <c r="A1442" s="3" t="s">
        <v>66</v>
      </c>
      <c r="B1442" s="3" t="s">
        <v>3753</v>
      </c>
      <c r="C1442" s="3" t="s">
        <v>1347</v>
      </c>
      <c r="D1442" s="3" t="s">
        <v>41</v>
      </c>
      <c r="E1442" s="3" t="s">
        <v>31</v>
      </c>
      <c r="F1442" s="3" t="b">
        <v>0</v>
      </c>
      <c r="G1442" s="3" t="s">
        <v>42</v>
      </c>
      <c r="H1442" s="6">
        <v>44945.7893287037</v>
      </c>
      <c r="I1442" s="3" t="b">
        <v>0</v>
      </c>
      <c r="J1442" s="3" t="b">
        <v>0</v>
      </c>
      <c r="K1442" s="3" t="s">
        <v>42</v>
      </c>
      <c r="L1442" s="3" t="s">
        <v>34</v>
      </c>
      <c r="M1442" s="8">
        <v>147500</v>
      </c>
      <c r="N1442" s="11"/>
      <c r="O1442" s="3" t="s">
        <v>3676</v>
      </c>
      <c r="P1442" s="3" t="s">
        <v>3754</v>
      </c>
    </row>
    <row r="1443" spans="1:16" x14ac:dyDescent="0.3">
      <c r="A1443" s="3" t="s">
        <v>66</v>
      </c>
      <c r="B1443" s="3" t="s">
        <v>66</v>
      </c>
      <c r="C1443" s="3" t="s">
        <v>87</v>
      </c>
      <c r="D1443" s="3" t="s">
        <v>30</v>
      </c>
      <c r="E1443" s="3" t="s">
        <v>31</v>
      </c>
      <c r="F1443" s="3" t="b">
        <v>1</v>
      </c>
      <c r="G1443" s="3" t="s">
        <v>84</v>
      </c>
      <c r="H1443" s="6">
        <v>44953.757708333331</v>
      </c>
      <c r="I1443" s="3" t="b">
        <v>0</v>
      </c>
      <c r="J1443" s="3" t="b">
        <v>0</v>
      </c>
      <c r="K1443" s="3" t="s">
        <v>33</v>
      </c>
      <c r="L1443" s="3" t="s">
        <v>34</v>
      </c>
      <c r="M1443" s="8">
        <v>325000</v>
      </c>
      <c r="N1443" s="11"/>
      <c r="O1443" s="3" t="s">
        <v>646</v>
      </c>
      <c r="P1443" s="3" t="s">
        <v>3779</v>
      </c>
    </row>
    <row r="1444" spans="1:16" x14ac:dyDescent="0.3">
      <c r="A1444" s="3" t="s">
        <v>66</v>
      </c>
      <c r="B1444" s="3" t="s">
        <v>3780</v>
      </c>
      <c r="C1444" s="3" t="s">
        <v>417</v>
      </c>
      <c r="D1444" s="3" t="s">
        <v>429</v>
      </c>
      <c r="E1444" s="3" t="s">
        <v>31</v>
      </c>
      <c r="F1444" s="3" t="b">
        <v>0</v>
      </c>
      <c r="G1444" s="3" t="s">
        <v>140</v>
      </c>
      <c r="H1444" s="6">
        <v>44929.983518518522</v>
      </c>
      <c r="I1444" s="3" t="b">
        <v>0</v>
      </c>
      <c r="J1444" s="3" t="b">
        <v>1</v>
      </c>
      <c r="K1444" s="3" t="s">
        <v>33</v>
      </c>
      <c r="L1444" s="3" t="s">
        <v>48</v>
      </c>
      <c r="M1444" s="8"/>
      <c r="N1444" s="11">
        <v>24</v>
      </c>
      <c r="O1444" s="3" t="s">
        <v>3781</v>
      </c>
      <c r="P1444" s="3" t="s">
        <v>3782</v>
      </c>
    </row>
    <row r="1445" spans="1:16" x14ac:dyDescent="0.3">
      <c r="A1445" s="3" t="s">
        <v>66</v>
      </c>
      <c r="B1445" s="3" t="s">
        <v>66</v>
      </c>
      <c r="C1445" s="3" t="s">
        <v>3795</v>
      </c>
      <c r="D1445" s="3" t="s">
        <v>93</v>
      </c>
      <c r="E1445" s="3" t="s">
        <v>31</v>
      </c>
      <c r="F1445" s="3" t="b">
        <v>0</v>
      </c>
      <c r="G1445" s="3" t="s">
        <v>64</v>
      </c>
      <c r="H1445" s="6">
        <v>44957.295381944437</v>
      </c>
      <c r="I1445" s="3" t="b">
        <v>0</v>
      </c>
      <c r="J1445" s="3" t="b">
        <v>1</v>
      </c>
      <c r="K1445" s="3" t="s">
        <v>33</v>
      </c>
      <c r="L1445" s="3" t="s">
        <v>34</v>
      </c>
      <c r="M1445" s="8">
        <v>90000</v>
      </c>
      <c r="N1445" s="11"/>
      <c r="O1445" s="3" t="s">
        <v>1873</v>
      </c>
      <c r="P1445" s="3" t="s">
        <v>3796</v>
      </c>
    </row>
    <row r="1446" spans="1:16" x14ac:dyDescent="0.3">
      <c r="A1446" s="3" t="s">
        <v>66</v>
      </c>
      <c r="B1446" s="3" t="s">
        <v>3800</v>
      </c>
      <c r="C1446" s="3" t="s">
        <v>447</v>
      </c>
      <c r="D1446" s="3" t="s">
        <v>93</v>
      </c>
      <c r="E1446" s="3" t="s">
        <v>31</v>
      </c>
      <c r="F1446" s="3" t="b">
        <v>0</v>
      </c>
      <c r="G1446" s="3" t="s">
        <v>32</v>
      </c>
      <c r="H1446" s="6">
        <v>44951.25267361111</v>
      </c>
      <c r="I1446" s="3" t="b">
        <v>0</v>
      </c>
      <c r="J1446" s="3" t="b">
        <v>1</v>
      </c>
      <c r="K1446" s="3" t="s">
        <v>33</v>
      </c>
      <c r="L1446" s="3" t="s">
        <v>34</v>
      </c>
      <c r="M1446" s="8">
        <v>125000</v>
      </c>
      <c r="N1446" s="11"/>
      <c r="O1446" s="3" t="s">
        <v>3801</v>
      </c>
      <c r="P1446" s="3" t="s">
        <v>3802</v>
      </c>
    </row>
    <row r="1447" spans="1:16" x14ac:dyDescent="0.3">
      <c r="A1447" s="3" t="s">
        <v>66</v>
      </c>
      <c r="B1447" s="3" t="s">
        <v>3868</v>
      </c>
      <c r="C1447" s="3" t="s">
        <v>3869</v>
      </c>
      <c r="D1447" s="3" t="s">
        <v>370</v>
      </c>
      <c r="E1447" s="3" t="s">
        <v>31</v>
      </c>
      <c r="F1447" s="3" t="b">
        <v>0</v>
      </c>
      <c r="G1447" s="3" t="s">
        <v>84</v>
      </c>
      <c r="H1447" s="6">
        <v>44929.130358796298</v>
      </c>
      <c r="I1447" s="3" t="b">
        <v>1</v>
      </c>
      <c r="J1447" s="3" t="b">
        <v>0</v>
      </c>
      <c r="K1447" s="3" t="s">
        <v>33</v>
      </c>
      <c r="L1447" s="3" t="s">
        <v>34</v>
      </c>
      <c r="M1447" s="8">
        <v>137610</v>
      </c>
      <c r="N1447" s="11"/>
      <c r="O1447" s="3" t="s">
        <v>119</v>
      </c>
      <c r="P1447" s="3" t="s">
        <v>3870</v>
      </c>
    </row>
    <row r="1448" spans="1:16" x14ac:dyDescent="0.3">
      <c r="A1448" s="3" t="s">
        <v>66</v>
      </c>
      <c r="B1448" s="3" t="s">
        <v>66</v>
      </c>
      <c r="C1448" s="3" t="s">
        <v>3873</v>
      </c>
      <c r="D1448" s="3" t="s">
        <v>41</v>
      </c>
      <c r="E1448" s="3" t="s">
        <v>31</v>
      </c>
      <c r="F1448" s="3" t="b">
        <v>0</v>
      </c>
      <c r="G1448" s="3" t="s">
        <v>740</v>
      </c>
      <c r="H1448" s="6">
        <v>44946.927060185182</v>
      </c>
      <c r="I1448" s="3" t="b">
        <v>0</v>
      </c>
      <c r="J1448" s="3" t="b">
        <v>0</v>
      </c>
      <c r="K1448" s="3" t="s">
        <v>740</v>
      </c>
      <c r="L1448" s="3" t="s">
        <v>34</v>
      </c>
      <c r="M1448" s="8">
        <v>98283</v>
      </c>
      <c r="N1448" s="11"/>
      <c r="O1448" s="3" t="s">
        <v>3874</v>
      </c>
      <c r="P1448" s="3" t="s">
        <v>3875</v>
      </c>
    </row>
    <row r="1449" spans="1:16" x14ac:dyDescent="0.3">
      <c r="A1449" s="3" t="s">
        <v>66</v>
      </c>
      <c r="B1449" s="3" t="s">
        <v>3892</v>
      </c>
      <c r="C1449" s="3" t="s">
        <v>87</v>
      </c>
      <c r="D1449" s="3" t="s">
        <v>1013</v>
      </c>
      <c r="E1449" s="3" t="s">
        <v>31</v>
      </c>
      <c r="F1449" s="3" t="b">
        <v>1</v>
      </c>
      <c r="G1449" s="3" t="s">
        <v>58</v>
      </c>
      <c r="H1449" s="6">
        <v>44953.29891203704</v>
      </c>
      <c r="I1449" s="3" t="b">
        <v>1</v>
      </c>
      <c r="J1449" s="3" t="b">
        <v>1</v>
      </c>
      <c r="K1449" s="3" t="s">
        <v>33</v>
      </c>
      <c r="L1449" s="3" t="s">
        <v>34</v>
      </c>
      <c r="M1449" s="8">
        <v>101001.5</v>
      </c>
      <c r="N1449" s="11"/>
      <c r="O1449" s="3" t="s">
        <v>3893</v>
      </c>
      <c r="P1449" s="3" t="s">
        <v>3894</v>
      </c>
    </row>
    <row r="1450" spans="1:16" x14ac:dyDescent="0.3">
      <c r="A1450" s="3" t="s">
        <v>66</v>
      </c>
      <c r="B1450" s="3" t="s">
        <v>3897</v>
      </c>
      <c r="C1450" s="3" t="s">
        <v>3620</v>
      </c>
      <c r="D1450" s="3" t="s">
        <v>3898</v>
      </c>
      <c r="E1450" s="3" t="s">
        <v>31</v>
      </c>
      <c r="F1450" s="3" t="b">
        <v>0</v>
      </c>
      <c r="G1450" s="3" t="s">
        <v>88</v>
      </c>
      <c r="H1450" s="6">
        <v>44929.985960648148</v>
      </c>
      <c r="I1450" s="3" t="b">
        <v>1</v>
      </c>
      <c r="J1450" s="3" t="b">
        <v>0</v>
      </c>
      <c r="K1450" s="3" t="s">
        <v>33</v>
      </c>
      <c r="L1450" s="3" t="s">
        <v>48</v>
      </c>
      <c r="M1450" s="8"/>
      <c r="N1450" s="11">
        <v>24</v>
      </c>
      <c r="O1450" s="3" t="s">
        <v>589</v>
      </c>
      <c r="P1450" s="3" t="s">
        <v>3899</v>
      </c>
    </row>
    <row r="1451" spans="1:16" x14ac:dyDescent="0.3">
      <c r="A1451" s="3" t="s">
        <v>66</v>
      </c>
      <c r="B1451" s="3" t="s">
        <v>66</v>
      </c>
      <c r="C1451" s="3" t="s">
        <v>33</v>
      </c>
      <c r="D1451" s="3" t="s">
        <v>41</v>
      </c>
      <c r="E1451" s="3" t="s">
        <v>31</v>
      </c>
      <c r="F1451" s="3" t="b">
        <v>0</v>
      </c>
      <c r="G1451" s="3" t="s">
        <v>58</v>
      </c>
      <c r="H1451" s="6">
        <v>44951.045416666668</v>
      </c>
      <c r="I1451" s="3" t="b">
        <v>0</v>
      </c>
      <c r="J1451" s="3" t="b">
        <v>0</v>
      </c>
      <c r="K1451" s="3" t="s">
        <v>33</v>
      </c>
      <c r="L1451" s="3" t="s">
        <v>34</v>
      </c>
      <c r="M1451" s="8">
        <v>209500</v>
      </c>
      <c r="N1451" s="11"/>
      <c r="O1451" s="3" t="s">
        <v>3909</v>
      </c>
      <c r="P1451" s="3" t="s">
        <v>3910</v>
      </c>
    </row>
    <row r="1452" spans="1:16" x14ac:dyDescent="0.3">
      <c r="A1452" s="3" t="s">
        <v>66</v>
      </c>
      <c r="B1452" s="3" t="s">
        <v>1286</v>
      </c>
      <c r="C1452" s="3" t="s">
        <v>1045</v>
      </c>
      <c r="D1452" s="3" t="s">
        <v>41</v>
      </c>
      <c r="E1452" s="3" t="s">
        <v>31</v>
      </c>
      <c r="F1452" s="3" t="b">
        <v>0</v>
      </c>
      <c r="G1452" s="3" t="s">
        <v>1046</v>
      </c>
      <c r="H1452" s="6">
        <v>44932.714560185188</v>
      </c>
      <c r="I1452" s="3" t="b">
        <v>0</v>
      </c>
      <c r="J1452" s="3" t="b">
        <v>0</v>
      </c>
      <c r="K1452" s="3" t="s">
        <v>1046</v>
      </c>
      <c r="L1452" s="3" t="s">
        <v>34</v>
      </c>
      <c r="M1452" s="8">
        <v>89100</v>
      </c>
      <c r="N1452" s="11"/>
      <c r="O1452" s="3" t="s">
        <v>356</v>
      </c>
      <c r="P1452" s="3" t="s">
        <v>3914</v>
      </c>
    </row>
    <row r="1453" spans="1:16" x14ac:dyDescent="0.3">
      <c r="A1453" s="3" t="s">
        <v>66</v>
      </c>
      <c r="B1453" s="3" t="s">
        <v>343</v>
      </c>
      <c r="C1453" s="3" t="s">
        <v>87</v>
      </c>
      <c r="D1453" s="3" t="s">
        <v>76</v>
      </c>
      <c r="E1453" s="3" t="s">
        <v>31</v>
      </c>
      <c r="F1453" s="3" t="b">
        <v>1</v>
      </c>
      <c r="G1453" s="3" t="s">
        <v>88</v>
      </c>
      <c r="H1453" s="6">
        <v>44942.658182870371</v>
      </c>
      <c r="I1453" s="3" t="b">
        <v>0</v>
      </c>
      <c r="J1453" s="3" t="b">
        <v>1</v>
      </c>
      <c r="K1453" s="3" t="s">
        <v>33</v>
      </c>
      <c r="L1453" s="3" t="s">
        <v>34</v>
      </c>
      <c r="M1453" s="8">
        <v>105000</v>
      </c>
      <c r="N1453" s="11"/>
      <c r="O1453" s="3" t="s">
        <v>3951</v>
      </c>
      <c r="P1453" s="3" t="s">
        <v>3952</v>
      </c>
    </row>
    <row r="1454" spans="1:16" x14ac:dyDescent="0.3">
      <c r="A1454" s="3" t="s">
        <v>66</v>
      </c>
      <c r="B1454" s="3" t="s">
        <v>66</v>
      </c>
      <c r="C1454" s="3" t="s">
        <v>406</v>
      </c>
      <c r="D1454" s="3" t="s">
        <v>41</v>
      </c>
      <c r="E1454" s="3" t="s">
        <v>31</v>
      </c>
      <c r="F1454" s="3" t="b">
        <v>0</v>
      </c>
      <c r="G1454" s="3" t="s">
        <v>407</v>
      </c>
      <c r="H1454" s="6">
        <v>44938.365416666667</v>
      </c>
      <c r="I1454" s="3" t="b">
        <v>0</v>
      </c>
      <c r="J1454" s="3" t="b">
        <v>0</v>
      </c>
      <c r="K1454" s="3" t="s">
        <v>407</v>
      </c>
      <c r="L1454" s="3" t="s">
        <v>34</v>
      </c>
      <c r="M1454" s="8">
        <v>133000</v>
      </c>
      <c r="N1454" s="11"/>
      <c r="O1454" s="3" t="s">
        <v>3953</v>
      </c>
      <c r="P1454" s="3" t="s">
        <v>3954</v>
      </c>
    </row>
    <row r="1455" spans="1:16" x14ac:dyDescent="0.3">
      <c r="A1455" s="3" t="s">
        <v>66</v>
      </c>
      <c r="B1455" s="3" t="s">
        <v>803</v>
      </c>
      <c r="C1455" s="3" t="s">
        <v>87</v>
      </c>
      <c r="D1455" s="3" t="s">
        <v>1795</v>
      </c>
      <c r="E1455" s="3" t="s">
        <v>31</v>
      </c>
      <c r="F1455" s="3" t="b">
        <v>1</v>
      </c>
      <c r="G1455" s="3" t="s">
        <v>88</v>
      </c>
      <c r="H1455" s="6">
        <v>44932.339837962973</v>
      </c>
      <c r="I1455" s="3" t="b">
        <v>0</v>
      </c>
      <c r="J1455" s="3" t="b">
        <v>1</v>
      </c>
      <c r="K1455" s="3" t="s">
        <v>33</v>
      </c>
      <c r="L1455" s="3" t="s">
        <v>34</v>
      </c>
      <c r="M1455" s="8">
        <v>165000</v>
      </c>
      <c r="N1455" s="11"/>
      <c r="O1455" s="3" t="s">
        <v>1796</v>
      </c>
      <c r="P1455" s="3" t="s">
        <v>3955</v>
      </c>
    </row>
    <row r="1456" spans="1:16" x14ac:dyDescent="0.3">
      <c r="A1456" s="3" t="s">
        <v>66</v>
      </c>
      <c r="B1456" s="3" t="s">
        <v>91</v>
      </c>
      <c r="C1456" s="3" t="s">
        <v>3668</v>
      </c>
      <c r="D1456" s="3" t="s">
        <v>30</v>
      </c>
      <c r="E1456" s="3" t="s">
        <v>31</v>
      </c>
      <c r="F1456" s="3" t="b">
        <v>0</v>
      </c>
      <c r="G1456" s="3" t="s">
        <v>84</v>
      </c>
      <c r="H1456" s="6">
        <v>44936.893090277779</v>
      </c>
      <c r="I1456" s="3" t="b">
        <v>0</v>
      </c>
      <c r="J1456" s="3" t="b">
        <v>0</v>
      </c>
      <c r="K1456" s="3" t="s">
        <v>33</v>
      </c>
      <c r="L1456" s="3" t="s">
        <v>34</v>
      </c>
      <c r="M1456" s="8">
        <v>97500</v>
      </c>
      <c r="N1456" s="11"/>
      <c r="O1456" s="3" t="s">
        <v>589</v>
      </c>
      <c r="P1456" s="3" t="s">
        <v>3964</v>
      </c>
    </row>
    <row r="1457" spans="1:16" x14ac:dyDescent="0.3">
      <c r="A1457" s="3" t="s">
        <v>66</v>
      </c>
      <c r="B1457" s="3" t="s">
        <v>3965</v>
      </c>
      <c r="C1457" s="3" t="s">
        <v>87</v>
      </c>
      <c r="D1457" s="3" t="s">
        <v>30</v>
      </c>
      <c r="E1457" s="3" t="s">
        <v>31</v>
      </c>
      <c r="F1457" s="3" t="b">
        <v>1</v>
      </c>
      <c r="G1457" s="3" t="s">
        <v>110</v>
      </c>
      <c r="H1457" s="6">
        <v>44957.858136574083</v>
      </c>
      <c r="I1457" s="3" t="b">
        <v>0</v>
      </c>
      <c r="J1457" s="3" t="b">
        <v>0</v>
      </c>
      <c r="K1457" s="3" t="s">
        <v>110</v>
      </c>
      <c r="L1457" s="3" t="s">
        <v>34</v>
      </c>
      <c r="M1457" s="8">
        <v>112500</v>
      </c>
      <c r="N1457" s="11"/>
      <c r="O1457" s="3" t="s">
        <v>3966</v>
      </c>
      <c r="P1457" s="3" t="s">
        <v>3967</v>
      </c>
    </row>
    <row r="1458" spans="1:16" x14ac:dyDescent="0.3">
      <c r="A1458" s="3" t="s">
        <v>66</v>
      </c>
      <c r="B1458" s="3" t="s">
        <v>3985</v>
      </c>
      <c r="C1458" s="3" t="s">
        <v>593</v>
      </c>
      <c r="D1458" s="3" t="s">
        <v>41</v>
      </c>
      <c r="E1458" s="3" t="s">
        <v>31</v>
      </c>
      <c r="F1458" s="3" t="b">
        <v>0</v>
      </c>
      <c r="G1458" s="3" t="s">
        <v>436</v>
      </c>
      <c r="H1458" s="6">
        <v>44951.783368055563</v>
      </c>
      <c r="I1458" s="3" t="b">
        <v>0</v>
      </c>
      <c r="J1458" s="3" t="b">
        <v>0</v>
      </c>
      <c r="K1458" s="3" t="s">
        <v>436</v>
      </c>
      <c r="L1458" s="3" t="s">
        <v>34</v>
      </c>
      <c r="M1458" s="8">
        <v>147500</v>
      </c>
      <c r="N1458" s="11"/>
      <c r="O1458" s="3" t="s">
        <v>3986</v>
      </c>
      <c r="P1458" s="3" t="s">
        <v>3987</v>
      </c>
    </row>
    <row r="1459" spans="1:16" x14ac:dyDescent="0.3">
      <c r="A1459" s="3" t="s">
        <v>66</v>
      </c>
      <c r="B1459" s="3" t="s">
        <v>3998</v>
      </c>
      <c r="C1459" s="3" t="s">
        <v>1244</v>
      </c>
      <c r="D1459" s="3" t="s">
        <v>287</v>
      </c>
      <c r="E1459" s="3" t="s">
        <v>133</v>
      </c>
      <c r="F1459" s="3" t="b">
        <v>0</v>
      </c>
      <c r="G1459" s="3" t="s">
        <v>140</v>
      </c>
      <c r="H1459" s="6">
        <v>44928.992638888893</v>
      </c>
      <c r="I1459" s="3" t="b">
        <v>0</v>
      </c>
      <c r="J1459" s="3" t="b">
        <v>1</v>
      </c>
      <c r="K1459" s="3" t="s">
        <v>33</v>
      </c>
      <c r="L1459" s="3" t="s">
        <v>34</v>
      </c>
      <c r="M1459" s="8">
        <v>135000</v>
      </c>
      <c r="N1459" s="11"/>
      <c r="O1459" s="3" t="s">
        <v>3999</v>
      </c>
      <c r="P1459" s="3" t="s">
        <v>4000</v>
      </c>
    </row>
    <row r="1460" spans="1:16" x14ac:dyDescent="0.3">
      <c r="A1460" s="3" t="s">
        <v>66</v>
      </c>
      <c r="B1460" s="3" t="s">
        <v>4005</v>
      </c>
      <c r="C1460" s="3" t="s">
        <v>1916</v>
      </c>
      <c r="D1460" s="3" t="s">
        <v>41</v>
      </c>
      <c r="E1460" s="3" t="s">
        <v>31</v>
      </c>
      <c r="F1460" s="3" t="b">
        <v>0</v>
      </c>
      <c r="G1460" s="3" t="s">
        <v>1917</v>
      </c>
      <c r="H1460" s="6">
        <v>44931.990879629629</v>
      </c>
      <c r="I1460" s="3" t="b">
        <v>0</v>
      </c>
      <c r="J1460" s="3" t="b">
        <v>0</v>
      </c>
      <c r="K1460" s="3" t="s">
        <v>1917</v>
      </c>
      <c r="L1460" s="3" t="s">
        <v>34</v>
      </c>
      <c r="M1460" s="8">
        <v>50400</v>
      </c>
      <c r="N1460" s="11"/>
      <c r="O1460" s="3" t="s">
        <v>3340</v>
      </c>
      <c r="P1460" s="3" t="s">
        <v>4006</v>
      </c>
    </row>
    <row r="1461" spans="1:16" x14ac:dyDescent="0.3">
      <c r="A1461" s="3" t="s">
        <v>66</v>
      </c>
      <c r="B1461" s="3" t="s">
        <v>66</v>
      </c>
      <c r="C1461" s="3" t="s">
        <v>417</v>
      </c>
      <c r="D1461" s="3" t="s">
        <v>76</v>
      </c>
      <c r="E1461" s="3" t="s">
        <v>133</v>
      </c>
      <c r="F1461" s="3" t="b">
        <v>0</v>
      </c>
      <c r="G1461" s="3" t="s">
        <v>58</v>
      </c>
      <c r="H1461" s="6">
        <v>44936.933749999997</v>
      </c>
      <c r="I1461" s="3" t="b">
        <v>1</v>
      </c>
      <c r="J1461" s="3" t="b">
        <v>0</v>
      </c>
      <c r="K1461" s="3" t="s">
        <v>33</v>
      </c>
      <c r="L1461" s="3" t="s">
        <v>48</v>
      </c>
      <c r="M1461" s="8"/>
      <c r="N1461" s="11">
        <v>52.5</v>
      </c>
      <c r="O1461" s="3" t="s">
        <v>4008</v>
      </c>
      <c r="P1461" s="3" t="s">
        <v>1732</v>
      </c>
    </row>
    <row r="1462" spans="1:16" x14ac:dyDescent="0.3">
      <c r="A1462" s="3" t="s">
        <v>66</v>
      </c>
      <c r="B1462" s="3" t="s">
        <v>4029</v>
      </c>
      <c r="C1462" s="3" t="s">
        <v>4030</v>
      </c>
      <c r="D1462" s="3" t="s">
        <v>287</v>
      </c>
      <c r="E1462" s="3" t="s">
        <v>31</v>
      </c>
      <c r="F1462" s="3" t="b">
        <v>0</v>
      </c>
      <c r="G1462" s="3" t="s">
        <v>84</v>
      </c>
      <c r="H1462" s="6">
        <v>44927.018634259257</v>
      </c>
      <c r="I1462" s="3" t="b">
        <v>0</v>
      </c>
      <c r="J1462" s="3" t="b">
        <v>1</v>
      </c>
      <c r="K1462" s="3" t="s">
        <v>33</v>
      </c>
      <c r="L1462" s="3" t="s">
        <v>34</v>
      </c>
      <c r="M1462" s="8">
        <v>300000</v>
      </c>
      <c r="N1462" s="11"/>
      <c r="O1462" s="3" t="s">
        <v>861</v>
      </c>
      <c r="P1462" s="3" t="s">
        <v>862</v>
      </c>
    </row>
    <row r="1463" spans="1:16" x14ac:dyDescent="0.3">
      <c r="A1463" s="3" t="s">
        <v>66</v>
      </c>
      <c r="B1463" s="3" t="s">
        <v>4049</v>
      </c>
      <c r="C1463" s="3" t="s">
        <v>3202</v>
      </c>
      <c r="D1463" s="3" t="s">
        <v>41</v>
      </c>
      <c r="E1463" s="3" t="s">
        <v>31</v>
      </c>
      <c r="F1463" s="3" t="b">
        <v>0</v>
      </c>
      <c r="G1463" s="3" t="s">
        <v>1171</v>
      </c>
      <c r="H1463" s="6">
        <v>44936.405648148153</v>
      </c>
      <c r="I1463" s="3" t="b">
        <v>0</v>
      </c>
      <c r="J1463" s="3" t="b">
        <v>0</v>
      </c>
      <c r="K1463" s="3" t="s">
        <v>1171</v>
      </c>
      <c r="L1463" s="3" t="s">
        <v>34</v>
      </c>
      <c r="M1463" s="8">
        <v>98301.5</v>
      </c>
      <c r="N1463" s="11"/>
      <c r="O1463" s="3" t="s">
        <v>4050</v>
      </c>
      <c r="P1463" s="3" t="s">
        <v>4051</v>
      </c>
    </row>
    <row r="1464" spans="1:16" x14ac:dyDescent="0.3">
      <c r="A1464" s="3" t="s">
        <v>66</v>
      </c>
      <c r="B1464" s="3" t="s">
        <v>1636</v>
      </c>
      <c r="C1464" s="3" t="s">
        <v>593</v>
      </c>
      <c r="D1464" s="3" t="s">
        <v>41</v>
      </c>
      <c r="E1464" s="3" t="s">
        <v>31</v>
      </c>
      <c r="F1464" s="3" t="b">
        <v>0</v>
      </c>
      <c r="G1464" s="3" t="s">
        <v>436</v>
      </c>
      <c r="H1464" s="6">
        <v>44948.299930555557</v>
      </c>
      <c r="I1464" s="3" t="b">
        <v>0</v>
      </c>
      <c r="J1464" s="3" t="b">
        <v>0</v>
      </c>
      <c r="K1464" s="3" t="s">
        <v>436</v>
      </c>
      <c r="L1464" s="3" t="s">
        <v>34</v>
      </c>
      <c r="M1464" s="8">
        <v>147500</v>
      </c>
      <c r="N1464" s="11"/>
      <c r="O1464" s="3" t="s">
        <v>793</v>
      </c>
      <c r="P1464" s="3" t="s">
        <v>1637</v>
      </c>
    </row>
    <row r="1465" spans="1:16" x14ac:dyDescent="0.3">
      <c r="A1465" s="3" t="s">
        <v>66</v>
      </c>
      <c r="B1465" s="3" t="s">
        <v>4120</v>
      </c>
      <c r="C1465" s="3" t="s">
        <v>4121</v>
      </c>
      <c r="D1465" s="3" t="s">
        <v>41</v>
      </c>
      <c r="E1465" s="3" t="s">
        <v>31</v>
      </c>
      <c r="F1465" s="3" t="b">
        <v>0</v>
      </c>
      <c r="G1465" s="3" t="s">
        <v>4121</v>
      </c>
      <c r="H1465" s="6">
        <v>44929.817708333343</v>
      </c>
      <c r="I1465" s="3" t="b">
        <v>0</v>
      </c>
      <c r="J1465" s="3" t="b">
        <v>0</v>
      </c>
      <c r="K1465" s="3" t="s">
        <v>4121</v>
      </c>
      <c r="L1465" s="3" t="s">
        <v>34</v>
      </c>
      <c r="M1465" s="8">
        <v>56700</v>
      </c>
      <c r="N1465" s="11"/>
      <c r="O1465" s="3" t="s">
        <v>533</v>
      </c>
      <c r="P1465" s="3" t="s">
        <v>4122</v>
      </c>
    </row>
    <row r="1466" spans="1:16" x14ac:dyDescent="0.3">
      <c r="A1466" s="3" t="s">
        <v>66</v>
      </c>
      <c r="B1466" s="3" t="s">
        <v>4131</v>
      </c>
      <c r="C1466" s="3" t="s">
        <v>33</v>
      </c>
      <c r="D1466" s="3" t="s">
        <v>41</v>
      </c>
      <c r="E1466" s="3" t="s">
        <v>31</v>
      </c>
      <c r="F1466" s="3" t="b">
        <v>0</v>
      </c>
      <c r="G1466" s="3" t="s">
        <v>58</v>
      </c>
      <c r="H1466" s="6">
        <v>44955.461944444447</v>
      </c>
      <c r="I1466" s="3" t="b">
        <v>0</v>
      </c>
      <c r="J1466" s="3" t="b">
        <v>0</v>
      </c>
      <c r="K1466" s="3" t="s">
        <v>33</v>
      </c>
      <c r="L1466" s="3" t="s">
        <v>34</v>
      </c>
      <c r="M1466" s="8">
        <v>99150</v>
      </c>
      <c r="N1466" s="11"/>
      <c r="O1466" s="3" t="s">
        <v>4132</v>
      </c>
      <c r="P1466" s="3" t="s">
        <v>4133</v>
      </c>
    </row>
    <row r="1467" spans="1:16" x14ac:dyDescent="0.3">
      <c r="A1467" s="3" t="s">
        <v>66</v>
      </c>
      <c r="B1467" s="3" t="s">
        <v>1016</v>
      </c>
      <c r="C1467" s="3" t="s">
        <v>544</v>
      </c>
      <c r="D1467" s="3" t="s">
        <v>93</v>
      </c>
      <c r="E1467" s="3" t="s">
        <v>31</v>
      </c>
      <c r="F1467" s="3" t="b">
        <v>0</v>
      </c>
      <c r="G1467" s="3" t="s">
        <v>58</v>
      </c>
      <c r="H1467" s="6">
        <v>44936.308912037042</v>
      </c>
      <c r="I1467" s="3" t="b">
        <v>1</v>
      </c>
      <c r="J1467" s="3" t="b">
        <v>1</v>
      </c>
      <c r="K1467" s="3" t="s">
        <v>33</v>
      </c>
      <c r="L1467" s="3" t="s">
        <v>34</v>
      </c>
      <c r="M1467" s="8">
        <v>90000</v>
      </c>
      <c r="N1467" s="11"/>
      <c r="O1467" s="3" t="s">
        <v>4134</v>
      </c>
      <c r="P1467" s="3" t="s">
        <v>4135</v>
      </c>
    </row>
    <row r="1468" spans="1:16" x14ac:dyDescent="0.3">
      <c r="A1468" s="3" t="s">
        <v>66</v>
      </c>
      <c r="B1468" s="3" t="s">
        <v>1286</v>
      </c>
      <c r="C1468" s="3" t="s">
        <v>620</v>
      </c>
      <c r="D1468" s="3" t="s">
        <v>76</v>
      </c>
      <c r="E1468" s="3" t="s">
        <v>31</v>
      </c>
      <c r="F1468" s="3" t="b">
        <v>0</v>
      </c>
      <c r="G1468" s="3" t="s">
        <v>84</v>
      </c>
      <c r="H1468" s="6">
        <v>44950.758101851847</v>
      </c>
      <c r="I1468" s="3" t="b">
        <v>0</v>
      </c>
      <c r="J1468" s="3" t="b">
        <v>0</v>
      </c>
      <c r="K1468" s="3" t="s">
        <v>33</v>
      </c>
      <c r="L1468" s="3" t="s">
        <v>34</v>
      </c>
      <c r="M1468" s="8">
        <v>87500</v>
      </c>
      <c r="N1468" s="11"/>
      <c r="O1468" s="3" t="s">
        <v>4187</v>
      </c>
      <c r="P1468" s="3" t="s">
        <v>4188</v>
      </c>
    </row>
    <row r="1469" spans="1:16" x14ac:dyDescent="0.3">
      <c r="A1469" s="3" t="s">
        <v>66</v>
      </c>
      <c r="B1469" s="3" t="s">
        <v>4232</v>
      </c>
      <c r="C1469" s="3" t="s">
        <v>3196</v>
      </c>
      <c r="D1469" s="3" t="s">
        <v>41</v>
      </c>
      <c r="E1469" s="3" t="s">
        <v>31</v>
      </c>
      <c r="F1469" s="3" t="b">
        <v>0</v>
      </c>
      <c r="G1469" s="3" t="s">
        <v>961</v>
      </c>
      <c r="H1469" s="6">
        <v>44952.480162037027</v>
      </c>
      <c r="I1469" s="3" t="b">
        <v>0</v>
      </c>
      <c r="J1469" s="3" t="b">
        <v>0</v>
      </c>
      <c r="K1469" s="3" t="s">
        <v>961</v>
      </c>
      <c r="L1469" s="3" t="s">
        <v>34</v>
      </c>
      <c r="M1469" s="8">
        <v>72900</v>
      </c>
      <c r="N1469" s="11"/>
      <c r="O1469" s="3" t="s">
        <v>3197</v>
      </c>
      <c r="P1469" s="3" t="s">
        <v>4233</v>
      </c>
    </row>
    <row r="1470" spans="1:16" x14ac:dyDescent="0.3">
      <c r="A1470" s="3" t="s">
        <v>66</v>
      </c>
      <c r="B1470" s="3" t="s">
        <v>4242</v>
      </c>
      <c r="C1470" s="3" t="s">
        <v>40</v>
      </c>
      <c r="D1470" s="3" t="s">
        <v>41</v>
      </c>
      <c r="E1470" s="3" t="s">
        <v>31</v>
      </c>
      <c r="F1470" s="3" t="b">
        <v>0</v>
      </c>
      <c r="G1470" s="3" t="s">
        <v>42</v>
      </c>
      <c r="H1470" s="6">
        <v>44933.067326388889</v>
      </c>
      <c r="I1470" s="3" t="b">
        <v>0</v>
      </c>
      <c r="J1470" s="3" t="b">
        <v>0</v>
      </c>
      <c r="K1470" s="3" t="s">
        <v>42</v>
      </c>
      <c r="L1470" s="3" t="s">
        <v>34</v>
      </c>
      <c r="M1470" s="8">
        <v>147500</v>
      </c>
      <c r="N1470" s="11"/>
      <c r="O1470" s="3" t="s">
        <v>875</v>
      </c>
      <c r="P1470" s="3" t="s">
        <v>4243</v>
      </c>
    </row>
    <row r="1471" spans="1:16" x14ac:dyDescent="0.3">
      <c r="A1471" s="3" t="s">
        <v>66</v>
      </c>
      <c r="B1471" s="3" t="s">
        <v>4244</v>
      </c>
      <c r="C1471" s="3" t="s">
        <v>87</v>
      </c>
      <c r="D1471" s="3" t="s">
        <v>940</v>
      </c>
      <c r="E1471" s="3" t="s">
        <v>31</v>
      </c>
      <c r="F1471" s="3" t="b">
        <v>1</v>
      </c>
      <c r="G1471" s="3" t="s">
        <v>58</v>
      </c>
      <c r="H1471" s="6">
        <v>44930.797893518517</v>
      </c>
      <c r="I1471" s="3" t="b">
        <v>0</v>
      </c>
      <c r="J1471" s="3" t="b">
        <v>1</v>
      </c>
      <c r="K1471" s="3" t="s">
        <v>33</v>
      </c>
      <c r="L1471" s="3" t="s">
        <v>34</v>
      </c>
      <c r="M1471" s="8">
        <v>177500</v>
      </c>
      <c r="N1471" s="11"/>
      <c r="O1471" s="3" t="s">
        <v>1009</v>
      </c>
      <c r="P1471" s="3" t="s">
        <v>4245</v>
      </c>
    </row>
    <row r="1472" spans="1:16" x14ac:dyDescent="0.3">
      <c r="A1472" s="3" t="s">
        <v>66</v>
      </c>
      <c r="B1472" s="3" t="s">
        <v>4306</v>
      </c>
      <c r="C1472" s="3" t="s">
        <v>4307</v>
      </c>
      <c r="D1472" s="3" t="s">
        <v>41</v>
      </c>
      <c r="E1472" s="3" t="s">
        <v>31</v>
      </c>
      <c r="F1472" s="3" t="b">
        <v>0</v>
      </c>
      <c r="G1472" s="3" t="s">
        <v>42</v>
      </c>
      <c r="H1472" s="6">
        <v>44929.869733796288</v>
      </c>
      <c r="I1472" s="3" t="b">
        <v>0</v>
      </c>
      <c r="J1472" s="3" t="b">
        <v>0</v>
      </c>
      <c r="K1472" s="3" t="s">
        <v>42</v>
      </c>
      <c r="L1472" s="3" t="s">
        <v>34</v>
      </c>
      <c r="M1472" s="8">
        <v>98301.5</v>
      </c>
      <c r="N1472" s="11"/>
      <c r="O1472" s="3" t="s">
        <v>4308</v>
      </c>
      <c r="P1472" s="3" t="s">
        <v>4309</v>
      </c>
    </row>
    <row r="1473" spans="1:16" x14ac:dyDescent="0.3">
      <c r="A1473" s="3" t="s">
        <v>66</v>
      </c>
      <c r="B1473" s="3" t="s">
        <v>4330</v>
      </c>
      <c r="C1473" s="3" t="s">
        <v>1996</v>
      </c>
      <c r="D1473" s="3" t="s">
        <v>41</v>
      </c>
      <c r="E1473" s="3" t="s">
        <v>31</v>
      </c>
      <c r="F1473" s="3" t="b">
        <v>0</v>
      </c>
      <c r="G1473" s="3" t="s">
        <v>797</v>
      </c>
      <c r="H1473" s="6">
        <v>44946.961469907408</v>
      </c>
      <c r="I1473" s="3" t="b">
        <v>0</v>
      </c>
      <c r="J1473" s="3" t="b">
        <v>0</v>
      </c>
      <c r="K1473" s="3" t="s">
        <v>797</v>
      </c>
      <c r="L1473" s="3" t="s">
        <v>34</v>
      </c>
      <c r="M1473" s="8">
        <v>249000</v>
      </c>
      <c r="N1473" s="11"/>
      <c r="O1473" s="3" t="s">
        <v>4331</v>
      </c>
      <c r="P1473" s="3" t="s">
        <v>4332</v>
      </c>
    </row>
    <row r="1474" spans="1:16" x14ac:dyDescent="0.3">
      <c r="A1474" s="3" t="s">
        <v>66</v>
      </c>
      <c r="B1474" s="3" t="s">
        <v>66</v>
      </c>
      <c r="C1474" s="3" t="s">
        <v>164</v>
      </c>
      <c r="D1474" s="3" t="s">
        <v>53</v>
      </c>
      <c r="E1474" s="3" t="s">
        <v>31</v>
      </c>
      <c r="F1474" s="3" t="b">
        <v>0</v>
      </c>
      <c r="G1474" s="3" t="s">
        <v>110</v>
      </c>
      <c r="H1474" s="6">
        <v>44943.01761574074</v>
      </c>
      <c r="I1474" s="3" t="b">
        <v>0</v>
      </c>
      <c r="J1474" s="3" t="b">
        <v>0</v>
      </c>
      <c r="K1474" s="3" t="s">
        <v>110</v>
      </c>
      <c r="L1474" s="3" t="s">
        <v>34</v>
      </c>
      <c r="M1474" s="8">
        <v>80000</v>
      </c>
      <c r="N1474" s="11"/>
      <c r="O1474" s="3" t="s">
        <v>4348</v>
      </c>
      <c r="P1474" s="3"/>
    </row>
    <row r="1475" spans="1:16" x14ac:dyDescent="0.3">
      <c r="A1475" s="3" t="s">
        <v>66</v>
      </c>
      <c r="B1475" s="3" t="s">
        <v>66</v>
      </c>
      <c r="C1475" s="3" t="s">
        <v>57</v>
      </c>
      <c r="D1475" s="3" t="s">
        <v>93</v>
      </c>
      <c r="E1475" s="3" t="s">
        <v>31</v>
      </c>
      <c r="F1475" s="3" t="b">
        <v>0</v>
      </c>
      <c r="G1475" s="3" t="s">
        <v>64</v>
      </c>
      <c r="H1475" s="6">
        <v>44937.505011574067</v>
      </c>
      <c r="I1475" s="3" t="b">
        <v>0</v>
      </c>
      <c r="J1475" s="3" t="b">
        <v>1</v>
      </c>
      <c r="K1475" s="3" t="s">
        <v>33</v>
      </c>
      <c r="L1475" s="3" t="s">
        <v>34</v>
      </c>
      <c r="M1475" s="8">
        <v>125000</v>
      </c>
      <c r="N1475" s="11"/>
      <c r="O1475" s="3" t="s">
        <v>158</v>
      </c>
      <c r="P1475" s="3" t="s">
        <v>948</v>
      </c>
    </row>
    <row r="1476" spans="1:16" x14ac:dyDescent="0.3">
      <c r="A1476" s="3" t="s">
        <v>66</v>
      </c>
      <c r="B1476" s="3" t="s">
        <v>484</v>
      </c>
      <c r="C1476" s="3" t="s">
        <v>1669</v>
      </c>
      <c r="D1476" s="3" t="s">
        <v>41</v>
      </c>
      <c r="E1476" s="3" t="s">
        <v>31</v>
      </c>
      <c r="F1476" s="3" t="b">
        <v>0</v>
      </c>
      <c r="G1476" s="3" t="s">
        <v>436</v>
      </c>
      <c r="H1476" s="6">
        <v>44939.509745370371</v>
      </c>
      <c r="I1476" s="3" t="b">
        <v>0</v>
      </c>
      <c r="J1476" s="3" t="b">
        <v>0</v>
      </c>
      <c r="K1476" s="3" t="s">
        <v>436</v>
      </c>
      <c r="L1476" s="3" t="s">
        <v>34</v>
      </c>
      <c r="M1476" s="8">
        <v>147500</v>
      </c>
      <c r="N1476" s="11"/>
      <c r="O1476" s="3" t="s">
        <v>598</v>
      </c>
      <c r="P1476" s="3" t="s">
        <v>4388</v>
      </c>
    </row>
    <row r="1477" spans="1:16" x14ac:dyDescent="0.3">
      <c r="A1477" s="3" t="s">
        <v>66</v>
      </c>
      <c r="B1477" s="3" t="s">
        <v>113</v>
      </c>
      <c r="C1477" s="3" t="s">
        <v>3196</v>
      </c>
      <c r="D1477" s="3" t="s">
        <v>41</v>
      </c>
      <c r="E1477" s="3" t="s">
        <v>31</v>
      </c>
      <c r="F1477" s="3" t="b">
        <v>0</v>
      </c>
      <c r="G1477" s="3" t="s">
        <v>961</v>
      </c>
      <c r="H1477" s="6">
        <v>44945.884930555563</v>
      </c>
      <c r="I1477" s="3" t="b">
        <v>0</v>
      </c>
      <c r="J1477" s="3" t="b">
        <v>0</v>
      </c>
      <c r="K1477" s="3" t="s">
        <v>961</v>
      </c>
      <c r="L1477" s="3" t="s">
        <v>34</v>
      </c>
      <c r="M1477" s="8">
        <v>45000</v>
      </c>
      <c r="N1477" s="11"/>
      <c r="O1477" s="3" t="s">
        <v>4398</v>
      </c>
      <c r="P1477" s="3" t="s">
        <v>4399</v>
      </c>
    </row>
    <row r="1478" spans="1:16" x14ac:dyDescent="0.3">
      <c r="A1478" s="3" t="s">
        <v>66</v>
      </c>
      <c r="B1478" s="3" t="s">
        <v>4403</v>
      </c>
      <c r="C1478" s="3" t="s">
        <v>2256</v>
      </c>
      <c r="D1478" s="3" t="s">
        <v>93</v>
      </c>
      <c r="E1478" s="3" t="s">
        <v>31</v>
      </c>
      <c r="F1478" s="3" t="b">
        <v>0</v>
      </c>
      <c r="G1478" s="3" t="s">
        <v>317</v>
      </c>
      <c r="H1478" s="6">
        <v>44956.345856481479</v>
      </c>
      <c r="I1478" s="3" t="b">
        <v>0</v>
      </c>
      <c r="J1478" s="3" t="b">
        <v>0</v>
      </c>
      <c r="K1478" s="3" t="s">
        <v>317</v>
      </c>
      <c r="L1478" s="3" t="s">
        <v>34</v>
      </c>
      <c r="M1478" s="8">
        <v>125000</v>
      </c>
      <c r="N1478" s="11"/>
      <c r="O1478" s="3" t="s">
        <v>4404</v>
      </c>
      <c r="P1478" s="3" t="s">
        <v>4405</v>
      </c>
    </row>
    <row r="1479" spans="1:16" x14ac:dyDescent="0.3">
      <c r="A1479" s="3" t="s">
        <v>66</v>
      </c>
      <c r="B1479" s="3" t="s">
        <v>66</v>
      </c>
      <c r="C1479" s="3" t="s">
        <v>4430</v>
      </c>
      <c r="D1479" s="3" t="s">
        <v>41</v>
      </c>
      <c r="E1479" s="3" t="s">
        <v>31</v>
      </c>
      <c r="F1479" s="3" t="b">
        <v>0</v>
      </c>
      <c r="G1479" s="3" t="s">
        <v>2423</v>
      </c>
      <c r="H1479" s="6">
        <v>44946.438518518517</v>
      </c>
      <c r="I1479" s="3" t="b">
        <v>1</v>
      </c>
      <c r="J1479" s="3" t="b">
        <v>0</v>
      </c>
      <c r="K1479" s="3" t="s">
        <v>2423</v>
      </c>
      <c r="L1479" s="3" t="s">
        <v>34</v>
      </c>
      <c r="M1479" s="8">
        <v>147500</v>
      </c>
      <c r="N1479" s="11"/>
      <c r="O1479" s="3" t="s">
        <v>4431</v>
      </c>
      <c r="P1479" s="3" t="s">
        <v>4432</v>
      </c>
    </row>
    <row r="1480" spans="1:16" x14ac:dyDescent="0.3">
      <c r="A1480" s="3" t="s">
        <v>66</v>
      </c>
      <c r="B1480" s="3" t="s">
        <v>1286</v>
      </c>
      <c r="C1480" s="3" t="s">
        <v>4443</v>
      </c>
      <c r="D1480" s="3" t="s">
        <v>93</v>
      </c>
      <c r="E1480" s="3" t="s">
        <v>31</v>
      </c>
      <c r="F1480" s="3" t="b">
        <v>0</v>
      </c>
      <c r="G1480" s="3" t="s">
        <v>317</v>
      </c>
      <c r="H1480" s="6">
        <v>44933.300567129627</v>
      </c>
      <c r="I1480" s="3" t="b">
        <v>1</v>
      </c>
      <c r="J1480" s="3" t="b">
        <v>0</v>
      </c>
      <c r="K1480" s="3" t="s">
        <v>317</v>
      </c>
      <c r="L1480" s="3" t="s">
        <v>34</v>
      </c>
      <c r="M1480" s="8">
        <v>90000</v>
      </c>
      <c r="N1480" s="11"/>
      <c r="O1480" s="3" t="s">
        <v>4444</v>
      </c>
      <c r="P1480" s="3" t="s">
        <v>4445</v>
      </c>
    </row>
    <row r="1481" spans="1:16" x14ac:dyDescent="0.3">
      <c r="A1481" s="3" t="s">
        <v>66</v>
      </c>
      <c r="B1481" s="3" t="s">
        <v>66</v>
      </c>
      <c r="C1481" s="3" t="s">
        <v>1075</v>
      </c>
      <c r="D1481" s="3" t="s">
        <v>2449</v>
      </c>
      <c r="E1481" s="3" t="s">
        <v>31</v>
      </c>
      <c r="F1481" s="3" t="b">
        <v>0</v>
      </c>
      <c r="G1481" s="3" t="s">
        <v>110</v>
      </c>
      <c r="H1481" s="6">
        <v>44944.742951388893</v>
      </c>
      <c r="I1481" s="3" t="b">
        <v>1</v>
      </c>
      <c r="J1481" s="3" t="b">
        <v>1</v>
      </c>
      <c r="K1481" s="3" t="s">
        <v>110</v>
      </c>
      <c r="L1481" s="3" t="s">
        <v>34</v>
      </c>
      <c r="M1481" s="8">
        <v>157000</v>
      </c>
      <c r="N1481" s="11"/>
      <c r="O1481" s="3" t="s">
        <v>1077</v>
      </c>
      <c r="P1481" s="3" t="s">
        <v>1078</v>
      </c>
    </row>
    <row r="1482" spans="1:16" x14ac:dyDescent="0.3">
      <c r="A1482" s="3" t="s">
        <v>66</v>
      </c>
      <c r="B1482" s="3" t="s">
        <v>66</v>
      </c>
      <c r="C1482" s="3" t="s">
        <v>402</v>
      </c>
      <c r="D1482" s="3" t="s">
        <v>41</v>
      </c>
      <c r="E1482" s="3" t="s">
        <v>31</v>
      </c>
      <c r="F1482" s="3" t="b">
        <v>0</v>
      </c>
      <c r="G1482" s="3" t="s">
        <v>403</v>
      </c>
      <c r="H1482" s="6">
        <v>44957.974224537043</v>
      </c>
      <c r="I1482" s="3" t="b">
        <v>1</v>
      </c>
      <c r="J1482" s="3" t="b">
        <v>0</v>
      </c>
      <c r="K1482" s="3" t="s">
        <v>403</v>
      </c>
      <c r="L1482" s="3" t="s">
        <v>34</v>
      </c>
      <c r="M1482" s="8">
        <v>147500</v>
      </c>
      <c r="N1482" s="11"/>
      <c r="O1482" s="3" t="s">
        <v>4476</v>
      </c>
      <c r="P1482" s="3" t="s">
        <v>4477</v>
      </c>
    </row>
    <row r="1483" spans="1:16" x14ac:dyDescent="0.3">
      <c r="A1483" s="3" t="s">
        <v>66</v>
      </c>
      <c r="B1483" s="3" t="s">
        <v>4480</v>
      </c>
      <c r="C1483" s="3" t="s">
        <v>903</v>
      </c>
      <c r="D1483" s="3" t="s">
        <v>41</v>
      </c>
      <c r="E1483" s="3" t="s">
        <v>31</v>
      </c>
      <c r="F1483" s="3" t="b">
        <v>0</v>
      </c>
      <c r="G1483" s="3" t="s">
        <v>436</v>
      </c>
      <c r="H1483" s="6">
        <v>44933.143738425933</v>
      </c>
      <c r="I1483" s="3" t="b">
        <v>0</v>
      </c>
      <c r="J1483" s="3" t="b">
        <v>0</v>
      </c>
      <c r="K1483" s="3" t="s">
        <v>436</v>
      </c>
      <c r="L1483" s="3" t="s">
        <v>34</v>
      </c>
      <c r="M1483" s="8">
        <v>79200</v>
      </c>
      <c r="N1483" s="11"/>
      <c r="O1483" s="3" t="s">
        <v>579</v>
      </c>
      <c r="P1483" s="3" t="s">
        <v>38</v>
      </c>
    </row>
    <row r="1484" spans="1:16" x14ac:dyDescent="0.3">
      <c r="A1484" s="3" t="s">
        <v>66</v>
      </c>
      <c r="B1484" s="3" t="s">
        <v>4509</v>
      </c>
      <c r="C1484" s="3" t="s">
        <v>593</v>
      </c>
      <c r="D1484" s="3" t="s">
        <v>41</v>
      </c>
      <c r="E1484" s="3" t="s">
        <v>31</v>
      </c>
      <c r="F1484" s="3" t="b">
        <v>0</v>
      </c>
      <c r="G1484" s="3" t="s">
        <v>436</v>
      </c>
      <c r="H1484" s="6">
        <v>44946.775324074071</v>
      </c>
      <c r="I1484" s="3" t="b">
        <v>0</v>
      </c>
      <c r="J1484" s="3" t="b">
        <v>0</v>
      </c>
      <c r="K1484" s="3" t="s">
        <v>436</v>
      </c>
      <c r="L1484" s="3" t="s">
        <v>34</v>
      </c>
      <c r="M1484" s="8">
        <v>79200</v>
      </c>
      <c r="N1484" s="11"/>
      <c r="O1484" s="3" t="s">
        <v>3859</v>
      </c>
      <c r="P1484" s="3" t="s">
        <v>4510</v>
      </c>
    </row>
    <row r="1485" spans="1:16" x14ac:dyDescent="0.3">
      <c r="A1485" s="3" t="s">
        <v>66</v>
      </c>
      <c r="B1485" s="3" t="s">
        <v>3780</v>
      </c>
      <c r="C1485" s="3" t="s">
        <v>87</v>
      </c>
      <c r="D1485" s="3" t="s">
        <v>30</v>
      </c>
      <c r="E1485" s="3" t="s">
        <v>133</v>
      </c>
      <c r="F1485" s="3" t="b">
        <v>1</v>
      </c>
      <c r="G1485" s="3" t="s">
        <v>32</v>
      </c>
      <c r="H1485" s="6">
        <v>44930.83861111111</v>
      </c>
      <c r="I1485" s="3" t="b">
        <v>0</v>
      </c>
      <c r="J1485" s="3" t="b">
        <v>0</v>
      </c>
      <c r="K1485" s="3" t="s">
        <v>33</v>
      </c>
      <c r="L1485" s="3" t="s">
        <v>48</v>
      </c>
      <c r="M1485" s="8"/>
      <c r="N1485" s="11">
        <v>95.5</v>
      </c>
      <c r="O1485" s="3" t="s">
        <v>2388</v>
      </c>
      <c r="P1485" s="3" t="s">
        <v>4530</v>
      </c>
    </row>
    <row r="1486" spans="1:16" x14ac:dyDescent="0.3">
      <c r="A1486" s="3" t="s">
        <v>66</v>
      </c>
      <c r="B1486" s="3" t="s">
        <v>66</v>
      </c>
      <c r="C1486" s="3" t="s">
        <v>4544</v>
      </c>
      <c r="D1486" s="3" t="s">
        <v>41</v>
      </c>
      <c r="E1486" s="3" t="s">
        <v>31</v>
      </c>
      <c r="F1486" s="3" t="b">
        <v>0</v>
      </c>
      <c r="G1486" s="3" t="s">
        <v>1171</v>
      </c>
      <c r="H1486" s="6">
        <v>44935.847083333327</v>
      </c>
      <c r="I1486" s="3" t="b">
        <v>1</v>
      </c>
      <c r="J1486" s="3" t="b">
        <v>0</v>
      </c>
      <c r="K1486" s="3" t="s">
        <v>1171</v>
      </c>
      <c r="L1486" s="3" t="s">
        <v>34</v>
      </c>
      <c r="M1486" s="8">
        <v>147500</v>
      </c>
      <c r="N1486" s="11"/>
      <c r="O1486" s="3" t="s">
        <v>4545</v>
      </c>
      <c r="P1486" s="3" t="s">
        <v>4546</v>
      </c>
    </row>
    <row r="1487" spans="1:16" x14ac:dyDescent="0.3">
      <c r="A1487" s="3" t="s">
        <v>66</v>
      </c>
      <c r="B1487" s="3" t="s">
        <v>66</v>
      </c>
      <c r="C1487" s="3" t="s">
        <v>565</v>
      </c>
      <c r="D1487" s="3" t="s">
        <v>41</v>
      </c>
      <c r="E1487" s="3" t="s">
        <v>31</v>
      </c>
      <c r="F1487" s="3" t="b">
        <v>0</v>
      </c>
      <c r="G1487" s="3" t="s">
        <v>88</v>
      </c>
      <c r="H1487" s="6">
        <v>44937.22378472222</v>
      </c>
      <c r="I1487" s="3" t="b">
        <v>1</v>
      </c>
      <c r="J1487" s="3" t="b">
        <v>0</v>
      </c>
      <c r="K1487" s="3" t="s">
        <v>33</v>
      </c>
      <c r="L1487" s="3" t="s">
        <v>34</v>
      </c>
      <c r="M1487" s="8">
        <v>110000</v>
      </c>
      <c r="N1487" s="11"/>
      <c r="O1487" s="3" t="s">
        <v>4568</v>
      </c>
      <c r="P1487" s="3" t="s">
        <v>4569</v>
      </c>
    </row>
    <row r="1488" spans="1:16" x14ac:dyDescent="0.3">
      <c r="A1488" s="3" t="s">
        <v>66</v>
      </c>
      <c r="B1488" s="3" t="s">
        <v>4582</v>
      </c>
      <c r="C1488" s="3" t="s">
        <v>2936</v>
      </c>
      <c r="D1488" s="3" t="s">
        <v>41</v>
      </c>
      <c r="E1488" s="3" t="s">
        <v>31</v>
      </c>
      <c r="F1488" s="3" t="b">
        <v>0</v>
      </c>
      <c r="G1488" s="3" t="s">
        <v>2937</v>
      </c>
      <c r="H1488" s="6">
        <v>44945.968460648153</v>
      </c>
      <c r="I1488" s="3" t="b">
        <v>0</v>
      </c>
      <c r="J1488" s="3" t="b">
        <v>0</v>
      </c>
      <c r="K1488" s="3" t="s">
        <v>2937</v>
      </c>
      <c r="L1488" s="3" t="s">
        <v>34</v>
      </c>
      <c r="M1488" s="8">
        <v>96773</v>
      </c>
      <c r="N1488" s="11"/>
      <c r="O1488" s="3" t="s">
        <v>4583</v>
      </c>
      <c r="P1488" s="3" t="s">
        <v>4584</v>
      </c>
    </row>
    <row r="1489" spans="1:16" x14ac:dyDescent="0.3">
      <c r="A1489" s="3" t="s">
        <v>66</v>
      </c>
      <c r="B1489" s="3" t="s">
        <v>4592</v>
      </c>
      <c r="C1489" s="3" t="s">
        <v>1028</v>
      </c>
      <c r="D1489" s="3" t="s">
        <v>41</v>
      </c>
      <c r="E1489" s="3" t="s">
        <v>31</v>
      </c>
      <c r="F1489" s="3" t="b">
        <v>0</v>
      </c>
      <c r="G1489" s="3" t="s">
        <v>1029</v>
      </c>
      <c r="H1489" s="6">
        <v>44945.972060185188</v>
      </c>
      <c r="I1489" s="3" t="b">
        <v>0</v>
      </c>
      <c r="J1489" s="3" t="b">
        <v>0</v>
      </c>
      <c r="K1489" s="3" t="s">
        <v>1029</v>
      </c>
      <c r="L1489" s="3" t="s">
        <v>34</v>
      </c>
      <c r="M1489" s="8">
        <v>133000</v>
      </c>
      <c r="N1489" s="11"/>
      <c r="O1489" s="3" t="s">
        <v>1030</v>
      </c>
      <c r="P1489" s="3" t="s">
        <v>2072</v>
      </c>
    </row>
    <row r="1490" spans="1:16" x14ac:dyDescent="0.3">
      <c r="A1490" s="3" t="s">
        <v>66</v>
      </c>
      <c r="B1490" s="3" t="s">
        <v>66</v>
      </c>
      <c r="C1490" s="3" t="s">
        <v>1917</v>
      </c>
      <c r="D1490" s="3" t="s">
        <v>860</v>
      </c>
      <c r="E1490" s="3" t="s">
        <v>31</v>
      </c>
      <c r="F1490" s="3" t="b">
        <v>0</v>
      </c>
      <c r="G1490" s="3" t="s">
        <v>1917</v>
      </c>
      <c r="H1490" s="6">
        <v>44927.004224537042</v>
      </c>
      <c r="I1490" s="3" t="b">
        <v>1</v>
      </c>
      <c r="J1490" s="3" t="b">
        <v>0</v>
      </c>
      <c r="K1490" s="3" t="s">
        <v>1917</v>
      </c>
      <c r="L1490" s="3" t="s">
        <v>34</v>
      </c>
      <c r="M1490" s="8">
        <v>65000</v>
      </c>
      <c r="N1490" s="11"/>
      <c r="O1490" s="3" t="s">
        <v>4618</v>
      </c>
      <c r="P1490" s="3" t="s">
        <v>4619</v>
      </c>
    </row>
    <row r="1491" spans="1:16" x14ac:dyDescent="0.3">
      <c r="A1491" s="3" t="s">
        <v>66</v>
      </c>
      <c r="B1491" s="3" t="s">
        <v>4634</v>
      </c>
      <c r="C1491" s="3" t="s">
        <v>4319</v>
      </c>
      <c r="D1491" s="3" t="s">
        <v>93</v>
      </c>
      <c r="E1491" s="3" t="s">
        <v>31</v>
      </c>
      <c r="F1491" s="3" t="b">
        <v>0</v>
      </c>
      <c r="G1491" s="3" t="s">
        <v>58</v>
      </c>
      <c r="H1491" s="6">
        <v>44951.376076388893</v>
      </c>
      <c r="I1491" s="3" t="b">
        <v>1</v>
      </c>
      <c r="J1491" s="3" t="b">
        <v>0</v>
      </c>
      <c r="K1491" s="3" t="s">
        <v>33</v>
      </c>
      <c r="L1491" s="3" t="s">
        <v>34</v>
      </c>
      <c r="M1491" s="8">
        <v>125000</v>
      </c>
      <c r="N1491" s="11"/>
      <c r="O1491" s="3" t="s">
        <v>4635</v>
      </c>
      <c r="P1491" s="3" t="s">
        <v>4636</v>
      </c>
    </row>
    <row r="1492" spans="1:16" x14ac:dyDescent="0.3">
      <c r="A1492" s="3" t="s">
        <v>66</v>
      </c>
      <c r="B1492" s="3" t="s">
        <v>66</v>
      </c>
      <c r="C1492" s="3" t="s">
        <v>3057</v>
      </c>
      <c r="D1492" s="3" t="s">
        <v>93</v>
      </c>
      <c r="E1492" s="3" t="s">
        <v>31</v>
      </c>
      <c r="F1492" s="3" t="b">
        <v>0</v>
      </c>
      <c r="G1492" s="3" t="s">
        <v>317</v>
      </c>
      <c r="H1492" s="6">
        <v>44950.34615740741</v>
      </c>
      <c r="I1492" s="3" t="b">
        <v>1</v>
      </c>
      <c r="J1492" s="3" t="b">
        <v>0</v>
      </c>
      <c r="K1492" s="3" t="s">
        <v>317</v>
      </c>
      <c r="L1492" s="3" t="s">
        <v>34</v>
      </c>
      <c r="M1492" s="8">
        <v>90000</v>
      </c>
      <c r="N1492" s="11"/>
      <c r="O1492" s="3" t="s">
        <v>4641</v>
      </c>
      <c r="P1492" s="3" t="s">
        <v>4642</v>
      </c>
    </row>
    <row r="1493" spans="1:16" x14ac:dyDescent="0.3">
      <c r="A1493" s="3" t="s">
        <v>66</v>
      </c>
      <c r="B1493" s="3" t="s">
        <v>143</v>
      </c>
      <c r="C1493" s="3" t="s">
        <v>1001</v>
      </c>
      <c r="D1493" s="3" t="s">
        <v>860</v>
      </c>
      <c r="E1493" s="3" t="s">
        <v>31</v>
      </c>
      <c r="F1493" s="3" t="b">
        <v>0</v>
      </c>
      <c r="G1493" s="3" t="s">
        <v>317</v>
      </c>
      <c r="H1493" s="6">
        <v>44934.7184375</v>
      </c>
      <c r="I1493" s="3" t="b">
        <v>0</v>
      </c>
      <c r="J1493" s="3" t="b">
        <v>0</v>
      </c>
      <c r="K1493" s="3" t="s">
        <v>317</v>
      </c>
      <c r="L1493" s="3" t="s">
        <v>34</v>
      </c>
      <c r="M1493" s="8">
        <v>190000</v>
      </c>
      <c r="N1493" s="11"/>
      <c r="O1493" s="3" t="s">
        <v>4679</v>
      </c>
      <c r="P1493" s="3" t="s">
        <v>4680</v>
      </c>
    </row>
    <row r="1494" spans="1:16" x14ac:dyDescent="0.3">
      <c r="A1494" s="3" t="s">
        <v>66</v>
      </c>
      <c r="B1494" s="3" t="s">
        <v>66</v>
      </c>
      <c r="C1494" s="3" t="s">
        <v>40</v>
      </c>
      <c r="D1494" s="3" t="s">
        <v>41</v>
      </c>
      <c r="E1494" s="3" t="s">
        <v>31</v>
      </c>
      <c r="F1494" s="3" t="b">
        <v>0</v>
      </c>
      <c r="G1494" s="3" t="s">
        <v>42</v>
      </c>
      <c r="H1494" s="6">
        <v>44931.819756944453</v>
      </c>
      <c r="I1494" s="3" t="b">
        <v>0</v>
      </c>
      <c r="J1494" s="3" t="b">
        <v>0</v>
      </c>
      <c r="K1494" s="3" t="s">
        <v>42</v>
      </c>
      <c r="L1494" s="3" t="s">
        <v>34</v>
      </c>
      <c r="M1494" s="8">
        <v>147500</v>
      </c>
      <c r="N1494" s="11"/>
      <c r="O1494" s="3" t="s">
        <v>2137</v>
      </c>
      <c r="P1494" s="3" t="s">
        <v>4692</v>
      </c>
    </row>
    <row r="1495" spans="1:16" x14ac:dyDescent="0.3">
      <c r="A1495" s="3" t="s">
        <v>66</v>
      </c>
      <c r="B1495" s="3" t="s">
        <v>4710</v>
      </c>
      <c r="C1495" s="3" t="s">
        <v>4711</v>
      </c>
      <c r="D1495" s="3" t="s">
        <v>41</v>
      </c>
      <c r="E1495" s="3" t="s">
        <v>31</v>
      </c>
      <c r="F1495" s="3" t="b">
        <v>0</v>
      </c>
      <c r="G1495" s="3" t="s">
        <v>3846</v>
      </c>
      <c r="H1495" s="6">
        <v>44932.359583333331</v>
      </c>
      <c r="I1495" s="3" t="b">
        <v>1</v>
      </c>
      <c r="J1495" s="3" t="b">
        <v>0</v>
      </c>
      <c r="K1495" s="3" t="s">
        <v>3846</v>
      </c>
      <c r="L1495" s="3" t="s">
        <v>34</v>
      </c>
      <c r="M1495" s="8">
        <v>147500</v>
      </c>
      <c r="N1495" s="11"/>
      <c r="O1495" s="3" t="s">
        <v>3581</v>
      </c>
      <c r="P1495" s="3" t="s">
        <v>3582</v>
      </c>
    </row>
    <row r="1496" spans="1:16" x14ac:dyDescent="0.3">
      <c r="A1496" s="3" t="s">
        <v>66</v>
      </c>
      <c r="B1496" s="3" t="s">
        <v>66</v>
      </c>
      <c r="C1496" s="3" t="s">
        <v>33</v>
      </c>
      <c r="D1496" s="3" t="s">
        <v>30</v>
      </c>
      <c r="E1496" s="3" t="s">
        <v>31</v>
      </c>
      <c r="F1496" s="3" t="b">
        <v>0</v>
      </c>
      <c r="G1496" s="3" t="s">
        <v>58</v>
      </c>
      <c r="H1496" s="6">
        <v>44936.764722222222</v>
      </c>
      <c r="I1496" s="3" t="b">
        <v>0</v>
      </c>
      <c r="J1496" s="3" t="b">
        <v>1</v>
      </c>
      <c r="K1496" s="3" t="s">
        <v>33</v>
      </c>
      <c r="L1496" s="3" t="s">
        <v>34</v>
      </c>
      <c r="M1496" s="8">
        <v>162500</v>
      </c>
      <c r="N1496" s="11"/>
      <c r="O1496" s="3" t="s">
        <v>4720</v>
      </c>
      <c r="P1496" s="3" t="s">
        <v>4721</v>
      </c>
    </row>
    <row r="1497" spans="1:16" x14ac:dyDescent="0.3">
      <c r="A1497" s="3" t="s">
        <v>66</v>
      </c>
      <c r="B1497" s="3" t="s">
        <v>343</v>
      </c>
      <c r="C1497" s="3" t="s">
        <v>4753</v>
      </c>
      <c r="D1497" s="3" t="s">
        <v>237</v>
      </c>
      <c r="E1497" s="3" t="s">
        <v>31</v>
      </c>
      <c r="F1497" s="3" t="b">
        <v>0</v>
      </c>
      <c r="G1497" s="3" t="s">
        <v>88</v>
      </c>
      <c r="H1497" s="6">
        <v>44955.051168981481</v>
      </c>
      <c r="I1497" s="3" t="b">
        <v>0</v>
      </c>
      <c r="J1497" s="3" t="b">
        <v>1</v>
      </c>
      <c r="K1497" s="3" t="s">
        <v>33</v>
      </c>
      <c r="L1497" s="3" t="s">
        <v>34</v>
      </c>
      <c r="M1497" s="8">
        <v>208114</v>
      </c>
      <c r="N1497" s="11"/>
      <c r="O1497" s="3" t="s">
        <v>238</v>
      </c>
      <c r="P1497" s="3" t="s">
        <v>239</v>
      </c>
    </row>
    <row r="1498" spans="1:16" x14ac:dyDescent="0.3">
      <c r="A1498" s="3" t="s">
        <v>66</v>
      </c>
      <c r="B1498" s="3" t="s">
        <v>4757</v>
      </c>
      <c r="C1498" s="3" t="s">
        <v>2256</v>
      </c>
      <c r="D1498" s="3" t="s">
        <v>30</v>
      </c>
      <c r="E1498" s="3" t="s">
        <v>133</v>
      </c>
      <c r="F1498" s="3" t="b">
        <v>0</v>
      </c>
      <c r="G1498" s="3" t="s">
        <v>317</v>
      </c>
      <c r="H1498" s="6">
        <v>44953.776782407411</v>
      </c>
      <c r="I1498" s="3" t="b">
        <v>1</v>
      </c>
      <c r="J1498" s="3" t="b">
        <v>0</v>
      </c>
      <c r="K1498" s="3" t="s">
        <v>317</v>
      </c>
      <c r="L1498" s="3" t="s">
        <v>48</v>
      </c>
      <c r="M1498" s="8"/>
      <c r="N1498" s="11">
        <v>97</v>
      </c>
      <c r="O1498" s="3" t="s">
        <v>4758</v>
      </c>
      <c r="P1498" s="3" t="s">
        <v>4759</v>
      </c>
    </row>
    <row r="1499" spans="1:16" x14ac:dyDescent="0.3">
      <c r="A1499" s="3" t="s">
        <v>66</v>
      </c>
      <c r="B1499" s="3" t="s">
        <v>66</v>
      </c>
      <c r="C1499" s="3" t="s">
        <v>2298</v>
      </c>
      <c r="D1499" s="3" t="s">
        <v>41</v>
      </c>
      <c r="E1499" s="3" t="s">
        <v>31</v>
      </c>
      <c r="F1499" s="3" t="b">
        <v>0</v>
      </c>
      <c r="G1499" s="3" t="s">
        <v>436</v>
      </c>
      <c r="H1499" s="6">
        <v>44950.174409722233</v>
      </c>
      <c r="I1499" s="3" t="b">
        <v>0</v>
      </c>
      <c r="J1499" s="3" t="b">
        <v>0</v>
      </c>
      <c r="K1499" s="3" t="s">
        <v>436</v>
      </c>
      <c r="L1499" s="3" t="s">
        <v>34</v>
      </c>
      <c r="M1499" s="8">
        <v>147500</v>
      </c>
      <c r="N1499" s="11"/>
      <c r="O1499" s="3" t="s">
        <v>2299</v>
      </c>
      <c r="P1499" s="3" t="s">
        <v>2300</v>
      </c>
    </row>
    <row r="1500" spans="1:16" x14ac:dyDescent="0.3">
      <c r="A1500" s="3" t="s">
        <v>66</v>
      </c>
      <c r="B1500" s="3" t="s">
        <v>1286</v>
      </c>
      <c r="C1500" s="3" t="s">
        <v>33</v>
      </c>
      <c r="D1500" s="3" t="s">
        <v>444</v>
      </c>
      <c r="E1500" s="3" t="s">
        <v>31</v>
      </c>
      <c r="F1500" s="3" t="b">
        <v>0</v>
      </c>
      <c r="G1500" s="3" t="s">
        <v>140</v>
      </c>
      <c r="H1500" s="6">
        <v>44943.658622685187</v>
      </c>
      <c r="I1500" s="3" t="b">
        <v>1</v>
      </c>
      <c r="J1500" s="3" t="b">
        <v>0</v>
      </c>
      <c r="K1500" s="3" t="s">
        <v>33</v>
      </c>
      <c r="L1500" s="3" t="s">
        <v>48</v>
      </c>
      <c r="M1500" s="8"/>
      <c r="N1500" s="11">
        <v>70</v>
      </c>
      <c r="O1500" s="3" t="s">
        <v>196</v>
      </c>
      <c r="P1500" s="3" t="s">
        <v>4821</v>
      </c>
    </row>
    <row r="1501" spans="1:16" x14ac:dyDescent="0.3">
      <c r="A1501" s="3" t="s">
        <v>66</v>
      </c>
      <c r="B1501" s="3" t="s">
        <v>4835</v>
      </c>
      <c r="C1501" s="3" t="s">
        <v>212</v>
      </c>
      <c r="D1501" s="3" t="s">
        <v>41</v>
      </c>
      <c r="E1501" s="3" t="s">
        <v>31</v>
      </c>
      <c r="F1501" s="3" t="b">
        <v>0</v>
      </c>
      <c r="G1501" s="3" t="s">
        <v>213</v>
      </c>
      <c r="H1501" s="6">
        <v>44938.614629629628</v>
      </c>
      <c r="I1501" s="3" t="b">
        <v>1</v>
      </c>
      <c r="J1501" s="3" t="b">
        <v>0</v>
      </c>
      <c r="K1501" s="3" t="s">
        <v>213</v>
      </c>
      <c r="L1501" s="3" t="s">
        <v>34</v>
      </c>
      <c r="M1501" s="8">
        <v>147500</v>
      </c>
      <c r="N1501" s="11"/>
      <c r="O1501" s="3" t="s">
        <v>4836</v>
      </c>
      <c r="P1501" s="3" t="s">
        <v>4837</v>
      </c>
    </row>
    <row r="1502" spans="1:16" x14ac:dyDescent="0.3">
      <c r="A1502" s="3" t="s">
        <v>66</v>
      </c>
      <c r="B1502" s="3" t="s">
        <v>4865</v>
      </c>
      <c r="C1502" s="3" t="s">
        <v>4866</v>
      </c>
      <c r="D1502" s="3" t="s">
        <v>30</v>
      </c>
      <c r="E1502" s="3" t="s">
        <v>31</v>
      </c>
      <c r="F1502" s="3" t="b">
        <v>0</v>
      </c>
      <c r="G1502" s="3" t="s">
        <v>1171</v>
      </c>
      <c r="H1502" s="6">
        <v>44944.353078703702</v>
      </c>
      <c r="I1502" s="3" t="b">
        <v>0</v>
      </c>
      <c r="J1502" s="3" t="b">
        <v>0</v>
      </c>
      <c r="K1502" s="3" t="s">
        <v>1171</v>
      </c>
      <c r="L1502" s="3" t="s">
        <v>34</v>
      </c>
      <c r="M1502" s="8">
        <v>115000</v>
      </c>
      <c r="N1502" s="11"/>
      <c r="O1502" s="3" t="s">
        <v>4867</v>
      </c>
      <c r="P1502" s="3" t="s">
        <v>4868</v>
      </c>
    </row>
    <row r="1503" spans="1:16" x14ac:dyDescent="0.3">
      <c r="A1503" s="3" t="s">
        <v>66</v>
      </c>
      <c r="B1503" s="3" t="s">
        <v>204</v>
      </c>
      <c r="C1503" s="3" t="s">
        <v>549</v>
      </c>
      <c r="D1503" s="3" t="s">
        <v>30</v>
      </c>
      <c r="E1503" s="3" t="s">
        <v>133</v>
      </c>
      <c r="F1503" s="3" t="b">
        <v>0</v>
      </c>
      <c r="G1503" s="3" t="s">
        <v>84</v>
      </c>
      <c r="H1503" s="6">
        <v>44927.97760416667</v>
      </c>
      <c r="I1503" s="3" t="b">
        <v>0</v>
      </c>
      <c r="J1503" s="3" t="b">
        <v>0</v>
      </c>
      <c r="K1503" s="3" t="s">
        <v>33</v>
      </c>
      <c r="L1503" s="3" t="s">
        <v>48</v>
      </c>
      <c r="M1503" s="8"/>
      <c r="N1503" s="11">
        <v>64.5</v>
      </c>
      <c r="O1503" s="3" t="s">
        <v>4869</v>
      </c>
      <c r="P1503" s="3" t="s">
        <v>4870</v>
      </c>
    </row>
    <row r="1504" spans="1:16" x14ac:dyDescent="0.3">
      <c r="A1504" s="3" t="s">
        <v>66</v>
      </c>
      <c r="B1504" s="3" t="s">
        <v>143</v>
      </c>
      <c r="C1504" s="3" t="s">
        <v>3057</v>
      </c>
      <c r="D1504" s="3" t="s">
        <v>4897</v>
      </c>
      <c r="E1504" s="3" t="s">
        <v>31</v>
      </c>
      <c r="F1504" s="3" t="b">
        <v>0</v>
      </c>
      <c r="G1504" s="3" t="s">
        <v>317</v>
      </c>
      <c r="H1504" s="6">
        <v>44944.178564814807</v>
      </c>
      <c r="I1504" s="3" t="b">
        <v>1</v>
      </c>
      <c r="J1504" s="3" t="b">
        <v>0</v>
      </c>
      <c r="K1504" s="3" t="s">
        <v>317</v>
      </c>
      <c r="L1504" s="3" t="s">
        <v>48</v>
      </c>
      <c r="M1504" s="8"/>
      <c r="N1504" s="11">
        <v>56.465000152587891</v>
      </c>
      <c r="O1504" s="3" t="s">
        <v>315</v>
      </c>
      <c r="P1504" s="3" t="s">
        <v>4898</v>
      </c>
    </row>
    <row r="1505" spans="1:16" x14ac:dyDescent="0.3">
      <c r="A1505" s="3" t="s">
        <v>66</v>
      </c>
      <c r="B1505" s="3" t="s">
        <v>4922</v>
      </c>
      <c r="C1505" s="3" t="s">
        <v>87</v>
      </c>
      <c r="D1505" s="3" t="s">
        <v>30</v>
      </c>
      <c r="E1505" s="3" t="s">
        <v>31</v>
      </c>
      <c r="F1505" s="3" t="b">
        <v>1</v>
      </c>
      <c r="G1505" s="3" t="s">
        <v>140</v>
      </c>
      <c r="H1505" s="6">
        <v>44935.862754629627</v>
      </c>
      <c r="I1505" s="3" t="b">
        <v>0</v>
      </c>
      <c r="J1505" s="3" t="b">
        <v>0</v>
      </c>
      <c r="K1505" s="3" t="s">
        <v>33</v>
      </c>
      <c r="L1505" s="3" t="s">
        <v>34</v>
      </c>
      <c r="M1505" s="8">
        <v>205000</v>
      </c>
      <c r="N1505" s="11"/>
      <c r="O1505" s="3" t="s">
        <v>327</v>
      </c>
      <c r="P1505" s="3" t="s">
        <v>4923</v>
      </c>
    </row>
    <row r="1506" spans="1:16" x14ac:dyDescent="0.3">
      <c r="A1506" s="3" t="s">
        <v>66</v>
      </c>
      <c r="B1506" s="3" t="s">
        <v>4989</v>
      </c>
      <c r="C1506" s="3" t="s">
        <v>4990</v>
      </c>
      <c r="D1506" s="3" t="s">
        <v>41</v>
      </c>
      <c r="E1506" s="3" t="s">
        <v>31</v>
      </c>
      <c r="F1506" s="3" t="b">
        <v>0</v>
      </c>
      <c r="G1506" s="3" t="s">
        <v>58</v>
      </c>
      <c r="H1506" s="6">
        <v>44945.974143518521</v>
      </c>
      <c r="I1506" s="3" t="b">
        <v>0</v>
      </c>
      <c r="J1506" s="3" t="b">
        <v>0</v>
      </c>
      <c r="K1506" s="3" t="s">
        <v>33</v>
      </c>
      <c r="L1506" s="3" t="s">
        <v>34</v>
      </c>
      <c r="M1506" s="8">
        <v>102500</v>
      </c>
      <c r="N1506" s="11"/>
      <c r="O1506" s="3" t="s">
        <v>875</v>
      </c>
      <c r="P1506" s="3" t="s">
        <v>4991</v>
      </c>
    </row>
    <row r="1507" spans="1:16" x14ac:dyDescent="0.3">
      <c r="A1507" s="3" t="s">
        <v>66</v>
      </c>
      <c r="B1507" s="3" t="s">
        <v>5002</v>
      </c>
      <c r="C1507" s="3" t="s">
        <v>1547</v>
      </c>
      <c r="D1507" s="3" t="s">
        <v>41</v>
      </c>
      <c r="E1507" s="3" t="s">
        <v>31</v>
      </c>
      <c r="F1507" s="3" t="b">
        <v>0</v>
      </c>
      <c r="G1507" s="3" t="s">
        <v>1548</v>
      </c>
      <c r="H1507" s="6">
        <v>44936.987303240741</v>
      </c>
      <c r="I1507" s="3" t="b">
        <v>0</v>
      </c>
      <c r="J1507" s="3" t="b">
        <v>0</v>
      </c>
      <c r="K1507" s="3" t="s">
        <v>1548</v>
      </c>
      <c r="L1507" s="3" t="s">
        <v>34</v>
      </c>
      <c r="M1507" s="8">
        <v>147500</v>
      </c>
      <c r="N1507" s="11"/>
      <c r="O1507" s="3" t="s">
        <v>1549</v>
      </c>
      <c r="P1507" s="3" t="s">
        <v>180</v>
      </c>
    </row>
    <row r="1508" spans="1:16" x14ac:dyDescent="0.3">
      <c r="A1508" s="3" t="s">
        <v>66</v>
      </c>
      <c r="B1508" s="3" t="s">
        <v>5015</v>
      </c>
      <c r="C1508" s="3" t="s">
        <v>2109</v>
      </c>
      <c r="D1508" s="3" t="s">
        <v>41</v>
      </c>
      <c r="E1508" s="3" t="s">
        <v>31</v>
      </c>
      <c r="F1508" s="3" t="b">
        <v>0</v>
      </c>
      <c r="G1508" s="3" t="s">
        <v>69</v>
      </c>
      <c r="H1508" s="6">
        <v>44950.681631944448</v>
      </c>
      <c r="I1508" s="3" t="b">
        <v>0</v>
      </c>
      <c r="J1508" s="3" t="b">
        <v>0</v>
      </c>
      <c r="K1508" s="3" t="s">
        <v>69</v>
      </c>
      <c r="L1508" s="3" t="s">
        <v>34</v>
      </c>
      <c r="M1508" s="8">
        <v>147500</v>
      </c>
      <c r="N1508" s="11"/>
      <c r="O1508" s="3" t="s">
        <v>356</v>
      </c>
      <c r="P1508" s="3" t="s">
        <v>5016</v>
      </c>
    </row>
    <row r="1509" spans="1:16" x14ac:dyDescent="0.3">
      <c r="A1509" s="3" t="s">
        <v>66</v>
      </c>
      <c r="B1509" s="3" t="s">
        <v>5022</v>
      </c>
      <c r="C1509" s="3" t="s">
        <v>3057</v>
      </c>
      <c r="D1509" s="3" t="s">
        <v>41</v>
      </c>
      <c r="E1509" s="3" t="s">
        <v>31</v>
      </c>
      <c r="F1509" s="3" t="b">
        <v>0</v>
      </c>
      <c r="G1509" s="3" t="s">
        <v>317</v>
      </c>
      <c r="H1509" s="6">
        <v>44936.772060185183</v>
      </c>
      <c r="I1509" s="3" t="b">
        <v>1</v>
      </c>
      <c r="J1509" s="3" t="b">
        <v>0</v>
      </c>
      <c r="K1509" s="3" t="s">
        <v>317</v>
      </c>
      <c r="L1509" s="3" t="s">
        <v>34</v>
      </c>
      <c r="M1509" s="8">
        <v>147500</v>
      </c>
      <c r="N1509" s="11"/>
      <c r="O1509" s="3" t="s">
        <v>5023</v>
      </c>
      <c r="P1509" s="3" t="s">
        <v>5024</v>
      </c>
    </row>
    <row r="1510" spans="1:16" x14ac:dyDescent="0.3">
      <c r="A1510" s="3" t="s">
        <v>66</v>
      </c>
      <c r="B1510" s="3" t="s">
        <v>66</v>
      </c>
      <c r="C1510" s="3" t="s">
        <v>947</v>
      </c>
      <c r="D1510" s="3" t="s">
        <v>30</v>
      </c>
      <c r="E1510" s="3" t="s">
        <v>31</v>
      </c>
      <c r="F1510" s="3" t="b">
        <v>0</v>
      </c>
      <c r="G1510" s="3" t="s">
        <v>64</v>
      </c>
      <c r="H1510" s="6">
        <v>44930.338148148148</v>
      </c>
      <c r="I1510" s="3" t="b">
        <v>0</v>
      </c>
      <c r="J1510" s="3" t="b">
        <v>1</v>
      </c>
      <c r="K1510" s="3" t="s">
        <v>33</v>
      </c>
      <c r="L1510" s="3" t="s">
        <v>34</v>
      </c>
      <c r="M1510" s="8">
        <v>105000</v>
      </c>
      <c r="N1510" s="11"/>
      <c r="O1510" s="3" t="s">
        <v>158</v>
      </c>
      <c r="P1510" s="3" t="s">
        <v>948</v>
      </c>
    </row>
    <row r="1511" spans="1:16" x14ac:dyDescent="0.3">
      <c r="A1511" s="3" t="s">
        <v>66</v>
      </c>
      <c r="B1511" s="3" t="s">
        <v>5029</v>
      </c>
      <c r="C1511" s="3" t="s">
        <v>87</v>
      </c>
      <c r="D1511" s="3" t="s">
        <v>830</v>
      </c>
      <c r="E1511" s="3" t="s">
        <v>31</v>
      </c>
      <c r="F1511" s="3" t="b">
        <v>1</v>
      </c>
      <c r="G1511" s="3" t="s">
        <v>110</v>
      </c>
      <c r="H1511" s="6">
        <v>44946.988217592603</v>
      </c>
      <c r="I1511" s="3" t="b">
        <v>0</v>
      </c>
      <c r="J1511" s="3" t="b">
        <v>0</v>
      </c>
      <c r="K1511" s="3" t="s">
        <v>110</v>
      </c>
      <c r="L1511" s="3" t="s">
        <v>34</v>
      </c>
      <c r="M1511" s="8">
        <v>91000</v>
      </c>
      <c r="N1511" s="11"/>
      <c r="O1511" s="3" t="s">
        <v>5030</v>
      </c>
      <c r="P1511" s="3" t="s">
        <v>5031</v>
      </c>
    </row>
    <row r="1512" spans="1:16" x14ac:dyDescent="0.3">
      <c r="A1512" s="3" t="s">
        <v>66</v>
      </c>
      <c r="B1512" s="3" t="s">
        <v>66</v>
      </c>
      <c r="C1512" s="3" t="s">
        <v>5042</v>
      </c>
      <c r="D1512" s="3" t="s">
        <v>41</v>
      </c>
      <c r="E1512" s="3" t="s">
        <v>31</v>
      </c>
      <c r="F1512" s="3" t="b">
        <v>0</v>
      </c>
      <c r="G1512" s="3" t="s">
        <v>436</v>
      </c>
      <c r="H1512" s="6">
        <v>44936.353067129632</v>
      </c>
      <c r="I1512" s="3" t="b">
        <v>0</v>
      </c>
      <c r="J1512" s="3" t="b">
        <v>0</v>
      </c>
      <c r="K1512" s="3" t="s">
        <v>436</v>
      </c>
      <c r="L1512" s="3" t="s">
        <v>34</v>
      </c>
      <c r="M1512" s="8">
        <v>96760.5</v>
      </c>
      <c r="N1512" s="11"/>
      <c r="O1512" s="3" t="s">
        <v>5043</v>
      </c>
      <c r="P1512" s="3" t="s">
        <v>5044</v>
      </c>
    </row>
    <row r="1513" spans="1:16" x14ac:dyDescent="0.3">
      <c r="A1513" s="3" t="s">
        <v>66</v>
      </c>
      <c r="B1513" s="3" t="s">
        <v>5045</v>
      </c>
      <c r="C1513" s="3" t="s">
        <v>1524</v>
      </c>
      <c r="D1513" s="3" t="s">
        <v>76</v>
      </c>
      <c r="E1513" s="3" t="s">
        <v>31</v>
      </c>
      <c r="F1513" s="3" t="b">
        <v>0</v>
      </c>
      <c r="G1513" s="3" t="s">
        <v>64</v>
      </c>
      <c r="H1513" s="6">
        <v>44931.921064814807</v>
      </c>
      <c r="I1513" s="3" t="b">
        <v>1</v>
      </c>
      <c r="J1513" s="3" t="b">
        <v>0</v>
      </c>
      <c r="K1513" s="3" t="s">
        <v>33</v>
      </c>
      <c r="L1513" s="3" t="s">
        <v>34</v>
      </c>
      <c r="M1513" s="8">
        <v>106000</v>
      </c>
      <c r="N1513" s="11"/>
      <c r="O1513" s="3" t="s">
        <v>5046</v>
      </c>
      <c r="P1513" s="3" t="s">
        <v>3148</v>
      </c>
    </row>
    <row r="1514" spans="1:16" x14ac:dyDescent="0.3">
      <c r="A1514" s="3" t="s">
        <v>66</v>
      </c>
      <c r="B1514" s="3" t="s">
        <v>66</v>
      </c>
      <c r="C1514" s="3" t="s">
        <v>5054</v>
      </c>
      <c r="D1514" s="3" t="s">
        <v>41</v>
      </c>
      <c r="E1514" s="3" t="s">
        <v>31</v>
      </c>
      <c r="F1514" s="3" t="b">
        <v>0</v>
      </c>
      <c r="G1514" s="3" t="s">
        <v>651</v>
      </c>
      <c r="H1514" s="6">
        <v>44937.021493055552</v>
      </c>
      <c r="I1514" s="3" t="b">
        <v>1</v>
      </c>
      <c r="J1514" s="3" t="b">
        <v>0</v>
      </c>
      <c r="K1514" s="3" t="s">
        <v>651</v>
      </c>
      <c r="L1514" s="3" t="s">
        <v>34</v>
      </c>
      <c r="M1514" s="8">
        <v>96760.5</v>
      </c>
      <c r="N1514" s="11"/>
      <c r="O1514" s="3" t="s">
        <v>5055</v>
      </c>
      <c r="P1514" s="3" t="s">
        <v>5056</v>
      </c>
    </row>
    <row r="1515" spans="1:16" x14ac:dyDescent="0.3">
      <c r="A1515" s="3" t="s">
        <v>66</v>
      </c>
      <c r="B1515" s="3" t="s">
        <v>5076</v>
      </c>
      <c r="C1515" s="3" t="s">
        <v>2197</v>
      </c>
      <c r="D1515" s="3" t="s">
        <v>1253</v>
      </c>
      <c r="E1515" s="3" t="s">
        <v>31</v>
      </c>
      <c r="F1515" s="3" t="b">
        <v>0</v>
      </c>
      <c r="G1515" s="3" t="s">
        <v>1252</v>
      </c>
      <c r="H1515" s="6">
        <v>44929.994479166657</v>
      </c>
      <c r="I1515" s="3" t="b">
        <v>1</v>
      </c>
      <c r="J1515" s="3" t="b">
        <v>0</v>
      </c>
      <c r="K1515" s="3" t="s">
        <v>1252</v>
      </c>
      <c r="L1515" s="3" t="s">
        <v>48</v>
      </c>
      <c r="M1515" s="8"/>
      <c r="N1515" s="11">
        <v>20</v>
      </c>
      <c r="O1515" s="3" t="s">
        <v>3712</v>
      </c>
      <c r="P1515" s="3" t="s">
        <v>5077</v>
      </c>
    </row>
    <row r="1516" spans="1:16" x14ac:dyDescent="0.3">
      <c r="A1516" s="3" t="s">
        <v>66</v>
      </c>
      <c r="B1516" s="3" t="s">
        <v>66</v>
      </c>
      <c r="C1516" s="3" t="s">
        <v>417</v>
      </c>
      <c r="D1516" s="3" t="s">
        <v>30</v>
      </c>
      <c r="E1516" s="3" t="s">
        <v>31</v>
      </c>
      <c r="F1516" s="3" t="b">
        <v>0</v>
      </c>
      <c r="G1516" s="3" t="s">
        <v>110</v>
      </c>
      <c r="H1516" s="6">
        <v>44951.998611111107</v>
      </c>
      <c r="I1516" s="3" t="b">
        <v>0</v>
      </c>
      <c r="J1516" s="3" t="b">
        <v>0</v>
      </c>
      <c r="K1516" s="3" t="s">
        <v>110</v>
      </c>
      <c r="L1516" s="3" t="s">
        <v>34</v>
      </c>
      <c r="M1516" s="8">
        <v>120000</v>
      </c>
      <c r="N1516" s="11"/>
      <c r="O1516" s="3" t="s">
        <v>5085</v>
      </c>
      <c r="P1516" s="3" t="s">
        <v>5086</v>
      </c>
    </row>
    <row r="1517" spans="1:16" x14ac:dyDescent="0.3">
      <c r="A1517" s="3" t="s">
        <v>66</v>
      </c>
      <c r="B1517" s="3" t="s">
        <v>5099</v>
      </c>
      <c r="C1517" s="3" t="s">
        <v>109</v>
      </c>
      <c r="D1517" s="3" t="s">
        <v>4690</v>
      </c>
      <c r="E1517" s="3" t="s">
        <v>31</v>
      </c>
      <c r="F1517" s="3" t="b">
        <v>0</v>
      </c>
      <c r="G1517" s="3" t="s">
        <v>58</v>
      </c>
      <c r="H1517" s="6">
        <v>44929.981562499997</v>
      </c>
      <c r="I1517" s="3" t="b">
        <v>0</v>
      </c>
      <c r="J1517" s="3" t="b">
        <v>0</v>
      </c>
      <c r="K1517" s="3" t="s">
        <v>33</v>
      </c>
      <c r="L1517" s="3" t="s">
        <v>48</v>
      </c>
      <c r="M1517" s="8"/>
      <c r="N1517" s="11">
        <v>24</v>
      </c>
      <c r="O1517" s="3" t="s">
        <v>5100</v>
      </c>
      <c r="P1517" s="3"/>
    </row>
    <row r="1518" spans="1:16" x14ac:dyDescent="0.3">
      <c r="A1518" s="3" t="s">
        <v>66</v>
      </c>
      <c r="B1518" s="3" t="s">
        <v>5107</v>
      </c>
      <c r="C1518" s="3" t="s">
        <v>317</v>
      </c>
      <c r="D1518" s="3" t="s">
        <v>41</v>
      </c>
      <c r="E1518" s="3" t="s">
        <v>31</v>
      </c>
      <c r="F1518" s="3" t="b">
        <v>0</v>
      </c>
      <c r="G1518" s="3" t="s">
        <v>317</v>
      </c>
      <c r="H1518" s="6">
        <v>44957.220659722218</v>
      </c>
      <c r="I1518" s="3" t="b">
        <v>0</v>
      </c>
      <c r="J1518" s="3" t="b">
        <v>0</v>
      </c>
      <c r="K1518" s="3" t="s">
        <v>317</v>
      </c>
      <c r="L1518" s="3" t="s">
        <v>34</v>
      </c>
      <c r="M1518" s="8">
        <v>147500</v>
      </c>
      <c r="N1518" s="11"/>
      <c r="O1518" s="3" t="s">
        <v>5108</v>
      </c>
      <c r="P1518" s="3" t="s">
        <v>5109</v>
      </c>
    </row>
    <row r="1519" spans="1:16" x14ac:dyDescent="0.3">
      <c r="A1519" s="3" t="s">
        <v>66</v>
      </c>
      <c r="B1519" s="3" t="s">
        <v>1958</v>
      </c>
      <c r="C1519" s="3" t="s">
        <v>33</v>
      </c>
      <c r="D1519" s="3" t="s">
        <v>390</v>
      </c>
      <c r="E1519" s="3" t="s">
        <v>31</v>
      </c>
      <c r="F1519" s="3" t="b">
        <v>0</v>
      </c>
      <c r="G1519" s="3" t="s">
        <v>32</v>
      </c>
      <c r="H1519" s="6">
        <v>44938.340358796297</v>
      </c>
      <c r="I1519" s="3" t="b">
        <v>0</v>
      </c>
      <c r="J1519" s="3" t="b">
        <v>1</v>
      </c>
      <c r="K1519" s="3" t="s">
        <v>33</v>
      </c>
      <c r="L1519" s="3" t="s">
        <v>34</v>
      </c>
      <c r="M1519" s="8">
        <v>138200</v>
      </c>
      <c r="N1519" s="11"/>
      <c r="O1519" s="3" t="s">
        <v>228</v>
      </c>
      <c r="P1519" s="3" t="s">
        <v>229</v>
      </c>
    </row>
    <row r="1520" spans="1:16" x14ac:dyDescent="0.3">
      <c r="A1520" s="3" t="s">
        <v>66</v>
      </c>
      <c r="B1520" s="3" t="s">
        <v>611</v>
      </c>
      <c r="C1520" s="3" t="s">
        <v>33</v>
      </c>
      <c r="D1520" s="3" t="s">
        <v>860</v>
      </c>
      <c r="E1520" s="3" t="s">
        <v>31</v>
      </c>
      <c r="F1520" s="3" t="b">
        <v>0</v>
      </c>
      <c r="G1520" s="3" t="s">
        <v>32</v>
      </c>
      <c r="H1520" s="6">
        <v>44957.379421296297</v>
      </c>
      <c r="I1520" s="3" t="b">
        <v>0</v>
      </c>
      <c r="J1520" s="3" t="b">
        <v>1</v>
      </c>
      <c r="K1520" s="3" t="s">
        <v>33</v>
      </c>
      <c r="L1520" s="3" t="s">
        <v>34</v>
      </c>
      <c r="M1520" s="8">
        <v>221000</v>
      </c>
      <c r="N1520" s="11"/>
      <c r="O1520" s="3" t="s">
        <v>5225</v>
      </c>
      <c r="P1520" s="3" t="s">
        <v>5226</v>
      </c>
    </row>
    <row r="1521" spans="1:16" x14ac:dyDescent="0.3">
      <c r="A1521" s="3" t="s">
        <v>66</v>
      </c>
      <c r="B1521" s="3" t="s">
        <v>66</v>
      </c>
      <c r="C1521" s="3" t="s">
        <v>173</v>
      </c>
      <c r="D1521" s="3" t="s">
        <v>41</v>
      </c>
      <c r="E1521" s="3" t="s">
        <v>133</v>
      </c>
      <c r="F1521" s="3" t="b">
        <v>0</v>
      </c>
      <c r="G1521" s="3" t="s">
        <v>140</v>
      </c>
      <c r="H1521" s="6">
        <v>44951.652789351851</v>
      </c>
      <c r="I1521" s="3" t="b">
        <v>0</v>
      </c>
      <c r="J1521" s="3" t="b">
        <v>0</v>
      </c>
      <c r="K1521" s="3" t="s">
        <v>33</v>
      </c>
      <c r="L1521" s="3" t="s">
        <v>34</v>
      </c>
      <c r="M1521" s="8">
        <v>98283</v>
      </c>
      <c r="N1521" s="11"/>
      <c r="O1521" s="3" t="s">
        <v>1111</v>
      </c>
      <c r="P1521" s="3" t="s">
        <v>5301</v>
      </c>
    </row>
    <row r="1522" spans="1:16" x14ac:dyDescent="0.3">
      <c r="A1522" s="3" t="s">
        <v>66</v>
      </c>
      <c r="B1522" s="3" t="s">
        <v>66</v>
      </c>
      <c r="C1522" s="3" t="s">
        <v>1649</v>
      </c>
      <c r="D1522" s="3" t="s">
        <v>76</v>
      </c>
      <c r="E1522" s="3" t="s">
        <v>31</v>
      </c>
      <c r="F1522" s="3" t="b">
        <v>0</v>
      </c>
      <c r="G1522" s="3" t="s">
        <v>64</v>
      </c>
      <c r="H1522" s="6">
        <v>44927.254664351851</v>
      </c>
      <c r="I1522" s="3" t="b">
        <v>1</v>
      </c>
      <c r="J1522" s="3" t="b">
        <v>0</v>
      </c>
      <c r="K1522" s="3" t="s">
        <v>33</v>
      </c>
      <c r="L1522" s="3" t="s">
        <v>34</v>
      </c>
      <c r="M1522" s="8">
        <v>165000</v>
      </c>
      <c r="N1522" s="11"/>
      <c r="O1522" s="3" t="s">
        <v>80</v>
      </c>
      <c r="P1522" s="3" t="s">
        <v>5357</v>
      </c>
    </row>
    <row r="1523" spans="1:16" x14ac:dyDescent="0.3">
      <c r="A1523" s="3" t="s">
        <v>66</v>
      </c>
      <c r="B1523" s="3" t="s">
        <v>66</v>
      </c>
      <c r="C1523" s="3" t="s">
        <v>896</v>
      </c>
      <c r="D1523" s="3" t="s">
        <v>41</v>
      </c>
      <c r="E1523" s="3" t="s">
        <v>31</v>
      </c>
      <c r="F1523" s="3" t="b">
        <v>0</v>
      </c>
      <c r="G1523" s="3" t="s">
        <v>897</v>
      </c>
      <c r="H1523" s="6">
        <v>44939.469247685192</v>
      </c>
      <c r="I1523" s="3" t="b">
        <v>1</v>
      </c>
      <c r="J1523" s="3" t="b">
        <v>0</v>
      </c>
      <c r="K1523" s="3" t="s">
        <v>897</v>
      </c>
      <c r="L1523" s="3" t="s">
        <v>34</v>
      </c>
      <c r="M1523" s="8">
        <v>96760.5</v>
      </c>
      <c r="N1523" s="11"/>
      <c r="O1523" s="3" t="s">
        <v>5368</v>
      </c>
      <c r="P1523" s="3" t="s">
        <v>5369</v>
      </c>
    </row>
    <row r="1524" spans="1:16" x14ac:dyDescent="0.3">
      <c r="A1524" s="3" t="s">
        <v>66</v>
      </c>
      <c r="B1524" s="3" t="s">
        <v>66</v>
      </c>
      <c r="C1524" s="3" t="s">
        <v>2039</v>
      </c>
      <c r="D1524" s="3" t="s">
        <v>41</v>
      </c>
      <c r="E1524" s="3" t="s">
        <v>31</v>
      </c>
      <c r="F1524" s="3" t="b">
        <v>0</v>
      </c>
      <c r="G1524" s="3" t="s">
        <v>651</v>
      </c>
      <c r="H1524" s="6">
        <v>44943.511041666658</v>
      </c>
      <c r="I1524" s="3" t="b">
        <v>0</v>
      </c>
      <c r="J1524" s="3" t="b">
        <v>0</v>
      </c>
      <c r="K1524" s="3" t="s">
        <v>651</v>
      </c>
      <c r="L1524" s="3" t="s">
        <v>34</v>
      </c>
      <c r="M1524" s="8">
        <v>96773</v>
      </c>
      <c r="N1524" s="11"/>
      <c r="O1524" s="3" t="s">
        <v>2956</v>
      </c>
      <c r="P1524" s="3" t="s">
        <v>5375</v>
      </c>
    </row>
    <row r="1525" spans="1:16" x14ac:dyDescent="0.3">
      <c r="A1525" s="3" t="s">
        <v>66</v>
      </c>
      <c r="B1525" s="3" t="s">
        <v>343</v>
      </c>
      <c r="C1525" s="3" t="s">
        <v>5403</v>
      </c>
      <c r="D1525" s="3" t="s">
        <v>93</v>
      </c>
      <c r="E1525" s="3" t="s">
        <v>31</v>
      </c>
      <c r="F1525" s="3" t="b">
        <v>0</v>
      </c>
      <c r="G1525" s="3" t="s">
        <v>317</v>
      </c>
      <c r="H1525" s="6">
        <v>44945.333819444437</v>
      </c>
      <c r="I1525" s="3" t="b">
        <v>0</v>
      </c>
      <c r="J1525" s="3" t="b">
        <v>0</v>
      </c>
      <c r="K1525" s="3" t="s">
        <v>317</v>
      </c>
      <c r="L1525" s="3" t="s">
        <v>34</v>
      </c>
      <c r="M1525" s="8">
        <v>90000</v>
      </c>
      <c r="N1525" s="11"/>
      <c r="O1525" s="3" t="s">
        <v>1873</v>
      </c>
      <c r="P1525" s="3" t="s">
        <v>5404</v>
      </c>
    </row>
    <row r="1526" spans="1:16" x14ac:dyDescent="0.3">
      <c r="A1526" s="3" t="s">
        <v>66</v>
      </c>
      <c r="B1526" s="3" t="s">
        <v>5405</v>
      </c>
      <c r="C1526" s="3" t="s">
        <v>29</v>
      </c>
      <c r="D1526" s="3" t="s">
        <v>41</v>
      </c>
      <c r="E1526" s="3" t="s">
        <v>31</v>
      </c>
      <c r="F1526" s="3" t="b">
        <v>0</v>
      </c>
      <c r="G1526" s="3" t="s">
        <v>32</v>
      </c>
      <c r="H1526" s="6">
        <v>44936.45894675926</v>
      </c>
      <c r="I1526" s="3" t="b">
        <v>0</v>
      </c>
      <c r="J1526" s="3" t="b">
        <v>1</v>
      </c>
      <c r="K1526" s="3" t="s">
        <v>33</v>
      </c>
      <c r="L1526" s="3" t="s">
        <v>34</v>
      </c>
      <c r="M1526" s="8">
        <v>243000</v>
      </c>
      <c r="N1526" s="11"/>
      <c r="O1526" s="3" t="s">
        <v>382</v>
      </c>
      <c r="P1526" s="3" t="s">
        <v>5406</v>
      </c>
    </row>
    <row r="1527" spans="1:16" x14ac:dyDescent="0.3">
      <c r="A1527" s="3" t="s">
        <v>66</v>
      </c>
      <c r="B1527" s="3" t="s">
        <v>5411</v>
      </c>
      <c r="C1527" s="3" t="s">
        <v>3202</v>
      </c>
      <c r="D1527" s="3" t="s">
        <v>3203</v>
      </c>
      <c r="E1527" s="3" t="s">
        <v>31</v>
      </c>
      <c r="F1527" s="3" t="b">
        <v>0</v>
      </c>
      <c r="G1527" s="3" t="s">
        <v>1171</v>
      </c>
      <c r="H1527" s="6">
        <v>44929.993842592587</v>
      </c>
      <c r="I1527" s="3" t="b">
        <v>1</v>
      </c>
      <c r="J1527" s="3" t="b">
        <v>0</v>
      </c>
      <c r="K1527" s="3" t="s">
        <v>1171</v>
      </c>
      <c r="L1527" s="3" t="s">
        <v>48</v>
      </c>
      <c r="M1527" s="8"/>
      <c r="N1527" s="11">
        <v>20</v>
      </c>
      <c r="O1527" s="3" t="s">
        <v>5412</v>
      </c>
      <c r="P1527" s="3" t="s">
        <v>5413</v>
      </c>
    </row>
    <row r="1528" spans="1:16" x14ac:dyDescent="0.3">
      <c r="A1528" s="3" t="s">
        <v>66</v>
      </c>
      <c r="B1528" s="3" t="s">
        <v>66</v>
      </c>
      <c r="C1528" s="3" t="s">
        <v>454</v>
      </c>
      <c r="D1528" s="3" t="s">
        <v>41</v>
      </c>
      <c r="E1528" s="3" t="s">
        <v>31</v>
      </c>
      <c r="F1528" s="3" t="b">
        <v>0</v>
      </c>
      <c r="G1528" s="3" t="s">
        <v>455</v>
      </c>
      <c r="H1528" s="6">
        <v>44931.566805555558</v>
      </c>
      <c r="I1528" s="3" t="b">
        <v>1</v>
      </c>
      <c r="J1528" s="3" t="b">
        <v>0</v>
      </c>
      <c r="K1528" s="3" t="s">
        <v>455</v>
      </c>
      <c r="L1528" s="3" t="s">
        <v>34</v>
      </c>
      <c r="M1528" s="8">
        <v>96760.5</v>
      </c>
      <c r="N1528" s="11"/>
      <c r="O1528" s="3" t="s">
        <v>5467</v>
      </c>
      <c r="P1528" s="3" t="s">
        <v>5468</v>
      </c>
    </row>
    <row r="1529" spans="1:16" x14ac:dyDescent="0.3">
      <c r="A1529" s="3" t="s">
        <v>66</v>
      </c>
      <c r="B1529" s="3" t="s">
        <v>5519</v>
      </c>
      <c r="C1529" s="3" t="s">
        <v>565</v>
      </c>
      <c r="D1529" s="3" t="s">
        <v>30</v>
      </c>
      <c r="E1529" s="3" t="s">
        <v>31</v>
      </c>
      <c r="F1529" s="3" t="b">
        <v>0</v>
      </c>
      <c r="G1529" s="3" t="s">
        <v>140</v>
      </c>
      <c r="H1529" s="6">
        <v>44936.91615740741</v>
      </c>
      <c r="I1529" s="3" t="b">
        <v>0</v>
      </c>
      <c r="J1529" s="3" t="b">
        <v>0</v>
      </c>
      <c r="K1529" s="3" t="s">
        <v>33</v>
      </c>
      <c r="L1529" s="3" t="s">
        <v>34</v>
      </c>
      <c r="M1529" s="8">
        <v>103000</v>
      </c>
      <c r="N1529" s="11"/>
      <c r="O1529" s="3" t="s">
        <v>4189</v>
      </c>
      <c r="P1529" s="3" t="s">
        <v>5520</v>
      </c>
    </row>
    <row r="1530" spans="1:16" x14ac:dyDescent="0.3">
      <c r="A1530" s="3" t="s">
        <v>66</v>
      </c>
      <c r="B1530" s="3" t="s">
        <v>66</v>
      </c>
      <c r="C1530" s="3" t="s">
        <v>406</v>
      </c>
      <c r="D1530" s="3" t="s">
        <v>41</v>
      </c>
      <c r="E1530" s="3" t="s">
        <v>31</v>
      </c>
      <c r="F1530" s="3" t="b">
        <v>0</v>
      </c>
      <c r="G1530" s="3" t="s">
        <v>407</v>
      </c>
      <c r="H1530" s="6">
        <v>44937.767812500002</v>
      </c>
      <c r="I1530" s="3" t="b">
        <v>0</v>
      </c>
      <c r="J1530" s="3" t="b">
        <v>0</v>
      </c>
      <c r="K1530" s="3" t="s">
        <v>407</v>
      </c>
      <c r="L1530" s="3" t="s">
        <v>34</v>
      </c>
      <c r="M1530" s="8">
        <v>96760.5</v>
      </c>
      <c r="N1530" s="11"/>
      <c r="O1530" s="3" t="s">
        <v>5525</v>
      </c>
      <c r="P1530" s="3" t="s">
        <v>5526</v>
      </c>
    </row>
    <row r="1531" spans="1:16" x14ac:dyDescent="0.3">
      <c r="A1531" s="3" t="s">
        <v>66</v>
      </c>
      <c r="B1531" s="3" t="s">
        <v>66</v>
      </c>
      <c r="C1531" s="3" t="s">
        <v>87</v>
      </c>
      <c r="D1531" s="3" t="s">
        <v>30</v>
      </c>
      <c r="E1531" s="3" t="s">
        <v>133</v>
      </c>
      <c r="F1531" s="3" t="b">
        <v>1</v>
      </c>
      <c r="G1531" s="3" t="s">
        <v>317</v>
      </c>
      <c r="H1531" s="6">
        <v>44956.59584490741</v>
      </c>
      <c r="I1531" s="3" t="b">
        <v>1</v>
      </c>
      <c r="J1531" s="3" t="b">
        <v>0</v>
      </c>
      <c r="K1531" s="3" t="s">
        <v>317</v>
      </c>
      <c r="L1531" s="3" t="s">
        <v>48</v>
      </c>
      <c r="M1531" s="8"/>
      <c r="N1531" s="11">
        <v>54</v>
      </c>
      <c r="O1531" s="3" t="s">
        <v>5535</v>
      </c>
      <c r="P1531" s="3" t="s">
        <v>5536</v>
      </c>
    </row>
    <row r="1532" spans="1:16" x14ac:dyDescent="0.3">
      <c r="A1532" s="3" t="s">
        <v>66</v>
      </c>
      <c r="B1532" s="3" t="s">
        <v>66</v>
      </c>
      <c r="C1532" s="3" t="s">
        <v>565</v>
      </c>
      <c r="D1532" s="3" t="s">
        <v>41</v>
      </c>
      <c r="E1532" s="3" t="s">
        <v>31</v>
      </c>
      <c r="F1532" s="3" t="b">
        <v>0</v>
      </c>
      <c r="G1532" s="3" t="s">
        <v>88</v>
      </c>
      <c r="H1532" s="6">
        <v>44938.880810185183</v>
      </c>
      <c r="I1532" s="3" t="b">
        <v>0</v>
      </c>
      <c r="J1532" s="3" t="b">
        <v>1</v>
      </c>
      <c r="K1532" s="3" t="s">
        <v>33</v>
      </c>
      <c r="L1532" s="3" t="s">
        <v>34</v>
      </c>
      <c r="M1532" s="8">
        <v>87500</v>
      </c>
      <c r="N1532" s="11"/>
      <c r="O1532" s="3" t="s">
        <v>875</v>
      </c>
      <c r="P1532" s="3" t="s">
        <v>5567</v>
      </c>
    </row>
    <row r="1533" spans="1:16" x14ac:dyDescent="0.3">
      <c r="A1533" s="3" t="s">
        <v>66</v>
      </c>
      <c r="B1533" s="3" t="s">
        <v>5568</v>
      </c>
      <c r="C1533" s="3" t="s">
        <v>3057</v>
      </c>
      <c r="D1533" s="3" t="s">
        <v>41</v>
      </c>
      <c r="E1533" s="3" t="s">
        <v>31</v>
      </c>
      <c r="F1533" s="3" t="b">
        <v>0</v>
      </c>
      <c r="G1533" s="3" t="s">
        <v>317</v>
      </c>
      <c r="H1533" s="6">
        <v>44952.036574074067</v>
      </c>
      <c r="I1533" s="3" t="b">
        <v>0</v>
      </c>
      <c r="J1533" s="3" t="b">
        <v>0</v>
      </c>
      <c r="K1533" s="3" t="s">
        <v>317</v>
      </c>
      <c r="L1533" s="3" t="s">
        <v>34</v>
      </c>
      <c r="M1533" s="8">
        <v>147500</v>
      </c>
      <c r="N1533" s="11"/>
      <c r="O1533" s="3" t="s">
        <v>3354</v>
      </c>
      <c r="P1533" s="3" t="s">
        <v>5569</v>
      </c>
    </row>
    <row r="1534" spans="1:16" x14ac:dyDescent="0.3">
      <c r="A1534" s="3" t="s">
        <v>66</v>
      </c>
      <c r="B1534" s="3" t="s">
        <v>484</v>
      </c>
      <c r="C1534" s="3" t="s">
        <v>5607</v>
      </c>
      <c r="D1534" s="3" t="s">
        <v>93</v>
      </c>
      <c r="E1534" s="3" t="s">
        <v>31</v>
      </c>
      <c r="F1534" s="3" t="b">
        <v>0</v>
      </c>
      <c r="G1534" s="3" t="s">
        <v>110</v>
      </c>
      <c r="H1534" s="6">
        <v>44944.284687500003</v>
      </c>
      <c r="I1534" s="3" t="b">
        <v>0</v>
      </c>
      <c r="J1534" s="3" t="b">
        <v>1</v>
      </c>
      <c r="K1534" s="3" t="s">
        <v>110</v>
      </c>
      <c r="L1534" s="3" t="s">
        <v>34</v>
      </c>
      <c r="M1534" s="8">
        <v>115000</v>
      </c>
      <c r="N1534" s="11"/>
      <c r="O1534" s="3" t="s">
        <v>5608</v>
      </c>
      <c r="P1534" s="3" t="s">
        <v>1073</v>
      </c>
    </row>
    <row r="1535" spans="1:16" x14ac:dyDescent="0.3">
      <c r="A1535" s="3" t="s">
        <v>66</v>
      </c>
      <c r="B1535" s="3" t="s">
        <v>5674</v>
      </c>
      <c r="C1535" s="3" t="s">
        <v>3504</v>
      </c>
      <c r="D1535" s="3" t="s">
        <v>93</v>
      </c>
      <c r="E1535" s="3" t="s">
        <v>31</v>
      </c>
      <c r="F1535" s="3" t="b">
        <v>0</v>
      </c>
      <c r="G1535" s="3" t="s">
        <v>140</v>
      </c>
      <c r="H1535" s="6">
        <v>44935.285613425927</v>
      </c>
      <c r="I1535" s="3" t="b">
        <v>0</v>
      </c>
      <c r="J1535" s="3" t="b">
        <v>0</v>
      </c>
      <c r="K1535" s="3" t="s">
        <v>33</v>
      </c>
      <c r="L1535" s="3" t="s">
        <v>34</v>
      </c>
      <c r="M1535" s="8">
        <v>90000</v>
      </c>
      <c r="N1535" s="11"/>
      <c r="O1535" s="3" t="s">
        <v>5675</v>
      </c>
      <c r="P1535" s="3" t="s">
        <v>5676</v>
      </c>
    </row>
    <row r="1536" spans="1:16" x14ac:dyDescent="0.3">
      <c r="A1536" s="3" t="s">
        <v>66</v>
      </c>
      <c r="B1536" s="3" t="s">
        <v>66</v>
      </c>
      <c r="C1536" s="3" t="s">
        <v>1324</v>
      </c>
      <c r="D1536" s="3" t="s">
        <v>41</v>
      </c>
      <c r="E1536" s="3" t="s">
        <v>31</v>
      </c>
      <c r="F1536" s="3" t="b">
        <v>0</v>
      </c>
      <c r="G1536" s="3" t="s">
        <v>1324</v>
      </c>
      <c r="H1536" s="6">
        <v>44931.115868055553</v>
      </c>
      <c r="I1536" s="3" t="b">
        <v>1</v>
      </c>
      <c r="J1536" s="3" t="b">
        <v>0</v>
      </c>
      <c r="K1536" s="3" t="s">
        <v>1324</v>
      </c>
      <c r="L1536" s="3" t="s">
        <v>34</v>
      </c>
      <c r="M1536" s="8">
        <v>98301.5</v>
      </c>
      <c r="N1536" s="11"/>
      <c r="O1536" s="3" t="s">
        <v>875</v>
      </c>
      <c r="P1536" s="3" t="s">
        <v>5799</v>
      </c>
    </row>
    <row r="1537" spans="1:16" x14ac:dyDescent="0.3">
      <c r="A1537" s="3" t="s">
        <v>66</v>
      </c>
      <c r="B1537" s="3" t="s">
        <v>66</v>
      </c>
      <c r="C1537" s="3" t="s">
        <v>4866</v>
      </c>
      <c r="D1537" s="3" t="s">
        <v>3203</v>
      </c>
      <c r="E1537" s="3" t="s">
        <v>31</v>
      </c>
      <c r="F1537" s="3" t="b">
        <v>0</v>
      </c>
      <c r="G1537" s="3" t="s">
        <v>1171</v>
      </c>
      <c r="H1537" s="6">
        <v>44929.993819444448</v>
      </c>
      <c r="I1537" s="3" t="b">
        <v>1</v>
      </c>
      <c r="J1537" s="3" t="b">
        <v>0</v>
      </c>
      <c r="K1537" s="3" t="s">
        <v>1171</v>
      </c>
      <c r="L1537" s="3" t="s">
        <v>48</v>
      </c>
      <c r="M1537" s="8"/>
      <c r="N1537" s="11">
        <v>20</v>
      </c>
      <c r="O1537" s="3" t="s">
        <v>5805</v>
      </c>
      <c r="P1537" s="3" t="s">
        <v>374</v>
      </c>
    </row>
    <row r="1538" spans="1:16" x14ac:dyDescent="0.3">
      <c r="A1538" s="3" t="s">
        <v>66</v>
      </c>
      <c r="B1538" s="3" t="s">
        <v>66</v>
      </c>
      <c r="C1538" s="3" t="s">
        <v>3057</v>
      </c>
      <c r="D1538" s="3" t="s">
        <v>93</v>
      </c>
      <c r="E1538" s="3" t="s">
        <v>31</v>
      </c>
      <c r="F1538" s="3" t="b">
        <v>0</v>
      </c>
      <c r="G1538" s="3" t="s">
        <v>317</v>
      </c>
      <c r="H1538" s="6">
        <v>44941.303055555552</v>
      </c>
      <c r="I1538" s="3" t="b">
        <v>0</v>
      </c>
      <c r="J1538" s="3" t="b">
        <v>0</v>
      </c>
      <c r="K1538" s="3" t="s">
        <v>317</v>
      </c>
      <c r="L1538" s="3" t="s">
        <v>34</v>
      </c>
      <c r="M1538" s="8">
        <v>90000</v>
      </c>
      <c r="N1538" s="11"/>
      <c r="O1538" s="3" t="s">
        <v>1873</v>
      </c>
      <c r="P1538" s="3" t="s">
        <v>5941</v>
      </c>
    </row>
    <row r="1539" spans="1:16" x14ac:dyDescent="0.3">
      <c r="A1539" s="3" t="s">
        <v>66</v>
      </c>
      <c r="B1539" s="3" t="s">
        <v>5985</v>
      </c>
      <c r="C1539" s="3" t="s">
        <v>603</v>
      </c>
      <c r="D1539" s="3" t="s">
        <v>41</v>
      </c>
      <c r="E1539" s="3" t="s">
        <v>31</v>
      </c>
      <c r="F1539" s="3" t="b">
        <v>0</v>
      </c>
      <c r="G1539" s="3" t="s">
        <v>69</v>
      </c>
      <c r="H1539" s="6">
        <v>44938.614351851851</v>
      </c>
      <c r="I1539" s="3" t="b">
        <v>0</v>
      </c>
      <c r="J1539" s="3" t="b">
        <v>0</v>
      </c>
      <c r="K1539" s="3" t="s">
        <v>69</v>
      </c>
      <c r="L1539" s="3" t="s">
        <v>34</v>
      </c>
      <c r="M1539" s="8">
        <v>98301.5</v>
      </c>
      <c r="N1539" s="11"/>
      <c r="O1539" s="3" t="s">
        <v>70</v>
      </c>
      <c r="P1539" s="3" t="s">
        <v>3003</v>
      </c>
    </row>
    <row r="1540" spans="1:16" x14ac:dyDescent="0.3">
      <c r="A1540" s="3" t="s">
        <v>66</v>
      </c>
      <c r="B1540" s="3" t="s">
        <v>6045</v>
      </c>
      <c r="C1540" s="3" t="s">
        <v>1145</v>
      </c>
      <c r="D1540" s="3" t="s">
        <v>30</v>
      </c>
      <c r="E1540" s="3" t="s">
        <v>133</v>
      </c>
      <c r="F1540" s="3" t="b">
        <v>0</v>
      </c>
      <c r="G1540" s="3" t="s">
        <v>84</v>
      </c>
      <c r="H1540" s="6">
        <v>44930.793310185189</v>
      </c>
      <c r="I1540" s="3" t="b">
        <v>0</v>
      </c>
      <c r="J1540" s="3" t="b">
        <v>0</v>
      </c>
      <c r="K1540" s="3" t="s">
        <v>33</v>
      </c>
      <c r="L1540" s="3" t="s">
        <v>48</v>
      </c>
      <c r="M1540" s="8"/>
      <c r="N1540" s="11">
        <v>36.5</v>
      </c>
      <c r="O1540" s="3" t="s">
        <v>6046</v>
      </c>
      <c r="P1540" s="3" t="s">
        <v>313</v>
      </c>
    </row>
    <row r="1541" spans="1:16" x14ac:dyDescent="0.3">
      <c r="A1541" s="3" t="s">
        <v>66</v>
      </c>
      <c r="B1541" s="3" t="s">
        <v>3553</v>
      </c>
      <c r="C1541" s="3" t="s">
        <v>87</v>
      </c>
      <c r="D1541" s="3" t="s">
        <v>53</v>
      </c>
      <c r="E1541" s="3" t="s">
        <v>31</v>
      </c>
      <c r="F1541" s="3" t="b">
        <v>1</v>
      </c>
      <c r="G1541" s="3" t="s">
        <v>88</v>
      </c>
      <c r="H1541" s="6">
        <v>44935.670694444438</v>
      </c>
      <c r="I1541" s="3" t="b">
        <v>0</v>
      </c>
      <c r="J1541" s="3" t="b">
        <v>0</v>
      </c>
      <c r="K1541" s="3" t="s">
        <v>33</v>
      </c>
      <c r="L1541" s="3" t="s">
        <v>34</v>
      </c>
      <c r="M1541" s="8">
        <v>130000</v>
      </c>
      <c r="N1541" s="11"/>
      <c r="O1541" s="3" t="s">
        <v>6066</v>
      </c>
      <c r="P1541" s="3" t="s">
        <v>2428</v>
      </c>
    </row>
    <row r="1542" spans="1:16" x14ac:dyDescent="0.3">
      <c r="A1542" s="3" t="s">
        <v>66</v>
      </c>
      <c r="B1542" s="3" t="s">
        <v>6070</v>
      </c>
      <c r="C1542" s="3" t="s">
        <v>178</v>
      </c>
      <c r="D1542" s="3" t="s">
        <v>41</v>
      </c>
      <c r="E1542" s="3" t="s">
        <v>31</v>
      </c>
      <c r="F1542" s="3" t="b">
        <v>0</v>
      </c>
      <c r="G1542" s="3" t="s">
        <v>32</v>
      </c>
      <c r="H1542" s="6">
        <v>44938.211712962962</v>
      </c>
      <c r="I1542" s="3" t="b">
        <v>0</v>
      </c>
      <c r="J1542" s="3" t="b">
        <v>0</v>
      </c>
      <c r="K1542" s="3" t="s">
        <v>33</v>
      </c>
      <c r="L1542" s="3" t="s">
        <v>34</v>
      </c>
      <c r="M1542" s="8">
        <v>209000</v>
      </c>
      <c r="N1542" s="11"/>
      <c r="O1542" s="3" t="s">
        <v>1746</v>
      </c>
      <c r="P1542" s="3" t="s">
        <v>6071</v>
      </c>
    </row>
    <row r="1543" spans="1:16" x14ac:dyDescent="0.3">
      <c r="A1543" s="3" t="s">
        <v>66</v>
      </c>
      <c r="B1543" s="3" t="s">
        <v>6143</v>
      </c>
      <c r="C1543" s="3" t="s">
        <v>87</v>
      </c>
      <c r="D1543" s="3" t="s">
        <v>830</v>
      </c>
      <c r="E1543" s="3" t="s">
        <v>31</v>
      </c>
      <c r="F1543" s="3" t="b">
        <v>1</v>
      </c>
      <c r="G1543" s="3" t="s">
        <v>651</v>
      </c>
      <c r="H1543" s="6">
        <v>44950.762094907397</v>
      </c>
      <c r="I1543" s="3" t="b">
        <v>0</v>
      </c>
      <c r="J1543" s="3" t="b">
        <v>0</v>
      </c>
      <c r="K1543" s="3" t="s">
        <v>651</v>
      </c>
      <c r="L1543" s="3" t="s">
        <v>34</v>
      </c>
      <c r="M1543" s="8">
        <v>50000</v>
      </c>
      <c r="N1543" s="11"/>
      <c r="O1543" s="3" t="s">
        <v>6144</v>
      </c>
      <c r="P1543" s="3" t="s">
        <v>328</v>
      </c>
    </row>
    <row r="1544" spans="1:16" x14ac:dyDescent="0.3">
      <c r="A1544" s="3" t="s">
        <v>66</v>
      </c>
      <c r="B1544" s="3" t="s">
        <v>66</v>
      </c>
      <c r="C1544" s="3" t="s">
        <v>3057</v>
      </c>
      <c r="D1544" s="3" t="s">
        <v>93</v>
      </c>
      <c r="E1544" s="3" t="s">
        <v>31</v>
      </c>
      <c r="F1544" s="3" t="b">
        <v>0</v>
      </c>
      <c r="G1544" s="3" t="s">
        <v>317</v>
      </c>
      <c r="H1544" s="6">
        <v>44945.29215277778</v>
      </c>
      <c r="I1544" s="3" t="b">
        <v>0</v>
      </c>
      <c r="J1544" s="3" t="b">
        <v>0</v>
      </c>
      <c r="K1544" s="3" t="s">
        <v>317</v>
      </c>
      <c r="L1544" s="3" t="s">
        <v>34</v>
      </c>
      <c r="M1544" s="8">
        <v>125000</v>
      </c>
      <c r="N1544" s="11"/>
      <c r="O1544" s="3" t="s">
        <v>6184</v>
      </c>
      <c r="P1544" s="3" t="s">
        <v>6185</v>
      </c>
    </row>
    <row r="1545" spans="1:16" x14ac:dyDescent="0.3">
      <c r="A1545" s="3" t="s">
        <v>66</v>
      </c>
      <c r="B1545" s="3" t="s">
        <v>6189</v>
      </c>
      <c r="C1545" s="3" t="s">
        <v>903</v>
      </c>
      <c r="D1545" s="3" t="s">
        <v>41</v>
      </c>
      <c r="E1545" s="3" t="s">
        <v>31</v>
      </c>
      <c r="F1545" s="3" t="b">
        <v>0</v>
      </c>
      <c r="G1545" s="3" t="s">
        <v>436</v>
      </c>
      <c r="H1545" s="6">
        <v>44939.884722222218</v>
      </c>
      <c r="I1545" s="3" t="b">
        <v>1</v>
      </c>
      <c r="J1545" s="3" t="b">
        <v>0</v>
      </c>
      <c r="K1545" s="3" t="s">
        <v>436</v>
      </c>
      <c r="L1545" s="3" t="s">
        <v>34</v>
      </c>
      <c r="M1545" s="8">
        <v>45000</v>
      </c>
      <c r="N1545" s="11"/>
      <c r="O1545" s="3" t="s">
        <v>1379</v>
      </c>
      <c r="P1545" s="3" t="s">
        <v>6190</v>
      </c>
    </row>
    <row r="1546" spans="1:16" x14ac:dyDescent="0.3">
      <c r="A1546" s="3" t="s">
        <v>66</v>
      </c>
      <c r="B1546" s="3" t="s">
        <v>6191</v>
      </c>
      <c r="C1546" s="3" t="s">
        <v>87</v>
      </c>
      <c r="D1546" s="3" t="s">
        <v>30</v>
      </c>
      <c r="E1546" s="3" t="s">
        <v>31</v>
      </c>
      <c r="F1546" s="3" t="b">
        <v>1</v>
      </c>
      <c r="G1546" s="3" t="s">
        <v>110</v>
      </c>
      <c r="H1546" s="6">
        <v>44938.641296296293</v>
      </c>
      <c r="I1546" s="3" t="b">
        <v>1</v>
      </c>
      <c r="J1546" s="3" t="b">
        <v>0</v>
      </c>
      <c r="K1546" s="3" t="s">
        <v>110</v>
      </c>
      <c r="L1546" s="3" t="s">
        <v>34</v>
      </c>
      <c r="M1546" s="8">
        <v>140000</v>
      </c>
      <c r="N1546" s="11"/>
      <c r="O1546" s="3" t="s">
        <v>5791</v>
      </c>
      <c r="P1546" s="3" t="s">
        <v>6192</v>
      </c>
    </row>
    <row r="1547" spans="1:16" x14ac:dyDescent="0.3">
      <c r="A1547" s="3" t="s">
        <v>66</v>
      </c>
      <c r="B1547" s="3" t="s">
        <v>1082</v>
      </c>
      <c r="C1547" s="3" t="s">
        <v>314</v>
      </c>
      <c r="D1547" s="3" t="s">
        <v>93</v>
      </c>
      <c r="E1547" s="3" t="s">
        <v>31</v>
      </c>
      <c r="F1547" s="3" t="b">
        <v>0</v>
      </c>
      <c r="G1547" s="3" t="s">
        <v>84</v>
      </c>
      <c r="H1547" s="6">
        <v>44943.34033564815</v>
      </c>
      <c r="I1547" s="3" t="b">
        <v>0</v>
      </c>
      <c r="J1547" s="3" t="b">
        <v>0</v>
      </c>
      <c r="K1547" s="3" t="s">
        <v>33</v>
      </c>
      <c r="L1547" s="3" t="s">
        <v>34</v>
      </c>
      <c r="M1547" s="8">
        <v>125000</v>
      </c>
      <c r="N1547" s="11"/>
      <c r="O1547" s="3" t="s">
        <v>1084</v>
      </c>
      <c r="P1547" s="3" t="s">
        <v>1262</v>
      </c>
    </row>
    <row r="1548" spans="1:16" x14ac:dyDescent="0.3">
      <c r="A1548" s="3" t="s">
        <v>66</v>
      </c>
      <c r="B1548" s="3" t="s">
        <v>6271</v>
      </c>
      <c r="C1548" s="3" t="s">
        <v>903</v>
      </c>
      <c r="D1548" s="3" t="s">
        <v>41</v>
      </c>
      <c r="E1548" s="3" t="s">
        <v>31</v>
      </c>
      <c r="F1548" s="3" t="b">
        <v>0</v>
      </c>
      <c r="G1548" s="3" t="s">
        <v>436</v>
      </c>
      <c r="H1548" s="6">
        <v>44940.34202546296</v>
      </c>
      <c r="I1548" s="3" t="b">
        <v>0</v>
      </c>
      <c r="J1548" s="3" t="b">
        <v>0</v>
      </c>
      <c r="K1548" s="3" t="s">
        <v>436</v>
      </c>
      <c r="L1548" s="3" t="s">
        <v>34</v>
      </c>
      <c r="M1548" s="8">
        <v>147500</v>
      </c>
      <c r="N1548" s="11"/>
      <c r="O1548" s="3" t="s">
        <v>310</v>
      </c>
      <c r="P1548" s="3" t="s">
        <v>6272</v>
      </c>
    </row>
    <row r="1549" spans="1:16" x14ac:dyDescent="0.3">
      <c r="A1549" s="3" t="s">
        <v>66</v>
      </c>
      <c r="B1549" s="3" t="s">
        <v>66</v>
      </c>
      <c r="C1549" s="3" t="s">
        <v>2666</v>
      </c>
      <c r="D1549" s="3" t="s">
        <v>93</v>
      </c>
      <c r="E1549" s="3" t="s">
        <v>31</v>
      </c>
      <c r="F1549" s="3" t="b">
        <v>0</v>
      </c>
      <c r="G1549" s="3" t="s">
        <v>317</v>
      </c>
      <c r="H1549" s="6">
        <v>44953.318472222221</v>
      </c>
      <c r="I1549" s="3" t="b">
        <v>0</v>
      </c>
      <c r="J1549" s="3" t="b">
        <v>0</v>
      </c>
      <c r="K1549" s="3" t="s">
        <v>317</v>
      </c>
      <c r="L1549" s="3" t="s">
        <v>34</v>
      </c>
      <c r="M1549" s="8">
        <v>125000</v>
      </c>
      <c r="N1549" s="11"/>
      <c r="O1549" s="3" t="s">
        <v>857</v>
      </c>
      <c r="P1549" s="3" t="s">
        <v>6292</v>
      </c>
    </row>
    <row r="1550" spans="1:16" x14ac:dyDescent="0.3">
      <c r="A1550" s="3" t="s">
        <v>66</v>
      </c>
      <c r="B1550" s="3" t="s">
        <v>6304</v>
      </c>
      <c r="C1550" s="3" t="s">
        <v>6305</v>
      </c>
      <c r="D1550" s="3" t="s">
        <v>41</v>
      </c>
      <c r="E1550" s="3" t="s">
        <v>31</v>
      </c>
      <c r="F1550" s="3" t="b">
        <v>0</v>
      </c>
      <c r="G1550" s="3" t="s">
        <v>42</v>
      </c>
      <c r="H1550" s="6">
        <v>44952.96980324074</v>
      </c>
      <c r="I1550" s="3" t="b">
        <v>0</v>
      </c>
      <c r="J1550" s="3" t="b">
        <v>0</v>
      </c>
      <c r="K1550" s="3" t="s">
        <v>42</v>
      </c>
      <c r="L1550" s="3" t="s">
        <v>34</v>
      </c>
      <c r="M1550" s="8">
        <v>98283</v>
      </c>
      <c r="N1550" s="11"/>
      <c r="O1550" s="3" t="s">
        <v>1880</v>
      </c>
      <c r="P1550" s="3" t="s">
        <v>6306</v>
      </c>
    </row>
    <row r="1551" spans="1:16" x14ac:dyDescent="0.3">
      <c r="A1551" s="3" t="s">
        <v>66</v>
      </c>
      <c r="B1551" s="3" t="s">
        <v>6311</v>
      </c>
      <c r="C1551" s="3" t="s">
        <v>6312</v>
      </c>
      <c r="D1551" s="3" t="s">
        <v>1261</v>
      </c>
      <c r="E1551" s="3" t="s">
        <v>31</v>
      </c>
      <c r="F1551" s="3" t="b">
        <v>0</v>
      </c>
      <c r="G1551" s="3" t="s">
        <v>88</v>
      </c>
      <c r="H1551" s="6">
        <v>44957.589236111111</v>
      </c>
      <c r="I1551" s="3" t="b">
        <v>0</v>
      </c>
      <c r="J1551" s="3" t="b">
        <v>1</v>
      </c>
      <c r="K1551" s="3" t="s">
        <v>33</v>
      </c>
      <c r="L1551" s="3" t="s">
        <v>34</v>
      </c>
      <c r="M1551" s="8">
        <v>208114</v>
      </c>
      <c r="N1551" s="11"/>
      <c r="O1551" s="3" t="s">
        <v>238</v>
      </c>
      <c r="P1551" s="3" t="s">
        <v>239</v>
      </c>
    </row>
    <row r="1552" spans="1:16" x14ac:dyDescent="0.3">
      <c r="A1552" s="3" t="s">
        <v>66</v>
      </c>
      <c r="B1552" s="3" t="s">
        <v>1082</v>
      </c>
      <c r="C1552" s="3" t="s">
        <v>164</v>
      </c>
      <c r="D1552" s="3" t="s">
        <v>390</v>
      </c>
      <c r="E1552" s="3" t="s">
        <v>31</v>
      </c>
      <c r="F1552" s="3" t="b">
        <v>0</v>
      </c>
      <c r="G1552" s="3" t="s">
        <v>140</v>
      </c>
      <c r="H1552" s="6">
        <v>44931.29210648148</v>
      </c>
      <c r="I1552" s="3" t="b">
        <v>0</v>
      </c>
      <c r="J1552" s="3" t="b">
        <v>0</v>
      </c>
      <c r="K1552" s="3" t="s">
        <v>33</v>
      </c>
      <c r="L1552" s="3" t="s">
        <v>34</v>
      </c>
      <c r="M1552" s="8">
        <v>208114</v>
      </c>
      <c r="N1552" s="11"/>
      <c r="O1552" s="3" t="s">
        <v>238</v>
      </c>
      <c r="P1552" s="3" t="s">
        <v>239</v>
      </c>
    </row>
    <row r="1553" spans="1:16" x14ac:dyDescent="0.3">
      <c r="A1553" s="3" t="s">
        <v>66</v>
      </c>
      <c r="B1553" s="3" t="s">
        <v>6365</v>
      </c>
      <c r="C1553" s="3" t="s">
        <v>6366</v>
      </c>
      <c r="D1553" s="3" t="s">
        <v>41</v>
      </c>
      <c r="E1553" s="3" t="s">
        <v>31</v>
      </c>
      <c r="F1553" s="3" t="b">
        <v>0</v>
      </c>
      <c r="G1553" s="3" t="s">
        <v>69</v>
      </c>
      <c r="H1553" s="6">
        <v>44953.835289351853</v>
      </c>
      <c r="I1553" s="3" t="b">
        <v>1</v>
      </c>
      <c r="J1553" s="3" t="b">
        <v>0</v>
      </c>
      <c r="K1553" s="3" t="s">
        <v>69</v>
      </c>
      <c r="L1553" s="3" t="s">
        <v>34</v>
      </c>
      <c r="M1553" s="8">
        <v>147500</v>
      </c>
      <c r="N1553" s="11"/>
      <c r="O1553" s="3" t="s">
        <v>3581</v>
      </c>
      <c r="P1553" s="3" t="s">
        <v>3582</v>
      </c>
    </row>
    <row r="1554" spans="1:16" x14ac:dyDescent="0.3">
      <c r="A1554" s="3" t="s">
        <v>66</v>
      </c>
      <c r="B1554" s="3" t="s">
        <v>6394</v>
      </c>
      <c r="C1554" s="3" t="s">
        <v>903</v>
      </c>
      <c r="D1554" s="3" t="s">
        <v>41</v>
      </c>
      <c r="E1554" s="3" t="s">
        <v>31</v>
      </c>
      <c r="F1554" s="3" t="b">
        <v>0</v>
      </c>
      <c r="G1554" s="3" t="s">
        <v>436</v>
      </c>
      <c r="H1554" s="6">
        <v>44944.050532407397</v>
      </c>
      <c r="I1554" s="3" t="b">
        <v>0</v>
      </c>
      <c r="J1554" s="3" t="b">
        <v>0</v>
      </c>
      <c r="K1554" s="3" t="s">
        <v>436</v>
      </c>
      <c r="L1554" s="3" t="s">
        <v>34</v>
      </c>
      <c r="M1554" s="8">
        <v>147500</v>
      </c>
      <c r="N1554" s="11"/>
      <c r="O1554" s="3" t="s">
        <v>310</v>
      </c>
      <c r="P1554" s="3" t="s">
        <v>6395</v>
      </c>
    </row>
    <row r="1555" spans="1:16" x14ac:dyDescent="0.3">
      <c r="A1555" s="3" t="s">
        <v>27</v>
      </c>
      <c r="B1555" s="3" t="s">
        <v>28</v>
      </c>
      <c r="C1555" s="3" t="s">
        <v>29</v>
      </c>
      <c r="D1555" s="3" t="s">
        <v>30</v>
      </c>
      <c r="E1555" s="3" t="s">
        <v>31</v>
      </c>
      <c r="F1555" s="3" t="b">
        <v>0</v>
      </c>
      <c r="G1555" s="3" t="s">
        <v>32</v>
      </c>
      <c r="H1555" s="6">
        <v>44928.62572916667</v>
      </c>
      <c r="I1555" s="3" t="b">
        <v>0</v>
      </c>
      <c r="J1555" s="3" t="b">
        <v>1</v>
      </c>
      <c r="K1555" s="3" t="s">
        <v>33</v>
      </c>
      <c r="L1555" s="3" t="s">
        <v>34</v>
      </c>
      <c r="M1555" s="8">
        <v>224500</v>
      </c>
      <c r="N1555" s="11"/>
      <c r="O1555" s="3" t="s">
        <v>35</v>
      </c>
      <c r="P1555" s="3" t="s">
        <v>36</v>
      </c>
    </row>
    <row r="1556" spans="1:16" x14ac:dyDescent="0.3">
      <c r="A1556" s="3" t="s">
        <v>27</v>
      </c>
      <c r="B1556" s="3" t="s">
        <v>37</v>
      </c>
      <c r="C1556" s="3" t="s">
        <v>29</v>
      </c>
      <c r="D1556" s="3" t="s">
        <v>30</v>
      </c>
      <c r="E1556" s="3" t="s">
        <v>31</v>
      </c>
      <c r="F1556" s="3" t="b">
        <v>0</v>
      </c>
      <c r="G1556" s="3" t="s">
        <v>32</v>
      </c>
      <c r="H1556" s="6">
        <v>44938.17</v>
      </c>
      <c r="I1556" s="3" t="b">
        <v>0</v>
      </c>
      <c r="J1556" s="3" t="b">
        <v>1</v>
      </c>
      <c r="K1556" s="3" t="s">
        <v>33</v>
      </c>
      <c r="L1556" s="3" t="s">
        <v>34</v>
      </c>
      <c r="M1556" s="8">
        <v>157500</v>
      </c>
      <c r="N1556" s="11"/>
      <c r="O1556" s="3" t="s">
        <v>35</v>
      </c>
      <c r="P1556" s="3" t="s">
        <v>38</v>
      </c>
    </row>
    <row r="1557" spans="1:16" x14ac:dyDescent="0.3">
      <c r="A1557" s="3" t="s">
        <v>27</v>
      </c>
      <c r="B1557" s="3" t="s">
        <v>39</v>
      </c>
      <c r="C1557" s="3" t="s">
        <v>40</v>
      </c>
      <c r="D1557" s="3" t="s">
        <v>41</v>
      </c>
      <c r="E1557" s="3" t="s">
        <v>31</v>
      </c>
      <c r="F1557" s="3" t="b">
        <v>0</v>
      </c>
      <c r="G1557" s="3" t="s">
        <v>42</v>
      </c>
      <c r="H1557" s="6">
        <v>44956.342997685177</v>
      </c>
      <c r="I1557" s="3" t="b">
        <v>0</v>
      </c>
      <c r="J1557" s="3" t="b">
        <v>0</v>
      </c>
      <c r="K1557" s="3" t="s">
        <v>42</v>
      </c>
      <c r="L1557" s="3" t="s">
        <v>34</v>
      </c>
      <c r="M1557" s="8">
        <v>88128</v>
      </c>
      <c r="N1557" s="11"/>
      <c r="O1557" s="3" t="s">
        <v>43</v>
      </c>
      <c r="P1557" s="3" t="s">
        <v>44</v>
      </c>
    </row>
    <row r="1558" spans="1:16" x14ac:dyDescent="0.3">
      <c r="A1558" s="3" t="s">
        <v>27</v>
      </c>
      <c r="B1558" s="3" t="s">
        <v>45</v>
      </c>
      <c r="C1558" s="3" t="s">
        <v>46</v>
      </c>
      <c r="D1558" s="3" t="s">
        <v>47</v>
      </c>
      <c r="E1558" s="3" t="s">
        <v>31</v>
      </c>
      <c r="F1558" s="3" t="b">
        <v>0</v>
      </c>
      <c r="G1558" s="3" t="s">
        <v>32</v>
      </c>
      <c r="H1558" s="6">
        <v>44953.003946759258</v>
      </c>
      <c r="I1558" s="3" t="b">
        <v>0</v>
      </c>
      <c r="J1558" s="3" t="b">
        <v>1</v>
      </c>
      <c r="K1558" s="3" t="s">
        <v>33</v>
      </c>
      <c r="L1558" s="3" t="s">
        <v>48</v>
      </c>
      <c r="M1558" s="8"/>
      <c r="N1558" s="11">
        <v>24</v>
      </c>
      <c r="O1558" s="3" t="s">
        <v>49</v>
      </c>
      <c r="P1558" s="3" t="s">
        <v>50</v>
      </c>
    </row>
    <row r="1559" spans="1:16" x14ac:dyDescent="0.3">
      <c r="A1559" s="3" t="s">
        <v>27</v>
      </c>
      <c r="B1559" s="3" t="s">
        <v>51</v>
      </c>
      <c r="C1559" s="3" t="s">
        <v>52</v>
      </c>
      <c r="D1559" s="3" t="s">
        <v>53</v>
      </c>
      <c r="E1559" s="3" t="s">
        <v>31</v>
      </c>
      <c r="F1559" s="3" t="b">
        <v>0</v>
      </c>
      <c r="G1559" s="3" t="s">
        <v>32</v>
      </c>
      <c r="H1559" s="6">
        <v>44955.420057870368</v>
      </c>
      <c r="I1559" s="3" t="b">
        <v>0</v>
      </c>
      <c r="J1559" s="3" t="b">
        <v>1</v>
      </c>
      <c r="K1559" s="3" t="s">
        <v>33</v>
      </c>
      <c r="L1559" s="3" t="s">
        <v>34</v>
      </c>
      <c r="M1559" s="8">
        <v>105800</v>
      </c>
      <c r="N1559" s="11"/>
      <c r="O1559" s="3" t="s">
        <v>54</v>
      </c>
      <c r="P1559" s="3" t="s">
        <v>55</v>
      </c>
    </row>
    <row r="1560" spans="1:16" x14ac:dyDescent="0.3">
      <c r="A1560" s="3" t="s">
        <v>27</v>
      </c>
      <c r="B1560" s="3" t="s">
        <v>56</v>
      </c>
      <c r="C1560" s="3" t="s">
        <v>57</v>
      </c>
      <c r="D1560" s="3" t="s">
        <v>30</v>
      </c>
      <c r="E1560" s="3" t="s">
        <v>31</v>
      </c>
      <c r="F1560" s="3" t="b">
        <v>0</v>
      </c>
      <c r="G1560" s="3" t="s">
        <v>58</v>
      </c>
      <c r="H1560" s="6">
        <v>44950.668113425927</v>
      </c>
      <c r="I1560" s="3" t="b">
        <v>0</v>
      </c>
      <c r="J1560" s="3" t="b">
        <v>1</v>
      </c>
      <c r="K1560" s="3" t="s">
        <v>33</v>
      </c>
      <c r="L1560" s="3" t="s">
        <v>34</v>
      </c>
      <c r="M1560" s="8">
        <v>115000</v>
      </c>
      <c r="N1560" s="11"/>
      <c r="O1560" s="3" t="s">
        <v>59</v>
      </c>
      <c r="P1560" s="3" t="s">
        <v>60</v>
      </c>
    </row>
    <row r="1561" spans="1:16" x14ac:dyDescent="0.3">
      <c r="A1561" s="3" t="s">
        <v>27</v>
      </c>
      <c r="B1561" s="3" t="s">
        <v>96</v>
      </c>
      <c r="C1561" s="3" t="s">
        <v>97</v>
      </c>
      <c r="D1561" s="3" t="s">
        <v>93</v>
      </c>
      <c r="E1561" s="3" t="s">
        <v>31</v>
      </c>
      <c r="F1561" s="3" t="b">
        <v>0</v>
      </c>
      <c r="G1561" s="3" t="s">
        <v>32</v>
      </c>
      <c r="H1561" s="6">
        <v>44946.514837962961</v>
      </c>
      <c r="I1561" s="3" t="b">
        <v>0</v>
      </c>
      <c r="J1561" s="3" t="b">
        <v>0</v>
      </c>
      <c r="K1561" s="3" t="s">
        <v>33</v>
      </c>
      <c r="L1561" s="3" t="s">
        <v>34</v>
      </c>
      <c r="M1561" s="8">
        <v>200000</v>
      </c>
      <c r="N1561" s="11"/>
      <c r="O1561" s="3" t="s">
        <v>98</v>
      </c>
      <c r="P1561" s="3" t="s">
        <v>99</v>
      </c>
    </row>
    <row r="1562" spans="1:16" x14ac:dyDescent="0.3">
      <c r="A1562" s="3" t="s">
        <v>27</v>
      </c>
      <c r="B1562" s="3" t="s">
        <v>100</v>
      </c>
      <c r="C1562" s="3" t="s">
        <v>83</v>
      </c>
      <c r="D1562" s="3" t="s">
        <v>53</v>
      </c>
      <c r="E1562" s="3" t="s">
        <v>31</v>
      </c>
      <c r="F1562" s="3" t="b">
        <v>0</v>
      </c>
      <c r="G1562" s="3" t="s">
        <v>64</v>
      </c>
      <c r="H1562" s="6">
        <v>44931.66883101852</v>
      </c>
      <c r="I1562" s="3" t="b">
        <v>0</v>
      </c>
      <c r="J1562" s="3" t="b">
        <v>0</v>
      </c>
      <c r="K1562" s="3" t="s">
        <v>33</v>
      </c>
      <c r="L1562" s="3" t="s">
        <v>34</v>
      </c>
      <c r="M1562" s="8">
        <v>57500</v>
      </c>
      <c r="N1562" s="11"/>
      <c r="O1562" s="3" t="s">
        <v>101</v>
      </c>
      <c r="P1562" s="3" t="s">
        <v>102</v>
      </c>
    </row>
    <row r="1563" spans="1:16" x14ac:dyDescent="0.3">
      <c r="A1563" s="3" t="s">
        <v>27</v>
      </c>
      <c r="B1563" s="3" t="s">
        <v>108</v>
      </c>
      <c r="C1563" s="3" t="s">
        <v>109</v>
      </c>
      <c r="D1563" s="3" t="s">
        <v>30</v>
      </c>
      <c r="E1563" s="3" t="s">
        <v>31</v>
      </c>
      <c r="F1563" s="3" t="b">
        <v>0</v>
      </c>
      <c r="G1563" s="3" t="s">
        <v>110</v>
      </c>
      <c r="H1563" s="6">
        <v>44936.751516203702</v>
      </c>
      <c r="I1563" s="3" t="b">
        <v>0</v>
      </c>
      <c r="J1563" s="3" t="b">
        <v>1</v>
      </c>
      <c r="K1563" s="3" t="s">
        <v>110</v>
      </c>
      <c r="L1563" s="3" t="s">
        <v>34</v>
      </c>
      <c r="M1563" s="8">
        <v>77500</v>
      </c>
      <c r="N1563" s="11"/>
      <c r="O1563" s="3" t="s">
        <v>111</v>
      </c>
      <c r="P1563" s="3" t="s">
        <v>112</v>
      </c>
    </row>
    <row r="1564" spans="1:16" x14ac:dyDescent="0.3">
      <c r="A1564" s="3" t="s">
        <v>27</v>
      </c>
      <c r="B1564" s="3" t="s">
        <v>129</v>
      </c>
      <c r="C1564" s="3" t="s">
        <v>87</v>
      </c>
      <c r="D1564" s="3" t="s">
        <v>76</v>
      </c>
      <c r="E1564" s="3" t="s">
        <v>31</v>
      </c>
      <c r="F1564" s="3" t="b">
        <v>1</v>
      </c>
      <c r="G1564" s="3" t="s">
        <v>32</v>
      </c>
      <c r="H1564" s="6">
        <v>44953.378587962958</v>
      </c>
      <c r="I1564" s="3" t="b">
        <v>0</v>
      </c>
      <c r="J1564" s="3" t="b">
        <v>0</v>
      </c>
      <c r="K1564" s="3" t="s">
        <v>33</v>
      </c>
      <c r="L1564" s="3" t="s">
        <v>48</v>
      </c>
      <c r="M1564" s="8"/>
      <c r="N1564" s="11">
        <v>21.75</v>
      </c>
      <c r="O1564" s="3" t="s">
        <v>130</v>
      </c>
      <c r="P1564" s="3" t="s">
        <v>131</v>
      </c>
    </row>
    <row r="1565" spans="1:16" x14ac:dyDescent="0.3">
      <c r="A1565" s="3" t="s">
        <v>27</v>
      </c>
      <c r="B1565" s="3" t="s">
        <v>132</v>
      </c>
      <c r="C1565" s="3" t="s">
        <v>87</v>
      </c>
      <c r="D1565" s="3" t="s">
        <v>30</v>
      </c>
      <c r="E1565" s="3" t="s">
        <v>133</v>
      </c>
      <c r="F1565" s="3" t="b">
        <v>1</v>
      </c>
      <c r="G1565" s="3" t="s">
        <v>58</v>
      </c>
      <c r="H1565" s="6">
        <v>44935.753368055557</v>
      </c>
      <c r="I1565" s="3" t="b">
        <v>0</v>
      </c>
      <c r="J1565" s="3" t="b">
        <v>0</v>
      </c>
      <c r="K1565" s="3" t="s">
        <v>33</v>
      </c>
      <c r="L1565" s="3" t="s">
        <v>48</v>
      </c>
      <c r="M1565" s="8"/>
      <c r="N1565" s="11">
        <v>66.5</v>
      </c>
      <c r="O1565" s="3" t="s">
        <v>134</v>
      </c>
      <c r="P1565" s="3" t="s">
        <v>135</v>
      </c>
    </row>
    <row r="1566" spans="1:16" x14ac:dyDescent="0.3">
      <c r="A1566" s="3" t="s">
        <v>27</v>
      </c>
      <c r="B1566" s="3" t="s">
        <v>160</v>
      </c>
      <c r="C1566" s="3" t="s">
        <v>161</v>
      </c>
      <c r="D1566" s="3" t="s">
        <v>76</v>
      </c>
      <c r="E1566" s="3" t="s">
        <v>31</v>
      </c>
      <c r="F1566" s="3" t="b">
        <v>0</v>
      </c>
      <c r="G1566" s="3" t="s">
        <v>110</v>
      </c>
      <c r="H1566" s="6">
        <v>44939.890717592592</v>
      </c>
      <c r="I1566" s="3" t="b">
        <v>0</v>
      </c>
      <c r="J1566" s="3" t="b">
        <v>0</v>
      </c>
      <c r="K1566" s="3" t="s">
        <v>110</v>
      </c>
      <c r="L1566" s="3" t="s">
        <v>34</v>
      </c>
      <c r="M1566" s="8">
        <v>110000</v>
      </c>
      <c r="N1566" s="11"/>
      <c r="O1566" s="3" t="s">
        <v>162</v>
      </c>
      <c r="P1566" s="3" t="s">
        <v>163</v>
      </c>
    </row>
    <row r="1567" spans="1:16" x14ac:dyDescent="0.3">
      <c r="A1567" s="3" t="s">
        <v>27</v>
      </c>
      <c r="B1567" s="3" t="s">
        <v>167</v>
      </c>
      <c r="C1567" s="3" t="s">
        <v>168</v>
      </c>
      <c r="D1567" s="3" t="s">
        <v>169</v>
      </c>
      <c r="E1567" s="3" t="s">
        <v>31</v>
      </c>
      <c r="F1567" s="3" t="b">
        <v>0</v>
      </c>
      <c r="G1567" s="3" t="s">
        <v>84</v>
      </c>
      <c r="H1567" s="6">
        <v>44942.003437500003</v>
      </c>
      <c r="I1567" s="3" t="b">
        <v>0</v>
      </c>
      <c r="J1567" s="3" t="b">
        <v>1</v>
      </c>
      <c r="K1567" s="3" t="s">
        <v>33</v>
      </c>
      <c r="L1567" s="3" t="s">
        <v>48</v>
      </c>
      <c r="M1567" s="8"/>
      <c r="N1567" s="11">
        <v>24</v>
      </c>
      <c r="O1567" s="3" t="s">
        <v>170</v>
      </c>
      <c r="P1567" s="3" t="s">
        <v>171</v>
      </c>
    </row>
    <row r="1568" spans="1:16" x14ac:dyDescent="0.3">
      <c r="A1568" s="3" t="s">
        <v>27</v>
      </c>
      <c r="B1568" s="3" t="s">
        <v>208</v>
      </c>
      <c r="C1568" s="3" t="s">
        <v>164</v>
      </c>
      <c r="D1568" s="3" t="s">
        <v>93</v>
      </c>
      <c r="E1568" s="3" t="s">
        <v>31</v>
      </c>
      <c r="F1568" s="3" t="b">
        <v>0</v>
      </c>
      <c r="G1568" s="3" t="s">
        <v>64</v>
      </c>
      <c r="H1568" s="6">
        <v>44941.251863425918</v>
      </c>
      <c r="I1568" s="3" t="b">
        <v>0</v>
      </c>
      <c r="J1568" s="3" t="b">
        <v>1</v>
      </c>
      <c r="K1568" s="3" t="s">
        <v>33</v>
      </c>
      <c r="L1568" s="3" t="s">
        <v>34</v>
      </c>
      <c r="M1568" s="8">
        <v>350000</v>
      </c>
      <c r="N1568" s="11"/>
      <c r="O1568" s="3" t="s">
        <v>209</v>
      </c>
      <c r="P1568" s="3" t="s">
        <v>210</v>
      </c>
    </row>
    <row r="1569" spans="1:16" x14ac:dyDescent="0.3">
      <c r="A1569" s="3" t="s">
        <v>27</v>
      </c>
      <c r="B1569" s="3" t="s">
        <v>219</v>
      </c>
      <c r="C1569" s="3" t="s">
        <v>29</v>
      </c>
      <c r="D1569" s="3" t="s">
        <v>220</v>
      </c>
      <c r="E1569" s="3" t="s">
        <v>31</v>
      </c>
      <c r="F1569" s="3" t="b">
        <v>0</v>
      </c>
      <c r="G1569" s="3" t="s">
        <v>32</v>
      </c>
      <c r="H1569" s="6">
        <v>44928.793657407397</v>
      </c>
      <c r="I1569" s="3" t="b">
        <v>0</v>
      </c>
      <c r="J1569" s="3" t="b">
        <v>1</v>
      </c>
      <c r="K1569" s="3" t="s">
        <v>33</v>
      </c>
      <c r="L1569" s="3" t="s">
        <v>34</v>
      </c>
      <c r="M1569" s="8">
        <v>202500</v>
      </c>
      <c r="N1569" s="11"/>
      <c r="O1569" s="3" t="s">
        <v>80</v>
      </c>
      <c r="P1569" s="3" t="s">
        <v>221</v>
      </c>
    </row>
    <row r="1570" spans="1:16" x14ac:dyDescent="0.3">
      <c r="A1570" s="3" t="s">
        <v>27</v>
      </c>
      <c r="B1570" s="3" t="s">
        <v>247</v>
      </c>
      <c r="C1570" s="3" t="s">
        <v>33</v>
      </c>
      <c r="D1570" s="3" t="s">
        <v>106</v>
      </c>
      <c r="E1570" s="3" t="s">
        <v>31</v>
      </c>
      <c r="F1570" s="3" t="b">
        <v>0</v>
      </c>
      <c r="G1570" s="3" t="s">
        <v>110</v>
      </c>
      <c r="H1570" s="6">
        <v>44946.080694444441</v>
      </c>
      <c r="I1570" s="3" t="b">
        <v>0</v>
      </c>
      <c r="J1570" s="3" t="b">
        <v>0</v>
      </c>
      <c r="K1570" s="3" t="s">
        <v>110</v>
      </c>
      <c r="L1570" s="3" t="s">
        <v>34</v>
      </c>
      <c r="M1570" s="8">
        <v>265500</v>
      </c>
      <c r="N1570" s="11"/>
      <c r="O1570" s="3" t="s">
        <v>248</v>
      </c>
      <c r="P1570" s="3" t="s">
        <v>249</v>
      </c>
    </row>
    <row r="1571" spans="1:16" x14ac:dyDescent="0.3">
      <c r="A1571" s="3" t="s">
        <v>27</v>
      </c>
      <c r="B1571" s="3" t="s">
        <v>257</v>
      </c>
      <c r="C1571" s="3" t="s">
        <v>258</v>
      </c>
      <c r="D1571" s="3" t="s">
        <v>259</v>
      </c>
      <c r="E1571" s="3" t="s">
        <v>31</v>
      </c>
      <c r="F1571" s="3" t="b">
        <v>0</v>
      </c>
      <c r="G1571" s="3" t="s">
        <v>32</v>
      </c>
      <c r="H1571" s="6">
        <v>44944.001215277778</v>
      </c>
      <c r="I1571" s="3" t="b">
        <v>0</v>
      </c>
      <c r="J1571" s="3" t="b">
        <v>1</v>
      </c>
      <c r="K1571" s="3" t="s">
        <v>33</v>
      </c>
      <c r="L1571" s="3" t="s">
        <v>34</v>
      </c>
      <c r="M1571" s="8">
        <v>135000</v>
      </c>
      <c r="N1571" s="11"/>
      <c r="O1571" s="3" t="s">
        <v>260</v>
      </c>
      <c r="P1571" s="3" t="s">
        <v>261</v>
      </c>
    </row>
    <row r="1572" spans="1:16" x14ac:dyDescent="0.3">
      <c r="A1572" s="3" t="s">
        <v>27</v>
      </c>
      <c r="B1572" s="3" t="s">
        <v>283</v>
      </c>
      <c r="C1572" s="3" t="s">
        <v>87</v>
      </c>
      <c r="D1572" s="3" t="s">
        <v>30</v>
      </c>
      <c r="E1572" s="3" t="s">
        <v>31</v>
      </c>
      <c r="F1572" s="3" t="b">
        <v>1</v>
      </c>
      <c r="G1572" s="3" t="s">
        <v>110</v>
      </c>
      <c r="H1572" s="6">
        <v>44930.581377314818</v>
      </c>
      <c r="I1572" s="3" t="b">
        <v>0</v>
      </c>
      <c r="J1572" s="3" t="b">
        <v>1</v>
      </c>
      <c r="K1572" s="3" t="s">
        <v>110</v>
      </c>
      <c r="L1572" s="3" t="s">
        <v>34</v>
      </c>
      <c r="M1572" s="8">
        <v>215000</v>
      </c>
      <c r="N1572" s="11"/>
      <c r="O1572" s="3" t="s">
        <v>284</v>
      </c>
      <c r="P1572" s="3"/>
    </row>
    <row r="1573" spans="1:16" x14ac:dyDescent="0.3">
      <c r="A1573" s="3" t="s">
        <v>27</v>
      </c>
      <c r="B1573" s="3" t="s">
        <v>292</v>
      </c>
      <c r="C1573" s="3" t="s">
        <v>87</v>
      </c>
      <c r="D1573" s="3" t="s">
        <v>293</v>
      </c>
      <c r="E1573" s="3" t="s">
        <v>31</v>
      </c>
      <c r="F1573" s="3" t="b">
        <v>1</v>
      </c>
      <c r="G1573" s="3" t="s">
        <v>32</v>
      </c>
      <c r="H1573" s="6">
        <v>44946.723113425927</v>
      </c>
      <c r="I1573" s="3" t="b">
        <v>0</v>
      </c>
      <c r="J1573" s="3" t="b">
        <v>1</v>
      </c>
      <c r="K1573" s="3" t="s">
        <v>33</v>
      </c>
      <c r="L1573" s="3" t="s">
        <v>34</v>
      </c>
      <c r="M1573" s="8">
        <v>160000</v>
      </c>
      <c r="N1573" s="11"/>
      <c r="O1573" s="3" t="s">
        <v>294</v>
      </c>
      <c r="P1573" s="3" t="s">
        <v>38</v>
      </c>
    </row>
    <row r="1574" spans="1:16" x14ac:dyDescent="0.3">
      <c r="A1574" s="3" t="s">
        <v>27</v>
      </c>
      <c r="B1574" s="3" t="s">
        <v>320</v>
      </c>
      <c r="C1574" s="3" t="s">
        <v>321</v>
      </c>
      <c r="D1574" s="3" t="s">
        <v>322</v>
      </c>
      <c r="E1574" s="3" t="s">
        <v>31</v>
      </c>
      <c r="F1574" s="3" t="b">
        <v>0</v>
      </c>
      <c r="G1574" s="3" t="s">
        <v>84</v>
      </c>
      <c r="H1574" s="6">
        <v>44937.379282407397</v>
      </c>
      <c r="I1574" s="3" t="b">
        <v>0</v>
      </c>
      <c r="J1574" s="3" t="b">
        <v>1</v>
      </c>
      <c r="K1574" s="3" t="s">
        <v>33</v>
      </c>
      <c r="L1574" s="3" t="s">
        <v>34</v>
      </c>
      <c r="M1574" s="8">
        <v>143910.5</v>
      </c>
      <c r="N1574" s="11"/>
      <c r="O1574" s="3" t="s">
        <v>170</v>
      </c>
      <c r="P1574" s="3" t="s">
        <v>323</v>
      </c>
    </row>
    <row r="1575" spans="1:16" x14ac:dyDescent="0.3">
      <c r="A1575" s="3" t="s">
        <v>27</v>
      </c>
      <c r="B1575" s="3" t="s">
        <v>324</v>
      </c>
      <c r="C1575" s="3" t="s">
        <v>87</v>
      </c>
      <c r="D1575" s="3" t="s">
        <v>30</v>
      </c>
      <c r="E1575" s="3" t="s">
        <v>31</v>
      </c>
      <c r="F1575" s="3" t="b">
        <v>1</v>
      </c>
      <c r="G1575" s="3" t="s">
        <v>58</v>
      </c>
      <c r="H1575" s="6">
        <v>44939.921261574083</v>
      </c>
      <c r="I1575" s="3" t="b">
        <v>0</v>
      </c>
      <c r="J1575" s="3" t="b">
        <v>0</v>
      </c>
      <c r="K1575" s="3" t="s">
        <v>33</v>
      </c>
      <c r="L1575" s="3" t="s">
        <v>34</v>
      </c>
      <c r="M1575" s="8">
        <v>75000</v>
      </c>
      <c r="N1575" s="11"/>
      <c r="O1575" s="3" t="s">
        <v>325</v>
      </c>
      <c r="P1575" s="3" t="s">
        <v>326</v>
      </c>
    </row>
    <row r="1576" spans="1:16" x14ac:dyDescent="0.3">
      <c r="A1576" s="3" t="s">
        <v>27</v>
      </c>
      <c r="B1576" s="3" t="s">
        <v>335</v>
      </c>
      <c r="C1576" s="3" t="s">
        <v>79</v>
      </c>
      <c r="D1576" s="3" t="s">
        <v>336</v>
      </c>
      <c r="E1576" s="3" t="s">
        <v>31</v>
      </c>
      <c r="F1576" s="3" t="b">
        <v>0</v>
      </c>
      <c r="G1576" s="3" t="s">
        <v>110</v>
      </c>
      <c r="H1576" s="6">
        <v>44937.450891203713</v>
      </c>
      <c r="I1576" s="3" t="b">
        <v>0</v>
      </c>
      <c r="J1576" s="3" t="b">
        <v>1</v>
      </c>
      <c r="K1576" s="3" t="s">
        <v>110</v>
      </c>
      <c r="L1576" s="3" t="s">
        <v>34</v>
      </c>
      <c r="M1576" s="8">
        <v>137110</v>
      </c>
      <c r="N1576" s="11"/>
      <c r="O1576" s="3" t="s">
        <v>337</v>
      </c>
      <c r="P1576" s="3" t="s">
        <v>338</v>
      </c>
    </row>
    <row r="1577" spans="1:16" x14ac:dyDescent="0.3">
      <c r="A1577" s="3" t="s">
        <v>27</v>
      </c>
      <c r="B1577" s="3" t="s">
        <v>353</v>
      </c>
      <c r="C1577" s="3" t="s">
        <v>354</v>
      </c>
      <c r="D1577" s="3" t="s">
        <v>41</v>
      </c>
      <c r="E1577" s="3" t="s">
        <v>31</v>
      </c>
      <c r="F1577" s="3" t="b">
        <v>0</v>
      </c>
      <c r="G1577" s="3" t="s">
        <v>355</v>
      </c>
      <c r="H1577" s="6">
        <v>44953.715312499997</v>
      </c>
      <c r="I1577" s="3" t="b">
        <v>0</v>
      </c>
      <c r="J1577" s="3" t="b">
        <v>0</v>
      </c>
      <c r="K1577" s="3" t="s">
        <v>355</v>
      </c>
      <c r="L1577" s="3" t="s">
        <v>34</v>
      </c>
      <c r="M1577" s="8">
        <v>56700</v>
      </c>
      <c r="N1577" s="11"/>
      <c r="O1577" s="3" t="s">
        <v>356</v>
      </c>
      <c r="P1577" s="3" t="s">
        <v>357</v>
      </c>
    </row>
    <row r="1578" spans="1:16" x14ac:dyDescent="0.3">
      <c r="A1578" s="3" t="s">
        <v>27</v>
      </c>
      <c r="B1578" s="3" t="s">
        <v>365</v>
      </c>
      <c r="C1578" s="3" t="s">
        <v>87</v>
      </c>
      <c r="D1578" s="3" t="s">
        <v>76</v>
      </c>
      <c r="E1578" s="3" t="s">
        <v>31</v>
      </c>
      <c r="F1578" s="3" t="b">
        <v>1</v>
      </c>
      <c r="G1578" s="3" t="s">
        <v>110</v>
      </c>
      <c r="H1578" s="6">
        <v>44939.098749999997</v>
      </c>
      <c r="I1578" s="3" t="b">
        <v>0</v>
      </c>
      <c r="J1578" s="3" t="b">
        <v>1</v>
      </c>
      <c r="K1578" s="3" t="s">
        <v>110</v>
      </c>
      <c r="L1578" s="3" t="s">
        <v>34</v>
      </c>
      <c r="M1578" s="8">
        <v>99790</v>
      </c>
      <c r="N1578" s="11"/>
      <c r="O1578" s="3" t="s">
        <v>366</v>
      </c>
      <c r="P1578" s="3" t="s">
        <v>367</v>
      </c>
    </row>
    <row r="1579" spans="1:16" x14ac:dyDescent="0.3">
      <c r="A1579" s="3" t="s">
        <v>27</v>
      </c>
      <c r="B1579" s="3" t="s">
        <v>368</v>
      </c>
      <c r="C1579" s="3" t="s">
        <v>369</v>
      </c>
      <c r="D1579" s="3" t="s">
        <v>370</v>
      </c>
      <c r="E1579" s="3" t="s">
        <v>31</v>
      </c>
      <c r="F1579" s="3" t="b">
        <v>0</v>
      </c>
      <c r="G1579" s="3" t="s">
        <v>64</v>
      </c>
      <c r="H1579" s="6">
        <v>44940.75240740741</v>
      </c>
      <c r="I1579" s="3" t="b">
        <v>0</v>
      </c>
      <c r="J1579" s="3" t="b">
        <v>0</v>
      </c>
      <c r="K1579" s="3" t="s">
        <v>33</v>
      </c>
      <c r="L1579" s="3" t="s">
        <v>34</v>
      </c>
      <c r="M1579" s="8">
        <v>128500</v>
      </c>
      <c r="N1579" s="11"/>
      <c r="O1579" s="3" t="s">
        <v>371</v>
      </c>
      <c r="P1579" s="3" t="s">
        <v>372</v>
      </c>
    </row>
    <row r="1580" spans="1:16" x14ac:dyDescent="0.3">
      <c r="A1580" s="3" t="s">
        <v>27</v>
      </c>
      <c r="B1580" s="3" t="s">
        <v>373</v>
      </c>
      <c r="C1580" s="3" t="s">
        <v>97</v>
      </c>
      <c r="D1580" s="3" t="s">
        <v>30</v>
      </c>
      <c r="E1580" s="3" t="s">
        <v>31</v>
      </c>
      <c r="F1580" s="3" t="b">
        <v>0</v>
      </c>
      <c r="G1580" s="3" t="s">
        <v>32</v>
      </c>
      <c r="H1580" s="6">
        <v>44953.461805555547</v>
      </c>
      <c r="I1580" s="3" t="b">
        <v>0</v>
      </c>
      <c r="J1580" s="3" t="b">
        <v>1</v>
      </c>
      <c r="K1580" s="3" t="s">
        <v>33</v>
      </c>
      <c r="L1580" s="3" t="s">
        <v>34</v>
      </c>
      <c r="M1580" s="8">
        <v>209955.5</v>
      </c>
      <c r="N1580" s="11"/>
      <c r="O1580" s="3" t="s">
        <v>35</v>
      </c>
      <c r="P1580" s="3" t="s">
        <v>374</v>
      </c>
    </row>
    <row r="1581" spans="1:16" x14ac:dyDescent="0.3">
      <c r="A1581" s="3" t="s">
        <v>27</v>
      </c>
      <c r="B1581" s="3" t="s">
        <v>283</v>
      </c>
      <c r="C1581" s="3" t="s">
        <v>402</v>
      </c>
      <c r="D1581" s="3" t="s">
        <v>41</v>
      </c>
      <c r="E1581" s="3" t="s">
        <v>31</v>
      </c>
      <c r="F1581" s="3" t="b">
        <v>0</v>
      </c>
      <c r="G1581" s="3" t="s">
        <v>403</v>
      </c>
      <c r="H1581" s="6">
        <v>44933.6330787037</v>
      </c>
      <c r="I1581" s="3" t="b">
        <v>0</v>
      </c>
      <c r="J1581" s="3" t="b">
        <v>0</v>
      </c>
      <c r="K1581" s="3" t="s">
        <v>403</v>
      </c>
      <c r="L1581" s="3" t="s">
        <v>34</v>
      </c>
      <c r="M1581" s="8">
        <v>105300</v>
      </c>
      <c r="N1581" s="11"/>
      <c r="O1581" s="3" t="s">
        <v>404</v>
      </c>
      <c r="P1581" s="3" t="s">
        <v>405</v>
      </c>
    </row>
    <row r="1582" spans="1:16" x14ac:dyDescent="0.3">
      <c r="A1582" s="3" t="s">
        <v>27</v>
      </c>
      <c r="B1582" s="3" t="s">
        <v>324</v>
      </c>
      <c r="C1582" s="3" t="s">
        <v>140</v>
      </c>
      <c r="D1582" s="3" t="s">
        <v>30</v>
      </c>
      <c r="E1582" s="3" t="s">
        <v>31</v>
      </c>
      <c r="F1582" s="3" t="b">
        <v>0</v>
      </c>
      <c r="G1582" s="3" t="s">
        <v>84</v>
      </c>
      <c r="H1582" s="6">
        <v>44938.671875</v>
      </c>
      <c r="I1582" s="3" t="b">
        <v>0</v>
      </c>
      <c r="J1582" s="3" t="b">
        <v>0</v>
      </c>
      <c r="K1582" s="3" t="s">
        <v>33</v>
      </c>
      <c r="L1582" s="3" t="s">
        <v>34</v>
      </c>
      <c r="M1582" s="8">
        <v>107500</v>
      </c>
      <c r="N1582" s="11"/>
      <c r="O1582" s="3" t="s">
        <v>420</v>
      </c>
      <c r="P1582" s="3" t="s">
        <v>421</v>
      </c>
    </row>
    <row r="1583" spans="1:16" x14ac:dyDescent="0.3">
      <c r="A1583" s="3" t="s">
        <v>27</v>
      </c>
      <c r="B1583" s="3" t="s">
        <v>438</v>
      </c>
      <c r="C1583" s="3" t="s">
        <v>87</v>
      </c>
      <c r="D1583" s="3" t="s">
        <v>263</v>
      </c>
      <c r="E1583" s="3" t="s">
        <v>133</v>
      </c>
      <c r="F1583" s="3" t="b">
        <v>1</v>
      </c>
      <c r="G1583" s="3" t="s">
        <v>58</v>
      </c>
      <c r="H1583" s="6">
        <v>44943.670254629629</v>
      </c>
      <c r="I1583" s="3" t="b">
        <v>0</v>
      </c>
      <c r="J1583" s="3" t="b">
        <v>0</v>
      </c>
      <c r="K1583" s="3" t="s">
        <v>33</v>
      </c>
      <c r="L1583" s="3" t="s">
        <v>48</v>
      </c>
      <c r="M1583" s="8"/>
      <c r="N1583" s="11">
        <v>52.5</v>
      </c>
      <c r="O1583" s="3" t="s">
        <v>264</v>
      </c>
      <c r="P1583" s="3" t="s">
        <v>439</v>
      </c>
    </row>
    <row r="1584" spans="1:16" x14ac:dyDescent="0.3">
      <c r="A1584" s="3" t="s">
        <v>27</v>
      </c>
      <c r="B1584" s="3" t="s">
        <v>27</v>
      </c>
      <c r="C1584" s="3" t="s">
        <v>461</v>
      </c>
      <c r="D1584" s="3" t="s">
        <v>76</v>
      </c>
      <c r="E1584" s="3" t="s">
        <v>31</v>
      </c>
      <c r="F1584" s="3" t="b">
        <v>0</v>
      </c>
      <c r="G1584" s="3" t="s">
        <v>64</v>
      </c>
      <c r="H1584" s="6">
        <v>44930.335775462961</v>
      </c>
      <c r="I1584" s="3" t="b">
        <v>0</v>
      </c>
      <c r="J1584" s="3" t="b">
        <v>0</v>
      </c>
      <c r="K1584" s="3" t="s">
        <v>33</v>
      </c>
      <c r="L1584" s="3" t="s">
        <v>34</v>
      </c>
      <c r="M1584" s="8">
        <v>120000.5</v>
      </c>
      <c r="N1584" s="11"/>
      <c r="O1584" s="3" t="s">
        <v>462</v>
      </c>
      <c r="P1584" s="3" t="s">
        <v>463</v>
      </c>
    </row>
    <row r="1585" spans="1:16" x14ac:dyDescent="0.3">
      <c r="A1585" s="3" t="s">
        <v>27</v>
      </c>
      <c r="B1585" s="3" t="s">
        <v>490</v>
      </c>
      <c r="C1585" s="3" t="s">
        <v>491</v>
      </c>
      <c r="D1585" s="3" t="s">
        <v>93</v>
      </c>
      <c r="E1585" s="3" t="s">
        <v>31</v>
      </c>
      <c r="F1585" s="3" t="b">
        <v>0</v>
      </c>
      <c r="G1585" s="3" t="s">
        <v>32</v>
      </c>
      <c r="H1585" s="6">
        <v>44951.377766203703</v>
      </c>
      <c r="I1585" s="3" t="b">
        <v>0</v>
      </c>
      <c r="J1585" s="3" t="b">
        <v>1</v>
      </c>
      <c r="K1585" s="3" t="s">
        <v>33</v>
      </c>
      <c r="L1585" s="3" t="s">
        <v>34</v>
      </c>
      <c r="M1585" s="8">
        <v>115000</v>
      </c>
      <c r="N1585" s="11"/>
      <c r="O1585" s="3" t="s">
        <v>351</v>
      </c>
      <c r="P1585" s="3" t="s">
        <v>492</v>
      </c>
    </row>
    <row r="1586" spans="1:16" x14ac:dyDescent="0.3">
      <c r="A1586" s="3" t="s">
        <v>27</v>
      </c>
      <c r="B1586" s="3" t="s">
        <v>27</v>
      </c>
      <c r="C1586" s="3" t="s">
        <v>493</v>
      </c>
      <c r="D1586" s="3" t="s">
        <v>93</v>
      </c>
      <c r="E1586" s="3" t="s">
        <v>31</v>
      </c>
      <c r="F1586" s="3" t="b">
        <v>0</v>
      </c>
      <c r="G1586" s="3" t="s">
        <v>140</v>
      </c>
      <c r="H1586" s="6">
        <v>44934.326909722222</v>
      </c>
      <c r="I1586" s="3" t="b">
        <v>0</v>
      </c>
      <c r="J1586" s="3" t="b">
        <v>1</v>
      </c>
      <c r="K1586" s="3" t="s">
        <v>33</v>
      </c>
      <c r="L1586" s="3" t="s">
        <v>34</v>
      </c>
      <c r="M1586" s="8">
        <v>115000</v>
      </c>
      <c r="N1586" s="11"/>
      <c r="O1586" s="3" t="s">
        <v>303</v>
      </c>
      <c r="P1586" s="3" t="s">
        <v>347</v>
      </c>
    </row>
    <row r="1587" spans="1:16" x14ac:dyDescent="0.3">
      <c r="A1587" s="3" t="s">
        <v>27</v>
      </c>
      <c r="B1587" s="3" t="s">
        <v>27</v>
      </c>
      <c r="C1587" s="3" t="s">
        <v>270</v>
      </c>
      <c r="D1587" s="3" t="s">
        <v>220</v>
      </c>
      <c r="E1587" s="3" t="s">
        <v>31</v>
      </c>
      <c r="F1587" s="3" t="b">
        <v>0</v>
      </c>
      <c r="G1587" s="3" t="s">
        <v>32</v>
      </c>
      <c r="H1587" s="6">
        <v>44948.544560185182</v>
      </c>
      <c r="I1587" s="3" t="b">
        <v>0</v>
      </c>
      <c r="J1587" s="3" t="b">
        <v>0</v>
      </c>
      <c r="K1587" s="3" t="s">
        <v>33</v>
      </c>
      <c r="L1587" s="3" t="s">
        <v>34</v>
      </c>
      <c r="M1587" s="8">
        <v>250000</v>
      </c>
      <c r="N1587" s="11"/>
      <c r="O1587" s="3" t="s">
        <v>498</v>
      </c>
      <c r="P1587" s="3" t="s">
        <v>499</v>
      </c>
    </row>
    <row r="1588" spans="1:16" x14ac:dyDescent="0.3">
      <c r="A1588" s="3" t="s">
        <v>27</v>
      </c>
      <c r="B1588" s="3" t="s">
        <v>27</v>
      </c>
      <c r="C1588" s="3" t="s">
        <v>87</v>
      </c>
      <c r="D1588" s="3" t="s">
        <v>30</v>
      </c>
      <c r="E1588" s="3" t="s">
        <v>133</v>
      </c>
      <c r="F1588" s="3" t="b">
        <v>1</v>
      </c>
      <c r="G1588" s="3" t="s">
        <v>110</v>
      </c>
      <c r="H1588" s="6">
        <v>44952.74417824074</v>
      </c>
      <c r="I1588" s="3" t="b">
        <v>0</v>
      </c>
      <c r="J1588" s="3" t="b">
        <v>0</v>
      </c>
      <c r="K1588" s="3" t="s">
        <v>110</v>
      </c>
      <c r="L1588" s="3" t="s">
        <v>48</v>
      </c>
      <c r="M1588" s="8"/>
      <c r="N1588" s="11">
        <v>64</v>
      </c>
      <c r="O1588" s="3" t="s">
        <v>502</v>
      </c>
      <c r="P1588" s="3" t="s">
        <v>347</v>
      </c>
    </row>
    <row r="1589" spans="1:16" x14ac:dyDescent="0.3">
      <c r="A1589" s="3" t="s">
        <v>27</v>
      </c>
      <c r="B1589" s="3" t="s">
        <v>519</v>
      </c>
      <c r="C1589" s="3" t="s">
        <v>520</v>
      </c>
      <c r="D1589" s="3" t="s">
        <v>93</v>
      </c>
      <c r="E1589" s="3" t="s">
        <v>31</v>
      </c>
      <c r="F1589" s="3" t="b">
        <v>0</v>
      </c>
      <c r="G1589" s="3" t="s">
        <v>88</v>
      </c>
      <c r="H1589" s="6">
        <v>44944.380335648151</v>
      </c>
      <c r="I1589" s="3" t="b">
        <v>0</v>
      </c>
      <c r="J1589" s="3" t="b">
        <v>1</v>
      </c>
      <c r="K1589" s="3" t="s">
        <v>33</v>
      </c>
      <c r="L1589" s="3" t="s">
        <v>34</v>
      </c>
      <c r="M1589" s="8">
        <v>175000</v>
      </c>
      <c r="N1589" s="11"/>
      <c r="O1589" s="3" t="s">
        <v>521</v>
      </c>
      <c r="P1589" s="3" t="s">
        <v>512</v>
      </c>
    </row>
    <row r="1590" spans="1:16" x14ac:dyDescent="0.3">
      <c r="A1590" s="3" t="s">
        <v>27</v>
      </c>
      <c r="B1590" s="3" t="s">
        <v>522</v>
      </c>
      <c r="C1590" s="3" t="s">
        <v>495</v>
      </c>
      <c r="D1590" s="3" t="s">
        <v>30</v>
      </c>
      <c r="E1590" s="3" t="s">
        <v>31</v>
      </c>
      <c r="F1590" s="3" t="b">
        <v>0</v>
      </c>
      <c r="G1590" s="3" t="s">
        <v>140</v>
      </c>
      <c r="H1590" s="6">
        <v>44949.434386574067</v>
      </c>
      <c r="I1590" s="3" t="b">
        <v>0</v>
      </c>
      <c r="J1590" s="3" t="b">
        <v>0</v>
      </c>
      <c r="K1590" s="3" t="s">
        <v>33</v>
      </c>
      <c r="L1590" s="3" t="s">
        <v>34</v>
      </c>
      <c r="M1590" s="8">
        <v>130000</v>
      </c>
      <c r="N1590" s="11"/>
      <c r="O1590" s="3" t="s">
        <v>80</v>
      </c>
      <c r="P1590" s="3" t="s">
        <v>523</v>
      </c>
    </row>
    <row r="1591" spans="1:16" x14ac:dyDescent="0.3">
      <c r="A1591" s="3" t="s">
        <v>27</v>
      </c>
      <c r="B1591" s="3" t="s">
        <v>525</v>
      </c>
      <c r="C1591" s="3" t="s">
        <v>321</v>
      </c>
      <c r="D1591" s="3" t="s">
        <v>188</v>
      </c>
      <c r="E1591" s="3" t="s">
        <v>31</v>
      </c>
      <c r="F1591" s="3" t="b">
        <v>0</v>
      </c>
      <c r="G1591" s="3" t="s">
        <v>88</v>
      </c>
      <c r="H1591" s="6">
        <v>44946.851666666669</v>
      </c>
      <c r="I1591" s="3" t="b">
        <v>0</v>
      </c>
      <c r="J1591" s="3" t="b">
        <v>0</v>
      </c>
      <c r="K1591" s="3" t="s">
        <v>33</v>
      </c>
      <c r="L1591" s="3" t="s">
        <v>48</v>
      </c>
      <c r="M1591" s="8"/>
      <c r="N1591" s="11">
        <v>65</v>
      </c>
      <c r="O1591" s="3" t="s">
        <v>526</v>
      </c>
      <c r="P1591" s="3" t="s">
        <v>527</v>
      </c>
    </row>
    <row r="1592" spans="1:16" x14ac:dyDescent="0.3">
      <c r="A1592" s="3" t="s">
        <v>27</v>
      </c>
      <c r="B1592" s="3" t="s">
        <v>27</v>
      </c>
      <c r="C1592" s="3" t="s">
        <v>87</v>
      </c>
      <c r="D1592" s="3" t="s">
        <v>76</v>
      </c>
      <c r="E1592" s="3" t="s">
        <v>31</v>
      </c>
      <c r="F1592" s="3" t="b">
        <v>1</v>
      </c>
      <c r="G1592" s="3" t="s">
        <v>32</v>
      </c>
      <c r="H1592" s="6">
        <v>44953.96199074074</v>
      </c>
      <c r="I1592" s="3" t="b">
        <v>0</v>
      </c>
      <c r="J1592" s="3" t="b">
        <v>1</v>
      </c>
      <c r="K1592" s="3" t="s">
        <v>33</v>
      </c>
      <c r="L1592" s="3" t="s">
        <v>48</v>
      </c>
      <c r="M1592" s="8"/>
      <c r="N1592" s="11">
        <v>67.605003356933594</v>
      </c>
      <c r="O1592" s="3" t="s">
        <v>535</v>
      </c>
      <c r="P1592" s="3" t="s">
        <v>536</v>
      </c>
    </row>
    <row r="1593" spans="1:16" x14ac:dyDescent="0.3">
      <c r="A1593" s="3" t="s">
        <v>27</v>
      </c>
      <c r="B1593" s="3" t="s">
        <v>537</v>
      </c>
      <c r="C1593" s="3" t="s">
        <v>87</v>
      </c>
      <c r="D1593" s="3" t="s">
        <v>263</v>
      </c>
      <c r="E1593" s="3" t="s">
        <v>133</v>
      </c>
      <c r="F1593" s="3" t="b">
        <v>1</v>
      </c>
      <c r="G1593" s="3" t="s">
        <v>84</v>
      </c>
      <c r="H1593" s="6">
        <v>44957.128645833327</v>
      </c>
      <c r="I1593" s="3" t="b">
        <v>0</v>
      </c>
      <c r="J1593" s="3" t="b">
        <v>0</v>
      </c>
      <c r="K1593" s="3" t="s">
        <v>33</v>
      </c>
      <c r="L1593" s="3" t="s">
        <v>48</v>
      </c>
      <c r="M1593" s="8"/>
      <c r="N1593" s="11">
        <v>100</v>
      </c>
      <c r="O1593" s="3" t="s">
        <v>264</v>
      </c>
      <c r="P1593" s="3" t="s">
        <v>538</v>
      </c>
    </row>
    <row r="1594" spans="1:16" x14ac:dyDescent="0.3">
      <c r="A1594" s="3" t="s">
        <v>27</v>
      </c>
      <c r="B1594" s="3" t="s">
        <v>539</v>
      </c>
      <c r="C1594" s="3" t="s">
        <v>540</v>
      </c>
      <c r="D1594" s="3" t="s">
        <v>93</v>
      </c>
      <c r="E1594" s="3" t="s">
        <v>31</v>
      </c>
      <c r="F1594" s="3" t="b">
        <v>0</v>
      </c>
      <c r="G1594" s="3" t="s">
        <v>88</v>
      </c>
      <c r="H1594" s="6">
        <v>44942.32167824074</v>
      </c>
      <c r="I1594" s="3" t="b">
        <v>0</v>
      </c>
      <c r="J1594" s="3" t="b">
        <v>1</v>
      </c>
      <c r="K1594" s="3" t="s">
        <v>33</v>
      </c>
      <c r="L1594" s="3" t="s">
        <v>34</v>
      </c>
      <c r="M1594" s="8">
        <v>150000</v>
      </c>
      <c r="N1594" s="11"/>
      <c r="O1594" s="3" t="s">
        <v>541</v>
      </c>
      <c r="P1594" s="3" t="s">
        <v>542</v>
      </c>
    </row>
    <row r="1595" spans="1:16" x14ac:dyDescent="0.3">
      <c r="A1595" s="3" t="s">
        <v>27</v>
      </c>
      <c r="B1595" s="3" t="s">
        <v>27</v>
      </c>
      <c r="C1595" s="3" t="s">
        <v>573</v>
      </c>
      <c r="D1595" s="3" t="s">
        <v>76</v>
      </c>
      <c r="E1595" s="3" t="s">
        <v>31</v>
      </c>
      <c r="F1595" s="3" t="b">
        <v>0</v>
      </c>
      <c r="G1595" s="3" t="s">
        <v>84</v>
      </c>
      <c r="H1595" s="6">
        <v>44930.58734953704</v>
      </c>
      <c r="I1595" s="3" t="b">
        <v>0</v>
      </c>
      <c r="J1595" s="3" t="b">
        <v>0</v>
      </c>
      <c r="K1595" s="3" t="s">
        <v>33</v>
      </c>
      <c r="L1595" s="3" t="s">
        <v>34</v>
      </c>
      <c r="M1595" s="8">
        <v>120000.5</v>
      </c>
      <c r="N1595" s="11"/>
      <c r="O1595" s="3" t="s">
        <v>462</v>
      </c>
      <c r="P1595" s="3" t="s">
        <v>463</v>
      </c>
    </row>
    <row r="1596" spans="1:16" x14ac:dyDescent="0.3">
      <c r="A1596" s="3" t="s">
        <v>27</v>
      </c>
      <c r="B1596" s="3" t="s">
        <v>574</v>
      </c>
      <c r="C1596" s="3" t="s">
        <v>87</v>
      </c>
      <c r="D1596" s="3" t="s">
        <v>76</v>
      </c>
      <c r="E1596" s="3" t="s">
        <v>31</v>
      </c>
      <c r="F1596" s="3" t="b">
        <v>1</v>
      </c>
      <c r="G1596" s="3" t="s">
        <v>58</v>
      </c>
      <c r="H1596" s="6">
        <v>44935.961562500001</v>
      </c>
      <c r="I1596" s="3" t="b">
        <v>0</v>
      </c>
      <c r="J1596" s="3" t="b">
        <v>0</v>
      </c>
      <c r="K1596" s="3" t="s">
        <v>33</v>
      </c>
      <c r="L1596" s="3" t="s">
        <v>34</v>
      </c>
      <c r="M1596" s="8">
        <v>105000</v>
      </c>
      <c r="N1596" s="11"/>
      <c r="O1596" s="3" t="s">
        <v>575</v>
      </c>
      <c r="P1596" s="3" t="s">
        <v>576</v>
      </c>
    </row>
    <row r="1597" spans="1:16" x14ac:dyDescent="0.3">
      <c r="A1597" s="3" t="s">
        <v>27</v>
      </c>
      <c r="B1597" s="3" t="s">
        <v>613</v>
      </c>
      <c r="C1597" s="3" t="s">
        <v>447</v>
      </c>
      <c r="D1597" s="3" t="s">
        <v>76</v>
      </c>
      <c r="E1597" s="3" t="s">
        <v>31</v>
      </c>
      <c r="F1597" s="3" t="b">
        <v>0</v>
      </c>
      <c r="G1597" s="3" t="s">
        <v>32</v>
      </c>
      <c r="H1597" s="6">
        <v>44929.772581018522</v>
      </c>
      <c r="I1597" s="3" t="b">
        <v>0</v>
      </c>
      <c r="J1597" s="3" t="b">
        <v>1</v>
      </c>
      <c r="K1597" s="3" t="s">
        <v>33</v>
      </c>
      <c r="L1597" s="3" t="s">
        <v>34</v>
      </c>
      <c r="M1597" s="8">
        <v>250000</v>
      </c>
      <c r="N1597" s="11"/>
      <c r="O1597" s="3" t="s">
        <v>614</v>
      </c>
      <c r="P1597" s="3" t="s">
        <v>615</v>
      </c>
    </row>
    <row r="1598" spans="1:16" x14ac:dyDescent="0.3">
      <c r="A1598" s="3" t="s">
        <v>27</v>
      </c>
      <c r="B1598" s="3" t="s">
        <v>619</v>
      </c>
      <c r="C1598" s="3" t="s">
        <v>620</v>
      </c>
      <c r="D1598" s="3" t="s">
        <v>30</v>
      </c>
      <c r="E1598" s="3" t="s">
        <v>133</v>
      </c>
      <c r="F1598" s="3" t="b">
        <v>0</v>
      </c>
      <c r="G1598" s="3" t="s">
        <v>58</v>
      </c>
      <c r="H1598" s="6">
        <v>44931.961238425924</v>
      </c>
      <c r="I1598" s="3" t="b">
        <v>0</v>
      </c>
      <c r="J1598" s="3" t="b">
        <v>0</v>
      </c>
      <c r="K1598" s="3" t="s">
        <v>33</v>
      </c>
      <c r="L1598" s="3" t="s">
        <v>48</v>
      </c>
      <c r="M1598" s="8"/>
      <c r="N1598" s="11">
        <v>60</v>
      </c>
      <c r="O1598" s="3" t="s">
        <v>589</v>
      </c>
      <c r="P1598" s="3" t="s">
        <v>621</v>
      </c>
    </row>
    <row r="1599" spans="1:16" x14ac:dyDescent="0.3">
      <c r="A1599" s="3" t="s">
        <v>27</v>
      </c>
      <c r="B1599" s="3" t="s">
        <v>626</v>
      </c>
      <c r="C1599" s="3" t="s">
        <v>33</v>
      </c>
      <c r="D1599" s="3" t="s">
        <v>627</v>
      </c>
      <c r="E1599" s="3" t="s">
        <v>31</v>
      </c>
      <c r="F1599" s="3" t="b">
        <v>0</v>
      </c>
      <c r="G1599" s="3" t="s">
        <v>58</v>
      </c>
      <c r="H1599" s="6">
        <v>44950.628750000003</v>
      </c>
      <c r="I1599" s="3" t="b">
        <v>0</v>
      </c>
      <c r="J1599" s="3" t="b">
        <v>1</v>
      </c>
      <c r="K1599" s="3" t="s">
        <v>33</v>
      </c>
      <c r="L1599" s="3" t="s">
        <v>34</v>
      </c>
      <c r="M1599" s="8">
        <v>100000</v>
      </c>
      <c r="N1599" s="11"/>
      <c r="O1599" s="3" t="s">
        <v>628</v>
      </c>
      <c r="P1599" s="3" t="s">
        <v>347</v>
      </c>
    </row>
    <row r="1600" spans="1:16" x14ac:dyDescent="0.3">
      <c r="A1600" s="3" t="s">
        <v>27</v>
      </c>
      <c r="B1600" s="3" t="s">
        <v>27</v>
      </c>
      <c r="C1600" s="3" t="s">
        <v>87</v>
      </c>
      <c r="D1600" s="3" t="s">
        <v>30</v>
      </c>
      <c r="E1600" s="3" t="s">
        <v>31</v>
      </c>
      <c r="F1600" s="3" t="b">
        <v>1</v>
      </c>
      <c r="G1600" s="3" t="s">
        <v>84</v>
      </c>
      <c r="H1600" s="6">
        <v>44950.921087962961</v>
      </c>
      <c r="I1600" s="3" t="b">
        <v>0</v>
      </c>
      <c r="J1600" s="3" t="b">
        <v>0</v>
      </c>
      <c r="K1600" s="3" t="s">
        <v>33</v>
      </c>
      <c r="L1600" s="3" t="s">
        <v>34</v>
      </c>
      <c r="M1600" s="8">
        <v>140000</v>
      </c>
      <c r="N1600" s="11"/>
      <c r="O1600" s="3" t="s">
        <v>631</v>
      </c>
      <c r="P1600" s="3" t="s">
        <v>632</v>
      </c>
    </row>
    <row r="1601" spans="1:16" x14ac:dyDescent="0.3">
      <c r="A1601" s="3" t="s">
        <v>27</v>
      </c>
      <c r="B1601" s="3" t="s">
        <v>637</v>
      </c>
      <c r="C1601" s="3" t="s">
        <v>565</v>
      </c>
      <c r="D1601" s="3" t="s">
        <v>76</v>
      </c>
      <c r="E1601" s="3" t="s">
        <v>31</v>
      </c>
      <c r="F1601" s="3" t="b">
        <v>0</v>
      </c>
      <c r="G1601" s="3" t="s">
        <v>140</v>
      </c>
      <c r="H1601" s="6">
        <v>44940.139386574083</v>
      </c>
      <c r="I1601" s="3" t="b">
        <v>0</v>
      </c>
      <c r="J1601" s="3" t="b">
        <v>0</v>
      </c>
      <c r="K1601" s="3" t="s">
        <v>33</v>
      </c>
      <c r="L1601" s="3" t="s">
        <v>34</v>
      </c>
      <c r="M1601" s="8">
        <v>160000</v>
      </c>
      <c r="N1601" s="11"/>
      <c r="O1601" s="3" t="s">
        <v>638</v>
      </c>
      <c r="P1601" s="3" t="s">
        <v>639</v>
      </c>
    </row>
    <row r="1602" spans="1:16" x14ac:dyDescent="0.3">
      <c r="A1602" s="3" t="s">
        <v>27</v>
      </c>
      <c r="B1602" s="3" t="s">
        <v>643</v>
      </c>
      <c r="C1602" s="3" t="s">
        <v>317</v>
      </c>
      <c r="D1602" s="3" t="s">
        <v>41</v>
      </c>
      <c r="E1602" s="3" t="s">
        <v>31</v>
      </c>
      <c r="F1602" s="3" t="b">
        <v>0</v>
      </c>
      <c r="G1602" s="3" t="s">
        <v>317</v>
      </c>
      <c r="H1602" s="6">
        <v>44953.4846875</v>
      </c>
      <c r="I1602" s="3" t="b">
        <v>1</v>
      </c>
      <c r="J1602" s="3" t="b">
        <v>0</v>
      </c>
      <c r="K1602" s="3" t="s">
        <v>317</v>
      </c>
      <c r="L1602" s="3" t="s">
        <v>34</v>
      </c>
      <c r="M1602" s="8">
        <v>99150</v>
      </c>
      <c r="N1602" s="11"/>
      <c r="O1602" s="3" t="s">
        <v>644</v>
      </c>
      <c r="P1602" s="3" t="s">
        <v>645</v>
      </c>
    </row>
    <row r="1603" spans="1:16" x14ac:dyDescent="0.3">
      <c r="A1603" s="3" t="s">
        <v>27</v>
      </c>
      <c r="B1603" s="3" t="s">
        <v>654</v>
      </c>
      <c r="C1603" s="3" t="s">
        <v>655</v>
      </c>
      <c r="D1603" s="3" t="s">
        <v>656</v>
      </c>
      <c r="E1603" s="3" t="s">
        <v>31</v>
      </c>
      <c r="F1603" s="3" t="b">
        <v>0</v>
      </c>
      <c r="G1603" s="3" t="s">
        <v>32</v>
      </c>
      <c r="H1603" s="6">
        <v>44929.981145833342</v>
      </c>
      <c r="I1603" s="3" t="b">
        <v>0</v>
      </c>
      <c r="J1603" s="3" t="b">
        <v>0</v>
      </c>
      <c r="K1603" s="3" t="s">
        <v>33</v>
      </c>
      <c r="L1603" s="3" t="s">
        <v>48</v>
      </c>
      <c r="M1603" s="8"/>
      <c r="N1603" s="11">
        <v>24</v>
      </c>
      <c r="O1603" s="3" t="s">
        <v>657</v>
      </c>
      <c r="P1603" s="3"/>
    </row>
    <row r="1604" spans="1:16" x14ac:dyDescent="0.3">
      <c r="A1604" s="3" t="s">
        <v>27</v>
      </c>
      <c r="B1604" s="3" t="s">
        <v>663</v>
      </c>
      <c r="C1604" s="3" t="s">
        <v>664</v>
      </c>
      <c r="D1604" s="3" t="s">
        <v>93</v>
      </c>
      <c r="E1604" s="3" t="s">
        <v>31</v>
      </c>
      <c r="F1604" s="3" t="b">
        <v>0</v>
      </c>
      <c r="G1604" s="3" t="s">
        <v>32</v>
      </c>
      <c r="H1604" s="6">
        <v>44953.461898148147</v>
      </c>
      <c r="I1604" s="3" t="b">
        <v>0</v>
      </c>
      <c r="J1604" s="3" t="b">
        <v>1</v>
      </c>
      <c r="K1604" s="3" t="s">
        <v>33</v>
      </c>
      <c r="L1604" s="3" t="s">
        <v>34</v>
      </c>
      <c r="M1604" s="8">
        <v>125000</v>
      </c>
      <c r="N1604" s="11"/>
      <c r="O1604" s="3" t="s">
        <v>665</v>
      </c>
      <c r="P1604" s="3"/>
    </row>
    <row r="1605" spans="1:16" x14ac:dyDescent="0.3">
      <c r="A1605" s="3" t="s">
        <v>27</v>
      </c>
      <c r="B1605" s="3" t="s">
        <v>674</v>
      </c>
      <c r="C1605" s="3" t="s">
        <v>305</v>
      </c>
      <c r="D1605" s="3" t="s">
        <v>76</v>
      </c>
      <c r="E1605" s="3" t="s">
        <v>31</v>
      </c>
      <c r="F1605" s="3" t="b">
        <v>0</v>
      </c>
      <c r="G1605" s="3" t="s">
        <v>32</v>
      </c>
      <c r="H1605" s="6">
        <v>44953.836875000001</v>
      </c>
      <c r="I1605" s="3" t="b">
        <v>0</v>
      </c>
      <c r="J1605" s="3" t="b">
        <v>0</v>
      </c>
      <c r="K1605" s="3" t="s">
        <v>33</v>
      </c>
      <c r="L1605" s="3" t="s">
        <v>34</v>
      </c>
      <c r="M1605" s="8">
        <v>182000</v>
      </c>
      <c r="N1605" s="11"/>
      <c r="O1605" s="3" t="s">
        <v>303</v>
      </c>
      <c r="P1605" s="3" t="s">
        <v>675</v>
      </c>
    </row>
    <row r="1606" spans="1:16" x14ac:dyDescent="0.3">
      <c r="A1606" s="3" t="s">
        <v>27</v>
      </c>
      <c r="B1606" s="3" t="s">
        <v>27</v>
      </c>
      <c r="C1606" s="3" t="s">
        <v>33</v>
      </c>
      <c r="D1606" s="3" t="s">
        <v>627</v>
      </c>
      <c r="E1606" s="3" t="s">
        <v>31</v>
      </c>
      <c r="F1606" s="3" t="b">
        <v>0</v>
      </c>
      <c r="G1606" s="3" t="s">
        <v>58</v>
      </c>
      <c r="H1606" s="6">
        <v>44946.682037037041</v>
      </c>
      <c r="I1606" s="3" t="b">
        <v>0</v>
      </c>
      <c r="J1606" s="3" t="b">
        <v>0</v>
      </c>
      <c r="K1606" s="3" t="s">
        <v>33</v>
      </c>
      <c r="L1606" s="3" t="s">
        <v>48</v>
      </c>
      <c r="M1606" s="8"/>
      <c r="N1606" s="11">
        <v>80</v>
      </c>
      <c r="O1606" s="3" t="s">
        <v>196</v>
      </c>
      <c r="P1606" s="3" t="s">
        <v>676</v>
      </c>
    </row>
    <row r="1607" spans="1:16" x14ac:dyDescent="0.3">
      <c r="A1607" s="3" t="s">
        <v>27</v>
      </c>
      <c r="B1607" s="3" t="s">
        <v>677</v>
      </c>
      <c r="C1607" s="3" t="s">
        <v>549</v>
      </c>
      <c r="D1607" s="3" t="s">
        <v>76</v>
      </c>
      <c r="E1607" s="3" t="s">
        <v>31</v>
      </c>
      <c r="F1607" s="3" t="b">
        <v>0</v>
      </c>
      <c r="G1607" s="3" t="s">
        <v>140</v>
      </c>
      <c r="H1607" s="6">
        <v>44950.373912037037</v>
      </c>
      <c r="I1607" s="3" t="b">
        <v>0</v>
      </c>
      <c r="J1607" s="3" t="b">
        <v>0</v>
      </c>
      <c r="K1607" s="3" t="s">
        <v>33</v>
      </c>
      <c r="L1607" s="3" t="s">
        <v>34</v>
      </c>
      <c r="M1607" s="8">
        <v>190000</v>
      </c>
      <c r="N1607" s="11"/>
      <c r="O1607" s="3" t="s">
        <v>678</v>
      </c>
      <c r="P1607" s="3" t="s">
        <v>679</v>
      </c>
    </row>
    <row r="1608" spans="1:16" x14ac:dyDescent="0.3">
      <c r="A1608" s="3" t="s">
        <v>27</v>
      </c>
      <c r="B1608" s="3" t="s">
        <v>688</v>
      </c>
      <c r="C1608" s="3" t="s">
        <v>682</v>
      </c>
      <c r="D1608" s="3" t="s">
        <v>93</v>
      </c>
      <c r="E1608" s="3" t="s">
        <v>31</v>
      </c>
      <c r="F1608" s="3" t="b">
        <v>0</v>
      </c>
      <c r="G1608" s="3" t="s">
        <v>140</v>
      </c>
      <c r="H1608" s="6">
        <v>44933.354571759257</v>
      </c>
      <c r="I1608" s="3" t="b">
        <v>0</v>
      </c>
      <c r="J1608" s="3" t="b">
        <v>1</v>
      </c>
      <c r="K1608" s="3" t="s">
        <v>33</v>
      </c>
      <c r="L1608" s="3" t="s">
        <v>34</v>
      </c>
      <c r="M1608" s="8">
        <v>150000</v>
      </c>
      <c r="N1608" s="11"/>
      <c r="O1608" s="3" t="s">
        <v>689</v>
      </c>
      <c r="P1608" s="3" t="s">
        <v>690</v>
      </c>
    </row>
    <row r="1609" spans="1:16" x14ac:dyDescent="0.3">
      <c r="A1609" s="3" t="s">
        <v>27</v>
      </c>
      <c r="B1609" s="3" t="s">
        <v>674</v>
      </c>
      <c r="C1609" s="3" t="s">
        <v>33</v>
      </c>
      <c r="D1609" s="3" t="s">
        <v>627</v>
      </c>
      <c r="E1609" s="3" t="s">
        <v>31</v>
      </c>
      <c r="F1609" s="3" t="b">
        <v>0</v>
      </c>
      <c r="G1609" s="3" t="s">
        <v>58</v>
      </c>
      <c r="H1609" s="6">
        <v>44930.523078703707</v>
      </c>
      <c r="I1609" s="3" t="b">
        <v>0</v>
      </c>
      <c r="J1609" s="3" t="b">
        <v>0</v>
      </c>
      <c r="K1609" s="3" t="s">
        <v>33</v>
      </c>
      <c r="L1609" s="3" t="s">
        <v>34</v>
      </c>
      <c r="M1609" s="8">
        <v>212500</v>
      </c>
      <c r="N1609" s="11"/>
      <c r="O1609" s="3" t="s">
        <v>196</v>
      </c>
      <c r="P1609" s="3" t="s">
        <v>691</v>
      </c>
    </row>
    <row r="1610" spans="1:16" x14ac:dyDescent="0.3">
      <c r="A1610" s="3" t="s">
        <v>27</v>
      </c>
      <c r="B1610" s="3" t="s">
        <v>708</v>
      </c>
      <c r="C1610" s="3" t="s">
        <v>87</v>
      </c>
      <c r="D1610" s="3" t="s">
        <v>76</v>
      </c>
      <c r="E1610" s="3" t="s">
        <v>31</v>
      </c>
      <c r="F1610" s="3" t="b">
        <v>1</v>
      </c>
      <c r="G1610" s="3" t="s">
        <v>64</v>
      </c>
      <c r="H1610" s="6">
        <v>44945.681006944447</v>
      </c>
      <c r="I1610" s="3" t="b">
        <v>0</v>
      </c>
      <c r="J1610" s="3" t="b">
        <v>1</v>
      </c>
      <c r="K1610" s="3" t="s">
        <v>33</v>
      </c>
      <c r="L1610" s="3" t="s">
        <v>34</v>
      </c>
      <c r="M1610" s="8">
        <v>135000</v>
      </c>
      <c r="N1610" s="11"/>
      <c r="O1610" s="3" t="s">
        <v>709</v>
      </c>
      <c r="P1610" s="3" t="s">
        <v>710</v>
      </c>
    </row>
    <row r="1611" spans="1:16" x14ac:dyDescent="0.3">
      <c r="A1611" s="3" t="s">
        <v>27</v>
      </c>
      <c r="B1611" s="3" t="s">
        <v>27</v>
      </c>
      <c r="C1611" s="3" t="s">
        <v>87</v>
      </c>
      <c r="D1611" s="3" t="s">
        <v>30</v>
      </c>
      <c r="E1611" s="3" t="s">
        <v>133</v>
      </c>
      <c r="F1611" s="3" t="b">
        <v>1</v>
      </c>
      <c r="G1611" s="3" t="s">
        <v>58</v>
      </c>
      <c r="H1611" s="6">
        <v>44938.921249999999</v>
      </c>
      <c r="I1611" s="3" t="b">
        <v>0</v>
      </c>
      <c r="J1611" s="3" t="b">
        <v>0</v>
      </c>
      <c r="K1611" s="3" t="s">
        <v>33</v>
      </c>
      <c r="L1611" s="3" t="s">
        <v>48</v>
      </c>
      <c r="M1611" s="8"/>
      <c r="N1611" s="11">
        <v>82.5</v>
      </c>
      <c r="O1611" s="3" t="s">
        <v>196</v>
      </c>
      <c r="P1611" s="3" t="s">
        <v>729</v>
      </c>
    </row>
    <row r="1612" spans="1:16" x14ac:dyDescent="0.3">
      <c r="A1612" s="3" t="s">
        <v>27</v>
      </c>
      <c r="B1612" s="3" t="s">
        <v>27</v>
      </c>
      <c r="C1612" s="3" t="s">
        <v>718</v>
      </c>
      <c r="D1612" s="3" t="s">
        <v>76</v>
      </c>
      <c r="E1612" s="3" t="s">
        <v>31</v>
      </c>
      <c r="F1612" s="3" t="b">
        <v>0</v>
      </c>
      <c r="G1612" s="3" t="s">
        <v>110</v>
      </c>
      <c r="H1612" s="6">
        <v>44939.182175925933</v>
      </c>
      <c r="I1612" s="3" t="b">
        <v>0</v>
      </c>
      <c r="J1612" s="3" t="b">
        <v>1</v>
      </c>
      <c r="K1612" s="3" t="s">
        <v>110</v>
      </c>
      <c r="L1612" s="3" t="s">
        <v>34</v>
      </c>
      <c r="M1612" s="8">
        <v>146383</v>
      </c>
      <c r="N1612" s="11"/>
      <c r="O1612" s="3" t="s">
        <v>732</v>
      </c>
      <c r="P1612" s="3" t="s">
        <v>733</v>
      </c>
    </row>
    <row r="1613" spans="1:16" x14ac:dyDescent="0.3">
      <c r="A1613" s="3" t="s">
        <v>27</v>
      </c>
      <c r="B1613" s="3" t="s">
        <v>734</v>
      </c>
      <c r="C1613" s="3" t="s">
        <v>87</v>
      </c>
      <c r="D1613" s="3" t="s">
        <v>30</v>
      </c>
      <c r="E1613" s="3" t="s">
        <v>133</v>
      </c>
      <c r="F1613" s="3" t="b">
        <v>1</v>
      </c>
      <c r="G1613" s="3" t="s">
        <v>64</v>
      </c>
      <c r="H1613" s="6">
        <v>44949.585717592592</v>
      </c>
      <c r="I1613" s="3" t="b">
        <v>0</v>
      </c>
      <c r="J1613" s="3" t="b">
        <v>0</v>
      </c>
      <c r="K1613" s="3" t="s">
        <v>33</v>
      </c>
      <c r="L1613" s="3" t="s">
        <v>48</v>
      </c>
      <c r="M1613" s="8"/>
      <c r="N1613" s="11">
        <v>85</v>
      </c>
      <c r="O1613" s="3" t="s">
        <v>284</v>
      </c>
      <c r="P1613" s="3" t="s">
        <v>735</v>
      </c>
    </row>
    <row r="1614" spans="1:16" x14ac:dyDescent="0.3">
      <c r="A1614" s="3" t="s">
        <v>27</v>
      </c>
      <c r="B1614" s="3" t="s">
        <v>755</v>
      </c>
      <c r="C1614" s="3" t="s">
        <v>87</v>
      </c>
      <c r="D1614" s="3" t="s">
        <v>263</v>
      </c>
      <c r="E1614" s="3" t="s">
        <v>133</v>
      </c>
      <c r="F1614" s="3" t="b">
        <v>1</v>
      </c>
      <c r="G1614" s="3" t="s">
        <v>84</v>
      </c>
      <c r="H1614" s="6">
        <v>44939.921655092592</v>
      </c>
      <c r="I1614" s="3" t="b">
        <v>1</v>
      </c>
      <c r="J1614" s="3" t="b">
        <v>0</v>
      </c>
      <c r="K1614" s="3" t="s">
        <v>33</v>
      </c>
      <c r="L1614" s="3" t="s">
        <v>48</v>
      </c>
      <c r="M1614" s="8"/>
      <c r="N1614" s="11">
        <v>40</v>
      </c>
      <c r="O1614" s="3" t="s">
        <v>264</v>
      </c>
      <c r="P1614" s="3" t="s">
        <v>756</v>
      </c>
    </row>
    <row r="1615" spans="1:16" x14ac:dyDescent="0.3">
      <c r="A1615" s="3" t="s">
        <v>27</v>
      </c>
      <c r="B1615" s="3" t="s">
        <v>763</v>
      </c>
      <c r="C1615" s="3" t="s">
        <v>764</v>
      </c>
      <c r="D1615" s="3" t="s">
        <v>41</v>
      </c>
      <c r="E1615" s="3" t="s">
        <v>31</v>
      </c>
      <c r="F1615" s="3" t="b">
        <v>0</v>
      </c>
      <c r="G1615" s="3" t="s">
        <v>764</v>
      </c>
      <c r="H1615" s="6">
        <v>44937.066261574073</v>
      </c>
      <c r="I1615" s="3" t="b">
        <v>0</v>
      </c>
      <c r="J1615" s="3" t="b">
        <v>0</v>
      </c>
      <c r="K1615" s="3" t="s">
        <v>764</v>
      </c>
      <c r="L1615" s="3" t="s">
        <v>34</v>
      </c>
      <c r="M1615" s="8">
        <v>132500</v>
      </c>
      <c r="N1615" s="11"/>
      <c r="O1615" s="3" t="s">
        <v>765</v>
      </c>
      <c r="P1615" s="3" t="s">
        <v>766</v>
      </c>
    </row>
    <row r="1616" spans="1:16" x14ac:dyDescent="0.3">
      <c r="A1616" s="3" t="s">
        <v>27</v>
      </c>
      <c r="B1616" s="3" t="s">
        <v>27</v>
      </c>
      <c r="C1616" s="3" t="s">
        <v>87</v>
      </c>
      <c r="D1616" s="3" t="s">
        <v>287</v>
      </c>
      <c r="E1616" s="3" t="s">
        <v>31</v>
      </c>
      <c r="F1616" s="3" t="b">
        <v>1</v>
      </c>
      <c r="G1616" s="3" t="s">
        <v>64</v>
      </c>
      <c r="H1616" s="6">
        <v>44929.001817129632</v>
      </c>
      <c r="I1616" s="3" t="b">
        <v>0</v>
      </c>
      <c r="J1616" s="3" t="b">
        <v>1</v>
      </c>
      <c r="K1616" s="3" t="s">
        <v>33</v>
      </c>
      <c r="L1616" s="3" t="s">
        <v>34</v>
      </c>
      <c r="M1616" s="8">
        <v>134000</v>
      </c>
      <c r="N1616" s="11"/>
      <c r="O1616" s="3" t="s">
        <v>767</v>
      </c>
      <c r="P1616" s="3" t="s">
        <v>768</v>
      </c>
    </row>
    <row r="1617" spans="1:16" x14ac:dyDescent="0.3">
      <c r="A1617" s="3" t="s">
        <v>27</v>
      </c>
      <c r="B1617" s="3" t="s">
        <v>792</v>
      </c>
      <c r="C1617" s="3" t="s">
        <v>578</v>
      </c>
      <c r="D1617" s="3" t="s">
        <v>41</v>
      </c>
      <c r="E1617" s="3" t="s">
        <v>31</v>
      </c>
      <c r="F1617" s="3" t="b">
        <v>0</v>
      </c>
      <c r="G1617" s="3" t="s">
        <v>505</v>
      </c>
      <c r="H1617" s="6">
        <v>44947.295682870368</v>
      </c>
      <c r="I1617" s="3" t="b">
        <v>0</v>
      </c>
      <c r="J1617" s="3" t="b">
        <v>0</v>
      </c>
      <c r="K1617" s="3" t="s">
        <v>505</v>
      </c>
      <c r="L1617" s="3" t="s">
        <v>34</v>
      </c>
      <c r="M1617" s="8">
        <v>79200</v>
      </c>
      <c r="N1617" s="11"/>
      <c r="O1617" s="3" t="s">
        <v>793</v>
      </c>
      <c r="P1617" s="3" t="s">
        <v>794</v>
      </c>
    </row>
    <row r="1618" spans="1:16" x14ac:dyDescent="0.3">
      <c r="A1618" s="3" t="s">
        <v>27</v>
      </c>
      <c r="B1618" s="3" t="s">
        <v>27</v>
      </c>
      <c r="C1618" s="3" t="s">
        <v>329</v>
      </c>
      <c r="D1618" s="3" t="s">
        <v>30</v>
      </c>
      <c r="E1618" s="3" t="s">
        <v>31</v>
      </c>
      <c r="F1618" s="3" t="b">
        <v>0</v>
      </c>
      <c r="G1618" s="3" t="s">
        <v>84</v>
      </c>
      <c r="H1618" s="6">
        <v>44957.794745370367</v>
      </c>
      <c r="I1618" s="3" t="b">
        <v>0</v>
      </c>
      <c r="J1618" s="3" t="b">
        <v>0</v>
      </c>
      <c r="K1618" s="3" t="s">
        <v>33</v>
      </c>
      <c r="L1618" s="3" t="s">
        <v>34</v>
      </c>
      <c r="M1618" s="8">
        <v>120000</v>
      </c>
      <c r="N1618" s="11"/>
      <c r="O1618" s="3" t="s">
        <v>589</v>
      </c>
      <c r="P1618" s="3" t="s">
        <v>38</v>
      </c>
    </row>
    <row r="1619" spans="1:16" x14ac:dyDescent="0.3">
      <c r="A1619" s="3" t="s">
        <v>27</v>
      </c>
      <c r="B1619" s="3" t="s">
        <v>27</v>
      </c>
      <c r="C1619" s="3" t="s">
        <v>824</v>
      </c>
      <c r="D1619" s="3" t="s">
        <v>188</v>
      </c>
      <c r="E1619" s="3" t="s">
        <v>31</v>
      </c>
      <c r="F1619" s="3" t="b">
        <v>0</v>
      </c>
      <c r="G1619" s="3" t="s">
        <v>84</v>
      </c>
      <c r="H1619" s="6">
        <v>44952.045254629629</v>
      </c>
      <c r="I1619" s="3" t="b">
        <v>0</v>
      </c>
      <c r="J1619" s="3" t="b">
        <v>0</v>
      </c>
      <c r="K1619" s="3" t="s">
        <v>33</v>
      </c>
      <c r="L1619" s="3" t="s">
        <v>48</v>
      </c>
      <c r="M1619" s="8"/>
      <c r="N1619" s="11">
        <v>65</v>
      </c>
      <c r="O1619" s="3" t="s">
        <v>114</v>
      </c>
      <c r="P1619" s="3" t="s">
        <v>756</v>
      </c>
    </row>
    <row r="1620" spans="1:16" x14ac:dyDescent="0.3">
      <c r="A1620" s="3" t="s">
        <v>27</v>
      </c>
      <c r="B1620" s="3" t="s">
        <v>27</v>
      </c>
      <c r="C1620" s="3" t="s">
        <v>87</v>
      </c>
      <c r="D1620" s="3" t="s">
        <v>30</v>
      </c>
      <c r="E1620" s="3" t="s">
        <v>31</v>
      </c>
      <c r="F1620" s="3" t="b">
        <v>1</v>
      </c>
      <c r="G1620" s="3" t="s">
        <v>84</v>
      </c>
      <c r="H1620" s="6">
        <v>44931.628460648149</v>
      </c>
      <c r="I1620" s="3" t="b">
        <v>0</v>
      </c>
      <c r="J1620" s="3" t="b">
        <v>0</v>
      </c>
      <c r="K1620" s="3" t="s">
        <v>33</v>
      </c>
      <c r="L1620" s="3" t="s">
        <v>34</v>
      </c>
      <c r="M1620" s="8">
        <v>130000</v>
      </c>
      <c r="N1620" s="11"/>
      <c r="O1620" s="3" t="s">
        <v>839</v>
      </c>
      <c r="P1620" s="3" t="s">
        <v>840</v>
      </c>
    </row>
    <row r="1621" spans="1:16" x14ac:dyDescent="0.3">
      <c r="A1621" s="3" t="s">
        <v>27</v>
      </c>
      <c r="B1621" s="3" t="s">
        <v>845</v>
      </c>
      <c r="C1621" s="3" t="s">
        <v>549</v>
      </c>
      <c r="D1621" s="3" t="s">
        <v>76</v>
      </c>
      <c r="E1621" s="3" t="s">
        <v>31</v>
      </c>
      <c r="F1621" s="3" t="b">
        <v>0</v>
      </c>
      <c r="G1621" s="3" t="s">
        <v>140</v>
      </c>
      <c r="H1621" s="6">
        <v>44952.02747685185</v>
      </c>
      <c r="I1621" s="3" t="b">
        <v>0</v>
      </c>
      <c r="J1621" s="3" t="b">
        <v>0</v>
      </c>
      <c r="K1621" s="3" t="s">
        <v>33</v>
      </c>
      <c r="L1621" s="3" t="s">
        <v>34</v>
      </c>
      <c r="M1621" s="8">
        <v>145000</v>
      </c>
      <c r="N1621" s="11"/>
      <c r="O1621" s="3" t="s">
        <v>175</v>
      </c>
      <c r="P1621" s="3" t="s">
        <v>846</v>
      </c>
    </row>
    <row r="1622" spans="1:16" x14ac:dyDescent="0.3">
      <c r="A1622" s="3" t="s">
        <v>27</v>
      </c>
      <c r="B1622" s="3" t="s">
        <v>847</v>
      </c>
      <c r="C1622" s="3" t="s">
        <v>848</v>
      </c>
      <c r="D1622" s="3" t="s">
        <v>41</v>
      </c>
      <c r="E1622" s="3" t="s">
        <v>31</v>
      </c>
      <c r="F1622" s="3" t="b">
        <v>0</v>
      </c>
      <c r="G1622" s="3" t="s">
        <v>849</v>
      </c>
      <c r="H1622" s="6">
        <v>44939.271516203713</v>
      </c>
      <c r="I1622" s="3" t="b">
        <v>0</v>
      </c>
      <c r="J1622" s="3" t="b">
        <v>0</v>
      </c>
      <c r="K1622" s="3" t="s">
        <v>849</v>
      </c>
      <c r="L1622" s="3" t="s">
        <v>34</v>
      </c>
      <c r="M1622" s="8">
        <v>64821.5</v>
      </c>
      <c r="N1622" s="11"/>
      <c r="O1622" s="3" t="s">
        <v>850</v>
      </c>
      <c r="P1622" s="3" t="s">
        <v>851</v>
      </c>
    </row>
    <row r="1623" spans="1:16" x14ac:dyDescent="0.3">
      <c r="A1623" s="3" t="s">
        <v>27</v>
      </c>
      <c r="B1623" s="3" t="s">
        <v>100</v>
      </c>
      <c r="C1623" s="3" t="s">
        <v>856</v>
      </c>
      <c r="D1623" s="3" t="s">
        <v>93</v>
      </c>
      <c r="E1623" s="3" t="s">
        <v>31</v>
      </c>
      <c r="F1623" s="3" t="b">
        <v>0</v>
      </c>
      <c r="G1623" s="3" t="s">
        <v>84</v>
      </c>
      <c r="H1623" s="6">
        <v>44932.337025462963</v>
      </c>
      <c r="I1623" s="3" t="b">
        <v>0</v>
      </c>
      <c r="J1623" s="3" t="b">
        <v>0</v>
      </c>
      <c r="K1623" s="3" t="s">
        <v>33</v>
      </c>
      <c r="L1623" s="3" t="s">
        <v>34</v>
      </c>
      <c r="M1623" s="8">
        <v>90000</v>
      </c>
      <c r="N1623" s="11"/>
      <c r="O1623" s="3" t="s">
        <v>857</v>
      </c>
      <c r="P1623" s="3" t="s">
        <v>858</v>
      </c>
    </row>
    <row r="1624" spans="1:16" x14ac:dyDescent="0.3">
      <c r="A1624" s="3" t="s">
        <v>27</v>
      </c>
      <c r="B1624" s="3" t="s">
        <v>863</v>
      </c>
      <c r="C1624" s="3" t="s">
        <v>164</v>
      </c>
      <c r="D1624" s="3" t="s">
        <v>30</v>
      </c>
      <c r="E1624" s="3" t="s">
        <v>31</v>
      </c>
      <c r="F1624" s="3" t="b">
        <v>0</v>
      </c>
      <c r="G1624" s="3" t="s">
        <v>64</v>
      </c>
      <c r="H1624" s="6">
        <v>44953.003113425933</v>
      </c>
      <c r="I1624" s="3" t="b">
        <v>0</v>
      </c>
      <c r="J1624" s="3" t="b">
        <v>1</v>
      </c>
      <c r="K1624" s="3" t="s">
        <v>33</v>
      </c>
      <c r="L1624" s="3" t="s">
        <v>34</v>
      </c>
      <c r="M1624" s="8">
        <v>112500</v>
      </c>
      <c r="N1624" s="11"/>
      <c r="O1624" s="3" t="s">
        <v>864</v>
      </c>
      <c r="P1624" s="3" t="s">
        <v>865</v>
      </c>
    </row>
    <row r="1625" spans="1:16" x14ac:dyDescent="0.3">
      <c r="A1625" s="3" t="s">
        <v>27</v>
      </c>
      <c r="B1625" s="3" t="s">
        <v>866</v>
      </c>
      <c r="C1625" s="3" t="s">
        <v>33</v>
      </c>
      <c r="D1625" s="3" t="s">
        <v>867</v>
      </c>
      <c r="E1625" s="3" t="s">
        <v>31</v>
      </c>
      <c r="F1625" s="3" t="b">
        <v>0</v>
      </c>
      <c r="G1625" s="3" t="s">
        <v>58</v>
      </c>
      <c r="H1625" s="6">
        <v>44955.003449074073</v>
      </c>
      <c r="I1625" s="3" t="b">
        <v>0</v>
      </c>
      <c r="J1625" s="3" t="b">
        <v>0</v>
      </c>
      <c r="K1625" s="3" t="s">
        <v>33</v>
      </c>
      <c r="L1625" s="3" t="s">
        <v>34</v>
      </c>
      <c r="M1625" s="8">
        <v>155000</v>
      </c>
      <c r="N1625" s="11"/>
      <c r="O1625" s="3" t="s">
        <v>868</v>
      </c>
      <c r="P1625" s="3" t="s">
        <v>347</v>
      </c>
    </row>
    <row r="1626" spans="1:16" x14ac:dyDescent="0.3">
      <c r="A1626" s="3" t="s">
        <v>27</v>
      </c>
      <c r="B1626" s="3" t="s">
        <v>922</v>
      </c>
      <c r="C1626" s="3" t="s">
        <v>33</v>
      </c>
      <c r="D1626" s="3" t="s">
        <v>41</v>
      </c>
      <c r="E1626" s="3" t="s">
        <v>31</v>
      </c>
      <c r="F1626" s="3" t="b">
        <v>0</v>
      </c>
      <c r="G1626" s="3" t="s">
        <v>84</v>
      </c>
      <c r="H1626" s="6">
        <v>44937.014814814807</v>
      </c>
      <c r="I1626" s="3" t="b">
        <v>0</v>
      </c>
      <c r="J1626" s="3" t="b">
        <v>1</v>
      </c>
      <c r="K1626" s="3" t="s">
        <v>33</v>
      </c>
      <c r="L1626" s="3" t="s">
        <v>34</v>
      </c>
      <c r="M1626" s="8">
        <v>157500</v>
      </c>
      <c r="N1626" s="11"/>
      <c r="O1626" s="3" t="s">
        <v>465</v>
      </c>
      <c r="P1626" s="3" t="s">
        <v>923</v>
      </c>
    </row>
    <row r="1627" spans="1:16" x14ac:dyDescent="0.3">
      <c r="A1627" s="3" t="s">
        <v>27</v>
      </c>
      <c r="B1627" s="3" t="s">
        <v>924</v>
      </c>
      <c r="C1627" s="3" t="s">
        <v>87</v>
      </c>
      <c r="D1627" s="3" t="s">
        <v>30</v>
      </c>
      <c r="E1627" s="3" t="s">
        <v>133</v>
      </c>
      <c r="F1627" s="3" t="b">
        <v>1</v>
      </c>
      <c r="G1627" s="3" t="s">
        <v>32</v>
      </c>
      <c r="H1627" s="6">
        <v>44937.797673611109</v>
      </c>
      <c r="I1627" s="3" t="b">
        <v>1</v>
      </c>
      <c r="J1627" s="3" t="b">
        <v>0</v>
      </c>
      <c r="K1627" s="3" t="s">
        <v>33</v>
      </c>
      <c r="L1627" s="3" t="s">
        <v>48</v>
      </c>
      <c r="M1627" s="8"/>
      <c r="N1627" s="11">
        <v>57.5</v>
      </c>
      <c r="O1627" s="3" t="s">
        <v>925</v>
      </c>
      <c r="P1627" s="3" t="s">
        <v>926</v>
      </c>
    </row>
    <row r="1628" spans="1:16" x14ac:dyDescent="0.3">
      <c r="A1628" s="3" t="s">
        <v>27</v>
      </c>
      <c r="B1628" s="3" t="s">
        <v>927</v>
      </c>
      <c r="C1628" s="3" t="s">
        <v>87</v>
      </c>
      <c r="D1628" s="3" t="s">
        <v>30</v>
      </c>
      <c r="E1628" s="3" t="s">
        <v>133</v>
      </c>
      <c r="F1628" s="3" t="b">
        <v>1</v>
      </c>
      <c r="G1628" s="3" t="s">
        <v>84</v>
      </c>
      <c r="H1628" s="6">
        <v>44929.940509259257</v>
      </c>
      <c r="I1628" s="3" t="b">
        <v>0</v>
      </c>
      <c r="J1628" s="3" t="b">
        <v>0</v>
      </c>
      <c r="K1628" s="3" t="s">
        <v>33</v>
      </c>
      <c r="L1628" s="3" t="s">
        <v>48</v>
      </c>
      <c r="M1628" s="8"/>
      <c r="N1628" s="11">
        <v>52.5</v>
      </c>
      <c r="O1628" s="3" t="s">
        <v>589</v>
      </c>
      <c r="P1628" s="3" t="s">
        <v>38</v>
      </c>
    </row>
    <row r="1629" spans="1:16" x14ac:dyDescent="0.3">
      <c r="A1629" s="3" t="s">
        <v>27</v>
      </c>
      <c r="B1629" s="3" t="s">
        <v>931</v>
      </c>
      <c r="C1629" s="3" t="s">
        <v>270</v>
      </c>
      <c r="D1629" s="3" t="s">
        <v>106</v>
      </c>
      <c r="E1629" s="3" t="s">
        <v>31</v>
      </c>
      <c r="F1629" s="3" t="b">
        <v>0</v>
      </c>
      <c r="G1629" s="3" t="s">
        <v>32</v>
      </c>
      <c r="H1629" s="6">
        <v>44945.639837962961</v>
      </c>
      <c r="I1629" s="3" t="b">
        <v>0</v>
      </c>
      <c r="J1629" s="3" t="b">
        <v>0</v>
      </c>
      <c r="K1629" s="3" t="s">
        <v>33</v>
      </c>
      <c r="L1629" s="3" t="s">
        <v>48</v>
      </c>
      <c r="M1629" s="8"/>
      <c r="N1629" s="11">
        <v>75</v>
      </c>
      <c r="O1629" s="3" t="s">
        <v>196</v>
      </c>
      <c r="P1629" s="3" t="s">
        <v>932</v>
      </c>
    </row>
    <row r="1630" spans="1:16" x14ac:dyDescent="0.3">
      <c r="A1630" s="3" t="s">
        <v>27</v>
      </c>
      <c r="B1630" s="3" t="s">
        <v>27</v>
      </c>
      <c r="C1630" s="3" t="s">
        <v>57</v>
      </c>
      <c r="D1630" s="3" t="s">
        <v>30</v>
      </c>
      <c r="E1630" s="3" t="s">
        <v>31</v>
      </c>
      <c r="F1630" s="3" t="b">
        <v>0</v>
      </c>
      <c r="G1630" s="3" t="s">
        <v>58</v>
      </c>
      <c r="H1630" s="6">
        <v>44928.667604166672</v>
      </c>
      <c r="I1630" s="3" t="b">
        <v>0</v>
      </c>
      <c r="J1630" s="3" t="b">
        <v>1</v>
      </c>
      <c r="K1630" s="3" t="s">
        <v>33</v>
      </c>
      <c r="L1630" s="3" t="s">
        <v>34</v>
      </c>
      <c r="M1630" s="8">
        <v>115000</v>
      </c>
      <c r="N1630" s="11"/>
      <c r="O1630" s="3" t="s">
        <v>59</v>
      </c>
      <c r="P1630" s="3" t="s">
        <v>939</v>
      </c>
    </row>
    <row r="1631" spans="1:16" x14ac:dyDescent="0.3">
      <c r="A1631" s="3" t="s">
        <v>27</v>
      </c>
      <c r="B1631" s="3" t="s">
        <v>949</v>
      </c>
      <c r="C1631" s="3" t="s">
        <v>565</v>
      </c>
      <c r="D1631" s="3" t="s">
        <v>950</v>
      </c>
      <c r="E1631" s="3" t="s">
        <v>31</v>
      </c>
      <c r="F1631" s="3" t="b">
        <v>0</v>
      </c>
      <c r="G1631" s="3" t="s">
        <v>88</v>
      </c>
      <c r="H1631" s="6">
        <v>44933.877974537027</v>
      </c>
      <c r="I1631" s="3" t="b">
        <v>0</v>
      </c>
      <c r="J1631" s="3" t="b">
        <v>0</v>
      </c>
      <c r="K1631" s="3" t="s">
        <v>33</v>
      </c>
      <c r="L1631" s="3" t="s">
        <v>34</v>
      </c>
      <c r="M1631" s="8">
        <v>169500</v>
      </c>
      <c r="N1631" s="11"/>
      <c r="O1631" s="3" t="s">
        <v>951</v>
      </c>
      <c r="P1631" s="3" t="s">
        <v>952</v>
      </c>
    </row>
    <row r="1632" spans="1:16" x14ac:dyDescent="0.3">
      <c r="A1632" s="3" t="s">
        <v>27</v>
      </c>
      <c r="B1632" s="3" t="s">
        <v>964</v>
      </c>
      <c r="C1632" s="3" t="s">
        <v>965</v>
      </c>
      <c r="D1632" s="3" t="s">
        <v>30</v>
      </c>
      <c r="E1632" s="3" t="s">
        <v>31</v>
      </c>
      <c r="F1632" s="3" t="b">
        <v>0</v>
      </c>
      <c r="G1632" s="3" t="s">
        <v>64</v>
      </c>
      <c r="H1632" s="6">
        <v>44956.625358796293</v>
      </c>
      <c r="I1632" s="3" t="b">
        <v>0</v>
      </c>
      <c r="J1632" s="3" t="b">
        <v>0</v>
      </c>
      <c r="K1632" s="3" t="s">
        <v>33</v>
      </c>
      <c r="L1632" s="3" t="s">
        <v>34</v>
      </c>
      <c r="M1632" s="8">
        <v>72500</v>
      </c>
      <c r="N1632" s="11"/>
      <c r="O1632" s="3" t="s">
        <v>966</v>
      </c>
      <c r="P1632" s="3" t="s">
        <v>967</v>
      </c>
    </row>
    <row r="1633" spans="1:16" x14ac:dyDescent="0.3">
      <c r="A1633" s="3" t="s">
        <v>27</v>
      </c>
      <c r="B1633" s="3" t="s">
        <v>27</v>
      </c>
      <c r="C1633" s="3" t="s">
        <v>540</v>
      </c>
      <c r="D1633" s="3" t="s">
        <v>287</v>
      </c>
      <c r="E1633" s="3" t="s">
        <v>31</v>
      </c>
      <c r="F1633" s="3" t="b">
        <v>0</v>
      </c>
      <c r="G1633" s="3" t="s">
        <v>64</v>
      </c>
      <c r="H1633" s="6">
        <v>44949.002442129633</v>
      </c>
      <c r="I1633" s="3" t="b">
        <v>0</v>
      </c>
      <c r="J1633" s="3" t="b">
        <v>0</v>
      </c>
      <c r="K1633" s="3" t="s">
        <v>33</v>
      </c>
      <c r="L1633" s="3" t="s">
        <v>34</v>
      </c>
      <c r="M1633" s="8">
        <v>100000</v>
      </c>
      <c r="N1633" s="11"/>
      <c r="O1633" s="3" t="s">
        <v>975</v>
      </c>
      <c r="P1633" s="3" t="s">
        <v>976</v>
      </c>
    </row>
    <row r="1634" spans="1:16" x14ac:dyDescent="0.3">
      <c r="A1634" s="3" t="s">
        <v>27</v>
      </c>
      <c r="B1634" s="3" t="s">
        <v>977</v>
      </c>
      <c r="C1634" s="3" t="s">
        <v>87</v>
      </c>
      <c r="D1634" s="3" t="s">
        <v>76</v>
      </c>
      <c r="E1634" s="3" t="s">
        <v>31</v>
      </c>
      <c r="F1634" s="3" t="b">
        <v>1</v>
      </c>
      <c r="G1634" s="3" t="s">
        <v>58</v>
      </c>
      <c r="H1634" s="6">
        <v>44935.794895833344</v>
      </c>
      <c r="I1634" s="3" t="b">
        <v>0</v>
      </c>
      <c r="J1634" s="3" t="b">
        <v>0</v>
      </c>
      <c r="K1634" s="3" t="s">
        <v>33</v>
      </c>
      <c r="L1634" s="3" t="s">
        <v>34</v>
      </c>
      <c r="M1634" s="8">
        <v>90000</v>
      </c>
      <c r="N1634" s="11"/>
      <c r="O1634" s="3" t="s">
        <v>978</v>
      </c>
      <c r="P1634" s="3" t="s">
        <v>979</v>
      </c>
    </row>
    <row r="1635" spans="1:16" x14ac:dyDescent="0.3">
      <c r="A1635" s="3" t="s">
        <v>27</v>
      </c>
      <c r="B1635" s="3" t="s">
        <v>980</v>
      </c>
      <c r="C1635" s="3" t="s">
        <v>173</v>
      </c>
      <c r="D1635" s="3" t="s">
        <v>76</v>
      </c>
      <c r="E1635" s="3" t="s">
        <v>31</v>
      </c>
      <c r="F1635" s="3" t="b">
        <v>0</v>
      </c>
      <c r="G1635" s="3" t="s">
        <v>64</v>
      </c>
      <c r="H1635" s="6">
        <v>44946.097650462973</v>
      </c>
      <c r="I1635" s="3" t="b">
        <v>0</v>
      </c>
      <c r="J1635" s="3" t="b">
        <v>1</v>
      </c>
      <c r="K1635" s="3" t="s">
        <v>33</v>
      </c>
      <c r="L1635" s="3" t="s">
        <v>34</v>
      </c>
      <c r="M1635" s="8">
        <v>85050</v>
      </c>
      <c r="N1635" s="11"/>
      <c r="O1635" s="3" t="s">
        <v>784</v>
      </c>
      <c r="P1635" s="3" t="s">
        <v>981</v>
      </c>
    </row>
    <row r="1636" spans="1:16" x14ac:dyDescent="0.3">
      <c r="A1636" s="3" t="s">
        <v>27</v>
      </c>
      <c r="B1636" s="3" t="s">
        <v>987</v>
      </c>
      <c r="C1636" s="3" t="s">
        <v>620</v>
      </c>
      <c r="D1636" s="3" t="s">
        <v>93</v>
      </c>
      <c r="E1636" s="3" t="s">
        <v>31</v>
      </c>
      <c r="F1636" s="3" t="b">
        <v>0</v>
      </c>
      <c r="G1636" s="3" t="s">
        <v>58</v>
      </c>
      <c r="H1636" s="6">
        <v>44942.362372685187</v>
      </c>
      <c r="I1636" s="3" t="b">
        <v>0</v>
      </c>
      <c r="J1636" s="3" t="b">
        <v>1</v>
      </c>
      <c r="K1636" s="3" t="s">
        <v>33</v>
      </c>
      <c r="L1636" s="3" t="s">
        <v>34</v>
      </c>
      <c r="M1636" s="8">
        <v>225000</v>
      </c>
      <c r="N1636" s="11"/>
      <c r="O1636" s="3" t="s">
        <v>988</v>
      </c>
      <c r="P1636" s="3" t="s">
        <v>989</v>
      </c>
    </row>
    <row r="1637" spans="1:16" x14ac:dyDescent="0.3">
      <c r="A1637" s="3" t="s">
        <v>27</v>
      </c>
      <c r="B1637" s="3" t="s">
        <v>993</v>
      </c>
      <c r="C1637" s="3" t="s">
        <v>491</v>
      </c>
      <c r="D1637" s="3" t="s">
        <v>994</v>
      </c>
      <c r="E1637" s="3" t="s">
        <v>31</v>
      </c>
      <c r="F1637" s="3" t="b">
        <v>0</v>
      </c>
      <c r="G1637" s="3" t="s">
        <v>32</v>
      </c>
      <c r="H1637" s="6">
        <v>44953.003993055558</v>
      </c>
      <c r="I1637" s="3" t="b">
        <v>0</v>
      </c>
      <c r="J1637" s="3" t="b">
        <v>1</v>
      </c>
      <c r="K1637" s="3" t="s">
        <v>33</v>
      </c>
      <c r="L1637" s="3" t="s">
        <v>48</v>
      </c>
      <c r="M1637" s="8"/>
      <c r="N1637" s="11">
        <v>24</v>
      </c>
      <c r="O1637" s="3" t="s">
        <v>49</v>
      </c>
      <c r="P1637" s="3" t="s">
        <v>995</v>
      </c>
    </row>
    <row r="1638" spans="1:16" x14ac:dyDescent="0.3">
      <c r="A1638" s="3" t="s">
        <v>27</v>
      </c>
      <c r="B1638" s="3" t="s">
        <v>27</v>
      </c>
      <c r="C1638" s="3" t="s">
        <v>996</v>
      </c>
      <c r="D1638" s="3" t="s">
        <v>106</v>
      </c>
      <c r="E1638" s="3" t="s">
        <v>31</v>
      </c>
      <c r="F1638" s="3" t="b">
        <v>0</v>
      </c>
      <c r="G1638" s="3" t="s">
        <v>64</v>
      </c>
      <c r="H1638" s="6">
        <v>44940.585787037038</v>
      </c>
      <c r="I1638" s="3" t="b">
        <v>0</v>
      </c>
      <c r="J1638" s="3" t="b">
        <v>1</v>
      </c>
      <c r="K1638" s="3" t="s">
        <v>33</v>
      </c>
      <c r="L1638" s="3" t="s">
        <v>34</v>
      </c>
      <c r="M1638" s="8">
        <v>130000</v>
      </c>
      <c r="N1638" s="11"/>
      <c r="O1638" s="3" t="s">
        <v>997</v>
      </c>
      <c r="P1638" s="3"/>
    </row>
    <row r="1639" spans="1:16" x14ac:dyDescent="0.3">
      <c r="A1639" s="3" t="s">
        <v>27</v>
      </c>
      <c r="B1639" s="3" t="s">
        <v>1004</v>
      </c>
      <c r="C1639" s="3" t="s">
        <v>1005</v>
      </c>
      <c r="D1639" s="3" t="s">
        <v>93</v>
      </c>
      <c r="E1639" s="3" t="s">
        <v>31</v>
      </c>
      <c r="F1639" s="3" t="b">
        <v>0</v>
      </c>
      <c r="G1639" s="3" t="s">
        <v>88</v>
      </c>
      <c r="H1639" s="6">
        <v>44935.504155092603</v>
      </c>
      <c r="I1639" s="3" t="b">
        <v>0</v>
      </c>
      <c r="J1639" s="3" t="b">
        <v>1</v>
      </c>
      <c r="K1639" s="3" t="s">
        <v>33</v>
      </c>
      <c r="L1639" s="3" t="s">
        <v>34</v>
      </c>
      <c r="M1639" s="8">
        <v>150000</v>
      </c>
      <c r="N1639" s="11"/>
      <c r="O1639" s="3" t="s">
        <v>1006</v>
      </c>
      <c r="P1639" s="3" t="s">
        <v>1007</v>
      </c>
    </row>
    <row r="1640" spans="1:16" x14ac:dyDescent="0.3">
      <c r="A1640" s="3" t="s">
        <v>27</v>
      </c>
      <c r="B1640" s="3" t="s">
        <v>1008</v>
      </c>
      <c r="C1640" s="3" t="s">
        <v>87</v>
      </c>
      <c r="D1640" s="3" t="s">
        <v>940</v>
      </c>
      <c r="E1640" s="3" t="s">
        <v>31</v>
      </c>
      <c r="F1640" s="3" t="b">
        <v>1</v>
      </c>
      <c r="G1640" s="3" t="s">
        <v>32</v>
      </c>
      <c r="H1640" s="6">
        <v>44930.794363425928</v>
      </c>
      <c r="I1640" s="3" t="b">
        <v>0</v>
      </c>
      <c r="J1640" s="3" t="b">
        <v>1</v>
      </c>
      <c r="K1640" s="3" t="s">
        <v>33</v>
      </c>
      <c r="L1640" s="3" t="s">
        <v>34</v>
      </c>
      <c r="M1640" s="8">
        <v>185000</v>
      </c>
      <c r="N1640" s="11"/>
      <c r="O1640" s="3" t="s">
        <v>1009</v>
      </c>
      <c r="P1640" s="3" t="s">
        <v>1010</v>
      </c>
    </row>
    <row r="1641" spans="1:16" x14ac:dyDescent="0.3">
      <c r="A1641" s="3" t="s">
        <v>27</v>
      </c>
      <c r="B1641" s="3" t="s">
        <v>1011</v>
      </c>
      <c r="C1641" s="3" t="s">
        <v>1012</v>
      </c>
      <c r="D1641" s="3" t="s">
        <v>1013</v>
      </c>
      <c r="E1641" s="3" t="s">
        <v>31</v>
      </c>
      <c r="F1641" s="3" t="b">
        <v>0</v>
      </c>
      <c r="G1641" s="3" t="s">
        <v>64</v>
      </c>
      <c r="H1641" s="6">
        <v>44951.210844907408</v>
      </c>
      <c r="I1641" s="3" t="b">
        <v>0</v>
      </c>
      <c r="J1641" s="3" t="b">
        <v>1</v>
      </c>
      <c r="K1641" s="3" t="s">
        <v>33</v>
      </c>
      <c r="L1641" s="3" t="s">
        <v>34</v>
      </c>
      <c r="M1641" s="8">
        <v>168018.5</v>
      </c>
      <c r="N1641" s="11"/>
      <c r="O1641" s="3" t="s">
        <v>1014</v>
      </c>
      <c r="P1641" s="3" t="s">
        <v>1015</v>
      </c>
    </row>
    <row r="1642" spans="1:16" x14ac:dyDescent="0.3">
      <c r="A1642" s="3" t="s">
        <v>27</v>
      </c>
      <c r="B1642" s="3" t="s">
        <v>1019</v>
      </c>
      <c r="C1642" s="3" t="s">
        <v>1020</v>
      </c>
      <c r="D1642" s="3" t="s">
        <v>188</v>
      </c>
      <c r="E1642" s="3" t="s">
        <v>31</v>
      </c>
      <c r="F1642" s="3" t="b">
        <v>0</v>
      </c>
      <c r="G1642" s="3" t="s">
        <v>88</v>
      </c>
      <c r="H1642" s="6">
        <v>44946.01666666667</v>
      </c>
      <c r="I1642" s="3" t="b">
        <v>0</v>
      </c>
      <c r="J1642" s="3" t="b">
        <v>0</v>
      </c>
      <c r="K1642" s="3" t="s">
        <v>33</v>
      </c>
      <c r="L1642" s="3" t="s">
        <v>48</v>
      </c>
      <c r="M1642" s="8"/>
      <c r="N1642" s="11">
        <v>8</v>
      </c>
      <c r="O1642" s="3" t="s">
        <v>1021</v>
      </c>
      <c r="P1642" s="3" t="s">
        <v>1022</v>
      </c>
    </row>
    <row r="1643" spans="1:16" x14ac:dyDescent="0.3">
      <c r="A1643" s="3" t="s">
        <v>27</v>
      </c>
      <c r="B1643" s="3" t="s">
        <v>1044</v>
      </c>
      <c r="C1643" s="3" t="s">
        <v>1045</v>
      </c>
      <c r="D1643" s="3" t="s">
        <v>41</v>
      </c>
      <c r="E1643" s="3" t="s">
        <v>31</v>
      </c>
      <c r="F1643" s="3" t="b">
        <v>0</v>
      </c>
      <c r="G1643" s="3" t="s">
        <v>1046</v>
      </c>
      <c r="H1643" s="6">
        <v>44945.336770833332</v>
      </c>
      <c r="I1643" s="3" t="b">
        <v>0</v>
      </c>
      <c r="J1643" s="3" t="b">
        <v>0</v>
      </c>
      <c r="K1643" s="3" t="s">
        <v>1046</v>
      </c>
      <c r="L1643" s="3" t="s">
        <v>34</v>
      </c>
      <c r="M1643" s="8">
        <v>109500</v>
      </c>
      <c r="N1643" s="11"/>
      <c r="O1643" s="3" t="s">
        <v>1047</v>
      </c>
      <c r="P1643" s="3" t="s">
        <v>1048</v>
      </c>
    </row>
    <row r="1644" spans="1:16" x14ac:dyDescent="0.3">
      <c r="A1644" s="3" t="s">
        <v>27</v>
      </c>
      <c r="B1644" s="3" t="s">
        <v>1051</v>
      </c>
      <c r="C1644" s="3" t="s">
        <v>164</v>
      </c>
      <c r="D1644" s="3" t="s">
        <v>93</v>
      </c>
      <c r="E1644" s="3" t="s">
        <v>31</v>
      </c>
      <c r="F1644" s="3" t="b">
        <v>0</v>
      </c>
      <c r="G1644" s="3" t="s">
        <v>64</v>
      </c>
      <c r="H1644" s="6">
        <v>44939.336724537039</v>
      </c>
      <c r="I1644" s="3" t="b">
        <v>0</v>
      </c>
      <c r="J1644" s="3" t="b">
        <v>1</v>
      </c>
      <c r="K1644" s="3" t="s">
        <v>33</v>
      </c>
      <c r="L1644" s="3" t="s">
        <v>34</v>
      </c>
      <c r="M1644" s="8">
        <v>150000</v>
      </c>
      <c r="N1644" s="11"/>
      <c r="O1644" s="3" t="s">
        <v>1052</v>
      </c>
      <c r="P1644" s="3" t="s">
        <v>1053</v>
      </c>
    </row>
    <row r="1645" spans="1:16" x14ac:dyDescent="0.3">
      <c r="A1645" s="3" t="s">
        <v>27</v>
      </c>
      <c r="B1645" s="3" t="s">
        <v>1054</v>
      </c>
      <c r="C1645" s="3" t="s">
        <v>33</v>
      </c>
      <c r="D1645" s="3" t="s">
        <v>237</v>
      </c>
      <c r="E1645" s="3" t="s">
        <v>31</v>
      </c>
      <c r="F1645" s="3" t="b">
        <v>0</v>
      </c>
      <c r="G1645" s="3" t="s">
        <v>110</v>
      </c>
      <c r="H1645" s="6">
        <v>44937.659259259257</v>
      </c>
      <c r="I1645" s="3" t="b">
        <v>0</v>
      </c>
      <c r="J1645" s="3" t="b">
        <v>1</v>
      </c>
      <c r="K1645" s="3" t="s">
        <v>110</v>
      </c>
      <c r="L1645" s="3" t="s">
        <v>34</v>
      </c>
      <c r="M1645" s="8">
        <v>145000</v>
      </c>
      <c r="N1645" s="11"/>
      <c r="O1645" s="3" t="s">
        <v>196</v>
      </c>
      <c r="P1645" s="3" t="s">
        <v>1055</v>
      </c>
    </row>
    <row r="1646" spans="1:16" x14ac:dyDescent="0.3">
      <c r="A1646" s="3" t="s">
        <v>27</v>
      </c>
      <c r="B1646" s="3" t="s">
        <v>1067</v>
      </c>
      <c r="C1646" s="3" t="s">
        <v>417</v>
      </c>
      <c r="D1646" s="3" t="s">
        <v>30</v>
      </c>
      <c r="E1646" s="3" t="s">
        <v>31</v>
      </c>
      <c r="F1646" s="3" t="b">
        <v>0</v>
      </c>
      <c r="G1646" s="3" t="s">
        <v>58</v>
      </c>
      <c r="H1646" s="6">
        <v>44944.003530092603</v>
      </c>
      <c r="I1646" s="3" t="b">
        <v>0</v>
      </c>
      <c r="J1646" s="3" t="b">
        <v>1</v>
      </c>
      <c r="K1646" s="3" t="s">
        <v>33</v>
      </c>
      <c r="L1646" s="3" t="s">
        <v>34</v>
      </c>
      <c r="M1646" s="8">
        <v>250000</v>
      </c>
      <c r="N1646" s="11"/>
      <c r="O1646" s="3" t="s">
        <v>1068</v>
      </c>
      <c r="P1646" s="3" t="s">
        <v>1069</v>
      </c>
    </row>
    <row r="1647" spans="1:16" x14ac:dyDescent="0.3">
      <c r="A1647" s="3" t="s">
        <v>27</v>
      </c>
      <c r="B1647" s="3" t="s">
        <v>27</v>
      </c>
      <c r="C1647" s="3" t="s">
        <v>87</v>
      </c>
      <c r="D1647" s="3" t="s">
        <v>30</v>
      </c>
      <c r="E1647" s="3" t="s">
        <v>31</v>
      </c>
      <c r="F1647" s="3" t="b">
        <v>1</v>
      </c>
      <c r="G1647" s="3" t="s">
        <v>84</v>
      </c>
      <c r="H1647" s="6">
        <v>44939.63009259259</v>
      </c>
      <c r="I1647" s="3" t="b">
        <v>0</v>
      </c>
      <c r="J1647" s="3" t="b">
        <v>0</v>
      </c>
      <c r="K1647" s="3" t="s">
        <v>33</v>
      </c>
      <c r="L1647" s="3" t="s">
        <v>34</v>
      </c>
      <c r="M1647" s="8">
        <v>146383</v>
      </c>
      <c r="N1647" s="11"/>
      <c r="O1647" s="3" t="s">
        <v>1079</v>
      </c>
      <c r="P1647" s="3" t="s">
        <v>958</v>
      </c>
    </row>
    <row r="1648" spans="1:16" x14ac:dyDescent="0.3">
      <c r="A1648" s="3" t="s">
        <v>27</v>
      </c>
      <c r="B1648" s="3" t="s">
        <v>283</v>
      </c>
      <c r="C1648" s="3" t="s">
        <v>79</v>
      </c>
      <c r="D1648" s="3" t="s">
        <v>30</v>
      </c>
      <c r="E1648" s="3" t="s">
        <v>31</v>
      </c>
      <c r="F1648" s="3" t="b">
        <v>0</v>
      </c>
      <c r="G1648" s="3" t="s">
        <v>110</v>
      </c>
      <c r="H1648" s="6">
        <v>44937.701064814813</v>
      </c>
      <c r="I1648" s="3" t="b">
        <v>0</v>
      </c>
      <c r="J1648" s="3" t="b">
        <v>0</v>
      </c>
      <c r="K1648" s="3" t="s">
        <v>110</v>
      </c>
      <c r="L1648" s="3" t="s">
        <v>34</v>
      </c>
      <c r="M1648" s="8">
        <v>200000</v>
      </c>
      <c r="N1648" s="11"/>
      <c r="O1648" s="3" t="s">
        <v>1086</v>
      </c>
      <c r="P1648" s="3"/>
    </row>
    <row r="1649" spans="1:16" x14ac:dyDescent="0.3">
      <c r="A1649" s="3" t="s">
        <v>27</v>
      </c>
      <c r="B1649" s="3" t="s">
        <v>1102</v>
      </c>
      <c r="C1649" s="3" t="s">
        <v>1103</v>
      </c>
      <c r="D1649" s="3" t="s">
        <v>41</v>
      </c>
      <c r="E1649" s="3" t="s">
        <v>31</v>
      </c>
      <c r="F1649" s="3" t="b">
        <v>0</v>
      </c>
      <c r="G1649" s="3" t="s">
        <v>1104</v>
      </c>
      <c r="H1649" s="6">
        <v>44953.985462962963</v>
      </c>
      <c r="I1649" s="3" t="b">
        <v>0</v>
      </c>
      <c r="J1649" s="3" t="b">
        <v>0</v>
      </c>
      <c r="K1649" s="3" t="s">
        <v>1104</v>
      </c>
      <c r="L1649" s="3" t="s">
        <v>34</v>
      </c>
      <c r="M1649" s="8">
        <v>88128</v>
      </c>
      <c r="N1649" s="11"/>
      <c r="O1649" s="3" t="s">
        <v>1105</v>
      </c>
      <c r="P1649" s="3"/>
    </row>
    <row r="1650" spans="1:16" x14ac:dyDescent="0.3">
      <c r="A1650" s="3" t="s">
        <v>27</v>
      </c>
      <c r="B1650" s="3" t="s">
        <v>1131</v>
      </c>
      <c r="C1650" s="3" t="s">
        <v>29</v>
      </c>
      <c r="D1650" s="3" t="s">
        <v>30</v>
      </c>
      <c r="E1650" s="3" t="s">
        <v>31</v>
      </c>
      <c r="F1650" s="3" t="b">
        <v>0</v>
      </c>
      <c r="G1650" s="3" t="s">
        <v>32</v>
      </c>
      <c r="H1650" s="6">
        <v>44937.264247685183</v>
      </c>
      <c r="I1650" s="3" t="b">
        <v>0</v>
      </c>
      <c r="J1650" s="3" t="b">
        <v>1</v>
      </c>
      <c r="K1650" s="3" t="s">
        <v>33</v>
      </c>
      <c r="L1650" s="3" t="s">
        <v>34</v>
      </c>
      <c r="M1650" s="8">
        <v>224500</v>
      </c>
      <c r="N1650" s="11"/>
      <c r="O1650" s="3" t="s">
        <v>609</v>
      </c>
      <c r="P1650" s="3"/>
    </row>
    <row r="1651" spans="1:16" x14ac:dyDescent="0.3">
      <c r="A1651" s="3" t="s">
        <v>27</v>
      </c>
      <c r="B1651" s="3" t="s">
        <v>1162</v>
      </c>
      <c r="C1651" s="3" t="s">
        <v>1163</v>
      </c>
      <c r="D1651" s="3" t="s">
        <v>41</v>
      </c>
      <c r="E1651" s="3" t="s">
        <v>31</v>
      </c>
      <c r="F1651" s="3" t="b">
        <v>0</v>
      </c>
      <c r="G1651" s="3" t="s">
        <v>740</v>
      </c>
      <c r="H1651" s="6">
        <v>44936.321400462963</v>
      </c>
      <c r="I1651" s="3" t="b">
        <v>0</v>
      </c>
      <c r="J1651" s="3" t="b">
        <v>0</v>
      </c>
      <c r="K1651" s="3" t="s">
        <v>740</v>
      </c>
      <c r="L1651" s="3" t="s">
        <v>34</v>
      </c>
      <c r="M1651" s="8">
        <v>157500</v>
      </c>
      <c r="N1651" s="11"/>
      <c r="O1651" s="3" t="s">
        <v>1164</v>
      </c>
      <c r="P1651" s="3" t="s">
        <v>1165</v>
      </c>
    </row>
    <row r="1652" spans="1:16" x14ac:dyDescent="0.3">
      <c r="A1652" s="3" t="s">
        <v>27</v>
      </c>
      <c r="B1652" s="3" t="s">
        <v>626</v>
      </c>
      <c r="C1652" s="3" t="s">
        <v>87</v>
      </c>
      <c r="D1652" s="3" t="s">
        <v>76</v>
      </c>
      <c r="E1652" s="3" t="s">
        <v>31</v>
      </c>
      <c r="F1652" s="3" t="b">
        <v>1</v>
      </c>
      <c r="G1652" s="3" t="s">
        <v>110</v>
      </c>
      <c r="H1652" s="6">
        <v>44932.038136574083</v>
      </c>
      <c r="I1652" s="3" t="b">
        <v>0</v>
      </c>
      <c r="J1652" s="3" t="b">
        <v>1</v>
      </c>
      <c r="K1652" s="3" t="s">
        <v>110</v>
      </c>
      <c r="L1652" s="3" t="s">
        <v>34</v>
      </c>
      <c r="M1652" s="8">
        <v>100000</v>
      </c>
      <c r="N1652" s="11"/>
      <c r="O1652" s="3" t="s">
        <v>628</v>
      </c>
      <c r="P1652" s="3" t="s">
        <v>347</v>
      </c>
    </row>
    <row r="1653" spans="1:16" x14ac:dyDescent="0.3">
      <c r="A1653" s="3" t="s">
        <v>27</v>
      </c>
      <c r="B1653" s="3" t="s">
        <v>1203</v>
      </c>
      <c r="C1653" s="3" t="s">
        <v>270</v>
      </c>
      <c r="D1653" s="3" t="s">
        <v>93</v>
      </c>
      <c r="E1653" s="3" t="s">
        <v>31</v>
      </c>
      <c r="F1653" s="3" t="b">
        <v>0</v>
      </c>
      <c r="G1653" s="3" t="s">
        <v>32</v>
      </c>
      <c r="H1653" s="6">
        <v>44944.086550925917</v>
      </c>
      <c r="I1653" s="3" t="b">
        <v>0</v>
      </c>
      <c r="J1653" s="3" t="b">
        <v>1</v>
      </c>
      <c r="K1653" s="3" t="s">
        <v>33</v>
      </c>
      <c r="L1653" s="3" t="s">
        <v>34</v>
      </c>
      <c r="M1653" s="8">
        <v>115000</v>
      </c>
      <c r="N1653" s="11"/>
      <c r="O1653" s="3" t="s">
        <v>1204</v>
      </c>
      <c r="P1653" s="3" t="s">
        <v>661</v>
      </c>
    </row>
    <row r="1654" spans="1:16" x14ac:dyDescent="0.3">
      <c r="A1654" s="3" t="s">
        <v>27</v>
      </c>
      <c r="B1654" s="3" t="s">
        <v>1214</v>
      </c>
      <c r="C1654" s="3" t="s">
        <v>87</v>
      </c>
      <c r="D1654" s="3" t="s">
        <v>30</v>
      </c>
      <c r="E1654" s="3" t="s">
        <v>31</v>
      </c>
      <c r="F1654" s="3" t="b">
        <v>1</v>
      </c>
      <c r="G1654" s="3" t="s">
        <v>58</v>
      </c>
      <c r="H1654" s="6">
        <v>44950.837222222217</v>
      </c>
      <c r="I1654" s="3" t="b">
        <v>0</v>
      </c>
      <c r="J1654" s="3" t="b">
        <v>1</v>
      </c>
      <c r="K1654" s="3" t="s">
        <v>33</v>
      </c>
      <c r="L1654" s="3" t="s">
        <v>34</v>
      </c>
      <c r="M1654" s="8">
        <v>140000</v>
      </c>
      <c r="N1654" s="11"/>
      <c r="O1654" s="3" t="s">
        <v>1215</v>
      </c>
      <c r="P1654" s="3" t="s">
        <v>1216</v>
      </c>
    </row>
    <row r="1655" spans="1:16" x14ac:dyDescent="0.3">
      <c r="A1655" s="3" t="s">
        <v>27</v>
      </c>
      <c r="B1655" s="3" t="s">
        <v>1235</v>
      </c>
      <c r="C1655" s="3" t="s">
        <v>1236</v>
      </c>
      <c r="D1655" s="3" t="s">
        <v>93</v>
      </c>
      <c r="E1655" s="3" t="s">
        <v>31</v>
      </c>
      <c r="F1655" s="3" t="b">
        <v>0</v>
      </c>
      <c r="G1655" s="3" t="s">
        <v>84</v>
      </c>
      <c r="H1655" s="6">
        <v>44932.378761574073</v>
      </c>
      <c r="I1655" s="3" t="b">
        <v>0</v>
      </c>
      <c r="J1655" s="3" t="b">
        <v>0</v>
      </c>
      <c r="K1655" s="3" t="s">
        <v>33</v>
      </c>
      <c r="L1655" s="3" t="s">
        <v>34</v>
      </c>
      <c r="M1655" s="8">
        <v>90000</v>
      </c>
      <c r="N1655" s="11"/>
      <c r="O1655" s="3" t="s">
        <v>1237</v>
      </c>
      <c r="P1655" s="3" t="s">
        <v>1238</v>
      </c>
    </row>
    <row r="1656" spans="1:16" x14ac:dyDescent="0.3">
      <c r="A1656" s="3" t="s">
        <v>27</v>
      </c>
      <c r="B1656" s="3" t="s">
        <v>1251</v>
      </c>
      <c r="C1656" s="3" t="s">
        <v>1252</v>
      </c>
      <c r="D1656" s="3" t="s">
        <v>1253</v>
      </c>
      <c r="E1656" s="3" t="s">
        <v>31</v>
      </c>
      <c r="F1656" s="3" t="b">
        <v>0</v>
      </c>
      <c r="G1656" s="3" t="s">
        <v>1252</v>
      </c>
      <c r="H1656" s="6">
        <v>44929.994432870371</v>
      </c>
      <c r="I1656" s="3" t="b">
        <v>0</v>
      </c>
      <c r="J1656" s="3" t="b">
        <v>0</v>
      </c>
      <c r="K1656" s="3" t="s">
        <v>1252</v>
      </c>
      <c r="L1656" s="3" t="s">
        <v>48</v>
      </c>
      <c r="M1656" s="8"/>
      <c r="N1656" s="11">
        <v>20</v>
      </c>
      <c r="O1656" s="3" t="s">
        <v>1254</v>
      </c>
      <c r="P1656" s="3" t="s">
        <v>1255</v>
      </c>
    </row>
    <row r="1657" spans="1:16" x14ac:dyDescent="0.3">
      <c r="A1657" s="3" t="s">
        <v>27</v>
      </c>
      <c r="B1657" s="3" t="s">
        <v>1266</v>
      </c>
      <c r="C1657" s="3" t="s">
        <v>97</v>
      </c>
      <c r="D1657" s="3" t="s">
        <v>41</v>
      </c>
      <c r="E1657" s="3" t="s">
        <v>31</v>
      </c>
      <c r="F1657" s="3" t="b">
        <v>0</v>
      </c>
      <c r="G1657" s="3" t="s">
        <v>32</v>
      </c>
      <c r="H1657" s="6">
        <v>44938.459305555552</v>
      </c>
      <c r="I1657" s="3" t="b">
        <v>0</v>
      </c>
      <c r="J1657" s="3" t="b">
        <v>1</v>
      </c>
      <c r="K1657" s="3" t="s">
        <v>33</v>
      </c>
      <c r="L1657" s="3" t="s">
        <v>34</v>
      </c>
      <c r="M1657" s="8">
        <v>165000</v>
      </c>
      <c r="N1657" s="11"/>
      <c r="O1657" s="3" t="s">
        <v>1267</v>
      </c>
      <c r="P1657" s="3" t="s">
        <v>958</v>
      </c>
    </row>
    <row r="1658" spans="1:16" x14ac:dyDescent="0.3">
      <c r="A1658" s="3" t="s">
        <v>27</v>
      </c>
      <c r="B1658" s="3" t="s">
        <v>27</v>
      </c>
      <c r="C1658" s="3" t="s">
        <v>718</v>
      </c>
      <c r="D1658" s="3" t="s">
        <v>106</v>
      </c>
      <c r="E1658" s="3" t="s">
        <v>31</v>
      </c>
      <c r="F1658" s="3" t="b">
        <v>0</v>
      </c>
      <c r="G1658" s="3" t="s">
        <v>110</v>
      </c>
      <c r="H1658" s="6">
        <v>44955.322002314817</v>
      </c>
      <c r="I1658" s="3" t="b">
        <v>0</v>
      </c>
      <c r="J1658" s="3" t="b">
        <v>1</v>
      </c>
      <c r="K1658" s="3" t="s">
        <v>110</v>
      </c>
      <c r="L1658" s="3" t="s">
        <v>34</v>
      </c>
      <c r="M1658" s="8">
        <v>152700</v>
      </c>
      <c r="N1658" s="11"/>
      <c r="O1658" s="3" t="s">
        <v>784</v>
      </c>
      <c r="P1658" s="3" t="s">
        <v>1268</v>
      </c>
    </row>
    <row r="1659" spans="1:16" x14ac:dyDescent="0.3">
      <c r="A1659" s="3" t="s">
        <v>27</v>
      </c>
      <c r="B1659" s="3" t="s">
        <v>1269</v>
      </c>
      <c r="C1659" s="3" t="s">
        <v>1270</v>
      </c>
      <c r="D1659" s="3" t="s">
        <v>93</v>
      </c>
      <c r="E1659" s="3" t="s">
        <v>31</v>
      </c>
      <c r="F1659" s="3" t="b">
        <v>0</v>
      </c>
      <c r="G1659" s="3" t="s">
        <v>88</v>
      </c>
      <c r="H1659" s="6">
        <v>44938.338912037027</v>
      </c>
      <c r="I1659" s="3" t="b">
        <v>0</v>
      </c>
      <c r="J1659" s="3" t="b">
        <v>0</v>
      </c>
      <c r="K1659" s="3" t="s">
        <v>33</v>
      </c>
      <c r="L1659" s="3" t="s">
        <v>34</v>
      </c>
      <c r="M1659" s="8">
        <v>125000</v>
      </c>
      <c r="N1659" s="11"/>
      <c r="O1659" s="3" t="s">
        <v>1271</v>
      </c>
      <c r="P1659" s="3" t="s">
        <v>1272</v>
      </c>
    </row>
    <row r="1660" spans="1:16" x14ac:dyDescent="0.3">
      <c r="A1660" s="3" t="s">
        <v>27</v>
      </c>
      <c r="B1660" s="3" t="s">
        <v>1273</v>
      </c>
      <c r="C1660" s="3" t="s">
        <v>1274</v>
      </c>
      <c r="D1660" s="3" t="s">
        <v>867</v>
      </c>
      <c r="E1660" s="3" t="s">
        <v>31</v>
      </c>
      <c r="F1660" s="3" t="b">
        <v>0</v>
      </c>
      <c r="G1660" s="3" t="s">
        <v>140</v>
      </c>
      <c r="H1660" s="6">
        <v>44949.000821759262</v>
      </c>
      <c r="I1660" s="3" t="b">
        <v>0</v>
      </c>
      <c r="J1660" s="3" t="b">
        <v>0</v>
      </c>
      <c r="K1660" s="3" t="s">
        <v>33</v>
      </c>
      <c r="L1660" s="3" t="s">
        <v>48</v>
      </c>
      <c r="M1660" s="8"/>
      <c r="N1660" s="11">
        <v>33</v>
      </c>
      <c r="O1660" s="3" t="s">
        <v>1275</v>
      </c>
      <c r="P1660" s="3" t="s">
        <v>439</v>
      </c>
    </row>
    <row r="1661" spans="1:16" x14ac:dyDescent="0.3">
      <c r="A1661" s="3" t="s">
        <v>27</v>
      </c>
      <c r="B1661" s="3" t="s">
        <v>1281</v>
      </c>
      <c r="C1661" s="3" t="s">
        <v>29</v>
      </c>
      <c r="D1661" s="3" t="s">
        <v>30</v>
      </c>
      <c r="E1661" s="3" t="s">
        <v>31</v>
      </c>
      <c r="F1661" s="3" t="b">
        <v>0</v>
      </c>
      <c r="G1661" s="3" t="s">
        <v>32</v>
      </c>
      <c r="H1661" s="6">
        <v>44937.253587962958</v>
      </c>
      <c r="I1661" s="3" t="b">
        <v>0</v>
      </c>
      <c r="J1661" s="3" t="b">
        <v>1</v>
      </c>
      <c r="K1661" s="3" t="s">
        <v>33</v>
      </c>
      <c r="L1661" s="3" t="s">
        <v>34</v>
      </c>
      <c r="M1661" s="8">
        <v>224500</v>
      </c>
      <c r="N1661" s="11"/>
      <c r="O1661" s="3" t="s">
        <v>35</v>
      </c>
      <c r="P1661" s="3" t="s">
        <v>661</v>
      </c>
    </row>
    <row r="1662" spans="1:16" x14ac:dyDescent="0.3">
      <c r="A1662" s="3" t="s">
        <v>27</v>
      </c>
      <c r="B1662" s="3" t="s">
        <v>27</v>
      </c>
      <c r="C1662" s="3" t="s">
        <v>87</v>
      </c>
      <c r="D1662" s="3" t="s">
        <v>30</v>
      </c>
      <c r="E1662" s="3" t="s">
        <v>31</v>
      </c>
      <c r="F1662" s="3" t="b">
        <v>1</v>
      </c>
      <c r="G1662" s="3" t="s">
        <v>58</v>
      </c>
      <c r="H1662" s="6">
        <v>44930.753530092603</v>
      </c>
      <c r="I1662" s="3" t="b">
        <v>0</v>
      </c>
      <c r="J1662" s="3" t="b">
        <v>1</v>
      </c>
      <c r="K1662" s="3" t="s">
        <v>33</v>
      </c>
      <c r="L1662" s="3" t="s">
        <v>34</v>
      </c>
      <c r="M1662" s="8">
        <v>165000</v>
      </c>
      <c r="N1662" s="11"/>
      <c r="O1662" s="3" t="s">
        <v>1284</v>
      </c>
      <c r="P1662" s="3" t="s">
        <v>1285</v>
      </c>
    </row>
    <row r="1663" spans="1:16" x14ac:dyDescent="0.3">
      <c r="A1663" s="3" t="s">
        <v>27</v>
      </c>
      <c r="B1663" s="3" t="s">
        <v>1297</v>
      </c>
      <c r="C1663" s="3" t="s">
        <v>87</v>
      </c>
      <c r="D1663" s="3" t="s">
        <v>263</v>
      </c>
      <c r="E1663" s="3" t="s">
        <v>133</v>
      </c>
      <c r="F1663" s="3" t="b">
        <v>1</v>
      </c>
      <c r="G1663" s="3" t="s">
        <v>110</v>
      </c>
      <c r="H1663" s="6">
        <v>44934.69798611111</v>
      </c>
      <c r="I1663" s="3" t="b">
        <v>0</v>
      </c>
      <c r="J1663" s="3" t="b">
        <v>0</v>
      </c>
      <c r="K1663" s="3" t="s">
        <v>110</v>
      </c>
      <c r="L1663" s="3" t="s">
        <v>48</v>
      </c>
      <c r="M1663" s="8"/>
      <c r="N1663" s="11">
        <v>22.5</v>
      </c>
      <c r="O1663" s="3" t="s">
        <v>264</v>
      </c>
      <c r="P1663" s="3"/>
    </row>
    <row r="1664" spans="1:16" x14ac:dyDescent="0.3">
      <c r="A1664" s="3" t="s">
        <v>27</v>
      </c>
      <c r="B1664" s="3" t="s">
        <v>1299</v>
      </c>
      <c r="C1664" s="3" t="s">
        <v>1092</v>
      </c>
      <c r="D1664" s="3" t="s">
        <v>41</v>
      </c>
      <c r="E1664" s="3" t="s">
        <v>31</v>
      </c>
      <c r="F1664" s="3" t="b">
        <v>0</v>
      </c>
      <c r="G1664" s="3" t="s">
        <v>64</v>
      </c>
      <c r="H1664" s="6">
        <v>44938.169548611113</v>
      </c>
      <c r="I1664" s="3" t="b">
        <v>0</v>
      </c>
      <c r="J1664" s="3" t="b">
        <v>0</v>
      </c>
      <c r="K1664" s="3" t="s">
        <v>33</v>
      </c>
      <c r="L1664" s="3" t="s">
        <v>34</v>
      </c>
      <c r="M1664" s="8">
        <v>99150</v>
      </c>
      <c r="N1664" s="11"/>
      <c r="O1664" s="3" t="s">
        <v>1300</v>
      </c>
      <c r="P1664" s="3" t="s">
        <v>1301</v>
      </c>
    </row>
    <row r="1665" spans="1:16" x14ac:dyDescent="0.3">
      <c r="A1665" s="3" t="s">
        <v>27</v>
      </c>
      <c r="B1665" s="3" t="s">
        <v>283</v>
      </c>
      <c r="C1665" s="3" t="s">
        <v>87</v>
      </c>
      <c r="D1665" s="3" t="s">
        <v>30</v>
      </c>
      <c r="E1665" s="3" t="s">
        <v>31</v>
      </c>
      <c r="F1665" s="3" t="b">
        <v>1</v>
      </c>
      <c r="G1665" s="3" t="s">
        <v>110</v>
      </c>
      <c r="H1665" s="6">
        <v>44929.964004629634</v>
      </c>
      <c r="I1665" s="3" t="b">
        <v>0</v>
      </c>
      <c r="J1665" s="3" t="b">
        <v>0</v>
      </c>
      <c r="K1665" s="3" t="s">
        <v>110</v>
      </c>
      <c r="L1665" s="3" t="s">
        <v>34</v>
      </c>
      <c r="M1665" s="8">
        <v>237500</v>
      </c>
      <c r="N1665" s="11"/>
      <c r="O1665" s="3" t="s">
        <v>284</v>
      </c>
      <c r="P1665" s="3" t="s">
        <v>1308</v>
      </c>
    </row>
    <row r="1666" spans="1:16" x14ac:dyDescent="0.3">
      <c r="A1666" s="3" t="s">
        <v>27</v>
      </c>
      <c r="B1666" s="3" t="s">
        <v>1317</v>
      </c>
      <c r="C1666" s="3" t="s">
        <v>87</v>
      </c>
      <c r="D1666" s="3" t="s">
        <v>263</v>
      </c>
      <c r="E1666" s="3" t="s">
        <v>133</v>
      </c>
      <c r="F1666" s="3" t="b">
        <v>1</v>
      </c>
      <c r="G1666" s="3" t="s">
        <v>84</v>
      </c>
      <c r="H1666" s="6">
        <v>44932.962002314824</v>
      </c>
      <c r="I1666" s="3" t="b">
        <v>0</v>
      </c>
      <c r="J1666" s="3" t="b">
        <v>0</v>
      </c>
      <c r="K1666" s="3" t="s">
        <v>33</v>
      </c>
      <c r="L1666" s="3" t="s">
        <v>48</v>
      </c>
      <c r="M1666" s="8"/>
      <c r="N1666" s="11">
        <v>20</v>
      </c>
      <c r="O1666" s="3" t="s">
        <v>264</v>
      </c>
      <c r="P1666" s="3"/>
    </row>
    <row r="1667" spans="1:16" x14ac:dyDescent="0.3">
      <c r="A1667" s="3" t="s">
        <v>27</v>
      </c>
      <c r="B1667" s="3" t="s">
        <v>1320</v>
      </c>
      <c r="C1667" s="3" t="s">
        <v>1321</v>
      </c>
      <c r="D1667" s="3" t="s">
        <v>93</v>
      </c>
      <c r="E1667" s="3" t="s">
        <v>31</v>
      </c>
      <c r="F1667" s="3" t="b">
        <v>0</v>
      </c>
      <c r="G1667" s="3" t="s">
        <v>32</v>
      </c>
      <c r="H1667" s="6">
        <v>44930.147615740738</v>
      </c>
      <c r="I1667" s="3" t="b">
        <v>0</v>
      </c>
      <c r="J1667" s="3" t="b">
        <v>1</v>
      </c>
      <c r="K1667" s="3" t="s">
        <v>33</v>
      </c>
      <c r="L1667" s="3" t="s">
        <v>34</v>
      </c>
      <c r="M1667" s="8">
        <v>115000</v>
      </c>
      <c r="N1667" s="11"/>
      <c r="O1667" s="3" t="s">
        <v>1322</v>
      </c>
      <c r="P1667" s="3" t="s">
        <v>1323</v>
      </c>
    </row>
    <row r="1668" spans="1:16" x14ac:dyDescent="0.3">
      <c r="A1668" s="3" t="s">
        <v>27</v>
      </c>
      <c r="B1668" s="3" t="s">
        <v>1328</v>
      </c>
      <c r="C1668" s="3" t="s">
        <v>1329</v>
      </c>
      <c r="D1668" s="3" t="s">
        <v>30</v>
      </c>
      <c r="E1668" s="3" t="s">
        <v>133</v>
      </c>
      <c r="F1668" s="3" t="b">
        <v>0</v>
      </c>
      <c r="G1668" s="3" t="s">
        <v>58</v>
      </c>
      <c r="H1668" s="6">
        <v>44944.668749999997</v>
      </c>
      <c r="I1668" s="3" t="b">
        <v>1</v>
      </c>
      <c r="J1668" s="3" t="b">
        <v>0</v>
      </c>
      <c r="K1668" s="3" t="s">
        <v>33</v>
      </c>
      <c r="L1668" s="3" t="s">
        <v>48</v>
      </c>
      <c r="M1668" s="8"/>
      <c r="N1668" s="11">
        <v>25</v>
      </c>
      <c r="O1668" s="3" t="s">
        <v>589</v>
      </c>
      <c r="P1668" s="3" t="s">
        <v>405</v>
      </c>
    </row>
    <row r="1669" spans="1:16" x14ac:dyDescent="0.3">
      <c r="A1669" s="3" t="s">
        <v>27</v>
      </c>
      <c r="B1669" s="3" t="s">
        <v>27</v>
      </c>
      <c r="C1669" s="3" t="s">
        <v>1330</v>
      </c>
      <c r="D1669" s="3" t="s">
        <v>76</v>
      </c>
      <c r="E1669" s="3" t="s">
        <v>31</v>
      </c>
      <c r="F1669" s="3" t="b">
        <v>0</v>
      </c>
      <c r="G1669" s="3" t="s">
        <v>32</v>
      </c>
      <c r="H1669" s="6">
        <v>44945.212106481478</v>
      </c>
      <c r="I1669" s="3" t="b">
        <v>0</v>
      </c>
      <c r="J1669" s="3" t="b">
        <v>1</v>
      </c>
      <c r="K1669" s="3" t="s">
        <v>33</v>
      </c>
      <c r="L1669" s="3" t="s">
        <v>34</v>
      </c>
      <c r="M1669" s="8">
        <v>167500</v>
      </c>
      <c r="N1669" s="11"/>
      <c r="O1669" s="3" t="s">
        <v>1331</v>
      </c>
      <c r="P1669" s="3" t="s">
        <v>1332</v>
      </c>
    </row>
    <row r="1670" spans="1:16" x14ac:dyDescent="0.3">
      <c r="A1670" s="3" t="s">
        <v>27</v>
      </c>
      <c r="B1670" s="3" t="s">
        <v>1333</v>
      </c>
      <c r="C1670" s="3" t="s">
        <v>565</v>
      </c>
      <c r="D1670" s="3" t="s">
        <v>566</v>
      </c>
      <c r="E1670" s="3" t="s">
        <v>31</v>
      </c>
      <c r="F1670" s="3" t="b">
        <v>0</v>
      </c>
      <c r="G1670" s="3" t="s">
        <v>84</v>
      </c>
      <c r="H1670" s="6">
        <v>44929.982349537036</v>
      </c>
      <c r="I1670" s="3" t="b">
        <v>0</v>
      </c>
      <c r="J1670" s="3" t="b">
        <v>0</v>
      </c>
      <c r="K1670" s="3" t="s">
        <v>33</v>
      </c>
      <c r="L1670" s="3" t="s">
        <v>48</v>
      </c>
      <c r="M1670" s="8"/>
      <c r="N1670" s="11">
        <v>24</v>
      </c>
      <c r="O1670" s="3" t="s">
        <v>1334</v>
      </c>
      <c r="P1670" s="3" t="s">
        <v>639</v>
      </c>
    </row>
    <row r="1671" spans="1:16" x14ac:dyDescent="0.3">
      <c r="A1671" s="3" t="s">
        <v>27</v>
      </c>
      <c r="B1671" s="3" t="s">
        <v>1337</v>
      </c>
      <c r="C1671" s="3" t="s">
        <v>1338</v>
      </c>
      <c r="D1671" s="3" t="s">
        <v>41</v>
      </c>
      <c r="E1671" s="3" t="s">
        <v>31</v>
      </c>
      <c r="F1671" s="3" t="b">
        <v>0</v>
      </c>
      <c r="G1671" s="3" t="s">
        <v>213</v>
      </c>
      <c r="H1671" s="6">
        <v>44937.15283564815</v>
      </c>
      <c r="I1671" s="3" t="b">
        <v>1</v>
      </c>
      <c r="J1671" s="3" t="b">
        <v>0</v>
      </c>
      <c r="K1671" s="3" t="s">
        <v>213</v>
      </c>
      <c r="L1671" s="3" t="s">
        <v>34</v>
      </c>
      <c r="M1671" s="8">
        <v>89100</v>
      </c>
      <c r="N1671" s="11"/>
      <c r="O1671" s="3" t="s">
        <v>1339</v>
      </c>
      <c r="P1671" s="3" t="s">
        <v>1340</v>
      </c>
    </row>
    <row r="1672" spans="1:16" x14ac:dyDescent="0.3">
      <c r="A1672" s="3" t="s">
        <v>27</v>
      </c>
      <c r="B1672" s="3" t="s">
        <v>1341</v>
      </c>
      <c r="C1672" s="3" t="s">
        <v>1324</v>
      </c>
      <c r="D1672" s="3" t="s">
        <v>41</v>
      </c>
      <c r="E1672" s="3" t="s">
        <v>31</v>
      </c>
      <c r="F1672" s="3" t="b">
        <v>0</v>
      </c>
      <c r="G1672" s="3" t="s">
        <v>1324</v>
      </c>
      <c r="H1672" s="6">
        <v>44957.059120370373</v>
      </c>
      <c r="I1672" s="3" t="b">
        <v>0</v>
      </c>
      <c r="J1672" s="3" t="b">
        <v>0</v>
      </c>
      <c r="K1672" s="3" t="s">
        <v>1324</v>
      </c>
      <c r="L1672" s="3" t="s">
        <v>34</v>
      </c>
      <c r="M1672" s="8">
        <v>157500</v>
      </c>
      <c r="N1672" s="11"/>
      <c r="O1672" s="3" t="s">
        <v>1342</v>
      </c>
      <c r="P1672" s="3" t="s">
        <v>1343</v>
      </c>
    </row>
    <row r="1673" spans="1:16" x14ac:dyDescent="0.3">
      <c r="A1673" s="3" t="s">
        <v>27</v>
      </c>
      <c r="B1673" s="3" t="s">
        <v>27</v>
      </c>
      <c r="C1673" s="3" t="s">
        <v>87</v>
      </c>
      <c r="D1673" s="3" t="s">
        <v>76</v>
      </c>
      <c r="E1673" s="3" t="s">
        <v>31</v>
      </c>
      <c r="F1673" s="3" t="b">
        <v>1</v>
      </c>
      <c r="G1673" s="3" t="s">
        <v>84</v>
      </c>
      <c r="H1673" s="6">
        <v>44942.946250000001</v>
      </c>
      <c r="I1673" s="3" t="b">
        <v>0</v>
      </c>
      <c r="J1673" s="3" t="b">
        <v>1</v>
      </c>
      <c r="K1673" s="3" t="s">
        <v>33</v>
      </c>
      <c r="L1673" s="3" t="s">
        <v>34</v>
      </c>
      <c r="M1673" s="8">
        <v>130000</v>
      </c>
      <c r="N1673" s="11"/>
      <c r="O1673" s="3" t="s">
        <v>1354</v>
      </c>
      <c r="P1673" s="3" t="s">
        <v>1355</v>
      </c>
    </row>
    <row r="1674" spans="1:16" x14ac:dyDescent="0.3">
      <c r="A1674" s="3" t="s">
        <v>27</v>
      </c>
      <c r="B1674" s="3" t="s">
        <v>27</v>
      </c>
      <c r="C1674" s="3" t="s">
        <v>87</v>
      </c>
      <c r="D1674" s="3" t="s">
        <v>30</v>
      </c>
      <c r="E1674" s="3" t="s">
        <v>31</v>
      </c>
      <c r="F1674" s="3" t="b">
        <v>1</v>
      </c>
      <c r="G1674" s="3" t="s">
        <v>84</v>
      </c>
      <c r="H1674" s="6">
        <v>44951.045937499999</v>
      </c>
      <c r="I1674" s="3" t="b">
        <v>0</v>
      </c>
      <c r="J1674" s="3" t="b">
        <v>1</v>
      </c>
      <c r="K1674" s="3" t="s">
        <v>33</v>
      </c>
      <c r="L1674" s="3" t="s">
        <v>34</v>
      </c>
      <c r="M1674" s="8">
        <v>105000</v>
      </c>
      <c r="N1674" s="11"/>
      <c r="O1674" s="3" t="s">
        <v>1357</v>
      </c>
      <c r="P1674" s="3" t="s">
        <v>1358</v>
      </c>
    </row>
    <row r="1675" spans="1:16" x14ac:dyDescent="0.3">
      <c r="A1675" s="3" t="s">
        <v>27</v>
      </c>
      <c r="B1675" s="3" t="s">
        <v>1051</v>
      </c>
      <c r="C1675" s="3" t="s">
        <v>33</v>
      </c>
      <c r="D1675" s="3" t="s">
        <v>41</v>
      </c>
      <c r="E1675" s="3" t="s">
        <v>31</v>
      </c>
      <c r="F1675" s="3" t="b">
        <v>0</v>
      </c>
      <c r="G1675" s="3" t="s">
        <v>110</v>
      </c>
      <c r="H1675" s="6">
        <v>44943.617569444446</v>
      </c>
      <c r="I1675" s="3" t="b">
        <v>0</v>
      </c>
      <c r="J1675" s="3" t="b">
        <v>1</v>
      </c>
      <c r="K1675" s="3" t="s">
        <v>110</v>
      </c>
      <c r="L1675" s="3" t="s">
        <v>34</v>
      </c>
      <c r="M1675" s="8">
        <v>195500</v>
      </c>
      <c r="N1675" s="11"/>
      <c r="O1675" s="3" t="s">
        <v>1052</v>
      </c>
      <c r="P1675" s="3" t="s">
        <v>1359</v>
      </c>
    </row>
    <row r="1676" spans="1:16" x14ac:dyDescent="0.3">
      <c r="A1676" s="3" t="s">
        <v>27</v>
      </c>
      <c r="B1676" s="3" t="s">
        <v>1360</v>
      </c>
      <c r="C1676" s="3" t="s">
        <v>396</v>
      </c>
      <c r="D1676" s="3" t="s">
        <v>1361</v>
      </c>
      <c r="E1676" s="3" t="s">
        <v>31</v>
      </c>
      <c r="F1676" s="3" t="b">
        <v>0</v>
      </c>
      <c r="G1676" s="3" t="s">
        <v>110</v>
      </c>
      <c r="H1676" s="6">
        <v>44957.004652777781</v>
      </c>
      <c r="I1676" s="3" t="b">
        <v>0</v>
      </c>
      <c r="J1676" s="3" t="b">
        <v>0</v>
      </c>
      <c r="K1676" s="3" t="s">
        <v>110</v>
      </c>
      <c r="L1676" s="3" t="s">
        <v>48</v>
      </c>
      <c r="M1676" s="8"/>
      <c r="N1676" s="11">
        <v>24</v>
      </c>
      <c r="O1676" s="3" t="s">
        <v>689</v>
      </c>
      <c r="P1676" s="3" t="s">
        <v>1362</v>
      </c>
    </row>
    <row r="1677" spans="1:16" x14ac:dyDescent="0.3">
      <c r="A1677" s="3" t="s">
        <v>27</v>
      </c>
      <c r="B1677" s="3" t="s">
        <v>1363</v>
      </c>
      <c r="C1677" s="3" t="s">
        <v>1364</v>
      </c>
      <c r="D1677" s="3" t="s">
        <v>1365</v>
      </c>
      <c r="E1677" s="3" t="s">
        <v>133</v>
      </c>
      <c r="F1677" s="3" t="b">
        <v>0</v>
      </c>
      <c r="G1677" s="3" t="s">
        <v>140</v>
      </c>
      <c r="H1677" s="6">
        <v>44939.889444444438</v>
      </c>
      <c r="I1677" s="3" t="b">
        <v>0</v>
      </c>
      <c r="J1677" s="3" t="b">
        <v>0</v>
      </c>
      <c r="K1677" s="3" t="s">
        <v>33</v>
      </c>
      <c r="L1677" s="3" t="s">
        <v>48</v>
      </c>
      <c r="M1677" s="8"/>
      <c r="N1677" s="11">
        <v>65</v>
      </c>
      <c r="O1677" s="3" t="s">
        <v>1366</v>
      </c>
      <c r="P1677" s="3" t="s">
        <v>1367</v>
      </c>
    </row>
    <row r="1678" spans="1:16" x14ac:dyDescent="0.3">
      <c r="A1678" s="3" t="s">
        <v>27</v>
      </c>
      <c r="B1678" s="3" t="s">
        <v>27</v>
      </c>
      <c r="C1678" s="3" t="s">
        <v>1368</v>
      </c>
      <c r="D1678" s="3" t="s">
        <v>93</v>
      </c>
      <c r="E1678" s="3" t="s">
        <v>31</v>
      </c>
      <c r="F1678" s="3" t="b">
        <v>0</v>
      </c>
      <c r="G1678" s="3" t="s">
        <v>88</v>
      </c>
      <c r="H1678" s="6">
        <v>44942.363391203697</v>
      </c>
      <c r="I1678" s="3" t="b">
        <v>0</v>
      </c>
      <c r="J1678" s="3" t="b">
        <v>0</v>
      </c>
      <c r="K1678" s="3" t="s">
        <v>33</v>
      </c>
      <c r="L1678" s="3" t="s">
        <v>34</v>
      </c>
      <c r="M1678" s="8">
        <v>90000</v>
      </c>
      <c r="N1678" s="11"/>
      <c r="O1678" s="3" t="s">
        <v>1369</v>
      </c>
      <c r="P1678" s="3" t="s">
        <v>1370</v>
      </c>
    </row>
    <row r="1679" spans="1:16" x14ac:dyDescent="0.3">
      <c r="A1679" s="3" t="s">
        <v>27</v>
      </c>
      <c r="B1679" s="3" t="s">
        <v>1398</v>
      </c>
      <c r="C1679" s="3" t="s">
        <v>1399</v>
      </c>
      <c r="D1679" s="3" t="s">
        <v>93</v>
      </c>
      <c r="E1679" s="3" t="s">
        <v>31</v>
      </c>
      <c r="F1679" s="3" t="b">
        <v>0</v>
      </c>
      <c r="G1679" s="3" t="s">
        <v>64</v>
      </c>
      <c r="H1679" s="6">
        <v>44928.543344907397</v>
      </c>
      <c r="I1679" s="3" t="b">
        <v>0</v>
      </c>
      <c r="J1679" s="3" t="b">
        <v>1</v>
      </c>
      <c r="K1679" s="3" t="s">
        <v>33</v>
      </c>
      <c r="L1679" s="3" t="s">
        <v>34</v>
      </c>
      <c r="M1679" s="8">
        <v>90000</v>
      </c>
      <c r="N1679" s="11"/>
      <c r="O1679" s="3" t="s">
        <v>1400</v>
      </c>
      <c r="P1679" s="3" t="s">
        <v>1401</v>
      </c>
    </row>
    <row r="1680" spans="1:16" x14ac:dyDescent="0.3">
      <c r="A1680" s="3" t="s">
        <v>27</v>
      </c>
      <c r="B1680" s="3" t="s">
        <v>1402</v>
      </c>
      <c r="C1680" s="3" t="s">
        <v>856</v>
      </c>
      <c r="D1680" s="3" t="s">
        <v>93</v>
      </c>
      <c r="E1680" s="3" t="s">
        <v>31</v>
      </c>
      <c r="F1680" s="3" t="b">
        <v>0</v>
      </c>
      <c r="G1680" s="3" t="s">
        <v>64</v>
      </c>
      <c r="H1680" s="6">
        <v>44957.376516203702</v>
      </c>
      <c r="I1680" s="3" t="b">
        <v>0</v>
      </c>
      <c r="J1680" s="3" t="b">
        <v>0</v>
      </c>
      <c r="K1680" s="3" t="s">
        <v>33</v>
      </c>
      <c r="L1680" s="3" t="s">
        <v>34</v>
      </c>
      <c r="M1680" s="8">
        <v>90000</v>
      </c>
      <c r="N1680" s="11"/>
      <c r="O1680" s="3" t="s">
        <v>857</v>
      </c>
      <c r="P1680" s="3" t="s">
        <v>1403</v>
      </c>
    </row>
    <row r="1681" spans="1:16" x14ac:dyDescent="0.3">
      <c r="A1681" s="3" t="s">
        <v>27</v>
      </c>
      <c r="B1681" s="3" t="s">
        <v>1437</v>
      </c>
      <c r="C1681" s="3" t="s">
        <v>321</v>
      </c>
      <c r="D1681" s="3" t="s">
        <v>93</v>
      </c>
      <c r="E1681" s="3" t="s">
        <v>31</v>
      </c>
      <c r="F1681" s="3" t="b">
        <v>0</v>
      </c>
      <c r="G1681" s="3" t="s">
        <v>84</v>
      </c>
      <c r="H1681" s="6">
        <v>44939.129872685182</v>
      </c>
      <c r="I1681" s="3" t="b">
        <v>0</v>
      </c>
      <c r="J1681" s="3" t="b">
        <v>0</v>
      </c>
      <c r="K1681" s="3" t="s">
        <v>33</v>
      </c>
      <c r="L1681" s="3" t="s">
        <v>34</v>
      </c>
      <c r="M1681" s="8">
        <v>125000</v>
      </c>
      <c r="N1681" s="11"/>
      <c r="O1681" s="3" t="s">
        <v>1438</v>
      </c>
      <c r="P1681" s="3"/>
    </row>
    <row r="1682" spans="1:16" x14ac:dyDescent="0.3">
      <c r="A1682" s="3" t="s">
        <v>27</v>
      </c>
      <c r="B1682" s="3" t="s">
        <v>1442</v>
      </c>
      <c r="C1682" s="3" t="s">
        <v>87</v>
      </c>
      <c r="D1682" s="3" t="s">
        <v>1013</v>
      </c>
      <c r="E1682" s="3" t="s">
        <v>31</v>
      </c>
      <c r="F1682" s="3" t="b">
        <v>1</v>
      </c>
      <c r="G1682" s="3" t="s">
        <v>84</v>
      </c>
      <c r="H1682" s="6">
        <v>44936.514814814807</v>
      </c>
      <c r="I1682" s="3" t="b">
        <v>0</v>
      </c>
      <c r="J1682" s="3" t="b">
        <v>1</v>
      </c>
      <c r="K1682" s="3" t="s">
        <v>33</v>
      </c>
      <c r="L1682" s="3" t="s">
        <v>34</v>
      </c>
      <c r="M1682" s="8">
        <v>135720</v>
      </c>
      <c r="N1682" s="11"/>
      <c r="O1682" s="3" t="s">
        <v>1443</v>
      </c>
      <c r="P1682" s="3" t="s">
        <v>661</v>
      </c>
    </row>
    <row r="1683" spans="1:16" x14ac:dyDescent="0.3">
      <c r="A1683" s="3" t="s">
        <v>27</v>
      </c>
      <c r="B1683" s="3" t="s">
        <v>1447</v>
      </c>
      <c r="C1683" s="3" t="s">
        <v>40</v>
      </c>
      <c r="D1683" s="3" t="s">
        <v>41</v>
      </c>
      <c r="E1683" s="3" t="s">
        <v>31</v>
      </c>
      <c r="F1683" s="3" t="b">
        <v>0</v>
      </c>
      <c r="G1683" s="3" t="s">
        <v>42</v>
      </c>
      <c r="H1683" s="6">
        <v>44944.177106481482</v>
      </c>
      <c r="I1683" s="3" t="b">
        <v>0</v>
      </c>
      <c r="J1683" s="3" t="b">
        <v>0</v>
      </c>
      <c r="K1683" s="3" t="s">
        <v>42</v>
      </c>
      <c r="L1683" s="3" t="s">
        <v>34</v>
      </c>
      <c r="M1683" s="8">
        <v>89100</v>
      </c>
      <c r="N1683" s="11"/>
      <c r="O1683" s="3" t="s">
        <v>1448</v>
      </c>
      <c r="P1683" s="3" t="s">
        <v>1449</v>
      </c>
    </row>
    <row r="1684" spans="1:16" x14ac:dyDescent="0.3">
      <c r="A1684" s="3" t="s">
        <v>27</v>
      </c>
      <c r="B1684" s="3" t="s">
        <v>1450</v>
      </c>
      <c r="C1684" s="3" t="s">
        <v>491</v>
      </c>
      <c r="D1684" s="3" t="s">
        <v>93</v>
      </c>
      <c r="E1684" s="3" t="s">
        <v>31</v>
      </c>
      <c r="F1684" s="3" t="b">
        <v>0</v>
      </c>
      <c r="G1684" s="3" t="s">
        <v>32</v>
      </c>
      <c r="H1684" s="6">
        <v>44930.502881944441</v>
      </c>
      <c r="I1684" s="3" t="b">
        <v>0</v>
      </c>
      <c r="J1684" s="3" t="b">
        <v>0</v>
      </c>
      <c r="K1684" s="3" t="s">
        <v>33</v>
      </c>
      <c r="L1684" s="3" t="s">
        <v>34</v>
      </c>
      <c r="M1684" s="8">
        <v>225000</v>
      </c>
      <c r="N1684" s="11"/>
      <c r="O1684" s="3" t="s">
        <v>196</v>
      </c>
      <c r="P1684" s="3" t="s">
        <v>841</v>
      </c>
    </row>
    <row r="1685" spans="1:16" x14ac:dyDescent="0.3">
      <c r="A1685" s="3" t="s">
        <v>27</v>
      </c>
      <c r="B1685" s="3" t="s">
        <v>27</v>
      </c>
      <c r="C1685" s="3" t="s">
        <v>201</v>
      </c>
      <c r="D1685" s="3" t="s">
        <v>41</v>
      </c>
      <c r="E1685" s="3" t="s">
        <v>31</v>
      </c>
      <c r="F1685" s="3" t="b">
        <v>0</v>
      </c>
      <c r="G1685" s="3" t="s">
        <v>201</v>
      </c>
      <c r="H1685" s="6">
        <v>44957.352731481478</v>
      </c>
      <c r="I1685" s="3" t="b">
        <v>0</v>
      </c>
      <c r="J1685" s="3" t="b">
        <v>0</v>
      </c>
      <c r="K1685" s="3" t="s">
        <v>201</v>
      </c>
      <c r="L1685" s="3" t="s">
        <v>34</v>
      </c>
      <c r="M1685" s="8">
        <v>157500</v>
      </c>
      <c r="N1685" s="11"/>
      <c r="O1685" s="3" t="s">
        <v>1454</v>
      </c>
      <c r="P1685" s="3" t="s">
        <v>979</v>
      </c>
    </row>
    <row r="1686" spans="1:16" x14ac:dyDescent="0.3">
      <c r="A1686" s="3" t="s">
        <v>27</v>
      </c>
      <c r="B1686" s="3" t="s">
        <v>1457</v>
      </c>
      <c r="C1686" s="3" t="s">
        <v>1458</v>
      </c>
      <c r="D1686" s="3" t="s">
        <v>41</v>
      </c>
      <c r="E1686" s="3" t="s">
        <v>31</v>
      </c>
      <c r="F1686" s="3" t="b">
        <v>0</v>
      </c>
      <c r="G1686" s="3" t="s">
        <v>32</v>
      </c>
      <c r="H1686" s="6">
        <v>44946.095347222217</v>
      </c>
      <c r="I1686" s="3" t="b">
        <v>0</v>
      </c>
      <c r="J1686" s="3" t="b">
        <v>0</v>
      </c>
      <c r="K1686" s="3" t="s">
        <v>33</v>
      </c>
      <c r="L1686" s="3" t="s">
        <v>34</v>
      </c>
      <c r="M1686" s="8">
        <v>109500</v>
      </c>
      <c r="N1686" s="11"/>
      <c r="O1686" s="3" t="s">
        <v>1459</v>
      </c>
      <c r="P1686" s="3" t="s">
        <v>1460</v>
      </c>
    </row>
    <row r="1687" spans="1:16" x14ac:dyDescent="0.3">
      <c r="A1687" s="3" t="s">
        <v>27</v>
      </c>
      <c r="B1687" s="3" t="s">
        <v>1475</v>
      </c>
      <c r="C1687" s="3" t="s">
        <v>1476</v>
      </c>
      <c r="D1687" s="3" t="s">
        <v>867</v>
      </c>
      <c r="E1687" s="3" t="s">
        <v>31</v>
      </c>
      <c r="F1687" s="3" t="b">
        <v>0</v>
      </c>
      <c r="G1687" s="3" t="s">
        <v>64</v>
      </c>
      <c r="H1687" s="6">
        <v>44955.00203703704</v>
      </c>
      <c r="I1687" s="3" t="b">
        <v>0</v>
      </c>
      <c r="J1687" s="3" t="b">
        <v>1</v>
      </c>
      <c r="K1687" s="3" t="s">
        <v>33</v>
      </c>
      <c r="L1687" s="3" t="s">
        <v>34</v>
      </c>
      <c r="M1687" s="8">
        <v>155000</v>
      </c>
      <c r="N1687" s="11"/>
      <c r="O1687" s="3" t="s">
        <v>49</v>
      </c>
      <c r="P1687" s="3" t="s">
        <v>1477</v>
      </c>
    </row>
    <row r="1688" spans="1:16" x14ac:dyDescent="0.3">
      <c r="A1688" s="3" t="s">
        <v>27</v>
      </c>
      <c r="B1688" s="3" t="s">
        <v>1478</v>
      </c>
      <c r="C1688" s="3" t="s">
        <v>87</v>
      </c>
      <c r="D1688" s="3" t="s">
        <v>1479</v>
      </c>
      <c r="E1688" s="3" t="s">
        <v>31</v>
      </c>
      <c r="F1688" s="3" t="b">
        <v>1</v>
      </c>
      <c r="G1688" s="3" t="s">
        <v>84</v>
      </c>
      <c r="H1688" s="6">
        <v>44942.987928240742</v>
      </c>
      <c r="I1688" s="3" t="b">
        <v>0</v>
      </c>
      <c r="J1688" s="3" t="b">
        <v>1</v>
      </c>
      <c r="K1688" s="3" t="s">
        <v>33</v>
      </c>
      <c r="L1688" s="3" t="s">
        <v>34</v>
      </c>
      <c r="M1688" s="8">
        <v>84620</v>
      </c>
      <c r="N1688" s="11"/>
      <c r="O1688" s="3" t="s">
        <v>1480</v>
      </c>
      <c r="P1688" s="3" t="s">
        <v>1481</v>
      </c>
    </row>
    <row r="1689" spans="1:16" x14ac:dyDescent="0.3">
      <c r="A1689" s="3" t="s">
        <v>27</v>
      </c>
      <c r="B1689" s="3" t="s">
        <v>1501</v>
      </c>
      <c r="C1689" s="3" t="s">
        <v>87</v>
      </c>
      <c r="D1689" s="3" t="s">
        <v>263</v>
      </c>
      <c r="E1689" s="3" t="s">
        <v>133</v>
      </c>
      <c r="F1689" s="3" t="b">
        <v>1</v>
      </c>
      <c r="G1689" s="3" t="s">
        <v>110</v>
      </c>
      <c r="H1689" s="6">
        <v>44938.200856481482</v>
      </c>
      <c r="I1689" s="3" t="b">
        <v>0</v>
      </c>
      <c r="J1689" s="3" t="b">
        <v>0</v>
      </c>
      <c r="K1689" s="3" t="s">
        <v>110</v>
      </c>
      <c r="L1689" s="3" t="s">
        <v>48</v>
      </c>
      <c r="M1689" s="8"/>
      <c r="N1689" s="11">
        <v>45</v>
      </c>
      <c r="O1689" s="3" t="s">
        <v>264</v>
      </c>
      <c r="P1689" s="3" t="s">
        <v>347</v>
      </c>
    </row>
    <row r="1690" spans="1:16" x14ac:dyDescent="0.3">
      <c r="A1690" s="3" t="s">
        <v>27</v>
      </c>
      <c r="B1690" s="3" t="s">
        <v>1502</v>
      </c>
      <c r="C1690" s="3" t="s">
        <v>1503</v>
      </c>
      <c r="D1690" s="3" t="s">
        <v>93</v>
      </c>
      <c r="E1690" s="3" t="s">
        <v>31</v>
      </c>
      <c r="F1690" s="3" t="b">
        <v>0</v>
      </c>
      <c r="G1690" s="3" t="s">
        <v>88</v>
      </c>
      <c r="H1690" s="6">
        <v>44935.504155092603</v>
      </c>
      <c r="I1690" s="3" t="b">
        <v>0</v>
      </c>
      <c r="J1690" s="3" t="b">
        <v>1</v>
      </c>
      <c r="K1690" s="3" t="s">
        <v>33</v>
      </c>
      <c r="L1690" s="3" t="s">
        <v>34</v>
      </c>
      <c r="M1690" s="8">
        <v>115000</v>
      </c>
      <c r="N1690" s="11"/>
      <c r="O1690" s="3" t="s">
        <v>1006</v>
      </c>
      <c r="P1690" s="3" t="s">
        <v>1007</v>
      </c>
    </row>
    <row r="1691" spans="1:16" x14ac:dyDescent="0.3">
      <c r="A1691" s="3" t="s">
        <v>27</v>
      </c>
      <c r="B1691" s="3" t="s">
        <v>964</v>
      </c>
      <c r="C1691" s="3" t="s">
        <v>97</v>
      </c>
      <c r="D1691" s="3" t="s">
        <v>93</v>
      </c>
      <c r="E1691" s="3" t="s">
        <v>31</v>
      </c>
      <c r="F1691" s="3" t="b">
        <v>0</v>
      </c>
      <c r="G1691" s="3" t="s">
        <v>32</v>
      </c>
      <c r="H1691" s="6">
        <v>44956.461053240739</v>
      </c>
      <c r="I1691" s="3" t="b">
        <v>0</v>
      </c>
      <c r="J1691" s="3" t="b">
        <v>1</v>
      </c>
      <c r="K1691" s="3" t="s">
        <v>33</v>
      </c>
      <c r="L1691" s="3" t="s">
        <v>34</v>
      </c>
      <c r="M1691" s="8">
        <v>115000</v>
      </c>
      <c r="N1691" s="11"/>
      <c r="O1691" s="3" t="s">
        <v>1504</v>
      </c>
      <c r="P1691" s="3" t="s">
        <v>1505</v>
      </c>
    </row>
    <row r="1692" spans="1:16" x14ac:dyDescent="0.3">
      <c r="A1692" s="3" t="s">
        <v>27</v>
      </c>
      <c r="B1692" s="3" t="s">
        <v>1511</v>
      </c>
      <c r="C1692" s="3" t="s">
        <v>40</v>
      </c>
      <c r="D1692" s="3" t="s">
        <v>41</v>
      </c>
      <c r="E1692" s="3" t="s">
        <v>31</v>
      </c>
      <c r="F1692" s="3" t="b">
        <v>0</v>
      </c>
      <c r="G1692" s="3" t="s">
        <v>42</v>
      </c>
      <c r="H1692" s="6">
        <v>44938.427499999998</v>
      </c>
      <c r="I1692" s="3" t="b">
        <v>0</v>
      </c>
      <c r="J1692" s="3" t="b">
        <v>0</v>
      </c>
      <c r="K1692" s="3" t="s">
        <v>42</v>
      </c>
      <c r="L1692" s="3" t="s">
        <v>34</v>
      </c>
      <c r="M1692" s="8">
        <v>64821.5</v>
      </c>
      <c r="N1692" s="11"/>
      <c r="O1692" s="3" t="s">
        <v>1512</v>
      </c>
      <c r="P1692" s="3" t="s">
        <v>1513</v>
      </c>
    </row>
    <row r="1693" spans="1:16" x14ac:dyDescent="0.3">
      <c r="A1693" s="3" t="s">
        <v>27</v>
      </c>
      <c r="B1693" s="3" t="s">
        <v>1520</v>
      </c>
      <c r="C1693" s="3" t="s">
        <v>435</v>
      </c>
      <c r="D1693" s="3" t="s">
        <v>41</v>
      </c>
      <c r="E1693" s="3" t="s">
        <v>31</v>
      </c>
      <c r="F1693" s="3" t="b">
        <v>0</v>
      </c>
      <c r="G1693" s="3" t="s">
        <v>436</v>
      </c>
      <c r="H1693" s="6">
        <v>44930.273877314823</v>
      </c>
      <c r="I1693" s="3" t="b">
        <v>0</v>
      </c>
      <c r="J1693" s="3" t="b">
        <v>0</v>
      </c>
      <c r="K1693" s="3" t="s">
        <v>436</v>
      </c>
      <c r="L1693" s="3" t="s">
        <v>34</v>
      </c>
      <c r="M1693" s="8">
        <v>81000</v>
      </c>
      <c r="N1693" s="11"/>
      <c r="O1693" s="3" t="s">
        <v>1521</v>
      </c>
      <c r="P1693" s="3" t="s">
        <v>1522</v>
      </c>
    </row>
    <row r="1694" spans="1:16" x14ac:dyDescent="0.3">
      <c r="A1694" s="3" t="s">
        <v>27</v>
      </c>
      <c r="B1694" s="3" t="s">
        <v>1523</v>
      </c>
      <c r="C1694" s="3" t="s">
        <v>1524</v>
      </c>
      <c r="D1694" s="3" t="s">
        <v>93</v>
      </c>
      <c r="E1694" s="3" t="s">
        <v>31</v>
      </c>
      <c r="F1694" s="3" t="b">
        <v>0</v>
      </c>
      <c r="G1694" s="3" t="s">
        <v>110</v>
      </c>
      <c r="H1694" s="6">
        <v>44943.409363425933</v>
      </c>
      <c r="I1694" s="3" t="b">
        <v>0</v>
      </c>
      <c r="J1694" s="3" t="b">
        <v>0</v>
      </c>
      <c r="K1694" s="3" t="s">
        <v>110</v>
      </c>
      <c r="L1694" s="3" t="s">
        <v>34</v>
      </c>
      <c r="M1694" s="8">
        <v>115000</v>
      </c>
      <c r="N1694" s="11"/>
      <c r="O1694" s="3" t="s">
        <v>1525</v>
      </c>
      <c r="P1694" s="3" t="s">
        <v>328</v>
      </c>
    </row>
    <row r="1695" spans="1:16" x14ac:dyDescent="0.3">
      <c r="A1695" s="3" t="s">
        <v>27</v>
      </c>
      <c r="B1695" s="3" t="s">
        <v>27</v>
      </c>
      <c r="C1695" s="3" t="s">
        <v>87</v>
      </c>
      <c r="D1695" s="3" t="s">
        <v>76</v>
      </c>
      <c r="E1695" s="3" t="s">
        <v>31</v>
      </c>
      <c r="F1695" s="3" t="b">
        <v>1</v>
      </c>
      <c r="G1695" s="3" t="s">
        <v>110</v>
      </c>
      <c r="H1695" s="6">
        <v>44937.742662037039</v>
      </c>
      <c r="I1695" s="3" t="b">
        <v>0</v>
      </c>
      <c r="J1695" s="3" t="b">
        <v>1</v>
      </c>
      <c r="K1695" s="3" t="s">
        <v>110</v>
      </c>
      <c r="L1695" s="3" t="s">
        <v>34</v>
      </c>
      <c r="M1695" s="8">
        <v>105000</v>
      </c>
      <c r="N1695" s="11"/>
      <c r="O1695" s="3" t="s">
        <v>1532</v>
      </c>
      <c r="P1695" s="3" t="s">
        <v>1533</v>
      </c>
    </row>
    <row r="1696" spans="1:16" x14ac:dyDescent="0.3">
      <c r="A1696" s="3" t="s">
        <v>27</v>
      </c>
      <c r="B1696" s="3" t="s">
        <v>522</v>
      </c>
      <c r="C1696" s="3" t="s">
        <v>495</v>
      </c>
      <c r="D1696" s="3" t="s">
        <v>30</v>
      </c>
      <c r="E1696" s="3" t="s">
        <v>31</v>
      </c>
      <c r="F1696" s="3" t="b">
        <v>0</v>
      </c>
      <c r="G1696" s="3" t="s">
        <v>140</v>
      </c>
      <c r="H1696" s="6">
        <v>44932.715891203698</v>
      </c>
      <c r="I1696" s="3" t="b">
        <v>0</v>
      </c>
      <c r="J1696" s="3" t="b">
        <v>0</v>
      </c>
      <c r="K1696" s="3" t="s">
        <v>33</v>
      </c>
      <c r="L1696" s="3" t="s">
        <v>34</v>
      </c>
      <c r="M1696" s="8">
        <v>165000</v>
      </c>
      <c r="N1696" s="11"/>
      <c r="O1696" s="3" t="s">
        <v>80</v>
      </c>
      <c r="P1696" s="3" t="s">
        <v>523</v>
      </c>
    </row>
    <row r="1697" spans="1:16" x14ac:dyDescent="0.3">
      <c r="A1697" s="3" t="s">
        <v>27</v>
      </c>
      <c r="B1697" s="3" t="s">
        <v>1562</v>
      </c>
      <c r="C1697" s="3" t="s">
        <v>573</v>
      </c>
      <c r="D1697" s="3" t="s">
        <v>390</v>
      </c>
      <c r="E1697" s="3" t="s">
        <v>31</v>
      </c>
      <c r="F1697" s="3" t="b">
        <v>0</v>
      </c>
      <c r="G1697" s="3" t="s">
        <v>88</v>
      </c>
      <c r="H1697" s="6">
        <v>44932.045555555553</v>
      </c>
      <c r="I1697" s="3" t="b">
        <v>0</v>
      </c>
      <c r="J1697" s="3" t="b">
        <v>1</v>
      </c>
      <c r="K1697" s="3" t="s">
        <v>33</v>
      </c>
      <c r="L1697" s="3" t="s">
        <v>34</v>
      </c>
      <c r="M1697" s="8">
        <v>105000</v>
      </c>
      <c r="N1697" s="11"/>
      <c r="O1697" s="3" t="s">
        <v>665</v>
      </c>
      <c r="P1697" s="3" t="s">
        <v>1563</v>
      </c>
    </row>
    <row r="1698" spans="1:16" x14ac:dyDescent="0.3">
      <c r="A1698" s="3" t="s">
        <v>27</v>
      </c>
      <c r="B1698" s="3" t="s">
        <v>1564</v>
      </c>
      <c r="C1698" s="3" t="s">
        <v>87</v>
      </c>
      <c r="D1698" s="3" t="s">
        <v>30</v>
      </c>
      <c r="E1698" s="3" t="s">
        <v>31</v>
      </c>
      <c r="F1698" s="3" t="b">
        <v>1</v>
      </c>
      <c r="G1698" s="3" t="s">
        <v>58</v>
      </c>
      <c r="H1698" s="6">
        <v>44932.670173611114</v>
      </c>
      <c r="I1698" s="3" t="b">
        <v>0</v>
      </c>
      <c r="J1698" s="3" t="b">
        <v>1</v>
      </c>
      <c r="K1698" s="3" t="s">
        <v>33</v>
      </c>
      <c r="L1698" s="3" t="s">
        <v>34</v>
      </c>
      <c r="M1698" s="8">
        <v>135000</v>
      </c>
      <c r="N1698" s="11"/>
      <c r="O1698" s="3" t="s">
        <v>1565</v>
      </c>
      <c r="P1698" s="3" t="s">
        <v>1566</v>
      </c>
    </row>
    <row r="1699" spans="1:16" x14ac:dyDescent="0.3">
      <c r="A1699" s="3" t="s">
        <v>27</v>
      </c>
      <c r="B1699" s="3" t="s">
        <v>27</v>
      </c>
      <c r="C1699" s="3" t="s">
        <v>1573</v>
      </c>
      <c r="D1699" s="3" t="s">
        <v>307</v>
      </c>
      <c r="E1699" s="3" t="s">
        <v>31</v>
      </c>
      <c r="F1699" s="3" t="b">
        <v>0</v>
      </c>
      <c r="G1699" s="3" t="s">
        <v>32</v>
      </c>
      <c r="H1699" s="6">
        <v>44957.251921296287</v>
      </c>
      <c r="I1699" s="3" t="b">
        <v>0</v>
      </c>
      <c r="J1699" s="3" t="b">
        <v>0</v>
      </c>
      <c r="K1699" s="3" t="s">
        <v>33</v>
      </c>
      <c r="L1699" s="3" t="s">
        <v>34</v>
      </c>
      <c r="M1699" s="8">
        <v>115000</v>
      </c>
      <c r="N1699" s="11"/>
      <c r="O1699" s="3" t="s">
        <v>114</v>
      </c>
      <c r="P1699" s="3" t="s">
        <v>1574</v>
      </c>
    </row>
    <row r="1700" spans="1:16" x14ac:dyDescent="0.3">
      <c r="A1700" s="3" t="s">
        <v>27</v>
      </c>
      <c r="B1700" s="3" t="s">
        <v>1576</v>
      </c>
      <c r="C1700" s="3" t="s">
        <v>321</v>
      </c>
      <c r="D1700" s="3" t="s">
        <v>287</v>
      </c>
      <c r="E1700" s="3" t="s">
        <v>31</v>
      </c>
      <c r="F1700" s="3" t="b">
        <v>0</v>
      </c>
      <c r="G1700" s="3" t="s">
        <v>88</v>
      </c>
      <c r="H1700" s="6">
        <v>44936.004155092603</v>
      </c>
      <c r="I1700" s="3" t="b">
        <v>0</v>
      </c>
      <c r="J1700" s="3" t="b">
        <v>0</v>
      </c>
      <c r="K1700" s="3" t="s">
        <v>33</v>
      </c>
      <c r="L1700" s="3" t="s">
        <v>34</v>
      </c>
      <c r="M1700" s="8">
        <v>140000</v>
      </c>
      <c r="N1700" s="11"/>
      <c r="O1700" s="3" t="s">
        <v>1577</v>
      </c>
      <c r="P1700" s="3" t="s">
        <v>756</v>
      </c>
    </row>
    <row r="1701" spans="1:16" x14ac:dyDescent="0.3">
      <c r="A1701" s="3" t="s">
        <v>27</v>
      </c>
      <c r="B1701" s="3" t="s">
        <v>27</v>
      </c>
      <c r="C1701" s="3" t="s">
        <v>33</v>
      </c>
      <c r="D1701" s="3" t="s">
        <v>76</v>
      </c>
      <c r="E1701" s="3" t="s">
        <v>31</v>
      </c>
      <c r="F1701" s="3" t="b">
        <v>0</v>
      </c>
      <c r="G1701" s="3" t="s">
        <v>110</v>
      </c>
      <c r="H1701" s="6">
        <v>44937.992569444446</v>
      </c>
      <c r="I1701" s="3" t="b">
        <v>0</v>
      </c>
      <c r="J1701" s="3" t="b">
        <v>0</v>
      </c>
      <c r="K1701" s="3" t="s">
        <v>110</v>
      </c>
      <c r="L1701" s="3" t="s">
        <v>34</v>
      </c>
      <c r="M1701" s="8">
        <v>113500</v>
      </c>
      <c r="N1701" s="11"/>
      <c r="O1701" s="3" t="s">
        <v>1582</v>
      </c>
      <c r="P1701" s="3" t="s">
        <v>1583</v>
      </c>
    </row>
    <row r="1702" spans="1:16" x14ac:dyDescent="0.3">
      <c r="A1702" s="3" t="s">
        <v>27</v>
      </c>
      <c r="B1702" s="3" t="s">
        <v>1584</v>
      </c>
      <c r="C1702" s="3" t="s">
        <v>87</v>
      </c>
      <c r="D1702" s="3" t="s">
        <v>263</v>
      </c>
      <c r="E1702" s="3" t="s">
        <v>133</v>
      </c>
      <c r="F1702" s="3" t="b">
        <v>1</v>
      </c>
      <c r="G1702" s="3" t="s">
        <v>58</v>
      </c>
      <c r="H1702" s="6">
        <v>44946.973749999997</v>
      </c>
      <c r="I1702" s="3" t="b">
        <v>0</v>
      </c>
      <c r="J1702" s="3" t="b">
        <v>0</v>
      </c>
      <c r="K1702" s="3" t="s">
        <v>33</v>
      </c>
      <c r="L1702" s="3" t="s">
        <v>48</v>
      </c>
      <c r="M1702" s="8"/>
      <c r="N1702" s="11">
        <v>52.5</v>
      </c>
      <c r="O1702" s="3" t="s">
        <v>264</v>
      </c>
      <c r="P1702" s="3"/>
    </row>
    <row r="1703" spans="1:16" x14ac:dyDescent="0.3">
      <c r="A1703" s="3" t="s">
        <v>27</v>
      </c>
      <c r="B1703" s="3" t="s">
        <v>27</v>
      </c>
      <c r="C1703" s="3" t="s">
        <v>87</v>
      </c>
      <c r="D1703" s="3" t="s">
        <v>188</v>
      </c>
      <c r="E1703" s="3" t="s">
        <v>133</v>
      </c>
      <c r="F1703" s="3" t="b">
        <v>1</v>
      </c>
      <c r="G1703" s="3" t="s">
        <v>64</v>
      </c>
      <c r="H1703" s="6">
        <v>44936.721956018519</v>
      </c>
      <c r="I1703" s="3" t="b">
        <v>0</v>
      </c>
      <c r="J1703" s="3" t="b">
        <v>0</v>
      </c>
      <c r="K1703" s="3" t="s">
        <v>33</v>
      </c>
      <c r="L1703" s="3" t="s">
        <v>48</v>
      </c>
      <c r="M1703" s="8"/>
      <c r="N1703" s="11">
        <v>45</v>
      </c>
      <c r="O1703" s="3" t="s">
        <v>426</v>
      </c>
      <c r="P1703" s="3" t="s">
        <v>1585</v>
      </c>
    </row>
    <row r="1704" spans="1:16" x14ac:dyDescent="0.3">
      <c r="A1704" s="3" t="s">
        <v>27</v>
      </c>
      <c r="B1704" s="3" t="s">
        <v>1586</v>
      </c>
      <c r="C1704" s="3" t="s">
        <v>896</v>
      </c>
      <c r="D1704" s="3" t="s">
        <v>41</v>
      </c>
      <c r="E1704" s="3" t="s">
        <v>31</v>
      </c>
      <c r="F1704" s="3" t="b">
        <v>0</v>
      </c>
      <c r="G1704" s="3" t="s">
        <v>897</v>
      </c>
      <c r="H1704" s="6">
        <v>44945.2346412037</v>
      </c>
      <c r="I1704" s="3" t="b">
        <v>0</v>
      </c>
      <c r="J1704" s="3" t="b">
        <v>0</v>
      </c>
      <c r="K1704" s="3" t="s">
        <v>897</v>
      </c>
      <c r="L1704" s="3" t="s">
        <v>34</v>
      </c>
      <c r="M1704" s="8">
        <v>166941.5</v>
      </c>
      <c r="N1704" s="11"/>
      <c r="O1704" s="3" t="s">
        <v>1587</v>
      </c>
      <c r="P1704" s="3" t="s">
        <v>1588</v>
      </c>
    </row>
    <row r="1705" spans="1:16" x14ac:dyDescent="0.3">
      <c r="A1705" s="3" t="s">
        <v>27</v>
      </c>
      <c r="B1705" s="3" t="s">
        <v>1602</v>
      </c>
      <c r="C1705" s="3" t="s">
        <v>87</v>
      </c>
      <c r="D1705" s="3" t="s">
        <v>30</v>
      </c>
      <c r="E1705" s="3" t="s">
        <v>31</v>
      </c>
      <c r="F1705" s="3" t="b">
        <v>1</v>
      </c>
      <c r="G1705" s="3" t="s">
        <v>58</v>
      </c>
      <c r="H1705" s="6">
        <v>44932.711840277778</v>
      </c>
      <c r="I1705" s="3" t="b">
        <v>0</v>
      </c>
      <c r="J1705" s="3" t="b">
        <v>0</v>
      </c>
      <c r="K1705" s="3" t="s">
        <v>33</v>
      </c>
      <c r="L1705" s="3" t="s">
        <v>34</v>
      </c>
      <c r="M1705" s="8">
        <v>130000</v>
      </c>
      <c r="N1705" s="11"/>
      <c r="O1705" s="3" t="s">
        <v>1603</v>
      </c>
      <c r="P1705" s="3" t="s">
        <v>1604</v>
      </c>
    </row>
    <row r="1706" spans="1:16" x14ac:dyDescent="0.3">
      <c r="A1706" s="3" t="s">
        <v>27</v>
      </c>
      <c r="B1706" s="3" t="s">
        <v>27</v>
      </c>
      <c r="C1706" s="3" t="s">
        <v>87</v>
      </c>
      <c r="D1706" s="3" t="s">
        <v>30</v>
      </c>
      <c r="E1706" s="3" t="s">
        <v>133</v>
      </c>
      <c r="F1706" s="3" t="b">
        <v>1</v>
      </c>
      <c r="G1706" s="3" t="s">
        <v>58</v>
      </c>
      <c r="H1706" s="6">
        <v>44939.754571759258</v>
      </c>
      <c r="I1706" s="3" t="b">
        <v>0</v>
      </c>
      <c r="J1706" s="3" t="b">
        <v>0</v>
      </c>
      <c r="K1706" s="3" t="s">
        <v>33</v>
      </c>
      <c r="L1706" s="3" t="s">
        <v>48</v>
      </c>
      <c r="M1706" s="8"/>
      <c r="N1706" s="11">
        <v>65</v>
      </c>
      <c r="O1706" s="3" t="s">
        <v>1609</v>
      </c>
      <c r="P1706" s="3" t="s">
        <v>661</v>
      </c>
    </row>
    <row r="1707" spans="1:16" x14ac:dyDescent="0.3">
      <c r="A1707" s="3" t="s">
        <v>27</v>
      </c>
      <c r="B1707" s="3" t="s">
        <v>1622</v>
      </c>
      <c r="C1707" s="3" t="s">
        <v>1623</v>
      </c>
      <c r="D1707" s="3" t="s">
        <v>106</v>
      </c>
      <c r="E1707" s="3" t="s">
        <v>31</v>
      </c>
      <c r="F1707" s="3" t="b">
        <v>0</v>
      </c>
      <c r="G1707" s="3" t="s">
        <v>84</v>
      </c>
      <c r="H1707" s="6">
        <v>44954.58693287037</v>
      </c>
      <c r="I1707" s="3" t="b">
        <v>0</v>
      </c>
      <c r="J1707" s="3" t="b">
        <v>1</v>
      </c>
      <c r="K1707" s="3" t="s">
        <v>33</v>
      </c>
      <c r="L1707" s="3" t="s">
        <v>34</v>
      </c>
      <c r="M1707" s="8">
        <v>119550</v>
      </c>
      <c r="N1707" s="11"/>
      <c r="O1707" s="3" t="s">
        <v>784</v>
      </c>
      <c r="P1707" s="3" t="s">
        <v>1624</v>
      </c>
    </row>
    <row r="1708" spans="1:16" x14ac:dyDescent="0.3">
      <c r="A1708" s="3" t="s">
        <v>27</v>
      </c>
      <c r="B1708" s="3" t="s">
        <v>1625</v>
      </c>
      <c r="C1708" s="3" t="s">
        <v>910</v>
      </c>
      <c r="D1708" s="3" t="s">
        <v>307</v>
      </c>
      <c r="E1708" s="3" t="s">
        <v>31</v>
      </c>
      <c r="F1708" s="3" t="b">
        <v>0</v>
      </c>
      <c r="G1708" s="3" t="s">
        <v>32</v>
      </c>
      <c r="H1708" s="6">
        <v>44929.897511574083</v>
      </c>
      <c r="I1708" s="3" t="b">
        <v>0</v>
      </c>
      <c r="J1708" s="3" t="b">
        <v>0</v>
      </c>
      <c r="K1708" s="3" t="s">
        <v>33</v>
      </c>
      <c r="L1708" s="3" t="s">
        <v>34</v>
      </c>
      <c r="M1708" s="8">
        <v>152500</v>
      </c>
      <c r="N1708" s="11"/>
      <c r="O1708" s="3" t="s">
        <v>114</v>
      </c>
      <c r="P1708" s="3" t="s">
        <v>1626</v>
      </c>
    </row>
    <row r="1709" spans="1:16" x14ac:dyDescent="0.3">
      <c r="A1709" s="3" t="s">
        <v>27</v>
      </c>
      <c r="B1709" s="3" t="s">
        <v>1627</v>
      </c>
      <c r="C1709" s="3" t="s">
        <v>1628</v>
      </c>
      <c r="D1709" s="3" t="s">
        <v>93</v>
      </c>
      <c r="E1709" s="3" t="s">
        <v>31</v>
      </c>
      <c r="F1709" s="3" t="b">
        <v>0</v>
      </c>
      <c r="G1709" s="3" t="s">
        <v>88</v>
      </c>
      <c r="H1709" s="6">
        <v>44942.404988425929</v>
      </c>
      <c r="I1709" s="3" t="b">
        <v>0</v>
      </c>
      <c r="J1709" s="3" t="b">
        <v>0</v>
      </c>
      <c r="K1709" s="3" t="s">
        <v>33</v>
      </c>
      <c r="L1709" s="3" t="s">
        <v>34</v>
      </c>
      <c r="M1709" s="8">
        <v>225000</v>
      </c>
      <c r="N1709" s="11"/>
      <c r="O1709" s="3" t="s">
        <v>1629</v>
      </c>
      <c r="P1709" s="3" t="s">
        <v>1630</v>
      </c>
    </row>
    <row r="1710" spans="1:16" x14ac:dyDescent="0.3">
      <c r="A1710" s="3" t="s">
        <v>27</v>
      </c>
      <c r="B1710" s="3" t="s">
        <v>1638</v>
      </c>
      <c r="C1710" s="3" t="s">
        <v>1639</v>
      </c>
      <c r="D1710" s="3" t="s">
        <v>93</v>
      </c>
      <c r="E1710" s="3" t="s">
        <v>31</v>
      </c>
      <c r="F1710" s="3" t="b">
        <v>0</v>
      </c>
      <c r="G1710" s="3" t="s">
        <v>32</v>
      </c>
      <c r="H1710" s="6">
        <v>44945.348495370366</v>
      </c>
      <c r="I1710" s="3" t="b">
        <v>0</v>
      </c>
      <c r="J1710" s="3" t="b">
        <v>1</v>
      </c>
      <c r="K1710" s="3" t="s">
        <v>33</v>
      </c>
      <c r="L1710" s="3" t="s">
        <v>34</v>
      </c>
      <c r="M1710" s="8">
        <v>90000</v>
      </c>
      <c r="N1710" s="11"/>
      <c r="O1710" s="3" t="s">
        <v>665</v>
      </c>
      <c r="P1710" s="3" t="s">
        <v>1367</v>
      </c>
    </row>
    <row r="1711" spans="1:16" x14ac:dyDescent="0.3">
      <c r="A1711" s="3" t="s">
        <v>27</v>
      </c>
      <c r="B1711" s="3" t="s">
        <v>27</v>
      </c>
      <c r="C1711" s="3" t="s">
        <v>813</v>
      </c>
      <c r="D1711" s="3" t="s">
        <v>76</v>
      </c>
      <c r="E1711" s="3" t="s">
        <v>31</v>
      </c>
      <c r="F1711" s="3" t="b">
        <v>0</v>
      </c>
      <c r="G1711" s="3" t="s">
        <v>64</v>
      </c>
      <c r="H1711" s="6">
        <v>44944.628055555557</v>
      </c>
      <c r="I1711" s="3" t="b">
        <v>0</v>
      </c>
      <c r="J1711" s="3" t="b">
        <v>1</v>
      </c>
      <c r="K1711" s="3" t="s">
        <v>33</v>
      </c>
      <c r="L1711" s="3" t="s">
        <v>34</v>
      </c>
      <c r="M1711" s="8">
        <v>120000</v>
      </c>
      <c r="N1711" s="11"/>
      <c r="O1711" s="3" t="s">
        <v>1640</v>
      </c>
      <c r="P1711" s="3" t="s">
        <v>1641</v>
      </c>
    </row>
    <row r="1712" spans="1:16" x14ac:dyDescent="0.3">
      <c r="A1712" s="3" t="s">
        <v>27</v>
      </c>
      <c r="B1712" s="3" t="s">
        <v>1642</v>
      </c>
      <c r="C1712" s="3" t="s">
        <v>447</v>
      </c>
      <c r="D1712" s="3" t="s">
        <v>1643</v>
      </c>
      <c r="E1712" s="3" t="s">
        <v>133</v>
      </c>
      <c r="F1712" s="3" t="b">
        <v>0</v>
      </c>
      <c r="G1712" s="3" t="s">
        <v>32</v>
      </c>
      <c r="H1712" s="6">
        <v>44954.003506944442</v>
      </c>
      <c r="I1712" s="3" t="b">
        <v>0</v>
      </c>
      <c r="J1712" s="3" t="b">
        <v>0</v>
      </c>
      <c r="K1712" s="3" t="s">
        <v>33</v>
      </c>
      <c r="L1712" s="3" t="s">
        <v>48</v>
      </c>
      <c r="M1712" s="8"/>
      <c r="N1712" s="11">
        <v>62.5</v>
      </c>
      <c r="O1712" s="3" t="s">
        <v>1065</v>
      </c>
      <c r="P1712" s="3" t="s">
        <v>1644</v>
      </c>
    </row>
    <row r="1713" spans="1:16" x14ac:dyDescent="0.3">
      <c r="A1713" s="3" t="s">
        <v>27</v>
      </c>
      <c r="B1713" s="3" t="s">
        <v>27</v>
      </c>
      <c r="C1713" s="3" t="s">
        <v>87</v>
      </c>
      <c r="D1713" s="3" t="s">
        <v>76</v>
      </c>
      <c r="E1713" s="3" t="s">
        <v>133</v>
      </c>
      <c r="F1713" s="3" t="b">
        <v>1</v>
      </c>
      <c r="G1713" s="3" t="s">
        <v>110</v>
      </c>
      <c r="H1713" s="6">
        <v>44936.58452546296</v>
      </c>
      <c r="I1713" s="3" t="b">
        <v>0</v>
      </c>
      <c r="J1713" s="3" t="b">
        <v>0</v>
      </c>
      <c r="K1713" s="3" t="s">
        <v>110</v>
      </c>
      <c r="L1713" s="3" t="s">
        <v>48</v>
      </c>
      <c r="M1713" s="8"/>
      <c r="N1713" s="11">
        <v>37</v>
      </c>
      <c r="O1713" s="3" t="s">
        <v>1655</v>
      </c>
      <c r="P1713" s="3"/>
    </row>
    <row r="1714" spans="1:16" x14ac:dyDescent="0.3">
      <c r="A1714" s="3" t="s">
        <v>27</v>
      </c>
      <c r="B1714" s="3" t="s">
        <v>1662</v>
      </c>
      <c r="C1714" s="3" t="s">
        <v>87</v>
      </c>
      <c r="D1714" s="3" t="s">
        <v>263</v>
      </c>
      <c r="E1714" s="3" t="s">
        <v>133</v>
      </c>
      <c r="F1714" s="3" t="b">
        <v>1</v>
      </c>
      <c r="G1714" s="3" t="s">
        <v>58</v>
      </c>
      <c r="H1714" s="6">
        <v>44942.654108796298</v>
      </c>
      <c r="I1714" s="3" t="b">
        <v>0</v>
      </c>
      <c r="J1714" s="3" t="b">
        <v>0</v>
      </c>
      <c r="K1714" s="3" t="s">
        <v>33</v>
      </c>
      <c r="L1714" s="3" t="s">
        <v>48</v>
      </c>
      <c r="M1714" s="8"/>
      <c r="N1714" s="11">
        <v>22.5</v>
      </c>
      <c r="O1714" s="3" t="s">
        <v>264</v>
      </c>
      <c r="P1714" s="3"/>
    </row>
    <row r="1715" spans="1:16" x14ac:dyDescent="0.3">
      <c r="A1715" s="3" t="s">
        <v>27</v>
      </c>
      <c r="B1715" s="3" t="s">
        <v>1665</v>
      </c>
      <c r="C1715" s="3" t="s">
        <v>240</v>
      </c>
      <c r="D1715" s="3" t="s">
        <v>1666</v>
      </c>
      <c r="E1715" s="3" t="s">
        <v>31</v>
      </c>
      <c r="F1715" s="3" t="b">
        <v>0</v>
      </c>
      <c r="G1715" s="3" t="s">
        <v>64</v>
      </c>
      <c r="H1715" s="6">
        <v>44954.335358796299</v>
      </c>
      <c r="I1715" s="3" t="b">
        <v>0</v>
      </c>
      <c r="J1715" s="3" t="b">
        <v>1</v>
      </c>
      <c r="K1715" s="3" t="s">
        <v>33</v>
      </c>
      <c r="L1715" s="3" t="s">
        <v>34</v>
      </c>
      <c r="M1715" s="8">
        <v>152650</v>
      </c>
      <c r="N1715" s="11"/>
      <c r="O1715" s="3" t="s">
        <v>784</v>
      </c>
      <c r="P1715" s="3" t="s">
        <v>1667</v>
      </c>
    </row>
    <row r="1716" spans="1:16" x14ac:dyDescent="0.3">
      <c r="A1716" s="3" t="s">
        <v>27</v>
      </c>
      <c r="B1716" s="3" t="s">
        <v>1699</v>
      </c>
      <c r="C1716" s="3" t="s">
        <v>800</v>
      </c>
      <c r="D1716" s="3" t="s">
        <v>1113</v>
      </c>
      <c r="E1716" s="3" t="s">
        <v>31</v>
      </c>
      <c r="F1716" s="3" t="b">
        <v>0</v>
      </c>
      <c r="G1716" s="3" t="s">
        <v>58</v>
      </c>
      <c r="H1716" s="6">
        <v>44928.709236111114</v>
      </c>
      <c r="I1716" s="3" t="b">
        <v>0</v>
      </c>
      <c r="J1716" s="3" t="b">
        <v>1</v>
      </c>
      <c r="K1716" s="3" t="s">
        <v>33</v>
      </c>
      <c r="L1716" s="3" t="s">
        <v>34</v>
      </c>
      <c r="M1716" s="8">
        <v>101950</v>
      </c>
      <c r="N1716" s="11"/>
      <c r="O1716" s="3" t="s">
        <v>351</v>
      </c>
      <c r="P1716" s="3" t="s">
        <v>1700</v>
      </c>
    </row>
    <row r="1717" spans="1:16" x14ac:dyDescent="0.3">
      <c r="A1717" s="3" t="s">
        <v>27</v>
      </c>
      <c r="B1717" s="3" t="s">
        <v>1703</v>
      </c>
      <c r="C1717" s="3" t="s">
        <v>362</v>
      </c>
      <c r="D1717" s="3" t="s">
        <v>76</v>
      </c>
      <c r="E1717" s="3" t="s">
        <v>31</v>
      </c>
      <c r="F1717" s="3" t="b">
        <v>0</v>
      </c>
      <c r="G1717" s="3" t="s">
        <v>64</v>
      </c>
      <c r="H1717" s="6">
        <v>44931.668715277781</v>
      </c>
      <c r="I1717" s="3" t="b">
        <v>0</v>
      </c>
      <c r="J1717" s="3" t="b">
        <v>1</v>
      </c>
      <c r="K1717" s="3" t="s">
        <v>33</v>
      </c>
      <c r="L1717" s="3" t="s">
        <v>34</v>
      </c>
      <c r="M1717" s="8">
        <v>130000</v>
      </c>
      <c r="N1717" s="11"/>
      <c r="O1717" s="3" t="s">
        <v>1704</v>
      </c>
      <c r="P1717" s="3" t="s">
        <v>1705</v>
      </c>
    </row>
    <row r="1718" spans="1:16" x14ac:dyDescent="0.3">
      <c r="A1718" s="3" t="s">
        <v>27</v>
      </c>
      <c r="B1718" s="3" t="s">
        <v>525</v>
      </c>
      <c r="C1718" s="3" t="s">
        <v>1159</v>
      </c>
      <c r="D1718" s="3" t="s">
        <v>53</v>
      </c>
      <c r="E1718" s="3" t="s">
        <v>31</v>
      </c>
      <c r="F1718" s="3" t="b">
        <v>0</v>
      </c>
      <c r="G1718" s="3" t="s">
        <v>64</v>
      </c>
      <c r="H1718" s="6">
        <v>44942.596967592603</v>
      </c>
      <c r="I1718" s="3" t="b">
        <v>0</v>
      </c>
      <c r="J1718" s="3" t="b">
        <v>0</v>
      </c>
      <c r="K1718" s="3" t="s">
        <v>33</v>
      </c>
      <c r="L1718" s="3" t="s">
        <v>34</v>
      </c>
      <c r="M1718" s="8">
        <v>110000</v>
      </c>
      <c r="N1718" s="11"/>
      <c r="O1718" s="3" t="s">
        <v>1711</v>
      </c>
      <c r="P1718" s="3" t="s">
        <v>1712</v>
      </c>
    </row>
    <row r="1719" spans="1:16" x14ac:dyDescent="0.3">
      <c r="A1719" s="3" t="s">
        <v>27</v>
      </c>
      <c r="B1719" s="3" t="s">
        <v>27</v>
      </c>
      <c r="C1719" s="3" t="s">
        <v>87</v>
      </c>
      <c r="D1719" s="3" t="s">
        <v>76</v>
      </c>
      <c r="E1719" s="3" t="s">
        <v>31</v>
      </c>
      <c r="F1719" s="3" t="b">
        <v>1</v>
      </c>
      <c r="G1719" s="3" t="s">
        <v>58</v>
      </c>
      <c r="H1719" s="6">
        <v>44946.057152777779</v>
      </c>
      <c r="I1719" s="3" t="b">
        <v>0</v>
      </c>
      <c r="J1719" s="3" t="b">
        <v>1</v>
      </c>
      <c r="K1719" s="3" t="s">
        <v>33</v>
      </c>
      <c r="L1719" s="3" t="s">
        <v>34</v>
      </c>
      <c r="M1719" s="8">
        <v>127390</v>
      </c>
      <c r="N1719" s="11"/>
      <c r="O1719" s="3" t="s">
        <v>1714</v>
      </c>
      <c r="P1719" s="3" t="s">
        <v>1715</v>
      </c>
    </row>
    <row r="1720" spans="1:16" x14ac:dyDescent="0.3">
      <c r="A1720" s="3" t="s">
        <v>27</v>
      </c>
      <c r="B1720" s="3" t="s">
        <v>1727</v>
      </c>
      <c r="C1720" s="3" t="s">
        <v>87</v>
      </c>
      <c r="D1720" s="3" t="s">
        <v>76</v>
      </c>
      <c r="E1720" s="3" t="s">
        <v>133</v>
      </c>
      <c r="F1720" s="3" t="b">
        <v>1</v>
      </c>
      <c r="G1720" s="3" t="s">
        <v>84</v>
      </c>
      <c r="H1720" s="6">
        <v>44951.878530092603</v>
      </c>
      <c r="I1720" s="3" t="b">
        <v>0</v>
      </c>
      <c r="J1720" s="3" t="b">
        <v>1</v>
      </c>
      <c r="K1720" s="3" t="s">
        <v>33</v>
      </c>
      <c r="L1720" s="3" t="s">
        <v>48</v>
      </c>
      <c r="M1720" s="8"/>
      <c r="N1720" s="11">
        <v>42.709999084472663</v>
      </c>
      <c r="O1720" s="3" t="s">
        <v>1728</v>
      </c>
      <c r="P1720" s="3" t="s">
        <v>1729</v>
      </c>
    </row>
    <row r="1721" spans="1:16" x14ac:dyDescent="0.3">
      <c r="A1721" s="3" t="s">
        <v>27</v>
      </c>
      <c r="B1721" s="3" t="s">
        <v>27</v>
      </c>
      <c r="C1721" s="3" t="s">
        <v>87</v>
      </c>
      <c r="D1721" s="3" t="s">
        <v>76</v>
      </c>
      <c r="E1721" s="3" t="s">
        <v>31</v>
      </c>
      <c r="F1721" s="3" t="b">
        <v>1</v>
      </c>
      <c r="G1721" s="3" t="s">
        <v>58</v>
      </c>
      <c r="H1721" s="6">
        <v>44936.044872685183</v>
      </c>
      <c r="I1721" s="3" t="b">
        <v>0</v>
      </c>
      <c r="J1721" s="3" t="b">
        <v>1</v>
      </c>
      <c r="K1721" s="3" t="s">
        <v>33</v>
      </c>
      <c r="L1721" s="3" t="s">
        <v>34</v>
      </c>
      <c r="M1721" s="8">
        <v>135233.34375</v>
      </c>
      <c r="N1721" s="11"/>
      <c r="O1721" s="3" t="s">
        <v>1736</v>
      </c>
      <c r="P1721" s="3" t="s">
        <v>1737</v>
      </c>
    </row>
    <row r="1722" spans="1:16" x14ac:dyDescent="0.3">
      <c r="A1722" s="3" t="s">
        <v>27</v>
      </c>
      <c r="B1722" s="3" t="s">
        <v>27</v>
      </c>
      <c r="C1722" s="3" t="s">
        <v>1749</v>
      </c>
      <c r="D1722" s="3" t="s">
        <v>76</v>
      </c>
      <c r="E1722" s="3" t="s">
        <v>31</v>
      </c>
      <c r="F1722" s="3" t="b">
        <v>0</v>
      </c>
      <c r="G1722" s="3" t="s">
        <v>64</v>
      </c>
      <c r="H1722" s="6">
        <v>44928.044409722221</v>
      </c>
      <c r="I1722" s="3" t="b">
        <v>0</v>
      </c>
      <c r="J1722" s="3" t="b">
        <v>1</v>
      </c>
      <c r="K1722" s="3" t="s">
        <v>33</v>
      </c>
      <c r="L1722" s="3" t="s">
        <v>34</v>
      </c>
      <c r="M1722" s="8">
        <v>123500</v>
      </c>
      <c r="N1722" s="11"/>
      <c r="O1722" s="3" t="s">
        <v>1750</v>
      </c>
      <c r="P1722" s="3" t="s">
        <v>1751</v>
      </c>
    </row>
    <row r="1723" spans="1:16" x14ac:dyDescent="0.3">
      <c r="A1723" s="3" t="s">
        <v>27</v>
      </c>
      <c r="B1723" s="3" t="s">
        <v>1752</v>
      </c>
      <c r="C1723" s="3" t="s">
        <v>314</v>
      </c>
      <c r="D1723" s="3" t="s">
        <v>93</v>
      </c>
      <c r="E1723" s="3" t="s">
        <v>31</v>
      </c>
      <c r="F1723" s="3" t="b">
        <v>0</v>
      </c>
      <c r="G1723" s="3" t="s">
        <v>140</v>
      </c>
      <c r="H1723" s="6">
        <v>44944.408101851863</v>
      </c>
      <c r="I1723" s="3" t="b">
        <v>0</v>
      </c>
      <c r="J1723" s="3" t="b">
        <v>0</v>
      </c>
      <c r="K1723" s="3" t="s">
        <v>33</v>
      </c>
      <c r="L1723" s="3" t="s">
        <v>34</v>
      </c>
      <c r="M1723" s="8">
        <v>90000</v>
      </c>
      <c r="N1723" s="11"/>
      <c r="O1723" s="3" t="s">
        <v>1084</v>
      </c>
      <c r="P1723" s="3" t="s">
        <v>1753</v>
      </c>
    </row>
    <row r="1724" spans="1:16" x14ac:dyDescent="0.3">
      <c r="A1724" s="3" t="s">
        <v>27</v>
      </c>
      <c r="B1724" s="3" t="s">
        <v>1760</v>
      </c>
      <c r="C1724" s="3" t="s">
        <v>75</v>
      </c>
      <c r="D1724" s="3" t="s">
        <v>93</v>
      </c>
      <c r="E1724" s="3" t="s">
        <v>31</v>
      </c>
      <c r="F1724" s="3" t="b">
        <v>0</v>
      </c>
      <c r="G1724" s="3" t="s">
        <v>84</v>
      </c>
      <c r="H1724" s="6">
        <v>44957.3362037037</v>
      </c>
      <c r="I1724" s="3" t="b">
        <v>0</v>
      </c>
      <c r="J1724" s="3" t="b">
        <v>0</v>
      </c>
      <c r="K1724" s="3" t="s">
        <v>33</v>
      </c>
      <c r="L1724" s="3" t="s">
        <v>34</v>
      </c>
      <c r="M1724" s="8">
        <v>90000</v>
      </c>
      <c r="N1724" s="11"/>
      <c r="O1724" s="3" t="s">
        <v>277</v>
      </c>
      <c r="P1724" s="3" t="s">
        <v>1761</v>
      </c>
    </row>
    <row r="1725" spans="1:16" x14ac:dyDescent="0.3">
      <c r="A1725" s="3" t="s">
        <v>27</v>
      </c>
      <c r="B1725" s="3" t="s">
        <v>1767</v>
      </c>
      <c r="C1725" s="3" t="s">
        <v>896</v>
      </c>
      <c r="D1725" s="3" t="s">
        <v>41</v>
      </c>
      <c r="E1725" s="3" t="s">
        <v>31</v>
      </c>
      <c r="F1725" s="3" t="b">
        <v>0</v>
      </c>
      <c r="G1725" s="3" t="s">
        <v>897</v>
      </c>
      <c r="H1725" s="6">
        <v>44951.077604166669</v>
      </c>
      <c r="I1725" s="3" t="b">
        <v>0</v>
      </c>
      <c r="J1725" s="3" t="b">
        <v>0</v>
      </c>
      <c r="K1725" s="3" t="s">
        <v>897</v>
      </c>
      <c r="L1725" s="3" t="s">
        <v>34</v>
      </c>
      <c r="M1725" s="8">
        <v>64821.5</v>
      </c>
      <c r="N1725" s="11"/>
      <c r="O1725" s="3" t="s">
        <v>1768</v>
      </c>
      <c r="P1725" s="3" t="s">
        <v>1769</v>
      </c>
    </row>
    <row r="1726" spans="1:16" x14ac:dyDescent="0.3">
      <c r="A1726" s="3" t="s">
        <v>27</v>
      </c>
      <c r="B1726" s="3" t="s">
        <v>27</v>
      </c>
      <c r="C1726" s="3" t="s">
        <v>87</v>
      </c>
      <c r="D1726" s="3" t="s">
        <v>30</v>
      </c>
      <c r="E1726" s="3" t="s">
        <v>31</v>
      </c>
      <c r="F1726" s="3" t="b">
        <v>1</v>
      </c>
      <c r="G1726" s="3" t="s">
        <v>110</v>
      </c>
      <c r="H1726" s="6">
        <v>44937.001377314817</v>
      </c>
      <c r="I1726" s="3" t="b">
        <v>0</v>
      </c>
      <c r="J1726" s="3" t="b">
        <v>1</v>
      </c>
      <c r="K1726" s="3" t="s">
        <v>110</v>
      </c>
      <c r="L1726" s="3" t="s">
        <v>34</v>
      </c>
      <c r="M1726" s="8">
        <v>114500</v>
      </c>
      <c r="N1726" s="11"/>
      <c r="O1726" s="3" t="s">
        <v>1774</v>
      </c>
      <c r="P1726" s="3" t="s">
        <v>1775</v>
      </c>
    </row>
    <row r="1727" spans="1:16" x14ac:dyDescent="0.3">
      <c r="A1727" s="3" t="s">
        <v>27</v>
      </c>
      <c r="B1727" s="3" t="s">
        <v>1783</v>
      </c>
      <c r="C1727" s="3" t="s">
        <v>87</v>
      </c>
      <c r="D1727" s="3" t="s">
        <v>53</v>
      </c>
      <c r="E1727" s="3" t="s">
        <v>31</v>
      </c>
      <c r="F1727" s="3" t="b">
        <v>1</v>
      </c>
      <c r="G1727" s="3" t="s">
        <v>140</v>
      </c>
      <c r="H1727" s="6">
        <v>44938.680671296293</v>
      </c>
      <c r="I1727" s="3" t="b">
        <v>0</v>
      </c>
      <c r="J1727" s="3" t="b">
        <v>0</v>
      </c>
      <c r="K1727" s="3" t="s">
        <v>33</v>
      </c>
      <c r="L1727" s="3" t="s">
        <v>48</v>
      </c>
      <c r="M1727" s="8"/>
      <c r="N1727" s="11">
        <v>47.5</v>
      </c>
      <c r="O1727" s="3" t="s">
        <v>1784</v>
      </c>
      <c r="P1727" s="3" t="s">
        <v>1785</v>
      </c>
    </row>
    <row r="1728" spans="1:16" x14ac:dyDescent="0.3">
      <c r="A1728" s="3" t="s">
        <v>27</v>
      </c>
      <c r="B1728" s="3" t="s">
        <v>27</v>
      </c>
      <c r="C1728" s="3" t="s">
        <v>1786</v>
      </c>
      <c r="D1728" s="3" t="s">
        <v>30</v>
      </c>
      <c r="E1728" s="3" t="s">
        <v>133</v>
      </c>
      <c r="F1728" s="3" t="b">
        <v>0</v>
      </c>
      <c r="G1728" s="3" t="s">
        <v>64</v>
      </c>
      <c r="H1728" s="6">
        <v>44953.294722222221</v>
      </c>
      <c r="I1728" s="3" t="b">
        <v>0</v>
      </c>
      <c r="J1728" s="3" t="b">
        <v>0</v>
      </c>
      <c r="K1728" s="3" t="s">
        <v>33</v>
      </c>
      <c r="L1728" s="3" t="s">
        <v>48</v>
      </c>
      <c r="M1728" s="8"/>
      <c r="N1728" s="11">
        <v>60</v>
      </c>
      <c r="O1728" s="3" t="s">
        <v>114</v>
      </c>
      <c r="P1728" s="3" t="s">
        <v>1787</v>
      </c>
    </row>
    <row r="1729" spans="1:16" x14ac:dyDescent="0.3">
      <c r="A1729" s="3" t="s">
        <v>27</v>
      </c>
      <c r="B1729" s="3" t="s">
        <v>1791</v>
      </c>
      <c r="C1729" s="3" t="s">
        <v>57</v>
      </c>
      <c r="D1729" s="3" t="s">
        <v>188</v>
      </c>
      <c r="E1729" s="3" t="s">
        <v>133</v>
      </c>
      <c r="F1729" s="3" t="b">
        <v>0</v>
      </c>
      <c r="G1729" s="3" t="s">
        <v>58</v>
      </c>
      <c r="H1729" s="6">
        <v>44929.98133101852</v>
      </c>
      <c r="I1729" s="3" t="b">
        <v>0</v>
      </c>
      <c r="J1729" s="3" t="b">
        <v>0</v>
      </c>
      <c r="K1729" s="3" t="s">
        <v>33</v>
      </c>
      <c r="L1729" s="3" t="s">
        <v>48</v>
      </c>
      <c r="M1729" s="8"/>
      <c r="N1729" s="11">
        <v>60</v>
      </c>
      <c r="O1729" s="3" t="s">
        <v>1792</v>
      </c>
      <c r="P1729" s="3" t="s">
        <v>1793</v>
      </c>
    </row>
    <row r="1730" spans="1:16" x14ac:dyDescent="0.3">
      <c r="A1730" s="3" t="s">
        <v>27</v>
      </c>
      <c r="B1730" s="3" t="s">
        <v>1801</v>
      </c>
      <c r="C1730" s="3" t="s">
        <v>280</v>
      </c>
      <c r="D1730" s="3" t="s">
        <v>287</v>
      </c>
      <c r="E1730" s="3" t="s">
        <v>1294</v>
      </c>
      <c r="F1730" s="3" t="b">
        <v>0</v>
      </c>
      <c r="G1730" s="3" t="s">
        <v>84</v>
      </c>
      <c r="H1730" s="6">
        <v>44942.988020833327</v>
      </c>
      <c r="I1730" s="3" t="b">
        <v>0</v>
      </c>
      <c r="J1730" s="3" t="b">
        <v>0</v>
      </c>
      <c r="K1730" s="3" t="s">
        <v>33</v>
      </c>
      <c r="L1730" s="3" t="s">
        <v>34</v>
      </c>
      <c r="M1730" s="8">
        <v>63977</v>
      </c>
      <c r="N1730" s="11"/>
      <c r="O1730" s="3" t="s">
        <v>1802</v>
      </c>
      <c r="P1730" s="3"/>
    </row>
    <row r="1731" spans="1:16" x14ac:dyDescent="0.3">
      <c r="A1731" s="3" t="s">
        <v>27</v>
      </c>
      <c r="B1731" s="3" t="s">
        <v>1825</v>
      </c>
      <c r="C1731" s="3" t="s">
        <v>164</v>
      </c>
      <c r="D1731" s="3" t="s">
        <v>76</v>
      </c>
      <c r="E1731" s="3" t="s">
        <v>31</v>
      </c>
      <c r="F1731" s="3" t="b">
        <v>0</v>
      </c>
      <c r="G1731" s="3" t="s">
        <v>64</v>
      </c>
      <c r="H1731" s="6">
        <v>44936.846909722219</v>
      </c>
      <c r="I1731" s="3" t="b">
        <v>0</v>
      </c>
      <c r="J1731" s="3" t="b">
        <v>1</v>
      </c>
      <c r="K1731" s="3" t="s">
        <v>33</v>
      </c>
      <c r="L1731" s="3" t="s">
        <v>34</v>
      </c>
      <c r="M1731" s="8">
        <v>112500</v>
      </c>
      <c r="N1731" s="11"/>
      <c r="O1731" s="3" t="s">
        <v>1826</v>
      </c>
      <c r="P1731" s="3" t="s">
        <v>1827</v>
      </c>
    </row>
    <row r="1732" spans="1:16" x14ac:dyDescent="0.3">
      <c r="A1732" s="3" t="s">
        <v>27</v>
      </c>
      <c r="B1732" s="3" t="s">
        <v>1832</v>
      </c>
      <c r="C1732" s="3" t="s">
        <v>87</v>
      </c>
      <c r="D1732" s="3" t="s">
        <v>30</v>
      </c>
      <c r="E1732" s="3" t="s">
        <v>133</v>
      </c>
      <c r="F1732" s="3" t="b">
        <v>1</v>
      </c>
      <c r="G1732" s="3" t="s">
        <v>84</v>
      </c>
      <c r="H1732" s="6">
        <v>44946.849409722221</v>
      </c>
      <c r="I1732" s="3" t="b">
        <v>0</v>
      </c>
      <c r="J1732" s="3" t="b">
        <v>0</v>
      </c>
      <c r="K1732" s="3" t="s">
        <v>33</v>
      </c>
      <c r="L1732" s="3" t="s">
        <v>48</v>
      </c>
      <c r="M1732" s="8"/>
      <c r="N1732" s="11">
        <v>93.5</v>
      </c>
      <c r="O1732" s="3" t="s">
        <v>1833</v>
      </c>
      <c r="P1732" s="3" t="s">
        <v>1834</v>
      </c>
    </row>
    <row r="1733" spans="1:16" x14ac:dyDescent="0.3">
      <c r="A1733" s="3" t="s">
        <v>27</v>
      </c>
      <c r="B1733" s="3" t="s">
        <v>27</v>
      </c>
      <c r="C1733" s="3" t="s">
        <v>87</v>
      </c>
      <c r="D1733" s="3" t="s">
        <v>1854</v>
      </c>
      <c r="E1733" s="3" t="s">
        <v>31</v>
      </c>
      <c r="F1733" s="3" t="b">
        <v>1</v>
      </c>
      <c r="G1733" s="3" t="s">
        <v>58</v>
      </c>
      <c r="H1733" s="6">
        <v>44936.514386574083</v>
      </c>
      <c r="I1733" s="3" t="b">
        <v>0</v>
      </c>
      <c r="J1733" s="3" t="b">
        <v>1</v>
      </c>
      <c r="K1733" s="3" t="s">
        <v>33</v>
      </c>
      <c r="L1733" s="3" t="s">
        <v>34</v>
      </c>
      <c r="M1733" s="8">
        <v>186000</v>
      </c>
      <c r="N1733" s="11"/>
      <c r="O1733" s="3" t="s">
        <v>1855</v>
      </c>
      <c r="P1733" s="3" t="s">
        <v>1856</v>
      </c>
    </row>
    <row r="1734" spans="1:16" x14ac:dyDescent="0.3">
      <c r="A1734" s="3" t="s">
        <v>27</v>
      </c>
      <c r="B1734" s="3" t="s">
        <v>1860</v>
      </c>
      <c r="C1734" s="3" t="s">
        <v>87</v>
      </c>
      <c r="D1734" s="3" t="s">
        <v>263</v>
      </c>
      <c r="E1734" s="3" t="s">
        <v>1861</v>
      </c>
      <c r="F1734" s="3" t="b">
        <v>1</v>
      </c>
      <c r="G1734" s="3" t="s">
        <v>58</v>
      </c>
      <c r="H1734" s="6">
        <v>44943.961898148147</v>
      </c>
      <c r="I1734" s="3" t="b">
        <v>0</v>
      </c>
      <c r="J1734" s="3" t="b">
        <v>0</v>
      </c>
      <c r="K1734" s="3" t="s">
        <v>33</v>
      </c>
      <c r="L1734" s="3" t="s">
        <v>48</v>
      </c>
      <c r="M1734" s="8"/>
      <c r="N1734" s="11">
        <v>25.5</v>
      </c>
      <c r="O1734" s="3" t="s">
        <v>264</v>
      </c>
      <c r="P1734" s="3"/>
    </row>
    <row r="1735" spans="1:16" x14ac:dyDescent="0.3">
      <c r="A1735" s="3" t="s">
        <v>27</v>
      </c>
      <c r="B1735" s="3" t="s">
        <v>27</v>
      </c>
      <c r="C1735" s="3" t="s">
        <v>1862</v>
      </c>
      <c r="D1735" s="3" t="s">
        <v>93</v>
      </c>
      <c r="E1735" s="3" t="s">
        <v>31</v>
      </c>
      <c r="F1735" s="3" t="b">
        <v>0</v>
      </c>
      <c r="G1735" s="3" t="s">
        <v>84</v>
      </c>
      <c r="H1735" s="6">
        <v>44933.335821759261</v>
      </c>
      <c r="I1735" s="3" t="b">
        <v>0</v>
      </c>
      <c r="J1735" s="3" t="b">
        <v>1</v>
      </c>
      <c r="K1735" s="3" t="s">
        <v>33</v>
      </c>
      <c r="L1735" s="3" t="s">
        <v>34</v>
      </c>
      <c r="M1735" s="8">
        <v>90000</v>
      </c>
      <c r="N1735" s="11"/>
      <c r="O1735" s="3" t="s">
        <v>689</v>
      </c>
      <c r="P1735" s="3" t="s">
        <v>1863</v>
      </c>
    </row>
    <row r="1736" spans="1:16" x14ac:dyDescent="0.3">
      <c r="A1736" s="3" t="s">
        <v>27</v>
      </c>
      <c r="B1736" s="3" t="s">
        <v>27</v>
      </c>
      <c r="C1736" s="3" t="s">
        <v>1628</v>
      </c>
      <c r="D1736" s="3" t="s">
        <v>1872</v>
      </c>
      <c r="E1736" s="3" t="s">
        <v>31</v>
      </c>
      <c r="F1736" s="3" t="b">
        <v>0</v>
      </c>
      <c r="G1736" s="3" t="s">
        <v>88</v>
      </c>
      <c r="H1736" s="6">
        <v>44929.982708333337</v>
      </c>
      <c r="I1736" s="3" t="b">
        <v>0</v>
      </c>
      <c r="J1736" s="3" t="b">
        <v>0</v>
      </c>
      <c r="K1736" s="3" t="s">
        <v>33</v>
      </c>
      <c r="L1736" s="3" t="s">
        <v>48</v>
      </c>
      <c r="M1736" s="8"/>
      <c r="N1736" s="11">
        <v>24</v>
      </c>
      <c r="O1736" s="3" t="s">
        <v>1873</v>
      </c>
      <c r="P1736" s="3" t="s">
        <v>1874</v>
      </c>
    </row>
    <row r="1737" spans="1:16" x14ac:dyDescent="0.3">
      <c r="A1737" s="3" t="s">
        <v>27</v>
      </c>
      <c r="B1737" s="3" t="s">
        <v>27</v>
      </c>
      <c r="C1737" s="3" t="s">
        <v>244</v>
      </c>
      <c r="D1737" s="3" t="s">
        <v>106</v>
      </c>
      <c r="E1737" s="3" t="s">
        <v>31</v>
      </c>
      <c r="F1737" s="3" t="b">
        <v>0</v>
      </c>
      <c r="G1737" s="3" t="s">
        <v>58</v>
      </c>
      <c r="H1737" s="6">
        <v>44943.112500000003</v>
      </c>
      <c r="I1737" s="3" t="b">
        <v>0</v>
      </c>
      <c r="J1737" s="3" t="b">
        <v>1</v>
      </c>
      <c r="K1737" s="3" t="s">
        <v>33</v>
      </c>
      <c r="L1737" s="3" t="s">
        <v>34</v>
      </c>
      <c r="M1737" s="8">
        <v>109450</v>
      </c>
      <c r="N1737" s="11"/>
      <c r="O1737" s="3" t="s">
        <v>1875</v>
      </c>
      <c r="P1737" s="3" t="s">
        <v>1876</v>
      </c>
    </row>
    <row r="1738" spans="1:16" x14ac:dyDescent="0.3">
      <c r="A1738" s="3" t="s">
        <v>27</v>
      </c>
      <c r="B1738" s="3" t="s">
        <v>1887</v>
      </c>
      <c r="C1738" s="3" t="s">
        <v>33</v>
      </c>
      <c r="D1738" s="3" t="s">
        <v>106</v>
      </c>
      <c r="E1738" s="3" t="s">
        <v>31</v>
      </c>
      <c r="F1738" s="3" t="b">
        <v>0</v>
      </c>
      <c r="G1738" s="3" t="s">
        <v>58</v>
      </c>
      <c r="H1738" s="6">
        <v>44933.877314814818</v>
      </c>
      <c r="I1738" s="3" t="b">
        <v>0</v>
      </c>
      <c r="J1738" s="3" t="b">
        <v>1</v>
      </c>
      <c r="K1738" s="3" t="s">
        <v>33</v>
      </c>
      <c r="L1738" s="3" t="s">
        <v>34</v>
      </c>
      <c r="M1738" s="8">
        <v>195500</v>
      </c>
      <c r="N1738" s="11"/>
      <c r="O1738" s="3" t="s">
        <v>1888</v>
      </c>
      <c r="P1738" s="3" t="s">
        <v>1889</v>
      </c>
    </row>
    <row r="1739" spans="1:16" x14ac:dyDescent="0.3">
      <c r="A1739" s="3" t="s">
        <v>27</v>
      </c>
      <c r="B1739" s="3" t="s">
        <v>1907</v>
      </c>
      <c r="C1739" s="3" t="s">
        <v>1908</v>
      </c>
      <c r="D1739" s="3" t="s">
        <v>1909</v>
      </c>
      <c r="E1739" s="3" t="s">
        <v>31</v>
      </c>
      <c r="F1739" s="3" t="b">
        <v>0</v>
      </c>
      <c r="G1739" s="3" t="s">
        <v>32</v>
      </c>
      <c r="H1739" s="6">
        <v>44929.981041666673</v>
      </c>
      <c r="I1739" s="3" t="b">
        <v>0</v>
      </c>
      <c r="J1739" s="3" t="b">
        <v>0</v>
      </c>
      <c r="K1739" s="3" t="s">
        <v>33</v>
      </c>
      <c r="L1739" s="3" t="s">
        <v>48</v>
      </c>
      <c r="M1739" s="8"/>
      <c r="N1739" s="11">
        <v>24</v>
      </c>
      <c r="O1739" s="3" t="s">
        <v>657</v>
      </c>
      <c r="P1739" s="3"/>
    </row>
    <row r="1740" spans="1:16" x14ac:dyDescent="0.3">
      <c r="A1740" s="3" t="s">
        <v>27</v>
      </c>
      <c r="B1740" s="3" t="s">
        <v>1920</v>
      </c>
      <c r="C1740" s="3" t="s">
        <v>896</v>
      </c>
      <c r="D1740" s="3" t="s">
        <v>41</v>
      </c>
      <c r="E1740" s="3" t="s">
        <v>31</v>
      </c>
      <c r="F1740" s="3" t="b">
        <v>0</v>
      </c>
      <c r="G1740" s="3" t="s">
        <v>897</v>
      </c>
      <c r="H1740" s="6">
        <v>44946.354502314818</v>
      </c>
      <c r="I1740" s="3" t="b">
        <v>0</v>
      </c>
      <c r="J1740" s="3" t="b">
        <v>0</v>
      </c>
      <c r="K1740" s="3" t="s">
        <v>897</v>
      </c>
      <c r="L1740" s="3" t="s">
        <v>34</v>
      </c>
      <c r="M1740" s="8">
        <v>79200</v>
      </c>
      <c r="N1740" s="11"/>
      <c r="O1740" s="3" t="s">
        <v>1921</v>
      </c>
      <c r="P1740" s="3" t="s">
        <v>1922</v>
      </c>
    </row>
    <row r="1741" spans="1:16" x14ac:dyDescent="0.3">
      <c r="A1741" s="3" t="s">
        <v>27</v>
      </c>
      <c r="B1741" s="3" t="s">
        <v>1520</v>
      </c>
      <c r="C1741" s="3" t="s">
        <v>33</v>
      </c>
      <c r="D1741" s="3" t="s">
        <v>41</v>
      </c>
      <c r="E1741" s="3" t="s">
        <v>31</v>
      </c>
      <c r="F1741" s="3" t="b">
        <v>0</v>
      </c>
      <c r="G1741" s="3" t="s">
        <v>58</v>
      </c>
      <c r="H1741" s="6">
        <v>44938.879432870373</v>
      </c>
      <c r="I1741" s="3" t="b">
        <v>1</v>
      </c>
      <c r="J1741" s="3" t="b">
        <v>1</v>
      </c>
      <c r="K1741" s="3" t="s">
        <v>33</v>
      </c>
      <c r="L1741" s="3" t="s">
        <v>34</v>
      </c>
      <c r="M1741" s="8">
        <v>187000</v>
      </c>
      <c r="N1741" s="11"/>
      <c r="O1741" s="3" t="s">
        <v>1941</v>
      </c>
      <c r="P1741" s="3" t="s">
        <v>1942</v>
      </c>
    </row>
    <row r="1742" spans="1:16" x14ac:dyDescent="0.3">
      <c r="A1742" s="3" t="s">
        <v>27</v>
      </c>
      <c r="B1742" s="3" t="s">
        <v>27</v>
      </c>
      <c r="C1742" s="3" t="s">
        <v>549</v>
      </c>
      <c r="D1742" s="3" t="s">
        <v>93</v>
      </c>
      <c r="E1742" s="3" t="s">
        <v>31</v>
      </c>
      <c r="F1742" s="3" t="b">
        <v>0</v>
      </c>
      <c r="G1742" s="3" t="s">
        <v>140</v>
      </c>
      <c r="H1742" s="6">
        <v>44951.444016203714</v>
      </c>
      <c r="I1742" s="3" t="b">
        <v>0</v>
      </c>
      <c r="J1742" s="3" t="b">
        <v>0</v>
      </c>
      <c r="K1742" s="3" t="s">
        <v>33</v>
      </c>
      <c r="L1742" s="3" t="s">
        <v>34</v>
      </c>
      <c r="M1742" s="8">
        <v>115000</v>
      </c>
      <c r="N1742" s="11"/>
      <c r="O1742" s="3" t="s">
        <v>175</v>
      </c>
      <c r="P1742" s="3" t="s">
        <v>1947</v>
      </c>
    </row>
    <row r="1743" spans="1:16" x14ac:dyDescent="0.3">
      <c r="A1743" s="3" t="s">
        <v>27</v>
      </c>
      <c r="B1743" s="3" t="s">
        <v>27</v>
      </c>
      <c r="C1743" s="3" t="s">
        <v>164</v>
      </c>
      <c r="D1743" s="3" t="s">
        <v>705</v>
      </c>
      <c r="E1743" s="3" t="s">
        <v>31</v>
      </c>
      <c r="F1743" s="3" t="b">
        <v>0</v>
      </c>
      <c r="G1743" s="3" t="s">
        <v>64</v>
      </c>
      <c r="H1743" s="6">
        <v>44949.543946759259</v>
      </c>
      <c r="I1743" s="3" t="b">
        <v>0</v>
      </c>
      <c r="J1743" s="3" t="b">
        <v>0</v>
      </c>
      <c r="K1743" s="3" t="s">
        <v>33</v>
      </c>
      <c r="L1743" s="3" t="s">
        <v>34</v>
      </c>
      <c r="M1743" s="8">
        <v>145000</v>
      </c>
      <c r="N1743" s="11"/>
      <c r="O1743" s="3" t="s">
        <v>196</v>
      </c>
      <c r="P1743" s="3" t="s">
        <v>1827</v>
      </c>
    </row>
    <row r="1744" spans="1:16" x14ac:dyDescent="0.3">
      <c r="A1744" s="3" t="s">
        <v>27</v>
      </c>
      <c r="B1744" s="3" t="s">
        <v>100</v>
      </c>
      <c r="C1744" s="3" t="s">
        <v>641</v>
      </c>
      <c r="D1744" s="3" t="s">
        <v>93</v>
      </c>
      <c r="E1744" s="3" t="s">
        <v>31</v>
      </c>
      <c r="F1744" s="3" t="b">
        <v>0</v>
      </c>
      <c r="G1744" s="3" t="s">
        <v>88</v>
      </c>
      <c r="H1744" s="6">
        <v>44935.337361111109</v>
      </c>
      <c r="I1744" s="3" t="b">
        <v>0</v>
      </c>
      <c r="J1744" s="3" t="b">
        <v>1</v>
      </c>
      <c r="K1744" s="3" t="s">
        <v>33</v>
      </c>
      <c r="L1744" s="3" t="s">
        <v>34</v>
      </c>
      <c r="M1744" s="8">
        <v>115000</v>
      </c>
      <c r="N1744" s="11"/>
      <c r="O1744" s="3" t="s">
        <v>351</v>
      </c>
      <c r="P1744" s="3" t="s">
        <v>347</v>
      </c>
    </row>
    <row r="1745" spans="1:16" x14ac:dyDescent="0.3">
      <c r="A1745" s="3" t="s">
        <v>27</v>
      </c>
      <c r="B1745" s="3" t="s">
        <v>27</v>
      </c>
      <c r="C1745" s="3" t="s">
        <v>87</v>
      </c>
      <c r="D1745" s="3" t="s">
        <v>76</v>
      </c>
      <c r="E1745" s="3" t="s">
        <v>31</v>
      </c>
      <c r="F1745" s="3" t="b">
        <v>1</v>
      </c>
      <c r="G1745" s="3" t="s">
        <v>110</v>
      </c>
      <c r="H1745" s="6">
        <v>44953.160682870373</v>
      </c>
      <c r="I1745" s="3" t="b">
        <v>0</v>
      </c>
      <c r="J1745" s="3" t="b">
        <v>1</v>
      </c>
      <c r="K1745" s="3" t="s">
        <v>110</v>
      </c>
      <c r="L1745" s="3" t="s">
        <v>34</v>
      </c>
      <c r="M1745" s="8">
        <v>157000</v>
      </c>
      <c r="N1745" s="11"/>
      <c r="O1745" s="3" t="s">
        <v>1965</v>
      </c>
      <c r="P1745" s="3" t="s">
        <v>1966</v>
      </c>
    </row>
    <row r="1746" spans="1:16" x14ac:dyDescent="0.3">
      <c r="A1746" s="3" t="s">
        <v>27</v>
      </c>
      <c r="B1746" s="3" t="s">
        <v>1972</v>
      </c>
      <c r="C1746" s="3" t="s">
        <v>882</v>
      </c>
      <c r="D1746" s="3" t="s">
        <v>287</v>
      </c>
      <c r="E1746" s="3" t="s">
        <v>31</v>
      </c>
      <c r="F1746" s="3" t="b">
        <v>0</v>
      </c>
      <c r="G1746" s="3" t="s">
        <v>110</v>
      </c>
      <c r="H1746" s="6">
        <v>44952.994085648148</v>
      </c>
      <c r="I1746" s="3" t="b">
        <v>0</v>
      </c>
      <c r="J1746" s="3" t="b">
        <v>0</v>
      </c>
      <c r="K1746" s="3" t="s">
        <v>110</v>
      </c>
      <c r="L1746" s="3" t="s">
        <v>34</v>
      </c>
      <c r="M1746" s="8">
        <v>59480</v>
      </c>
      <c r="N1746" s="11"/>
      <c r="O1746" s="3" t="s">
        <v>1973</v>
      </c>
      <c r="P1746" s="3"/>
    </row>
    <row r="1747" spans="1:16" x14ac:dyDescent="0.3">
      <c r="A1747" s="3" t="s">
        <v>27</v>
      </c>
      <c r="B1747" s="3" t="s">
        <v>519</v>
      </c>
      <c r="C1747" s="3" t="s">
        <v>164</v>
      </c>
      <c r="D1747" s="3" t="s">
        <v>30</v>
      </c>
      <c r="E1747" s="3" t="s">
        <v>31</v>
      </c>
      <c r="F1747" s="3" t="b">
        <v>0</v>
      </c>
      <c r="G1747" s="3" t="s">
        <v>64</v>
      </c>
      <c r="H1747" s="6">
        <v>44937.961076388892</v>
      </c>
      <c r="I1747" s="3" t="b">
        <v>0</v>
      </c>
      <c r="J1747" s="3" t="b">
        <v>1</v>
      </c>
      <c r="K1747" s="3" t="s">
        <v>33</v>
      </c>
      <c r="L1747" s="3" t="s">
        <v>34</v>
      </c>
      <c r="M1747" s="8">
        <v>205000</v>
      </c>
      <c r="N1747" s="11"/>
      <c r="O1747" s="3" t="s">
        <v>196</v>
      </c>
      <c r="P1747" s="3" t="s">
        <v>661</v>
      </c>
    </row>
    <row r="1748" spans="1:16" x14ac:dyDescent="0.3">
      <c r="A1748" s="3" t="s">
        <v>27</v>
      </c>
      <c r="B1748" s="3" t="s">
        <v>27</v>
      </c>
      <c r="C1748" s="3" t="s">
        <v>1933</v>
      </c>
      <c r="D1748" s="3" t="s">
        <v>867</v>
      </c>
      <c r="E1748" s="3" t="s">
        <v>31</v>
      </c>
      <c r="F1748" s="3" t="b">
        <v>0</v>
      </c>
      <c r="G1748" s="3" t="s">
        <v>64</v>
      </c>
      <c r="H1748" s="6">
        <v>44949.002326388887</v>
      </c>
      <c r="I1748" s="3" t="b">
        <v>0</v>
      </c>
      <c r="J1748" s="3" t="b">
        <v>0</v>
      </c>
      <c r="K1748" s="3" t="s">
        <v>33</v>
      </c>
      <c r="L1748" s="3" t="s">
        <v>34</v>
      </c>
      <c r="M1748" s="8">
        <v>158500</v>
      </c>
      <c r="N1748" s="11"/>
      <c r="O1748" s="3" t="s">
        <v>1986</v>
      </c>
      <c r="P1748" s="3" t="s">
        <v>1987</v>
      </c>
    </row>
    <row r="1749" spans="1:16" x14ac:dyDescent="0.3">
      <c r="A1749" s="3" t="s">
        <v>27</v>
      </c>
      <c r="B1749" s="3" t="s">
        <v>792</v>
      </c>
      <c r="C1749" s="3" t="s">
        <v>164</v>
      </c>
      <c r="D1749" s="3" t="s">
        <v>30</v>
      </c>
      <c r="E1749" s="3" t="s">
        <v>31</v>
      </c>
      <c r="F1749" s="3" t="b">
        <v>0</v>
      </c>
      <c r="G1749" s="3" t="s">
        <v>64</v>
      </c>
      <c r="H1749" s="6">
        <v>44945.763993055552</v>
      </c>
      <c r="I1749" s="3" t="b">
        <v>0</v>
      </c>
      <c r="J1749" s="3" t="b">
        <v>0</v>
      </c>
      <c r="K1749" s="3" t="s">
        <v>33</v>
      </c>
      <c r="L1749" s="3" t="s">
        <v>34</v>
      </c>
      <c r="M1749" s="8">
        <v>210000</v>
      </c>
      <c r="N1749" s="11"/>
      <c r="O1749" s="3" t="s">
        <v>196</v>
      </c>
      <c r="P1749" s="3" t="s">
        <v>661</v>
      </c>
    </row>
    <row r="1750" spans="1:16" x14ac:dyDescent="0.3">
      <c r="A1750" s="3" t="s">
        <v>27</v>
      </c>
      <c r="B1750" s="3" t="s">
        <v>27</v>
      </c>
      <c r="C1750" s="3" t="s">
        <v>1999</v>
      </c>
      <c r="D1750" s="3" t="s">
        <v>41</v>
      </c>
      <c r="E1750" s="3" t="s">
        <v>31</v>
      </c>
      <c r="F1750" s="3" t="b">
        <v>0</v>
      </c>
      <c r="G1750" s="3" t="s">
        <v>2000</v>
      </c>
      <c r="H1750" s="6">
        <v>44953.970208333332</v>
      </c>
      <c r="I1750" s="3" t="b">
        <v>0</v>
      </c>
      <c r="J1750" s="3" t="b">
        <v>0</v>
      </c>
      <c r="K1750" s="3" t="s">
        <v>2000</v>
      </c>
      <c r="L1750" s="3" t="s">
        <v>34</v>
      </c>
      <c r="M1750" s="8">
        <v>157500</v>
      </c>
      <c r="N1750" s="11"/>
      <c r="O1750" s="3" t="s">
        <v>2001</v>
      </c>
      <c r="P1750" s="3" t="s">
        <v>2002</v>
      </c>
    </row>
    <row r="1751" spans="1:16" x14ac:dyDescent="0.3">
      <c r="A1751" s="3" t="s">
        <v>27</v>
      </c>
      <c r="B1751" s="3" t="s">
        <v>2003</v>
      </c>
      <c r="C1751" s="3" t="s">
        <v>29</v>
      </c>
      <c r="D1751" s="3" t="s">
        <v>30</v>
      </c>
      <c r="E1751" s="3" t="s">
        <v>31</v>
      </c>
      <c r="F1751" s="3" t="b">
        <v>0</v>
      </c>
      <c r="G1751" s="3" t="s">
        <v>32</v>
      </c>
      <c r="H1751" s="6">
        <v>44937.264270833337</v>
      </c>
      <c r="I1751" s="3" t="b">
        <v>0</v>
      </c>
      <c r="J1751" s="3" t="b">
        <v>1</v>
      </c>
      <c r="K1751" s="3" t="s">
        <v>33</v>
      </c>
      <c r="L1751" s="3" t="s">
        <v>34</v>
      </c>
      <c r="M1751" s="8">
        <v>234500</v>
      </c>
      <c r="N1751" s="11"/>
      <c r="O1751" s="3" t="s">
        <v>35</v>
      </c>
      <c r="P1751" s="3" t="s">
        <v>2004</v>
      </c>
    </row>
    <row r="1752" spans="1:16" x14ac:dyDescent="0.3">
      <c r="A1752" s="3" t="s">
        <v>27</v>
      </c>
      <c r="B1752" s="3" t="s">
        <v>27</v>
      </c>
      <c r="C1752" s="3" t="s">
        <v>2012</v>
      </c>
      <c r="D1752" s="3" t="s">
        <v>2013</v>
      </c>
      <c r="E1752" s="3" t="s">
        <v>31</v>
      </c>
      <c r="F1752" s="3" t="b">
        <v>0</v>
      </c>
      <c r="G1752" s="3" t="s">
        <v>58</v>
      </c>
      <c r="H1752" s="6">
        <v>44947.015509259261</v>
      </c>
      <c r="I1752" s="3" t="b">
        <v>0</v>
      </c>
      <c r="J1752" s="3" t="b">
        <v>1</v>
      </c>
      <c r="K1752" s="3" t="s">
        <v>33</v>
      </c>
      <c r="L1752" s="3" t="s">
        <v>48</v>
      </c>
      <c r="M1752" s="8"/>
      <c r="N1752" s="11">
        <v>24</v>
      </c>
      <c r="O1752" s="3" t="s">
        <v>1445</v>
      </c>
      <c r="P1752" s="3" t="s">
        <v>2014</v>
      </c>
    </row>
    <row r="1753" spans="1:16" x14ac:dyDescent="0.3">
      <c r="A1753" s="3" t="s">
        <v>27</v>
      </c>
      <c r="B1753" s="3" t="s">
        <v>2015</v>
      </c>
      <c r="C1753" s="3" t="s">
        <v>87</v>
      </c>
      <c r="D1753" s="3" t="s">
        <v>30</v>
      </c>
      <c r="E1753" s="3" t="s">
        <v>31</v>
      </c>
      <c r="F1753" s="3" t="b">
        <v>1</v>
      </c>
      <c r="G1753" s="3" t="s">
        <v>84</v>
      </c>
      <c r="H1753" s="6">
        <v>44938.796944444453</v>
      </c>
      <c r="I1753" s="3" t="b">
        <v>0</v>
      </c>
      <c r="J1753" s="3" t="b">
        <v>1</v>
      </c>
      <c r="K1753" s="3" t="s">
        <v>33</v>
      </c>
      <c r="L1753" s="3" t="s">
        <v>34</v>
      </c>
      <c r="M1753" s="8">
        <v>157500</v>
      </c>
      <c r="N1753" s="11"/>
      <c r="O1753" s="3" t="s">
        <v>614</v>
      </c>
      <c r="P1753" s="3" t="s">
        <v>298</v>
      </c>
    </row>
    <row r="1754" spans="1:16" x14ac:dyDescent="0.3">
      <c r="A1754" s="3" t="s">
        <v>27</v>
      </c>
      <c r="B1754" s="3" t="s">
        <v>27</v>
      </c>
      <c r="C1754" s="3" t="s">
        <v>87</v>
      </c>
      <c r="D1754" s="3" t="s">
        <v>30</v>
      </c>
      <c r="E1754" s="3" t="s">
        <v>133</v>
      </c>
      <c r="F1754" s="3" t="b">
        <v>1</v>
      </c>
      <c r="G1754" s="3" t="s">
        <v>64</v>
      </c>
      <c r="H1754" s="6">
        <v>44949.877442129633</v>
      </c>
      <c r="I1754" s="3" t="b">
        <v>0</v>
      </c>
      <c r="J1754" s="3" t="b">
        <v>0</v>
      </c>
      <c r="K1754" s="3" t="s">
        <v>33</v>
      </c>
      <c r="L1754" s="3" t="s">
        <v>48</v>
      </c>
      <c r="M1754" s="8"/>
      <c r="N1754" s="11">
        <v>102.5</v>
      </c>
      <c r="O1754" s="3" t="s">
        <v>2019</v>
      </c>
      <c r="P1754" s="3" t="s">
        <v>347</v>
      </c>
    </row>
    <row r="1755" spans="1:16" x14ac:dyDescent="0.3">
      <c r="A1755" s="3" t="s">
        <v>27</v>
      </c>
      <c r="B1755" s="3" t="s">
        <v>2035</v>
      </c>
      <c r="C1755" s="3" t="s">
        <v>309</v>
      </c>
      <c r="D1755" s="3" t="s">
        <v>860</v>
      </c>
      <c r="E1755" s="3" t="s">
        <v>31</v>
      </c>
      <c r="F1755" s="3" t="b">
        <v>0</v>
      </c>
      <c r="G1755" s="3" t="s">
        <v>32</v>
      </c>
      <c r="H1755" s="6">
        <v>44930.377951388888</v>
      </c>
      <c r="I1755" s="3" t="b">
        <v>0</v>
      </c>
      <c r="J1755" s="3" t="b">
        <v>1</v>
      </c>
      <c r="K1755" s="3" t="s">
        <v>33</v>
      </c>
      <c r="L1755" s="3" t="s">
        <v>34</v>
      </c>
      <c r="M1755" s="8">
        <v>255000</v>
      </c>
      <c r="N1755" s="11"/>
      <c r="O1755" s="3" t="s">
        <v>2036</v>
      </c>
      <c r="P1755" s="3" t="s">
        <v>2037</v>
      </c>
    </row>
    <row r="1756" spans="1:16" x14ac:dyDescent="0.3">
      <c r="A1756" s="3" t="s">
        <v>27</v>
      </c>
      <c r="B1756" s="3" t="s">
        <v>2038</v>
      </c>
      <c r="C1756" s="3" t="s">
        <v>2039</v>
      </c>
      <c r="D1756" s="3" t="s">
        <v>41</v>
      </c>
      <c r="E1756" s="3" t="s">
        <v>31</v>
      </c>
      <c r="F1756" s="3" t="b">
        <v>0</v>
      </c>
      <c r="G1756" s="3" t="s">
        <v>651</v>
      </c>
      <c r="H1756" s="6">
        <v>44951.826944444438</v>
      </c>
      <c r="I1756" s="3" t="b">
        <v>0</v>
      </c>
      <c r="J1756" s="3" t="b">
        <v>0</v>
      </c>
      <c r="K1756" s="3" t="s">
        <v>651</v>
      </c>
      <c r="L1756" s="3" t="s">
        <v>34</v>
      </c>
      <c r="M1756" s="8">
        <v>89100</v>
      </c>
      <c r="N1756" s="11"/>
      <c r="O1756" s="3" t="s">
        <v>2040</v>
      </c>
      <c r="P1756" s="3" t="s">
        <v>374</v>
      </c>
    </row>
    <row r="1757" spans="1:16" x14ac:dyDescent="0.3">
      <c r="A1757" s="3" t="s">
        <v>27</v>
      </c>
      <c r="B1757" s="3" t="s">
        <v>674</v>
      </c>
      <c r="C1757" s="3" t="s">
        <v>565</v>
      </c>
      <c r="D1757" s="3" t="s">
        <v>1194</v>
      </c>
      <c r="E1757" s="3" t="s">
        <v>31</v>
      </c>
      <c r="F1757" s="3" t="b">
        <v>0</v>
      </c>
      <c r="G1757" s="3" t="s">
        <v>140</v>
      </c>
      <c r="H1757" s="6">
        <v>44941.457337962973</v>
      </c>
      <c r="I1757" s="3" t="b">
        <v>0</v>
      </c>
      <c r="J1757" s="3" t="b">
        <v>0</v>
      </c>
      <c r="K1757" s="3" t="s">
        <v>33</v>
      </c>
      <c r="L1757" s="3" t="s">
        <v>34</v>
      </c>
      <c r="M1757" s="8">
        <v>169500</v>
      </c>
      <c r="N1757" s="11"/>
      <c r="O1757" s="3" t="s">
        <v>951</v>
      </c>
      <c r="P1757" s="3" t="s">
        <v>952</v>
      </c>
    </row>
    <row r="1758" spans="1:16" x14ac:dyDescent="0.3">
      <c r="A1758" s="3" t="s">
        <v>27</v>
      </c>
      <c r="B1758" s="3" t="s">
        <v>2058</v>
      </c>
      <c r="C1758" s="3" t="s">
        <v>87</v>
      </c>
      <c r="D1758" s="3" t="s">
        <v>30</v>
      </c>
      <c r="E1758" s="3" t="s">
        <v>31</v>
      </c>
      <c r="F1758" s="3" t="b">
        <v>1</v>
      </c>
      <c r="G1758" s="3" t="s">
        <v>84</v>
      </c>
      <c r="H1758" s="6">
        <v>44932.753981481481</v>
      </c>
      <c r="I1758" s="3" t="b">
        <v>0</v>
      </c>
      <c r="J1758" s="3" t="b">
        <v>0</v>
      </c>
      <c r="K1758" s="3" t="s">
        <v>33</v>
      </c>
      <c r="L1758" s="3" t="s">
        <v>34</v>
      </c>
      <c r="M1758" s="8">
        <v>200000</v>
      </c>
      <c r="N1758" s="11"/>
      <c r="O1758" s="3" t="s">
        <v>2059</v>
      </c>
      <c r="P1758" s="3"/>
    </row>
    <row r="1759" spans="1:16" x14ac:dyDescent="0.3">
      <c r="A1759" s="3" t="s">
        <v>27</v>
      </c>
      <c r="B1759" s="3" t="s">
        <v>27</v>
      </c>
      <c r="C1759" s="3" t="s">
        <v>2088</v>
      </c>
      <c r="D1759" s="3" t="s">
        <v>2089</v>
      </c>
      <c r="E1759" s="3" t="s">
        <v>31</v>
      </c>
      <c r="F1759" s="3" t="b">
        <v>0</v>
      </c>
      <c r="G1759" s="3" t="s">
        <v>110</v>
      </c>
      <c r="H1759" s="6">
        <v>44956.712673611109</v>
      </c>
      <c r="I1759" s="3" t="b">
        <v>0</v>
      </c>
      <c r="J1759" s="3" t="b">
        <v>0</v>
      </c>
      <c r="K1759" s="3" t="s">
        <v>110</v>
      </c>
      <c r="L1759" s="3" t="s">
        <v>34</v>
      </c>
      <c r="M1759" s="8">
        <v>84692</v>
      </c>
      <c r="N1759" s="11"/>
      <c r="O1759" s="3" t="s">
        <v>2090</v>
      </c>
      <c r="P1759" s="3"/>
    </row>
    <row r="1760" spans="1:16" x14ac:dyDescent="0.3">
      <c r="A1760" s="3" t="s">
        <v>27</v>
      </c>
      <c r="B1760" s="3" t="s">
        <v>2091</v>
      </c>
      <c r="C1760" s="3" t="s">
        <v>75</v>
      </c>
      <c r="D1760" s="3" t="s">
        <v>76</v>
      </c>
      <c r="E1760" s="3" t="s">
        <v>31</v>
      </c>
      <c r="F1760" s="3" t="b">
        <v>0</v>
      </c>
      <c r="G1760" s="3" t="s">
        <v>84</v>
      </c>
      <c r="H1760" s="6">
        <v>44950.128611111111</v>
      </c>
      <c r="I1760" s="3" t="b">
        <v>0</v>
      </c>
      <c r="J1760" s="3" t="b">
        <v>0</v>
      </c>
      <c r="K1760" s="3" t="s">
        <v>33</v>
      </c>
      <c r="L1760" s="3" t="s">
        <v>48</v>
      </c>
      <c r="M1760" s="8"/>
      <c r="N1760" s="11">
        <v>65</v>
      </c>
      <c r="O1760" s="3" t="s">
        <v>2092</v>
      </c>
      <c r="P1760" s="3" t="s">
        <v>979</v>
      </c>
    </row>
    <row r="1761" spans="1:16" x14ac:dyDescent="0.3">
      <c r="A1761" s="3" t="s">
        <v>27</v>
      </c>
      <c r="B1761" s="3" t="s">
        <v>2093</v>
      </c>
      <c r="C1761" s="3" t="s">
        <v>2094</v>
      </c>
      <c r="D1761" s="3" t="s">
        <v>93</v>
      </c>
      <c r="E1761" s="3" t="s">
        <v>31</v>
      </c>
      <c r="F1761" s="3" t="b">
        <v>0</v>
      </c>
      <c r="G1761" s="3" t="s">
        <v>84</v>
      </c>
      <c r="H1761" s="6">
        <v>44939.338321759264</v>
      </c>
      <c r="I1761" s="3" t="b">
        <v>0</v>
      </c>
      <c r="J1761" s="3" t="b">
        <v>1</v>
      </c>
      <c r="K1761" s="3" t="s">
        <v>33</v>
      </c>
      <c r="L1761" s="3" t="s">
        <v>34</v>
      </c>
      <c r="M1761" s="8">
        <v>90000</v>
      </c>
      <c r="N1761" s="11"/>
      <c r="O1761" s="3" t="s">
        <v>2095</v>
      </c>
      <c r="P1761" s="3"/>
    </row>
    <row r="1762" spans="1:16" x14ac:dyDescent="0.3">
      <c r="A1762" s="3" t="s">
        <v>27</v>
      </c>
      <c r="B1762" s="3" t="s">
        <v>2096</v>
      </c>
      <c r="C1762" s="3" t="s">
        <v>305</v>
      </c>
      <c r="D1762" s="3" t="s">
        <v>2097</v>
      </c>
      <c r="E1762" s="3" t="s">
        <v>31</v>
      </c>
      <c r="F1762" s="3" t="b">
        <v>0</v>
      </c>
      <c r="G1762" s="3" t="s">
        <v>32</v>
      </c>
      <c r="H1762" s="6">
        <v>44929.981087962973</v>
      </c>
      <c r="I1762" s="3" t="b">
        <v>0</v>
      </c>
      <c r="J1762" s="3" t="b">
        <v>0</v>
      </c>
      <c r="K1762" s="3" t="s">
        <v>33</v>
      </c>
      <c r="L1762" s="3" t="s">
        <v>48</v>
      </c>
      <c r="M1762" s="8"/>
      <c r="N1762" s="11">
        <v>24</v>
      </c>
      <c r="O1762" s="3" t="s">
        <v>657</v>
      </c>
      <c r="P1762" s="3"/>
    </row>
    <row r="1763" spans="1:16" x14ac:dyDescent="0.3">
      <c r="A1763" s="3" t="s">
        <v>27</v>
      </c>
      <c r="B1763" s="3" t="s">
        <v>2098</v>
      </c>
      <c r="C1763" s="3" t="s">
        <v>321</v>
      </c>
      <c r="D1763" s="3" t="s">
        <v>1408</v>
      </c>
      <c r="E1763" s="3" t="s">
        <v>31</v>
      </c>
      <c r="F1763" s="3" t="b">
        <v>0</v>
      </c>
      <c r="G1763" s="3" t="s">
        <v>88</v>
      </c>
      <c r="H1763" s="6">
        <v>44929.982974537037</v>
      </c>
      <c r="I1763" s="3" t="b">
        <v>0</v>
      </c>
      <c r="J1763" s="3" t="b">
        <v>0</v>
      </c>
      <c r="K1763" s="3" t="s">
        <v>33</v>
      </c>
      <c r="L1763" s="3" t="s">
        <v>48</v>
      </c>
      <c r="M1763" s="8"/>
      <c r="N1763" s="11">
        <v>24</v>
      </c>
      <c r="O1763" s="3" t="s">
        <v>2099</v>
      </c>
      <c r="P1763" s="3" t="s">
        <v>2100</v>
      </c>
    </row>
    <row r="1764" spans="1:16" x14ac:dyDescent="0.3">
      <c r="A1764" s="3" t="s">
        <v>27</v>
      </c>
      <c r="B1764" s="3" t="s">
        <v>519</v>
      </c>
      <c r="C1764" s="3" t="s">
        <v>565</v>
      </c>
      <c r="D1764" s="3" t="s">
        <v>30</v>
      </c>
      <c r="E1764" s="3" t="s">
        <v>31</v>
      </c>
      <c r="F1764" s="3" t="b">
        <v>0</v>
      </c>
      <c r="G1764" s="3" t="s">
        <v>88</v>
      </c>
      <c r="H1764" s="6">
        <v>44956.671099537038</v>
      </c>
      <c r="I1764" s="3" t="b">
        <v>0</v>
      </c>
      <c r="J1764" s="3" t="b">
        <v>0</v>
      </c>
      <c r="K1764" s="3" t="s">
        <v>33</v>
      </c>
      <c r="L1764" s="3" t="s">
        <v>34</v>
      </c>
      <c r="M1764" s="8">
        <v>150000</v>
      </c>
      <c r="N1764" s="11"/>
      <c r="O1764" s="3" t="s">
        <v>1930</v>
      </c>
      <c r="P1764" s="3" t="s">
        <v>2104</v>
      </c>
    </row>
    <row r="1765" spans="1:16" x14ac:dyDescent="0.3">
      <c r="A1765" s="3" t="s">
        <v>27</v>
      </c>
      <c r="B1765" s="3" t="s">
        <v>2003</v>
      </c>
      <c r="C1765" s="3" t="s">
        <v>164</v>
      </c>
      <c r="D1765" s="3" t="s">
        <v>30</v>
      </c>
      <c r="E1765" s="3" t="s">
        <v>31</v>
      </c>
      <c r="F1765" s="3" t="b">
        <v>0</v>
      </c>
      <c r="G1765" s="3" t="s">
        <v>64</v>
      </c>
      <c r="H1765" s="6">
        <v>44945.847326388888</v>
      </c>
      <c r="I1765" s="3" t="b">
        <v>0</v>
      </c>
      <c r="J1765" s="3" t="b">
        <v>1</v>
      </c>
      <c r="K1765" s="3" t="s">
        <v>33</v>
      </c>
      <c r="L1765" s="3" t="s">
        <v>34</v>
      </c>
      <c r="M1765" s="8">
        <v>205000</v>
      </c>
      <c r="N1765" s="11"/>
      <c r="O1765" s="3" t="s">
        <v>196</v>
      </c>
      <c r="P1765" s="3" t="s">
        <v>841</v>
      </c>
    </row>
    <row r="1766" spans="1:16" x14ac:dyDescent="0.3">
      <c r="A1766" s="3" t="s">
        <v>27</v>
      </c>
      <c r="B1766" s="3" t="s">
        <v>2112</v>
      </c>
      <c r="C1766" s="3" t="s">
        <v>87</v>
      </c>
      <c r="D1766" s="3" t="s">
        <v>30</v>
      </c>
      <c r="E1766" s="3" t="s">
        <v>31</v>
      </c>
      <c r="F1766" s="3" t="b">
        <v>1</v>
      </c>
      <c r="G1766" s="3" t="s">
        <v>58</v>
      </c>
      <c r="H1766" s="6">
        <v>44952.796076388891</v>
      </c>
      <c r="I1766" s="3" t="b">
        <v>0</v>
      </c>
      <c r="J1766" s="3" t="b">
        <v>1</v>
      </c>
      <c r="K1766" s="3" t="s">
        <v>33</v>
      </c>
      <c r="L1766" s="3" t="s">
        <v>34</v>
      </c>
      <c r="M1766" s="8">
        <v>182500</v>
      </c>
      <c r="N1766" s="11"/>
      <c r="O1766" s="3" t="s">
        <v>2113</v>
      </c>
      <c r="P1766" s="3" t="s">
        <v>2114</v>
      </c>
    </row>
    <row r="1767" spans="1:16" x14ac:dyDescent="0.3">
      <c r="A1767" s="3" t="s">
        <v>27</v>
      </c>
      <c r="B1767" s="3" t="s">
        <v>27</v>
      </c>
      <c r="C1767" s="3" t="s">
        <v>87</v>
      </c>
      <c r="D1767" s="3" t="s">
        <v>30</v>
      </c>
      <c r="E1767" s="3" t="s">
        <v>31</v>
      </c>
      <c r="F1767" s="3" t="b">
        <v>1</v>
      </c>
      <c r="G1767" s="3" t="s">
        <v>84</v>
      </c>
      <c r="H1767" s="6">
        <v>44949.503877314812</v>
      </c>
      <c r="I1767" s="3" t="b">
        <v>0</v>
      </c>
      <c r="J1767" s="3" t="b">
        <v>1</v>
      </c>
      <c r="K1767" s="3" t="s">
        <v>33</v>
      </c>
      <c r="L1767" s="3" t="s">
        <v>34</v>
      </c>
      <c r="M1767" s="8">
        <v>160000</v>
      </c>
      <c r="N1767" s="11"/>
      <c r="O1767" s="3" t="s">
        <v>2134</v>
      </c>
      <c r="P1767" s="3" t="s">
        <v>2135</v>
      </c>
    </row>
    <row r="1768" spans="1:16" x14ac:dyDescent="0.3">
      <c r="A1768" s="3" t="s">
        <v>27</v>
      </c>
      <c r="B1768" s="3" t="s">
        <v>2155</v>
      </c>
      <c r="C1768" s="3" t="s">
        <v>87</v>
      </c>
      <c r="D1768" s="3" t="s">
        <v>30</v>
      </c>
      <c r="E1768" s="3" t="s">
        <v>31</v>
      </c>
      <c r="F1768" s="3" t="b">
        <v>1</v>
      </c>
      <c r="G1768" s="3" t="s">
        <v>58</v>
      </c>
      <c r="H1768" s="6">
        <v>44935.920011574082</v>
      </c>
      <c r="I1768" s="3" t="b">
        <v>0</v>
      </c>
      <c r="J1768" s="3" t="b">
        <v>0</v>
      </c>
      <c r="K1768" s="3" t="s">
        <v>33</v>
      </c>
      <c r="L1768" s="3" t="s">
        <v>34</v>
      </c>
      <c r="M1768" s="8">
        <v>150000</v>
      </c>
      <c r="N1768" s="11"/>
      <c r="O1768" s="3" t="s">
        <v>2156</v>
      </c>
      <c r="P1768" s="3" t="s">
        <v>932</v>
      </c>
    </row>
    <row r="1769" spans="1:16" x14ac:dyDescent="0.3">
      <c r="A1769" s="3" t="s">
        <v>27</v>
      </c>
      <c r="B1769" s="3" t="s">
        <v>27</v>
      </c>
      <c r="C1769" s="3" t="s">
        <v>549</v>
      </c>
      <c r="D1769" s="3" t="s">
        <v>1253</v>
      </c>
      <c r="E1769" s="3" t="s">
        <v>31</v>
      </c>
      <c r="F1769" s="3" t="b">
        <v>0</v>
      </c>
      <c r="G1769" s="3" t="s">
        <v>140</v>
      </c>
      <c r="H1769" s="6">
        <v>44927.012743055559</v>
      </c>
      <c r="I1769" s="3" t="b">
        <v>0</v>
      </c>
      <c r="J1769" s="3" t="b">
        <v>0</v>
      </c>
      <c r="K1769" s="3" t="s">
        <v>33</v>
      </c>
      <c r="L1769" s="3" t="s">
        <v>48</v>
      </c>
      <c r="M1769" s="8"/>
      <c r="N1769" s="11">
        <v>20</v>
      </c>
      <c r="O1769" s="3" t="s">
        <v>550</v>
      </c>
      <c r="P1769" s="3" t="s">
        <v>2161</v>
      </c>
    </row>
    <row r="1770" spans="1:16" x14ac:dyDescent="0.3">
      <c r="A1770" s="3" t="s">
        <v>27</v>
      </c>
      <c r="B1770" s="3" t="s">
        <v>519</v>
      </c>
      <c r="C1770" s="3" t="s">
        <v>87</v>
      </c>
      <c r="D1770" s="3" t="s">
        <v>30</v>
      </c>
      <c r="E1770" s="3" t="s">
        <v>31</v>
      </c>
      <c r="F1770" s="3" t="b">
        <v>1</v>
      </c>
      <c r="G1770" s="3" t="s">
        <v>110</v>
      </c>
      <c r="H1770" s="6">
        <v>44950.916979166657</v>
      </c>
      <c r="I1770" s="3" t="b">
        <v>0</v>
      </c>
      <c r="J1770" s="3" t="b">
        <v>0</v>
      </c>
      <c r="K1770" s="3" t="s">
        <v>110</v>
      </c>
      <c r="L1770" s="3" t="s">
        <v>34</v>
      </c>
      <c r="M1770" s="8">
        <v>180000</v>
      </c>
      <c r="N1770" s="11"/>
      <c r="O1770" s="3" t="s">
        <v>2167</v>
      </c>
      <c r="P1770" s="3" t="s">
        <v>347</v>
      </c>
    </row>
    <row r="1771" spans="1:16" x14ac:dyDescent="0.3">
      <c r="A1771" s="3" t="s">
        <v>27</v>
      </c>
      <c r="B1771" s="3" t="s">
        <v>2181</v>
      </c>
      <c r="C1771" s="3" t="s">
        <v>87</v>
      </c>
      <c r="D1771" s="3" t="s">
        <v>30</v>
      </c>
      <c r="E1771" s="3" t="s">
        <v>31</v>
      </c>
      <c r="F1771" s="3" t="b">
        <v>1</v>
      </c>
      <c r="G1771" s="3" t="s">
        <v>84</v>
      </c>
      <c r="H1771" s="6">
        <v>44939.588472222233</v>
      </c>
      <c r="I1771" s="3" t="b">
        <v>0</v>
      </c>
      <c r="J1771" s="3" t="b">
        <v>0</v>
      </c>
      <c r="K1771" s="3" t="s">
        <v>33</v>
      </c>
      <c r="L1771" s="3" t="s">
        <v>34</v>
      </c>
      <c r="M1771" s="8">
        <v>225000</v>
      </c>
      <c r="N1771" s="11"/>
      <c r="O1771" s="3" t="s">
        <v>299</v>
      </c>
      <c r="P1771" s="3" t="s">
        <v>979</v>
      </c>
    </row>
    <row r="1772" spans="1:16" x14ac:dyDescent="0.3">
      <c r="A1772" s="3" t="s">
        <v>27</v>
      </c>
      <c r="B1772" s="3" t="s">
        <v>2195</v>
      </c>
      <c r="C1772" s="3" t="s">
        <v>87</v>
      </c>
      <c r="D1772" s="3" t="s">
        <v>263</v>
      </c>
      <c r="E1772" s="3" t="s">
        <v>133</v>
      </c>
      <c r="F1772" s="3" t="b">
        <v>1</v>
      </c>
      <c r="G1772" s="3" t="s">
        <v>110</v>
      </c>
      <c r="H1772" s="6">
        <v>44957.523958333331</v>
      </c>
      <c r="I1772" s="3" t="b">
        <v>0</v>
      </c>
      <c r="J1772" s="3" t="b">
        <v>0</v>
      </c>
      <c r="K1772" s="3" t="s">
        <v>110</v>
      </c>
      <c r="L1772" s="3" t="s">
        <v>48</v>
      </c>
      <c r="M1772" s="8"/>
      <c r="N1772" s="11">
        <v>56.5</v>
      </c>
      <c r="O1772" s="3" t="s">
        <v>264</v>
      </c>
      <c r="P1772" s="3"/>
    </row>
    <row r="1773" spans="1:16" x14ac:dyDescent="0.3">
      <c r="A1773" s="3" t="s">
        <v>27</v>
      </c>
      <c r="B1773" s="3" t="s">
        <v>2196</v>
      </c>
      <c r="C1773" s="3" t="s">
        <v>2197</v>
      </c>
      <c r="D1773" s="3" t="s">
        <v>1253</v>
      </c>
      <c r="E1773" s="3" t="s">
        <v>31</v>
      </c>
      <c r="F1773" s="3" t="b">
        <v>0</v>
      </c>
      <c r="G1773" s="3" t="s">
        <v>1252</v>
      </c>
      <c r="H1773" s="6">
        <v>44929.994432870371</v>
      </c>
      <c r="I1773" s="3" t="b">
        <v>0</v>
      </c>
      <c r="J1773" s="3" t="b">
        <v>0</v>
      </c>
      <c r="K1773" s="3" t="s">
        <v>1252</v>
      </c>
      <c r="L1773" s="3" t="s">
        <v>48</v>
      </c>
      <c r="M1773" s="8"/>
      <c r="N1773" s="11">
        <v>20</v>
      </c>
      <c r="O1773" s="3" t="s">
        <v>2198</v>
      </c>
      <c r="P1773" s="3" t="s">
        <v>1255</v>
      </c>
    </row>
    <row r="1774" spans="1:16" x14ac:dyDescent="0.3">
      <c r="A1774" s="3" t="s">
        <v>27</v>
      </c>
      <c r="B1774" s="3" t="s">
        <v>27</v>
      </c>
      <c r="C1774" s="3" t="s">
        <v>87</v>
      </c>
      <c r="D1774" s="3" t="s">
        <v>30</v>
      </c>
      <c r="E1774" s="3" t="s">
        <v>31</v>
      </c>
      <c r="F1774" s="3" t="b">
        <v>1</v>
      </c>
      <c r="G1774" s="3" t="s">
        <v>110</v>
      </c>
      <c r="H1774" s="6">
        <v>44950.583506944437</v>
      </c>
      <c r="I1774" s="3" t="b">
        <v>0</v>
      </c>
      <c r="J1774" s="3" t="b">
        <v>0</v>
      </c>
      <c r="K1774" s="3" t="s">
        <v>110</v>
      </c>
      <c r="L1774" s="3" t="s">
        <v>34</v>
      </c>
      <c r="M1774" s="8">
        <v>132500</v>
      </c>
      <c r="N1774" s="11"/>
      <c r="O1774" s="3" t="s">
        <v>589</v>
      </c>
      <c r="P1774" s="3" t="s">
        <v>2199</v>
      </c>
    </row>
    <row r="1775" spans="1:16" x14ac:dyDescent="0.3">
      <c r="A1775" s="3" t="s">
        <v>27</v>
      </c>
      <c r="B1775" s="3" t="s">
        <v>519</v>
      </c>
      <c r="C1775" s="3" t="s">
        <v>223</v>
      </c>
      <c r="D1775" s="3" t="s">
        <v>30</v>
      </c>
      <c r="E1775" s="3" t="s">
        <v>31</v>
      </c>
      <c r="F1775" s="3" t="b">
        <v>0</v>
      </c>
      <c r="G1775" s="3" t="s">
        <v>64</v>
      </c>
      <c r="H1775" s="6">
        <v>44935.62773148148</v>
      </c>
      <c r="I1775" s="3" t="b">
        <v>0</v>
      </c>
      <c r="J1775" s="3" t="b">
        <v>0</v>
      </c>
      <c r="K1775" s="3" t="s">
        <v>33</v>
      </c>
      <c r="L1775" s="3" t="s">
        <v>34</v>
      </c>
      <c r="M1775" s="8">
        <v>143500</v>
      </c>
      <c r="N1775" s="11"/>
      <c r="O1775" s="3" t="s">
        <v>2200</v>
      </c>
      <c r="P1775" s="3" t="s">
        <v>372</v>
      </c>
    </row>
    <row r="1776" spans="1:16" x14ac:dyDescent="0.3">
      <c r="A1776" s="3" t="s">
        <v>27</v>
      </c>
      <c r="B1776" s="3" t="s">
        <v>2201</v>
      </c>
      <c r="C1776" s="3" t="s">
        <v>87</v>
      </c>
      <c r="D1776" s="3" t="s">
        <v>76</v>
      </c>
      <c r="E1776" s="3" t="s">
        <v>31</v>
      </c>
      <c r="F1776" s="3" t="b">
        <v>1</v>
      </c>
      <c r="G1776" s="3" t="s">
        <v>58</v>
      </c>
      <c r="H1776" s="6">
        <v>44929.814837962957</v>
      </c>
      <c r="I1776" s="3" t="b">
        <v>0</v>
      </c>
      <c r="J1776" s="3" t="b">
        <v>0</v>
      </c>
      <c r="K1776" s="3" t="s">
        <v>33</v>
      </c>
      <c r="L1776" s="3" t="s">
        <v>48</v>
      </c>
      <c r="M1776" s="8"/>
      <c r="N1776" s="11">
        <v>17.504999160766602</v>
      </c>
      <c r="O1776" s="3" t="s">
        <v>2202</v>
      </c>
      <c r="P1776" s="3" t="s">
        <v>2203</v>
      </c>
    </row>
    <row r="1777" spans="1:16" x14ac:dyDescent="0.3">
      <c r="A1777" s="3" t="s">
        <v>27</v>
      </c>
      <c r="B1777" s="3" t="s">
        <v>100</v>
      </c>
      <c r="C1777" s="3" t="s">
        <v>2206</v>
      </c>
      <c r="D1777" s="3" t="s">
        <v>41</v>
      </c>
      <c r="E1777" s="3" t="s">
        <v>31</v>
      </c>
      <c r="F1777" s="3" t="b">
        <v>0</v>
      </c>
      <c r="G1777" s="3" t="s">
        <v>797</v>
      </c>
      <c r="H1777" s="6">
        <v>44932.691435185188</v>
      </c>
      <c r="I1777" s="3" t="b">
        <v>0</v>
      </c>
      <c r="J1777" s="3" t="b">
        <v>0</v>
      </c>
      <c r="K1777" s="3" t="s">
        <v>797</v>
      </c>
      <c r="L1777" s="3" t="s">
        <v>34</v>
      </c>
      <c r="M1777" s="8">
        <v>157500</v>
      </c>
      <c r="N1777" s="11"/>
      <c r="O1777" s="3" t="s">
        <v>2207</v>
      </c>
      <c r="P1777" s="3" t="s">
        <v>347</v>
      </c>
    </row>
    <row r="1778" spans="1:16" x14ac:dyDescent="0.3">
      <c r="A1778" s="3" t="s">
        <v>27</v>
      </c>
      <c r="B1778" s="3" t="s">
        <v>2222</v>
      </c>
      <c r="C1778" s="3" t="s">
        <v>87</v>
      </c>
      <c r="D1778" s="3" t="s">
        <v>30</v>
      </c>
      <c r="E1778" s="3" t="s">
        <v>133</v>
      </c>
      <c r="F1778" s="3" t="b">
        <v>1</v>
      </c>
      <c r="G1778" s="3" t="s">
        <v>84</v>
      </c>
      <c r="H1778" s="6">
        <v>44953.71297453704</v>
      </c>
      <c r="I1778" s="3" t="b">
        <v>0</v>
      </c>
      <c r="J1778" s="3" t="b">
        <v>1</v>
      </c>
      <c r="K1778" s="3" t="s">
        <v>33</v>
      </c>
      <c r="L1778" s="3" t="s">
        <v>48</v>
      </c>
      <c r="M1778" s="8"/>
      <c r="N1778" s="11">
        <v>51</v>
      </c>
      <c r="O1778" s="3" t="s">
        <v>1796</v>
      </c>
      <c r="P1778" s="3" t="s">
        <v>2223</v>
      </c>
    </row>
    <row r="1779" spans="1:16" x14ac:dyDescent="0.3">
      <c r="A1779" s="3" t="s">
        <v>27</v>
      </c>
      <c r="B1779" s="3" t="s">
        <v>27</v>
      </c>
      <c r="C1779" s="3" t="s">
        <v>29</v>
      </c>
      <c r="D1779" s="3" t="s">
        <v>76</v>
      </c>
      <c r="E1779" s="3" t="s">
        <v>133</v>
      </c>
      <c r="F1779" s="3" t="b">
        <v>0</v>
      </c>
      <c r="G1779" s="3" t="s">
        <v>32</v>
      </c>
      <c r="H1779" s="6">
        <v>44931.127766203703</v>
      </c>
      <c r="I1779" s="3" t="b">
        <v>0</v>
      </c>
      <c r="J1779" s="3" t="b">
        <v>1</v>
      </c>
      <c r="K1779" s="3" t="s">
        <v>33</v>
      </c>
      <c r="L1779" s="3" t="s">
        <v>48</v>
      </c>
      <c r="M1779" s="8"/>
      <c r="N1779" s="11">
        <v>84</v>
      </c>
      <c r="O1779" s="3" t="s">
        <v>2227</v>
      </c>
      <c r="P1779" s="3" t="s">
        <v>2228</v>
      </c>
    </row>
    <row r="1780" spans="1:16" x14ac:dyDescent="0.3">
      <c r="A1780" s="3" t="s">
        <v>27</v>
      </c>
      <c r="B1780" s="3" t="s">
        <v>2233</v>
      </c>
      <c r="C1780" s="3" t="s">
        <v>33</v>
      </c>
      <c r="D1780" s="3" t="s">
        <v>1599</v>
      </c>
      <c r="E1780" s="3" t="s">
        <v>31</v>
      </c>
      <c r="F1780" s="3" t="b">
        <v>0</v>
      </c>
      <c r="G1780" s="3" t="s">
        <v>84</v>
      </c>
      <c r="H1780" s="6">
        <v>44953.296273148153</v>
      </c>
      <c r="I1780" s="3" t="b">
        <v>0</v>
      </c>
      <c r="J1780" s="3" t="b">
        <v>1</v>
      </c>
      <c r="K1780" s="3" t="s">
        <v>33</v>
      </c>
      <c r="L1780" s="3" t="s">
        <v>34</v>
      </c>
      <c r="M1780" s="8">
        <v>157375</v>
      </c>
      <c r="N1780" s="11"/>
      <c r="O1780" s="3" t="s">
        <v>2234</v>
      </c>
      <c r="P1780" s="3" t="s">
        <v>2235</v>
      </c>
    </row>
    <row r="1781" spans="1:16" x14ac:dyDescent="0.3">
      <c r="A1781" s="3" t="s">
        <v>27</v>
      </c>
      <c r="B1781" s="3" t="s">
        <v>674</v>
      </c>
      <c r="C1781" s="3" t="s">
        <v>447</v>
      </c>
      <c r="D1781" s="3" t="s">
        <v>2244</v>
      </c>
      <c r="E1781" s="3" t="s">
        <v>31</v>
      </c>
      <c r="F1781" s="3" t="b">
        <v>0</v>
      </c>
      <c r="G1781" s="3" t="s">
        <v>32</v>
      </c>
      <c r="H1781" s="6">
        <v>44937.586805555547</v>
      </c>
      <c r="I1781" s="3" t="b">
        <v>0</v>
      </c>
      <c r="J1781" s="3" t="b">
        <v>0</v>
      </c>
      <c r="K1781" s="3" t="s">
        <v>33</v>
      </c>
      <c r="L1781" s="3" t="s">
        <v>34</v>
      </c>
      <c r="M1781" s="8">
        <v>220000</v>
      </c>
      <c r="N1781" s="11"/>
      <c r="O1781" s="3" t="s">
        <v>196</v>
      </c>
      <c r="P1781" s="3" t="s">
        <v>691</v>
      </c>
    </row>
    <row r="1782" spans="1:16" x14ac:dyDescent="0.3">
      <c r="A1782" s="3" t="s">
        <v>27</v>
      </c>
      <c r="B1782" s="3" t="s">
        <v>519</v>
      </c>
      <c r="C1782" s="3" t="s">
        <v>87</v>
      </c>
      <c r="D1782" s="3" t="s">
        <v>30</v>
      </c>
      <c r="E1782" s="3" t="s">
        <v>31</v>
      </c>
      <c r="F1782" s="3" t="b">
        <v>1</v>
      </c>
      <c r="G1782" s="3" t="s">
        <v>58</v>
      </c>
      <c r="H1782" s="6">
        <v>44938.003912037027</v>
      </c>
      <c r="I1782" s="3" t="b">
        <v>0</v>
      </c>
      <c r="J1782" s="3" t="b">
        <v>1</v>
      </c>
      <c r="K1782" s="3" t="s">
        <v>33</v>
      </c>
      <c r="L1782" s="3" t="s">
        <v>34</v>
      </c>
      <c r="M1782" s="8">
        <v>190000</v>
      </c>
      <c r="N1782" s="11"/>
      <c r="O1782" s="3" t="s">
        <v>2247</v>
      </c>
      <c r="P1782" s="3" t="s">
        <v>1255</v>
      </c>
    </row>
    <row r="1783" spans="1:16" x14ac:dyDescent="0.3">
      <c r="A1783" s="3" t="s">
        <v>27</v>
      </c>
      <c r="B1783" s="3" t="s">
        <v>27</v>
      </c>
      <c r="C1783" s="3" t="s">
        <v>87</v>
      </c>
      <c r="D1783" s="3" t="s">
        <v>76</v>
      </c>
      <c r="E1783" s="3" t="s">
        <v>31</v>
      </c>
      <c r="F1783" s="3" t="b">
        <v>1</v>
      </c>
      <c r="G1783" s="3" t="s">
        <v>58</v>
      </c>
      <c r="H1783" s="6">
        <v>44945.890543981477</v>
      </c>
      <c r="I1783" s="3" t="b">
        <v>0</v>
      </c>
      <c r="J1783" s="3" t="b">
        <v>0</v>
      </c>
      <c r="K1783" s="3" t="s">
        <v>33</v>
      </c>
      <c r="L1783" s="3" t="s">
        <v>34</v>
      </c>
      <c r="M1783" s="8">
        <v>125000</v>
      </c>
      <c r="N1783" s="11"/>
      <c r="O1783" s="3" t="s">
        <v>2261</v>
      </c>
      <c r="P1783" s="3" t="s">
        <v>2262</v>
      </c>
    </row>
    <row r="1784" spans="1:16" x14ac:dyDescent="0.3">
      <c r="A1784" s="3" t="s">
        <v>27</v>
      </c>
      <c r="B1784" s="3" t="s">
        <v>2263</v>
      </c>
      <c r="C1784" s="3" t="s">
        <v>447</v>
      </c>
      <c r="D1784" s="3" t="s">
        <v>940</v>
      </c>
      <c r="E1784" s="3" t="s">
        <v>31</v>
      </c>
      <c r="F1784" s="3" t="b">
        <v>0</v>
      </c>
      <c r="G1784" s="3" t="s">
        <v>32</v>
      </c>
      <c r="H1784" s="6">
        <v>44957.293622685182</v>
      </c>
      <c r="I1784" s="3" t="b">
        <v>0</v>
      </c>
      <c r="J1784" s="3" t="b">
        <v>1</v>
      </c>
      <c r="K1784" s="3" t="s">
        <v>33</v>
      </c>
      <c r="L1784" s="3" t="s">
        <v>34</v>
      </c>
      <c r="M1784" s="8">
        <v>178500</v>
      </c>
      <c r="N1784" s="11"/>
      <c r="O1784" s="3" t="s">
        <v>1804</v>
      </c>
      <c r="P1784" s="3" t="s">
        <v>2264</v>
      </c>
    </row>
    <row r="1785" spans="1:16" x14ac:dyDescent="0.3">
      <c r="A1785" s="3" t="s">
        <v>27</v>
      </c>
      <c r="B1785" s="3" t="s">
        <v>2265</v>
      </c>
      <c r="C1785" s="3" t="s">
        <v>33</v>
      </c>
      <c r="D1785" s="3" t="s">
        <v>30</v>
      </c>
      <c r="E1785" s="3" t="s">
        <v>31</v>
      </c>
      <c r="F1785" s="3" t="b">
        <v>0</v>
      </c>
      <c r="G1785" s="3" t="s">
        <v>58</v>
      </c>
      <c r="H1785" s="6">
        <v>44950.670590277783</v>
      </c>
      <c r="I1785" s="3" t="b">
        <v>0</v>
      </c>
      <c r="J1785" s="3" t="b">
        <v>0</v>
      </c>
      <c r="K1785" s="3" t="s">
        <v>33</v>
      </c>
      <c r="L1785" s="3" t="s">
        <v>34</v>
      </c>
      <c r="M1785" s="8">
        <v>106000</v>
      </c>
      <c r="N1785" s="11"/>
      <c r="O1785" s="3" t="s">
        <v>2266</v>
      </c>
      <c r="P1785" s="3" t="s">
        <v>2267</v>
      </c>
    </row>
    <row r="1786" spans="1:16" x14ac:dyDescent="0.3">
      <c r="A1786" s="3" t="s">
        <v>27</v>
      </c>
      <c r="B1786" s="3" t="s">
        <v>27</v>
      </c>
      <c r="C1786" s="3" t="s">
        <v>2268</v>
      </c>
      <c r="D1786" s="3" t="s">
        <v>76</v>
      </c>
      <c r="E1786" s="3" t="s">
        <v>31</v>
      </c>
      <c r="F1786" s="3" t="b">
        <v>0</v>
      </c>
      <c r="G1786" s="3" t="s">
        <v>64</v>
      </c>
      <c r="H1786" s="6">
        <v>44946.097743055558</v>
      </c>
      <c r="I1786" s="3" t="b">
        <v>0</v>
      </c>
      <c r="J1786" s="3" t="b">
        <v>1</v>
      </c>
      <c r="K1786" s="3" t="s">
        <v>33</v>
      </c>
      <c r="L1786" s="3" t="s">
        <v>34</v>
      </c>
      <c r="M1786" s="8">
        <v>119550</v>
      </c>
      <c r="N1786" s="11"/>
      <c r="O1786" s="3" t="s">
        <v>784</v>
      </c>
      <c r="P1786" s="3" t="s">
        <v>2269</v>
      </c>
    </row>
    <row r="1787" spans="1:16" x14ac:dyDescent="0.3">
      <c r="A1787" s="3" t="s">
        <v>27</v>
      </c>
      <c r="B1787" s="3" t="s">
        <v>27</v>
      </c>
      <c r="C1787" s="3" t="s">
        <v>87</v>
      </c>
      <c r="D1787" s="3" t="s">
        <v>287</v>
      </c>
      <c r="E1787" s="3" t="s">
        <v>31</v>
      </c>
      <c r="F1787" s="3" t="b">
        <v>1</v>
      </c>
      <c r="G1787" s="3" t="s">
        <v>84</v>
      </c>
      <c r="H1787" s="6">
        <v>44949.003738425927</v>
      </c>
      <c r="I1787" s="3" t="b">
        <v>0</v>
      </c>
      <c r="J1787" s="3" t="b">
        <v>1</v>
      </c>
      <c r="K1787" s="3" t="s">
        <v>33</v>
      </c>
      <c r="L1787" s="3" t="s">
        <v>34</v>
      </c>
      <c r="M1787" s="8">
        <v>120000</v>
      </c>
      <c r="N1787" s="11"/>
      <c r="O1787" s="3" t="s">
        <v>1532</v>
      </c>
      <c r="P1787" s="3" t="s">
        <v>1533</v>
      </c>
    </row>
    <row r="1788" spans="1:16" x14ac:dyDescent="0.3">
      <c r="A1788" s="3" t="s">
        <v>27</v>
      </c>
      <c r="B1788" s="3" t="s">
        <v>2281</v>
      </c>
      <c r="C1788" s="3" t="s">
        <v>87</v>
      </c>
      <c r="D1788" s="3" t="s">
        <v>30</v>
      </c>
      <c r="E1788" s="3" t="s">
        <v>31</v>
      </c>
      <c r="F1788" s="3" t="b">
        <v>1</v>
      </c>
      <c r="G1788" s="3" t="s">
        <v>58</v>
      </c>
      <c r="H1788" s="6">
        <v>44932.753553240742</v>
      </c>
      <c r="I1788" s="3" t="b">
        <v>0</v>
      </c>
      <c r="J1788" s="3" t="b">
        <v>0</v>
      </c>
      <c r="K1788" s="3" t="s">
        <v>33</v>
      </c>
      <c r="L1788" s="3" t="s">
        <v>34</v>
      </c>
      <c r="M1788" s="8">
        <v>165000</v>
      </c>
      <c r="N1788" s="11"/>
      <c r="O1788" s="3" t="s">
        <v>2059</v>
      </c>
      <c r="P1788" s="3" t="s">
        <v>2282</v>
      </c>
    </row>
    <row r="1789" spans="1:16" x14ac:dyDescent="0.3">
      <c r="A1789" s="3" t="s">
        <v>27</v>
      </c>
      <c r="B1789" s="3" t="s">
        <v>2290</v>
      </c>
      <c r="C1789" s="3" t="s">
        <v>531</v>
      </c>
      <c r="D1789" s="3" t="s">
        <v>41</v>
      </c>
      <c r="E1789" s="3" t="s">
        <v>31</v>
      </c>
      <c r="F1789" s="3" t="b">
        <v>0</v>
      </c>
      <c r="G1789" s="3" t="s">
        <v>532</v>
      </c>
      <c r="H1789" s="6">
        <v>44944.602349537039</v>
      </c>
      <c r="I1789" s="3" t="b">
        <v>0</v>
      </c>
      <c r="J1789" s="3" t="b">
        <v>0</v>
      </c>
      <c r="K1789" s="3" t="s">
        <v>532</v>
      </c>
      <c r="L1789" s="3" t="s">
        <v>34</v>
      </c>
      <c r="M1789" s="8">
        <v>56700</v>
      </c>
      <c r="N1789" s="11"/>
      <c r="O1789" s="3" t="s">
        <v>1325</v>
      </c>
      <c r="P1789" s="3" t="s">
        <v>2291</v>
      </c>
    </row>
    <row r="1790" spans="1:16" x14ac:dyDescent="0.3">
      <c r="A1790" s="3" t="s">
        <v>27</v>
      </c>
      <c r="B1790" s="3" t="s">
        <v>2292</v>
      </c>
      <c r="C1790" s="3" t="s">
        <v>718</v>
      </c>
      <c r="D1790" s="3" t="s">
        <v>93</v>
      </c>
      <c r="E1790" s="3" t="s">
        <v>31</v>
      </c>
      <c r="F1790" s="3" t="b">
        <v>0</v>
      </c>
      <c r="G1790" s="3" t="s">
        <v>58</v>
      </c>
      <c r="H1790" s="6">
        <v>44930.314664351848</v>
      </c>
      <c r="I1790" s="3" t="b">
        <v>0</v>
      </c>
      <c r="J1790" s="3" t="b">
        <v>1</v>
      </c>
      <c r="K1790" s="3" t="s">
        <v>33</v>
      </c>
      <c r="L1790" s="3" t="s">
        <v>34</v>
      </c>
      <c r="M1790" s="8">
        <v>115000</v>
      </c>
      <c r="N1790" s="11"/>
      <c r="O1790" s="3" t="s">
        <v>784</v>
      </c>
      <c r="P1790" s="3" t="s">
        <v>2293</v>
      </c>
    </row>
    <row r="1791" spans="1:16" x14ac:dyDescent="0.3">
      <c r="A1791" s="3" t="s">
        <v>27</v>
      </c>
      <c r="B1791" s="3" t="s">
        <v>324</v>
      </c>
      <c r="C1791" s="3" t="s">
        <v>565</v>
      </c>
      <c r="D1791" s="3" t="s">
        <v>566</v>
      </c>
      <c r="E1791" s="3" t="s">
        <v>31</v>
      </c>
      <c r="F1791" s="3" t="b">
        <v>0</v>
      </c>
      <c r="G1791" s="3" t="s">
        <v>84</v>
      </c>
      <c r="H1791" s="6">
        <v>44949.003784722219</v>
      </c>
      <c r="I1791" s="3" t="b">
        <v>0</v>
      </c>
      <c r="J1791" s="3" t="b">
        <v>1</v>
      </c>
      <c r="K1791" s="3" t="s">
        <v>33</v>
      </c>
      <c r="L1791" s="3" t="s">
        <v>48</v>
      </c>
      <c r="M1791" s="8"/>
      <c r="N1791" s="11">
        <v>24</v>
      </c>
      <c r="O1791" s="3" t="s">
        <v>2294</v>
      </c>
      <c r="P1791" s="3" t="s">
        <v>2123</v>
      </c>
    </row>
    <row r="1792" spans="1:16" x14ac:dyDescent="0.3">
      <c r="A1792" s="3" t="s">
        <v>27</v>
      </c>
      <c r="B1792" s="3" t="s">
        <v>1011</v>
      </c>
      <c r="C1792" s="3" t="s">
        <v>173</v>
      </c>
      <c r="D1792" s="3" t="s">
        <v>1013</v>
      </c>
      <c r="E1792" s="3" t="s">
        <v>31</v>
      </c>
      <c r="F1792" s="3" t="b">
        <v>0</v>
      </c>
      <c r="G1792" s="3" t="s">
        <v>140</v>
      </c>
      <c r="H1792" s="6">
        <v>44953.727766203701</v>
      </c>
      <c r="I1792" s="3" t="b">
        <v>0</v>
      </c>
      <c r="J1792" s="3" t="b">
        <v>1</v>
      </c>
      <c r="K1792" s="3" t="s">
        <v>33</v>
      </c>
      <c r="L1792" s="3" t="s">
        <v>34</v>
      </c>
      <c r="M1792" s="8">
        <v>79000</v>
      </c>
      <c r="N1792" s="11"/>
      <c r="O1792" s="3" t="s">
        <v>2333</v>
      </c>
      <c r="P1792" s="3" t="s">
        <v>2334</v>
      </c>
    </row>
    <row r="1793" spans="1:16" x14ac:dyDescent="0.3">
      <c r="A1793" s="3" t="s">
        <v>27</v>
      </c>
      <c r="B1793" s="3" t="s">
        <v>2355</v>
      </c>
      <c r="C1793" s="3" t="s">
        <v>29</v>
      </c>
      <c r="D1793" s="3" t="s">
        <v>30</v>
      </c>
      <c r="E1793" s="3" t="s">
        <v>31</v>
      </c>
      <c r="F1793" s="3" t="b">
        <v>0</v>
      </c>
      <c r="G1793" s="3" t="s">
        <v>32</v>
      </c>
      <c r="H1793" s="6">
        <v>44937.253564814811</v>
      </c>
      <c r="I1793" s="3" t="b">
        <v>0</v>
      </c>
      <c r="J1793" s="3" t="b">
        <v>1</v>
      </c>
      <c r="K1793" s="3" t="s">
        <v>33</v>
      </c>
      <c r="L1793" s="3" t="s">
        <v>34</v>
      </c>
      <c r="M1793" s="8">
        <v>224500</v>
      </c>
      <c r="N1793" s="11"/>
      <c r="O1793" s="3" t="s">
        <v>35</v>
      </c>
      <c r="P1793" s="3" t="s">
        <v>2356</v>
      </c>
    </row>
    <row r="1794" spans="1:16" x14ac:dyDescent="0.3">
      <c r="A1794" s="3" t="s">
        <v>27</v>
      </c>
      <c r="B1794" s="3" t="s">
        <v>27</v>
      </c>
      <c r="C1794" s="3" t="s">
        <v>2359</v>
      </c>
      <c r="D1794" s="3" t="s">
        <v>41</v>
      </c>
      <c r="E1794" s="3" t="s">
        <v>31</v>
      </c>
      <c r="F1794" s="3" t="b">
        <v>0</v>
      </c>
      <c r="G1794" s="3" t="s">
        <v>386</v>
      </c>
      <c r="H1794" s="6">
        <v>44931.742175925923</v>
      </c>
      <c r="I1794" s="3" t="b">
        <v>0</v>
      </c>
      <c r="J1794" s="3" t="b">
        <v>0</v>
      </c>
      <c r="K1794" s="3" t="s">
        <v>386</v>
      </c>
      <c r="L1794" s="3" t="s">
        <v>34</v>
      </c>
      <c r="M1794" s="8">
        <v>157500</v>
      </c>
      <c r="N1794" s="11"/>
      <c r="O1794" s="3" t="s">
        <v>310</v>
      </c>
      <c r="P1794" s="3" t="s">
        <v>2360</v>
      </c>
    </row>
    <row r="1795" spans="1:16" x14ac:dyDescent="0.3">
      <c r="A1795" s="3" t="s">
        <v>27</v>
      </c>
      <c r="B1795" s="3" t="s">
        <v>27</v>
      </c>
      <c r="C1795" s="3" t="s">
        <v>491</v>
      </c>
      <c r="D1795" s="3" t="s">
        <v>93</v>
      </c>
      <c r="E1795" s="3" t="s">
        <v>31</v>
      </c>
      <c r="F1795" s="3" t="b">
        <v>0</v>
      </c>
      <c r="G1795" s="3" t="s">
        <v>110</v>
      </c>
      <c r="H1795" s="6">
        <v>44951.208449074067</v>
      </c>
      <c r="I1795" s="3" t="b">
        <v>0</v>
      </c>
      <c r="J1795" s="3" t="b">
        <v>0</v>
      </c>
      <c r="K1795" s="3" t="s">
        <v>110</v>
      </c>
      <c r="L1795" s="3" t="s">
        <v>34</v>
      </c>
      <c r="M1795" s="8">
        <v>90000</v>
      </c>
      <c r="N1795" s="11"/>
      <c r="O1795" s="3" t="s">
        <v>2365</v>
      </c>
      <c r="P1795" s="3" t="s">
        <v>2366</v>
      </c>
    </row>
    <row r="1796" spans="1:16" x14ac:dyDescent="0.3">
      <c r="A1796" s="3" t="s">
        <v>27</v>
      </c>
      <c r="B1796" s="3" t="s">
        <v>2367</v>
      </c>
      <c r="C1796" s="3" t="s">
        <v>651</v>
      </c>
      <c r="D1796" s="3" t="s">
        <v>41</v>
      </c>
      <c r="E1796" s="3" t="s">
        <v>31</v>
      </c>
      <c r="F1796" s="3" t="b">
        <v>0</v>
      </c>
      <c r="G1796" s="3" t="s">
        <v>651</v>
      </c>
      <c r="H1796" s="6">
        <v>44947.431446759263</v>
      </c>
      <c r="I1796" s="3" t="b">
        <v>0</v>
      </c>
      <c r="J1796" s="3" t="b">
        <v>0</v>
      </c>
      <c r="K1796" s="3" t="s">
        <v>651</v>
      </c>
      <c r="L1796" s="3" t="s">
        <v>34</v>
      </c>
      <c r="M1796" s="8">
        <v>64821.5</v>
      </c>
      <c r="N1796" s="11"/>
      <c r="O1796" s="3" t="s">
        <v>2368</v>
      </c>
      <c r="P1796" s="3" t="s">
        <v>2369</v>
      </c>
    </row>
    <row r="1797" spans="1:16" x14ac:dyDescent="0.3">
      <c r="A1797" s="3" t="s">
        <v>27</v>
      </c>
      <c r="B1797" s="3" t="s">
        <v>2370</v>
      </c>
      <c r="C1797" s="3" t="s">
        <v>447</v>
      </c>
      <c r="D1797" s="3" t="s">
        <v>41</v>
      </c>
      <c r="E1797" s="3" t="s">
        <v>31</v>
      </c>
      <c r="F1797" s="3" t="b">
        <v>0</v>
      </c>
      <c r="G1797" s="3" t="s">
        <v>32</v>
      </c>
      <c r="H1797" s="6">
        <v>44933.501932870371</v>
      </c>
      <c r="I1797" s="3" t="b">
        <v>0</v>
      </c>
      <c r="J1797" s="3" t="b">
        <v>1</v>
      </c>
      <c r="K1797" s="3" t="s">
        <v>33</v>
      </c>
      <c r="L1797" s="3" t="s">
        <v>34</v>
      </c>
      <c r="M1797" s="8">
        <v>245000</v>
      </c>
      <c r="N1797" s="11"/>
      <c r="O1797" s="3" t="s">
        <v>850</v>
      </c>
      <c r="P1797" s="3"/>
    </row>
    <row r="1798" spans="1:16" x14ac:dyDescent="0.3">
      <c r="A1798" s="3" t="s">
        <v>27</v>
      </c>
      <c r="B1798" s="3" t="s">
        <v>2375</v>
      </c>
      <c r="C1798" s="3" t="s">
        <v>29</v>
      </c>
      <c r="D1798" s="3" t="s">
        <v>30</v>
      </c>
      <c r="E1798" s="3" t="s">
        <v>31</v>
      </c>
      <c r="F1798" s="3" t="b">
        <v>0</v>
      </c>
      <c r="G1798" s="3" t="s">
        <v>32</v>
      </c>
      <c r="H1798" s="6">
        <v>44938.46234953704</v>
      </c>
      <c r="I1798" s="3" t="b">
        <v>0</v>
      </c>
      <c r="J1798" s="3" t="b">
        <v>1</v>
      </c>
      <c r="K1798" s="3" t="s">
        <v>33</v>
      </c>
      <c r="L1798" s="3" t="s">
        <v>34</v>
      </c>
      <c r="M1798" s="8">
        <v>207560</v>
      </c>
      <c r="N1798" s="11"/>
      <c r="O1798" s="3" t="s">
        <v>35</v>
      </c>
      <c r="P1798" s="3" t="s">
        <v>38</v>
      </c>
    </row>
    <row r="1799" spans="1:16" x14ac:dyDescent="0.3">
      <c r="A1799" s="3" t="s">
        <v>27</v>
      </c>
      <c r="B1799" s="3" t="s">
        <v>2376</v>
      </c>
      <c r="C1799" s="3" t="s">
        <v>1321</v>
      </c>
      <c r="D1799" s="3" t="s">
        <v>1599</v>
      </c>
      <c r="E1799" s="3" t="s">
        <v>31</v>
      </c>
      <c r="F1799" s="3" t="b">
        <v>0</v>
      </c>
      <c r="G1799" s="3" t="s">
        <v>32</v>
      </c>
      <c r="H1799" s="6">
        <v>44952.295370370368</v>
      </c>
      <c r="I1799" s="3" t="b">
        <v>0</v>
      </c>
      <c r="J1799" s="3" t="b">
        <v>1</v>
      </c>
      <c r="K1799" s="3" t="s">
        <v>33</v>
      </c>
      <c r="L1799" s="3" t="s">
        <v>34</v>
      </c>
      <c r="M1799" s="8">
        <v>245000</v>
      </c>
      <c r="N1799" s="11"/>
      <c r="O1799" s="3" t="s">
        <v>2377</v>
      </c>
      <c r="P1799" s="3" t="s">
        <v>2378</v>
      </c>
    </row>
    <row r="1800" spans="1:16" x14ac:dyDescent="0.3">
      <c r="A1800" s="3" t="s">
        <v>27</v>
      </c>
      <c r="B1800" s="3" t="s">
        <v>2379</v>
      </c>
      <c r="C1800" s="3" t="s">
        <v>57</v>
      </c>
      <c r="D1800" s="3" t="s">
        <v>188</v>
      </c>
      <c r="E1800" s="3" t="s">
        <v>31</v>
      </c>
      <c r="F1800" s="3" t="b">
        <v>0</v>
      </c>
      <c r="G1800" s="3" t="s">
        <v>58</v>
      </c>
      <c r="H1800" s="6">
        <v>44931.627847222233</v>
      </c>
      <c r="I1800" s="3" t="b">
        <v>0</v>
      </c>
      <c r="J1800" s="3" t="b">
        <v>0</v>
      </c>
      <c r="K1800" s="3" t="s">
        <v>33</v>
      </c>
      <c r="L1800" s="3" t="s">
        <v>48</v>
      </c>
      <c r="M1800" s="8"/>
      <c r="N1800" s="11">
        <v>58.5</v>
      </c>
      <c r="O1800" s="3" t="s">
        <v>2380</v>
      </c>
      <c r="P1800" s="3" t="s">
        <v>2381</v>
      </c>
    </row>
    <row r="1801" spans="1:16" x14ac:dyDescent="0.3">
      <c r="A1801" s="3" t="s">
        <v>27</v>
      </c>
      <c r="B1801" s="3" t="s">
        <v>2384</v>
      </c>
      <c r="C1801" s="3" t="s">
        <v>87</v>
      </c>
      <c r="D1801" s="3" t="s">
        <v>263</v>
      </c>
      <c r="E1801" s="3" t="s">
        <v>133</v>
      </c>
      <c r="F1801" s="3" t="b">
        <v>1</v>
      </c>
      <c r="G1801" s="3" t="s">
        <v>110</v>
      </c>
      <c r="H1801" s="6">
        <v>44949.002002314817</v>
      </c>
      <c r="I1801" s="3" t="b">
        <v>0</v>
      </c>
      <c r="J1801" s="3" t="b">
        <v>0</v>
      </c>
      <c r="K1801" s="3" t="s">
        <v>110</v>
      </c>
      <c r="L1801" s="3" t="s">
        <v>48</v>
      </c>
      <c r="M1801" s="8"/>
      <c r="N1801" s="11">
        <v>15</v>
      </c>
      <c r="O1801" s="3" t="s">
        <v>264</v>
      </c>
      <c r="P1801" s="3"/>
    </row>
    <row r="1802" spans="1:16" x14ac:dyDescent="0.3">
      <c r="A1802" s="3" t="s">
        <v>27</v>
      </c>
      <c r="B1802" s="3" t="s">
        <v>257</v>
      </c>
      <c r="C1802" s="3" t="s">
        <v>1672</v>
      </c>
      <c r="D1802" s="3" t="s">
        <v>76</v>
      </c>
      <c r="E1802" s="3" t="s">
        <v>31</v>
      </c>
      <c r="F1802" s="3" t="b">
        <v>0</v>
      </c>
      <c r="G1802" s="3" t="s">
        <v>140</v>
      </c>
      <c r="H1802" s="6">
        <v>44945.745439814818</v>
      </c>
      <c r="I1802" s="3" t="b">
        <v>0</v>
      </c>
      <c r="J1802" s="3" t="b">
        <v>0</v>
      </c>
      <c r="K1802" s="3" t="s">
        <v>33</v>
      </c>
      <c r="L1802" s="3" t="s">
        <v>34</v>
      </c>
      <c r="M1802" s="8">
        <v>74235</v>
      </c>
      <c r="N1802" s="11"/>
      <c r="O1802" s="3" t="s">
        <v>2393</v>
      </c>
      <c r="P1802" s="3" t="s">
        <v>2394</v>
      </c>
    </row>
    <row r="1803" spans="1:16" x14ac:dyDescent="0.3">
      <c r="A1803" s="3" t="s">
        <v>27</v>
      </c>
      <c r="B1803" s="3" t="s">
        <v>2404</v>
      </c>
      <c r="C1803" s="3" t="s">
        <v>903</v>
      </c>
      <c r="D1803" s="3" t="s">
        <v>41</v>
      </c>
      <c r="E1803" s="3" t="s">
        <v>31</v>
      </c>
      <c r="F1803" s="3" t="b">
        <v>0</v>
      </c>
      <c r="G1803" s="3" t="s">
        <v>436</v>
      </c>
      <c r="H1803" s="6">
        <v>44951.699837962973</v>
      </c>
      <c r="I1803" s="3" t="b">
        <v>0</v>
      </c>
      <c r="J1803" s="3" t="b">
        <v>0</v>
      </c>
      <c r="K1803" s="3" t="s">
        <v>436</v>
      </c>
      <c r="L1803" s="3" t="s">
        <v>34</v>
      </c>
      <c r="M1803" s="8">
        <v>79200</v>
      </c>
      <c r="N1803" s="11"/>
      <c r="O1803" s="3" t="s">
        <v>2405</v>
      </c>
      <c r="P1803" s="3" t="s">
        <v>2406</v>
      </c>
    </row>
    <row r="1804" spans="1:16" x14ac:dyDescent="0.3">
      <c r="A1804" s="3" t="s">
        <v>27</v>
      </c>
      <c r="B1804" s="3" t="s">
        <v>2416</v>
      </c>
      <c r="C1804" s="3" t="s">
        <v>87</v>
      </c>
      <c r="D1804" s="3" t="s">
        <v>867</v>
      </c>
      <c r="E1804" s="3" t="s">
        <v>31</v>
      </c>
      <c r="F1804" s="3" t="b">
        <v>1</v>
      </c>
      <c r="G1804" s="3" t="s">
        <v>110</v>
      </c>
      <c r="H1804" s="6">
        <v>44957.004652777781</v>
      </c>
      <c r="I1804" s="3" t="b">
        <v>0</v>
      </c>
      <c r="J1804" s="3" t="b">
        <v>0</v>
      </c>
      <c r="K1804" s="3" t="s">
        <v>110</v>
      </c>
      <c r="L1804" s="3" t="s">
        <v>34</v>
      </c>
      <c r="M1804" s="8">
        <v>104830</v>
      </c>
      <c r="N1804" s="11"/>
      <c r="O1804" s="3" t="s">
        <v>1945</v>
      </c>
      <c r="P1804" s="3" t="s">
        <v>2417</v>
      </c>
    </row>
    <row r="1805" spans="1:16" x14ac:dyDescent="0.3">
      <c r="A1805" s="3" t="s">
        <v>27</v>
      </c>
      <c r="B1805" s="3" t="s">
        <v>27</v>
      </c>
      <c r="C1805" s="3" t="s">
        <v>2426</v>
      </c>
      <c r="D1805" s="3" t="s">
        <v>188</v>
      </c>
      <c r="E1805" s="3" t="s">
        <v>31</v>
      </c>
      <c r="F1805" s="3" t="b">
        <v>0</v>
      </c>
      <c r="G1805" s="3" t="s">
        <v>140</v>
      </c>
      <c r="H1805" s="6">
        <v>44945.786793981482</v>
      </c>
      <c r="I1805" s="3" t="b">
        <v>0</v>
      </c>
      <c r="J1805" s="3" t="b">
        <v>0</v>
      </c>
      <c r="K1805" s="3" t="s">
        <v>33</v>
      </c>
      <c r="L1805" s="3" t="s">
        <v>34</v>
      </c>
      <c r="M1805" s="8">
        <v>130000</v>
      </c>
      <c r="N1805" s="11"/>
      <c r="O1805" s="3" t="s">
        <v>2427</v>
      </c>
      <c r="P1805" s="3" t="s">
        <v>2428</v>
      </c>
    </row>
    <row r="1806" spans="1:16" x14ac:dyDescent="0.3">
      <c r="A1806" s="3" t="s">
        <v>27</v>
      </c>
      <c r="B1806" s="3" t="s">
        <v>2431</v>
      </c>
      <c r="C1806" s="3" t="s">
        <v>565</v>
      </c>
      <c r="D1806" s="3" t="s">
        <v>566</v>
      </c>
      <c r="E1806" s="3" t="s">
        <v>31</v>
      </c>
      <c r="F1806" s="3" t="b">
        <v>0</v>
      </c>
      <c r="G1806" s="3" t="s">
        <v>88</v>
      </c>
      <c r="H1806" s="6">
        <v>44929.982997685183</v>
      </c>
      <c r="I1806" s="3" t="b">
        <v>0</v>
      </c>
      <c r="J1806" s="3" t="b">
        <v>0</v>
      </c>
      <c r="K1806" s="3" t="s">
        <v>33</v>
      </c>
      <c r="L1806" s="3" t="s">
        <v>48</v>
      </c>
      <c r="M1806" s="8"/>
      <c r="N1806" s="11">
        <v>24</v>
      </c>
      <c r="O1806" s="3" t="s">
        <v>657</v>
      </c>
      <c r="P1806" s="3" t="s">
        <v>439</v>
      </c>
    </row>
    <row r="1807" spans="1:16" x14ac:dyDescent="0.3">
      <c r="A1807" s="3" t="s">
        <v>27</v>
      </c>
      <c r="B1807" s="3" t="s">
        <v>2003</v>
      </c>
      <c r="C1807" s="3" t="s">
        <v>1839</v>
      </c>
      <c r="D1807" s="3" t="s">
        <v>1261</v>
      </c>
      <c r="E1807" s="3" t="s">
        <v>31</v>
      </c>
      <c r="F1807" s="3" t="b">
        <v>0</v>
      </c>
      <c r="G1807" s="3" t="s">
        <v>32</v>
      </c>
      <c r="H1807" s="6">
        <v>44942.514201388891</v>
      </c>
      <c r="I1807" s="3" t="b">
        <v>0</v>
      </c>
      <c r="J1807" s="3" t="b">
        <v>1</v>
      </c>
      <c r="K1807" s="3" t="s">
        <v>33</v>
      </c>
      <c r="L1807" s="3" t="s">
        <v>34</v>
      </c>
      <c r="M1807" s="8">
        <v>190000</v>
      </c>
      <c r="N1807" s="11"/>
      <c r="O1807" s="3" t="s">
        <v>1841</v>
      </c>
      <c r="P1807" s="3" t="s">
        <v>2432</v>
      </c>
    </row>
    <row r="1808" spans="1:16" x14ac:dyDescent="0.3">
      <c r="A1808" s="3" t="s">
        <v>27</v>
      </c>
      <c r="B1808" s="3" t="s">
        <v>27</v>
      </c>
      <c r="C1808" s="3" t="s">
        <v>1036</v>
      </c>
      <c r="D1808" s="3" t="s">
        <v>30</v>
      </c>
      <c r="E1808" s="3" t="s">
        <v>133</v>
      </c>
      <c r="F1808" s="3" t="b">
        <v>0</v>
      </c>
      <c r="G1808" s="3" t="s">
        <v>88</v>
      </c>
      <c r="H1808" s="6">
        <v>44939.963784722233</v>
      </c>
      <c r="I1808" s="3" t="b">
        <v>0</v>
      </c>
      <c r="J1808" s="3" t="b">
        <v>0</v>
      </c>
      <c r="K1808" s="3" t="s">
        <v>33</v>
      </c>
      <c r="L1808" s="3" t="s">
        <v>48</v>
      </c>
      <c r="M1808" s="8"/>
      <c r="N1808" s="11">
        <v>62.5</v>
      </c>
      <c r="O1808" s="3" t="s">
        <v>2438</v>
      </c>
      <c r="P1808" s="3" t="s">
        <v>1268</v>
      </c>
    </row>
    <row r="1809" spans="1:16" x14ac:dyDescent="0.3">
      <c r="A1809" s="3" t="s">
        <v>27</v>
      </c>
      <c r="B1809" s="3" t="s">
        <v>2003</v>
      </c>
      <c r="C1809" s="3" t="s">
        <v>33</v>
      </c>
      <c r="D1809" s="3" t="s">
        <v>390</v>
      </c>
      <c r="E1809" s="3" t="s">
        <v>31</v>
      </c>
      <c r="F1809" s="3" t="b">
        <v>0</v>
      </c>
      <c r="G1809" s="3" t="s">
        <v>110</v>
      </c>
      <c r="H1809" s="6">
        <v>44944.617546296293</v>
      </c>
      <c r="I1809" s="3" t="b">
        <v>0</v>
      </c>
      <c r="J1809" s="3" t="b">
        <v>1</v>
      </c>
      <c r="K1809" s="3" t="s">
        <v>110</v>
      </c>
      <c r="L1809" s="3" t="s">
        <v>34</v>
      </c>
      <c r="M1809" s="8">
        <v>225000</v>
      </c>
      <c r="N1809" s="11"/>
      <c r="O1809" s="3" t="s">
        <v>196</v>
      </c>
      <c r="P1809" s="3" t="s">
        <v>347</v>
      </c>
    </row>
    <row r="1810" spans="1:16" x14ac:dyDescent="0.3">
      <c r="A1810" s="3" t="s">
        <v>27</v>
      </c>
      <c r="B1810" s="3" t="s">
        <v>2448</v>
      </c>
      <c r="C1810" s="3" t="s">
        <v>1458</v>
      </c>
      <c r="D1810" s="3" t="s">
        <v>2449</v>
      </c>
      <c r="E1810" s="3" t="s">
        <v>1294</v>
      </c>
      <c r="F1810" s="3" t="b">
        <v>0</v>
      </c>
      <c r="G1810" s="3" t="s">
        <v>32</v>
      </c>
      <c r="H1810" s="6">
        <v>44956.627696759257</v>
      </c>
      <c r="I1810" s="3" t="b">
        <v>0</v>
      </c>
      <c r="J1810" s="3" t="b">
        <v>1</v>
      </c>
      <c r="K1810" s="3" t="s">
        <v>33</v>
      </c>
      <c r="L1810" s="3" t="s">
        <v>48</v>
      </c>
      <c r="M1810" s="8"/>
      <c r="N1810" s="11">
        <v>62</v>
      </c>
      <c r="O1810" s="3" t="s">
        <v>1823</v>
      </c>
      <c r="P1810" s="3" t="s">
        <v>2450</v>
      </c>
    </row>
    <row r="1811" spans="1:16" x14ac:dyDescent="0.3">
      <c r="A1811" s="3" t="s">
        <v>27</v>
      </c>
      <c r="B1811" s="3" t="s">
        <v>27</v>
      </c>
      <c r="C1811" s="3" t="s">
        <v>173</v>
      </c>
      <c r="D1811" s="3" t="s">
        <v>76</v>
      </c>
      <c r="E1811" s="3" t="s">
        <v>31</v>
      </c>
      <c r="F1811" s="3" t="b">
        <v>0</v>
      </c>
      <c r="G1811" s="3" t="s">
        <v>140</v>
      </c>
      <c r="H1811" s="6">
        <v>44950.017500000002</v>
      </c>
      <c r="I1811" s="3" t="b">
        <v>0</v>
      </c>
      <c r="J1811" s="3" t="b">
        <v>0</v>
      </c>
      <c r="K1811" s="3" t="s">
        <v>33</v>
      </c>
      <c r="L1811" s="3" t="s">
        <v>34</v>
      </c>
      <c r="M1811" s="8">
        <v>115000</v>
      </c>
      <c r="N1811" s="11"/>
      <c r="O1811" s="3" t="s">
        <v>175</v>
      </c>
      <c r="P1811" s="3" t="s">
        <v>2454</v>
      </c>
    </row>
    <row r="1812" spans="1:16" x14ac:dyDescent="0.3">
      <c r="A1812" s="3" t="s">
        <v>27</v>
      </c>
      <c r="B1812" s="3" t="s">
        <v>2458</v>
      </c>
      <c r="C1812" s="3" t="s">
        <v>565</v>
      </c>
      <c r="D1812" s="3" t="s">
        <v>566</v>
      </c>
      <c r="E1812" s="3" t="s">
        <v>31</v>
      </c>
      <c r="F1812" s="3" t="b">
        <v>0</v>
      </c>
      <c r="G1812" s="3" t="s">
        <v>84</v>
      </c>
      <c r="H1812" s="6">
        <v>44929.982442129629</v>
      </c>
      <c r="I1812" s="3" t="b">
        <v>0</v>
      </c>
      <c r="J1812" s="3" t="b">
        <v>0</v>
      </c>
      <c r="K1812" s="3" t="s">
        <v>33</v>
      </c>
      <c r="L1812" s="3" t="s">
        <v>48</v>
      </c>
      <c r="M1812" s="8"/>
      <c r="N1812" s="11">
        <v>24</v>
      </c>
      <c r="O1812" s="3" t="s">
        <v>2027</v>
      </c>
      <c r="P1812" s="3"/>
    </row>
    <row r="1813" spans="1:16" x14ac:dyDescent="0.3">
      <c r="A1813" s="3" t="s">
        <v>27</v>
      </c>
      <c r="B1813" s="3" t="s">
        <v>525</v>
      </c>
      <c r="C1813" s="3" t="s">
        <v>75</v>
      </c>
      <c r="D1813" s="3" t="s">
        <v>2465</v>
      </c>
      <c r="E1813" s="3" t="s">
        <v>31</v>
      </c>
      <c r="F1813" s="3" t="b">
        <v>0</v>
      </c>
      <c r="G1813" s="3" t="s">
        <v>84</v>
      </c>
      <c r="H1813" s="6">
        <v>44929.982094907413</v>
      </c>
      <c r="I1813" s="3" t="b">
        <v>0</v>
      </c>
      <c r="J1813" s="3" t="b">
        <v>0</v>
      </c>
      <c r="K1813" s="3" t="s">
        <v>33</v>
      </c>
      <c r="L1813" s="3" t="s">
        <v>48</v>
      </c>
      <c r="M1813" s="8"/>
      <c r="N1813" s="11">
        <v>24</v>
      </c>
      <c r="O1813" s="3" t="s">
        <v>2466</v>
      </c>
      <c r="P1813" s="3" t="s">
        <v>2467</v>
      </c>
    </row>
    <row r="1814" spans="1:16" x14ac:dyDescent="0.3">
      <c r="A1814" s="3" t="s">
        <v>27</v>
      </c>
      <c r="B1814" s="3" t="s">
        <v>2469</v>
      </c>
      <c r="C1814" s="3" t="s">
        <v>87</v>
      </c>
      <c r="D1814" s="3" t="s">
        <v>867</v>
      </c>
      <c r="E1814" s="3" t="s">
        <v>31</v>
      </c>
      <c r="F1814" s="3" t="b">
        <v>1</v>
      </c>
      <c r="G1814" s="3" t="s">
        <v>110</v>
      </c>
      <c r="H1814" s="6">
        <v>44951.986990740741</v>
      </c>
      <c r="I1814" s="3" t="b">
        <v>0</v>
      </c>
      <c r="J1814" s="3" t="b">
        <v>0</v>
      </c>
      <c r="K1814" s="3" t="s">
        <v>110</v>
      </c>
      <c r="L1814" s="3" t="s">
        <v>48</v>
      </c>
      <c r="M1814" s="8"/>
      <c r="N1814" s="11">
        <v>19</v>
      </c>
      <c r="O1814" s="3" t="s">
        <v>2470</v>
      </c>
      <c r="P1814" s="3" t="s">
        <v>2471</v>
      </c>
    </row>
    <row r="1815" spans="1:16" x14ac:dyDescent="0.3">
      <c r="A1815" s="3" t="s">
        <v>27</v>
      </c>
      <c r="B1815" s="3" t="s">
        <v>27</v>
      </c>
      <c r="C1815" s="3" t="s">
        <v>2472</v>
      </c>
      <c r="D1815" s="3" t="s">
        <v>76</v>
      </c>
      <c r="E1815" s="3" t="s">
        <v>31</v>
      </c>
      <c r="F1815" s="3" t="b">
        <v>0</v>
      </c>
      <c r="G1815" s="3" t="s">
        <v>58</v>
      </c>
      <c r="H1815" s="6">
        <v>44945.599143518521</v>
      </c>
      <c r="I1815" s="3" t="b">
        <v>0</v>
      </c>
      <c r="J1815" s="3" t="b">
        <v>1</v>
      </c>
      <c r="K1815" s="3" t="s">
        <v>33</v>
      </c>
      <c r="L1815" s="3" t="s">
        <v>34</v>
      </c>
      <c r="M1815" s="8">
        <v>130000</v>
      </c>
      <c r="N1815" s="11"/>
      <c r="O1815" s="3" t="s">
        <v>2473</v>
      </c>
      <c r="P1815" s="3" t="s">
        <v>2474</v>
      </c>
    </row>
    <row r="1816" spans="1:16" x14ac:dyDescent="0.3">
      <c r="A1816" s="3" t="s">
        <v>27</v>
      </c>
      <c r="B1816" s="3" t="s">
        <v>2480</v>
      </c>
      <c r="C1816" s="3" t="s">
        <v>87</v>
      </c>
      <c r="D1816" s="3" t="s">
        <v>263</v>
      </c>
      <c r="E1816" s="3" t="s">
        <v>133</v>
      </c>
      <c r="F1816" s="3" t="b">
        <v>1</v>
      </c>
      <c r="G1816" s="3" t="s">
        <v>110</v>
      </c>
      <c r="H1816" s="6">
        <v>44944.825798611113</v>
      </c>
      <c r="I1816" s="3" t="b">
        <v>0</v>
      </c>
      <c r="J1816" s="3" t="b">
        <v>0</v>
      </c>
      <c r="K1816" s="3" t="s">
        <v>110</v>
      </c>
      <c r="L1816" s="3" t="s">
        <v>48</v>
      </c>
      <c r="M1816" s="8"/>
      <c r="N1816" s="11">
        <v>25</v>
      </c>
      <c r="O1816" s="3" t="s">
        <v>264</v>
      </c>
      <c r="P1816" s="3" t="s">
        <v>2481</v>
      </c>
    </row>
    <row r="1817" spans="1:16" x14ac:dyDescent="0.3">
      <c r="A1817" s="3" t="s">
        <v>27</v>
      </c>
      <c r="B1817" s="3" t="s">
        <v>2483</v>
      </c>
      <c r="C1817" s="3" t="s">
        <v>87</v>
      </c>
      <c r="D1817" s="3" t="s">
        <v>263</v>
      </c>
      <c r="E1817" s="3" t="s">
        <v>133</v>
      </c>
      <c r="F1817" s="3" t="b">
        <v>1</v>
      </c>
      <c r="G1817" s="3" t="s">
        <v>58</v>
      </c>
      <c r="H1817" s="6">
        <v>44950.628680555557</v>
      </c>
      <c r="I1817" s="3" t="b">
        <v>0</v>
      </c>
      <c r="J1817" s="3" t="b">
        <v>0</v>
      </c>
      <c r="K1817" s="3" t="s">
        <v>33</v>
      </c>
      <c r="L1817" s="3" t="s">
        <v>48</v>
      </c>
      <c r="M1817" s="8"/>
      <c r="N1817" s="11">
        <v>40</v>
      </c>
      <c r="O1817" s="3" t="s">
        <v>264</v>
      </c>
      <c r="P1817" s="3"/>
    </row>
    <row r="1818" spans="1:16" x14ac:dyDescent="0.3">
      <c r="A1818" s="3" t="s">
        <v>27</v>
      </c>
      <c r="B1818" s="3" t="s">
        <v>257</v>
      </c>
      <c r="C1818" s="3" t="s">
        <v>2508</v>
      </c>
      <c r="D1818" s="3" t="s">
        <v>2509</v>
      </c>
      <c r="E1818" s="3" t="s">
        <v>31</v>
      </c>
      <c r="F1818" s="3" t="b">
        <v>0</v>
      </c>
      <c r="G1818" s="3" t="s">
        <v>88</v>
      </c>
      <c r="H1818" s="6">
        <v>44929.982974537037</v>
      </c>
      <c r="I1818" s="3" t="b">
        <v>0</v>
      </c>
      <c r="J1818" s="3" t="b">
        <v>0</v>
      </c>
      <c r="K1818" s="3" t="s">
        <v>33</v>
      </c>
      <c r="L1818" s="3" t="s">
        <v>48</v>
      </c>
      <c r="M1818" s="8"/>
      <c r="N1818" s="11">
        <v>24</v>
      </c>
      <c r="O1818" s="3" t="s">
        <v>2510</v>
      </c>
      <c r="P1818" s="3" t="s">
        <v>2511</v>
      </c>
    </row>
    <row r="1819" spans="1:16" x14ac:dyDescent="0.3">
      <c r="A1819" s="3" t="s">
        <v>27</v>
      </c>
      <c r="B1819" s="3" t="s">
        <v>2515</v>
      </c>
      <c r="C1819" s="3" t="s">
        <v>2336</v>
      </c>
      <c r="D1819" s="3" t="s">
        <v>2516</v>
      </c>
      <c r="E1819" s="3" t="s">
        <v>31</v>
      </c>
      <c r="F1819" s="3" t="b">
        <v>0</v>
      </c>
      <c r="G1819" s="3" t="s">
        <v>597</v>
      </c>
      <c r="H1819" s="6">
        <v>44946.750810185193</v>
      </c>
      <c r="I1819" s="3" t="b">
        <v>1</v>
      </c>
      <c r="J1819" s="3" t="b">
        <v>0</v>
      </c>
      <c r="K1819" s="3" t="s">
        <v>597</v>
      </c>
      <c r="L1819" s="3" t="s">
        <v>34</v>
      </c>
      <c r="M1819" s="8">
        <v>89100</v>
      </c>
      <c r="N1819" s="11"/>
      <c r="O1819" s="3" t="s">
        <v>356</v>
      </c>
      <c r="P1819" s="3" t="s">
        <v>2517</v>
      </c>
    </row>
    <row r="1820" spans="1:16" x14ac:dyDescent="0.3">
      <c r="A1820" s="3" t="s">
        <v>27</v>
      </c>
      <c r="B1820" s="3" t="s">
        <v>2518</v>
      </c>
      <c r="C1820" s="3" t="s">
        <v>565</v>
      </c>
      <c r="D1820" s="3" t="s">
        <v>287</v>
      </c>
      <c r="E1820" s="3" t="s">
        <v>1294</v>
      </c>
      <c r="F1820" s="3" t="b">
        <v>0</v>
      </c>
      <c r="G1820" s="3" t="s">
        <v>88</v>
      </c>
      <c r="H1820" s="6">
        <v>44945.005416666667</v>
      </c>
      <c r="I1820" s="3" t="b">
        <v>0</v>
      </c>
      <c r="J1820" s="3" t="b">
        <v>1</v>
      </c>
      <c r="K1820" s="3" t="s">
        <v>33</v>
      </c>
      <c r="L1820" s="3" t="s">
        <v>34</v>
      </c>
      <c r="M1820" s="8">
        <v>129500</v>
      </c>
      <c r="N1820" s="11"/>
      <c r="O1820" s="3" t="s">
        <v>689</v>
      </c>
      <c r="P1820" s="3" t="s">
        <v>2519</v>
      </c>
    </row>
    <row r="1821" spans="1:16" x14ac:dyDescent="0.3">
      <c r="A1821" s="3" t="s">
        <v>27</v>
      </c>
      <c r="B1821" s="3" t="s">
        <v>2520</v>
      </c>
      <c r="C1821" s="3" t="s">
        <v>87</v>
      </c>
      <c r="D1821" s="3" t="s">
        <v>830</v>
      </c>
      <c r="E1821" s="3" t="s">
        <v>31</v>
      </c>
      <c r="F1821" s="3" t="b">
        <v>1</v>
      </c>
      <c r="G1821" s="3" t="s">
        <v>2521</v>
      </c>
      <c r="H1821" s="6">
        <v>44936.27239583333</v>
      </c>
      <c r="I1821" s="3" t="b">
        <v>0</v>
      </c>
      <c r="J1821" s="3" t="b">
        <v>0</v>
      </c>
      <c r="K1821" s="3" t="s">
        <v>2521</v>
      </c>
      <c r="L1821" s="3" t="s">
        <v>34</v>
      </c>
      <c r="M1821" s="8">
        <v>55000</v>
      </c>
      <c r="N1821" s="11"/>
      <c r="O1821" s="3" t="s">
        <v>2522</v>
      </c>
      <c r="P1821" s="3" t="s">
        <v>2523</v>
      </c>
    </row>
    <row r="1822" spans="1:16" x14ac:dyDescent="0.3">
      <c r="A1822" s="3" t="s">
        <v>27</v>
      </c>
      <c r="B1822" s="3" t="s">
        <v>27</v>
      </c>
      <c r="C1822" s="3" t="s">
        <v>495</v>
      </c>
      <c r="D1822" s="3" t="s">
        <v>30</v>
      </c>
      <c r="E1822" s="3" t="s">
        <v>31</v>
      </c>
      <c r="F1822" s="3" t="b">
        <v>0</v>
      </c>
      <c r="G1822" s="3" t="s">
        <v>84</v>
      </c>
      <c r="H1822" s="6">
        <v>44936.087164351848</v>
      </c>
      <c r="I1822" s="3" t="b">
        <v>0</v>
      </c>
      <c r="J1822" s="3" t="b">
        <v>1</v>
      </c>
      <c r="K1822" s="3" t="s">
        <v>33</v>
      </c>
      <c r="L1822" s="3" t="s">
        <v>34</v>
      </c>
      <c r="M1822" s="8">
        <v>117500</v>
      </c>
      <c r="N1822" s="11"/>
      <c r="O1822" s="3" t="s">
        <v>284</v>
      </c>
      <c r="P1822" s="3" t="s">
        <v>2527</v>
      </c>
    </row>
    <row r="1823" spans="1:16" x14ac:dyDescent="0.3">
      <c r="A1823" s="3" t="s">
        <v>27</v>
      </c>
      <c r="B1823" s="3" t="s">
        <v>27</v>
      </c>
      <c r="C1823" s="3" t="s">
        <v>2537</v>
      </c>
      <c r="D1823" s="3" t="s">
        <v>41</v>
      </c>
      <c r="E1823" s="3" t="s">
        <v>31</v>
      </c>
      <c r="F1823" s="3" t="b">
        <v>0</v>
      </c>
      <c r="G1823" s="3" t="s">
        <v>651</v>
      </c>
      <c r="H1823" s="6">
        <v>44938.735034722216</v>
      </c>
      <c r="I1823" s="3" t="b">
        <v>0</v>
      </c>
      <c r="J1823" s="3" t="b">
        <v>0</v>
      </c>
      <c r="K1823" s="3" t="s">
        <v>651</v>
      </c>
      <c r="L1823" s="3" t="s">
        <v>34</v>
      </c>
      <c r="M1823" s="8">
        <v>157500</v>
      </c>
      <c r="N1823" s="11"/>
      <c r="O1823" s="3" t="s">
        <v>1017</v>
      </c>
      <c r="P1823" s="3" t="s">
        <v>2538</v>
      </c>
    </row>
    <row r="1824" spans="1:16" x14ac:dyDescent="0.3">
      <c r="A1824" s="3" t="s">
        <v>27</v>
      </c>
      <c r="B1824" s="3" t="s">
        <v>27</v>
      </c>
      <c r="C1824" s="3" t="s">
        <v>33</v>
      </c>
      <c r="D1824" s="3" t="s">
        <v>76</v>
      </c>
      <c r="E1824" s="3" t="s">
        <v>31</v>
      </c>
      <c r="F1824" s="3" t="b">
        <v>0</v>
      </c>
      <c r="G1824" s="3" t="s">
        <v>58</v>
      </c>
      <c r="H1824" s="6">
        <v>44937.056111111109</v>
      </c>
      <c r="I1824" s="3" t="b">
        <v>0</v>
      </c>
      <c r="J1824" s="3" t="b">
        <v>1</v>
      </c>
      <c r="K1824" s="3" t="s">
        <v>33</v>
      </c>
      <c r="L1824" s="3" t="s">
        <v>34</v>
      </c>
      <c r="M1824" s="8">
        <v>105000</v>
      </c>
      <c r="N1824" s="11"/>
      <c r="O1824" s="3" t="s">
        <v>2543</v>
      </c>
      <c r="P1824" s="3" t="s">
        <v>2544</v>
      </c>
    </row>
    <row r="1825" spans="1:16" x14ac:dyDescent="0.3">
      <c r="A1825" s="3" t="s">
        <v>27</v>
      </c>
      <c r="B1825" s="3" t="s">
        <v>2547</v>
      </c>
      <c r="C1825" s="3" t="s">
        <v>1488</v>
      </c>
      <c r="D1825" s="3" t="s">
        <v>30</v>
      </c>
      <c r="E1825" s="3" t="s">
        <v>133</v>
      </c>
      <c r="F1825" s="3" t="b">
        <v>0</v>
      </c>
      <c r="G1825" s="3" t="s">
        <v>84</v>
      </c>
      <c r="H1825" s="6">
        <v>44944.671550925923</v>
      </c>
      <c r="I1825" s="3" t="b">
        <v>1</v>
      </c>
      <c r="J1825" s="3" t="b">
        <v>0</v>
      </c>
      <c r="K1825" s="3" t="s">
        <v>33</v>
      </c>
      <c r="L1825" s="3" t="s">
        <v>48</v>
      </c>
      <c r="M1825" s="8"/>
      <c r="N1825" s="11">
        <v>62.5</v>
      </c>
      <c r="O1825" s="3" t="s">
        <v>761</v>
      </c>
      <c r="P1825" s="3" t="s">
        <v>2548</v>
      </c>
    </row>
    <row r="1826" spans="1:16" x14ac:dyDescent="0.3">
      <c r="A1826" s="3" t="s">
        <v>27</v>
      </c>
      <c r="B1826" s="3" t="s">
        <v>977</v>
      </c>
      <c r="C1826" s="3" t="s">
        <v>417</v>
      </c>
      <c r="D1826" s="3" t="s">
        <v>429</v>
      </c>
      <c r="E1826" s="3" t="s">
        <v>31</v>
      </c>
      <c r="F1826" s="3" t="b">
        <v>0</v>
      </c>
      <c r="G1826" s="3" t="s">
        <v>110</v>
      </c>
      <c r="H1826" s="6">
        <v>44955.014953703707</v>
      </c>
      <c r="I1826" s="3" t="b">
        <v>0</v>
      </c>
      <c r="J1826" s="3" t="b">
        <v>0</v>
      </c>
      <c r="K1826" s="3" t="s">
        <v>110</v>
      </c>
      <c r="L1826" s="3" t="s">
        <v>48</v>
      </c>
      <c r="M1826" s="8"/>
      <c r="N1826" s="11">
        <v>24</v>
      </c>
      <c r="O1826" s="3" t="s">
        <v>1445</v>
      </c>
      <c r="P1826" s="3" t="s">
        <v>2549</v>
      </c>
    </row>
    <row r="1827" spans="1:16" x14ac:dyDescent="0.3">
      <c r="A1827" s="3" t="s">
        <v>27</v>
      </c>
      <c r="B1827" s="3" t="s">
        <v>27</v>
      </c>
      <c r="C1827" s="3" t="s">
        <v>2343</v>
      </c>
      <c r="D1827" s="3" t="s">
        <v>151</v>
      </c>
      <c r="E1827" s="3" t="s">
        <v>31</v>
      </c>
      <c r="F1827" s="3" t="b">
        <v>0</v>
      </c>
      <c r="G1827" s="3" t="s">
        <v>32</v>
      </c>
      <c r="H1827" s="6">
        <v>44948.461331018523</v>
      </c>
      <c r="I1827" s="3" t="b">
        <v>0</v>
      </c>
      <c r="J1827" s="3" t="b">
        <v>1</v>
      </c>
      <c r="K1827" s="3" t="s">
        <v>33</v>
      </c>
      <c r="L1827" s="3" t="s">
        <v>34</v>
      </c>
      <c r="M1827" s="8">
        <v>136000</v>
      </c>
      <c r="N1827" s="11"/>
      <c r="O1827" s="3" t="s">
        <v>2552</v>
      </c>
      <c r="P1827" s="3" t="s">
        <v>2553</v>
      </c>
    </row>
    <row r="1828" spans="1:16" x14ac:dyDescent="0.3">
      <c r="A1828" s="3" t="s">
        <v>27</v>
      </c>
      <c r="B1828" s="3" t="s">
        <v>27</v>
      </c>
      <c r="C1828" s="3" t="s">
        <v>87</v>
      </c>
      <c r="D1828" s="3" t="s">
        <v>830</v>
      </c>
      <c r="E1828" s="3" t="s">
        <v>31</v>
      </c>
      <c r="F1828" s="3" t="b">
        <v>1</v>
      </c>
      <c r="G1828" s="3" t="s">
        <v>64</v>
      </c>
      <c r="H1828" s="6">
        <v>44939.212002314824</v>
      </c>
      <c r="I1828" s="3" t="b">
        <v>0</v>
      </c>
      <c r="J1828" s="3" t="b">
        <v>0</v>
      </c>
      <c r="K1828" s="3" t="s">
        <v>33</v>
      </c>
      <c r="L1828" s="3" t="s">
        <v>34</v>
      </c>
      <c r="M1828" s="8">
        <v>63000</v>
      </c>
      <c r="N1828" s="11"/>
      <c r="O1828" s="3" t="s">
        <v>2562</v>
      </c>
      <c r="P1828" s="3" t="s">
        <v>2563</v>
      </c>
    </row>
    <row r="1829" spans="1:16" x14ac:dyDescent="0.3">
      <c r="A1829" s="3" t="s">
        <v>27</v>
      </c>
      <c r="B1829" s="3" t="s">
        <v>2575</v>
      </c>
      <c r="C1829" s="3" t="s">
        <v>29</v>
      </c>
      <c r="D1829" s="3" t="s">
        <v>30</v>
      </c>
      <c r="E1829" s="3" t="s">
        <v>31</v>
      </c>
      <c r="F1829" s="3" t="b">
        <v>0</v>
      </c>
      <c r="G1829" s="3" t="s">
        <v>32</v>
      </c>
      <c r="H1829" s="6">
        <v>44937.264247685183</v>
      </c>
      <c r="I1829" s="3" t="b">
        <v>0</v>
      </c>
      <c r="J1829" s="3" t="b">
        <v>1</v>
      </c>
      <c r="K1829" s="3" t="s">
        <v>33</v>
      </c>
      <c r="L1829" s="3" t="s">
        <v>34</v>
      </c>
      <c r="M1829" s="8">
        <v>224500</v>
      </c>
      <c r="N1829" s="11"/>
      <c r="O1829" s="3" t="s">
        <v>35</v>
      </c>
      <c r="P1829" s="3"/>
    </row>
    <row r="1830" spans="1:16" x14ac:dyDescent="0.3">
      <c r="A1830" s="3" t="s">
        <v>27</v>
      </c>
      <c r="B1830" s="3" t="s">
        <v>2589</v>
      </c>
      <c r="C1830" s="3" t="s">
        <v>641</v>
      </c>
      <c r="D1830" s="3" t="s">
        <v>41</v>
      </c>
      <c r="E1830" s="3" t="s">
        <v>31</v>
      </c>
      <c r="F1830" s="3" t="b">
        <v>0</v>
      </c>
      <c r="G1830" s="3" t="s">
        <v>88</v>
      </c>
      <c r="H1830" s="6">
        <v>44951.501747685194</v>
      </c>
      <c r="I1830" s="3" t="b">
        <v>0</v>
      </c>
      <c r="J1830" s="3" t="b">
        <v>1</v>
      </c>
      <c r="K1830" s="3" t="s">
        <v>33</v>
      </c>
      <c r="L1830" s="3" t="s">
        <v>34</v>
      </c>
      <c r="M1830" s="8">
        <v>131867</v>
      </c>
      <c r="N1830" s="11"/>
      <c r="O1830" s="3" t="s">
        <v>2590</v>
      </c>
      <c r="P1830" s="3" t="s">
        <v>2591</v>
      </c>
    </row>
    <row r="1831" spans="1:16" x14ac:dyDescent="0.3">
      <c r="A1831" s="3" t="s">
        <v>27</v>
      </c>
      <c r="B1831" s="3" t="s">
        <v>1520</v>
      </c>
      <c r="C1831" s="3" t="s">
        <v>842</v>
      </c>
      <c r="D1831" s="3" t="s">
        <v>41</v>
      </c>
      <c r="E1831" s="3" t="s">
        <v>133</v>
      </c>
      <c r="F1831" s="3" t="b">
        <v>0</v>
      </c>
      <c r="G1831" s="3" t="s">
        <v>842</v>
      </c>
      <c r="H1831" s="6">
        <v>44946.124826388892</v>
      </c>
      <c r="I1831" s="3" t="b">
        <v>1</v>
      </c>
      <c r="J1831" s="3" t="b">
        <v>0</v>
      </c>
      <c r="K1831" s="3" t="s">
        <v>842</v>
      </c>
      <c r="L1831" s="3" t="s">
        <v>34</v>
      </c>
      <c r="M1831" s="8">
        <v>139216</v>
      </c>
      <c r="N1831" s="11"/>
      <c r="O1831" s="3" t="s">
        <v>2592</v>
      </c>
      <c r="P1831" s="3" t="s">
        <v>2593</v>
      </c>
    </row>
    <row r="1832" spans="1:16" x14ac:dyDescent="0.3">
      <c r="A1832" s="3" t="s">
        <v>27</v>
      </c>
      <c r="B1832" s="3" t="s">
        <v>27</v>
      </c>
      <c r="C1832" s="3" t="s">
        <v>1012</v>
      </c>
      <c r="D1832" s="3" t="s">
        <v>30</v>
      </c>
      <c r="E1832" s="3" t="s">
        <v>31</v>
      </c>
      <c r="F1832" s="3" t="b">
        <v>0</v>
      </c>
      <c r="G1832" s="3" t="s">
        <v>64</v>
      </c>
      <c r="H1832" s="6">
        <v>44956.168668981481</v>
      </c>
      <c r="I1832" s="3" t="b">
        <v>0</v>
      </c>
      <c r="J1832" s="3" t="b">
        <v>0</v>
      </c>
      <c r="K1832" s="3" t="s">
        <v>33</v>
      </c>
      <c r="L1832" s="3" t="s">
        <v>34</v>
      </c>
      <c r="M1832" s="8">
        <v>95303.5</v>
      </c>
      <c r="N1832" s="11"/>
      <c r="O1832" s="3" t="s">
        <v>2598</v>
      </c>
      <c r="P1832" s="3" t="s">
        <v>323</v>
      </c>
    </row>
    <row r="1833" spans="1:16" x14ac:dyDescent="0.3">
      <c r="A1833" s="3" t="s">
        <v>27</v>
      </c>
      <c r="B1833" s="3" t="s">
        <v>2003</v>
      </c>
      <c r="C1833" s="3" t="s">
        <v>2606</v>
      </c>
      <c r="D1833" s="3" t="s">
        <v>76</v>
      </c>
      <c r="E1833" s="3" t="s">
        <v>31</v>
      </c>
      <c r="F1833" s="3" t="b">
        <v>0</v>
      </c>
      <c r="G1833" s="3" t="s">
        <v>140</v>
      </c>
      <c r="H1833" s="6">
        <v>44927.179340277777</v>
      </c>
      <c r="I1833" s="3" t="b">
        <v>0</v>
      </c>
      <c r="J1833" s="3" t="b">
        <v>1</v>
      </c>
      <c r="K1833" s="3" t="s">
        <v>33</v>
      </c>
      <c r="L1833" s="3" t="s">
        <v>34</v>
      </c>
      <c r="M1833" s="8">
        <v>133500</v>
      </c>
      <c r="N1833" s="11"/>
      <c r="O1833" s="3" t="s">
        <v>2607</v>
      </c>
      <c r="P1833" s="3" t="s">
        <v>2608</v>
      </c>
    </row>
    <row r="1834" spans="1:16" x14ac:dyDescent="0.3">
      <c r="A1834" s="3" t="s">
        <v>27</v>
      </c>
      <c r="B1834" s="3" t="s">
        <v>27</v>
      </c>
      <c r="C1834" s="3" t="s">
        <v>270</v>
      </c>
      <c r="D1834" s="3" t="s">
        <v>30</v>
      </c>
      <c r="E1834" s="3" t="s">
        <v>133</v>
      </c>
      <c r="F1834" s="3" t="b">
        <v>0</v>
      </c>
      <c r="G1834" s="3" t="s">
        <v>32</v>
      </c>
      <c r="H1834" s="6">
        <v>44945.251284722217</v>
      </c>
      <c r="I1834" s="3" t="b">
        <v>0</v>
      </c>
      <c r="J1834" s="3" t="b">
        <v>0</v>
      </c>
      <c r="K1834" s="3" t="s">
        <v>33</v>
      </c>
      <c r="L1834" s="3" t="s">
        <v>48</v>
      </c>
      <c r="M1834" s="8"/>
      <c r="N1834" s="11">
        <v>85</v>
      </c>
      <c r="O1834" s="3" t="s">
        <v>2625</v>
      </c>
      <c r="P1834" s="3" t="s">
        <v>328</v>
      </c>
    </row>
    <row r="1835" spans="1:16" x14ac:dyDescent="0.3">
      <c r="A1835" s="3" t="s">
        <v>27</v>
      </c>
      <c r="B1835" s="3" t="s">
        <v>2638</v>
      </c>
      <c r="C1835" s="3" t="s">
        <v>87</v>
      </c>
      <c r="D1835" s="3" t="s">
        <v>263</v>
      </c>
      <c r="E1835" s="3" t="s">
        <v>133</v>
      </c>
      <c r="F1835" s="3" t="b">
        <v>1</v>
      </c>
      <c r="G1835" s="3" t="s">
        <v>58</v>
      </c>
      <c r="H1835" s="6">
        <v>44937.097812499997</v>
      </c>
      <c r="I1835" s="3" t="b">
        <v>0</v>
      </c>
      <c r="J1835" s="3" t="b">
        <v>0</v>
      </c>
      <c r="K1835" s="3" t="s">
        <v>33</v>
      </c>
      <c r="L1835" s="3" t="s">
        <v>48</v>
      </c>
      <c r="M1835" s="8"/>
      <c r="N1835" s="11">
        <v>56.5</v>
      </c>
      <c r="O1835" s="3" t="s">
        <v>264</v>
      </c>
      <c r="P1835" s="3" t="s">
        <v>2639</v>
      </c>
    </row>
    <row r="1836" spans="1:16" x14ac:dyDescent="0.3">
      <c r="A1836" s="3" t="s">
        <v>27</v>
      </c>
      <c r="B1836" s="3" t="s">
        <v>519</v>
      </c>
      <c r="C1836" s="3" t="s">
        <v>164</v>
      </c>
      <c r="D1836" s="3" t="s">
        <v>30</v>
      </c>
      <c r="E1836" s="3" t="s">
        <v>31</v>
      </c>
      <c r="F1836" s="3" t="b">
        <v>0</v>
      </c>
      <c r="G1836" s="3" t="s">
        <v>64</v>
      </c>
      <c r="H1836" s="6">
        <v>44950.877175925933</v>
      </c>
      <c r="I1836" s="3" t="b">
        <v>0</v>
      </c>
      <c r="J1836" s="3" t="b">
        <v>1</v>
      </c>
      <c r="K1836" s="3" t="s">
        <v>33</v>
      </c>
      <c r="L1836" s="3" t="s">
        <v>34</v>
      </c>
      <c r="M1836" s="8">
        <v>205000</v>
      </c>
      <c r="N1836" s="11"/>
      <c r="O1836" s="3" t="s">
        <v>196</v>
      </c>
      <c r="P1836" s="3" t="s">
        <v>661</v>
      </c>
    </row>
    <row r="1837" spans="1:16" x14ac:dyDescent="0.3">
      <c r="A1837" s="3" t="s">
        <v>27</v>
      </c>
      <c r="B1837" s="3" t="s">
        <v>2654</v>
      </c>
      <c r="C1837" s="3" t="s">
        <v>2053</v>
      </c>
      <c r="D1837" s="3" t="s">
        <v>2655</v>
      </c>
      <c r="E1837" s="3" t="s">
        <v>31</v>
      </c>
      <c r="F1837" s="3" t="b">
        <v>0</v>
      </c>
      <c r="G1837" s="3" t="s">
        <v>140</v>
      </c>
      <c r="H1837" s="6">
        <v>44937.991435185177</v>
      </c>
      <c r="I1837" s="3" t="b">
        <v>0</v>
      </c>
      <c r="J1837" s="3" t="b">
        <v>0</v>
      </c>
      <c r="K1837" s="3" t="s">
        <v>33</v>
      </c>
      <c r="L1837" s="3" t="s">
        <v>48</v>
      </c>
      <c r="M1837" s="8"/>
      <c r="N1837" s="11">
        <v>20</v>
      </c>
      <c r="O1837" s="3" t="s">
        <v>2656</v>
      </c>
      <c r="P1837" s="3" t="s">
        <v>2657</v>
      </c>
    </row>
    <row r="1838" spans="1:16" x14ac:dyDescent="0.3">
      <c r="A1838" s="3" t="s">
        <v>27</v>
      </c>
      <c r="B1838" s="3" t="s">
        <v>2660</v>
      </c>
      <c r="C1838" s="3" t="s">
        <v>87</v>
      </c>
      <c r="D1838" s="3" t="s">
        <v>76</v>
      </c>
      <c r="E1838" s="3" t="s">
        <v>31</v>
      </c>
      <c r="F1838" s="3" t="b">
        <v>1</v>
      </c>
      <c r="G1838" s="3" t="s">
        <v>110</v>
      </c>
      <c r="H1838" s="6">
        <v>44930.956562500003</v>
      </c>
      <c r="I1838" s="3" t="b">
        <v>0</v>
      </c>
      <c r="J1838" s="3" t="b">
        <v>1</v>
      </c>
      <c r="K1838" s="3" t="s">
        <v>110</v>
      </c>
      <c r="L1838" s="3" t="s">
        <v>34</v>
      </c>
      <c r="M1838" s="8">
        <v>162500</v>
      </c>
      <c r="N1838" s="11"/>
      <c r="O1838" s="3" t="s">
        <v>2661</v>
      </c>
      <c r="P1838" s="3" t="s">
        <v>2662</v>
      </c>
    </row>
    <row r="1839" spans="1:16" x14ac:dyDescent="0.3">
      <c r="A1839" s="3" t="s">
        <v>27</v>
      </c>
      <c r="B1839" s="3" t="s">
        <v>2663</v>
      </c>
      <c r="C1839" s="3" t="s">
        <v>641</v>
      </c>
      <c r="D1839" s="3" t="s">
        <v>93</v>
      </c>
      <c r="E1839" s="3" t="s">
        <v>31</v>
      </c>
      <c r="F1839" s="3" t="b">
        <v>0</v>
      </c>
      <c r="G1839" s="3" t="s">
        <v>88</v>
      </c>
      <c r="H1839" s="6">
        <v>44930.420972222222</v>
      </c>
      <c r="I1839" s="3" t="b">
        <v>0</v>
      </c>
      <c r="J1839" s="3" t="b">
        <v>0</v>
      </c>
      <c r="K1839" s="3" t="s">
        <v>33</v>
      </c>
      <c r="L1839" s="3" t="s">
        <v>34</v>
      </c>
      <c r="M1839" s="8">
        <v>90000</v>
      </c>
      <c r="N1839" s="11"/>
      <c r="O1839" s="3" t="s">
        <v>2664</v>
      </c>
      <c r="P1839" s="3" t="s">
        <v>2665</v>
      </c>
    </row>
    <row r="1840" spans="1:16" x14ac:dyDescent="0.3">
      <c r="A1840" s="3" t="s">
        <v>27</v>
      </c>
      <c r="B1840" s="3" t="s">
        <v>27</v>
      </c>
      <c r="C1840" s="3" t="s">
        <v>2666</v>
      </c>
      <c r="D1840" s="3" t="s">
        <v>93</v>
      </c>
      <c r="E1840" s="3" t="s">
        <v>31</v>
      </c>
      <c r="F1840" s="3" t="b">
        <v>0</v>
      </c>
      <c r="G1840" s="3" t="s">
        <v>317</v>
      </c>
      <c r="H1840" s="6">
        <v>44930.159247685187</v>
      </c>
      <c r="I1840" s="3" t="b">
        <v>0</v>
      </c>
      <c r="J1840" s="3" t="b">
        <v>0</v>
      </c>
      <c r="K1840" s="3" t="s">
        <v>317</v>
      </c>
      <c r="L1840" s="3" t="s">
        <v>34</v>
      </c>
      <c r="M1840" s="8">
        <v>90000</v>
      </c>
      <c r="N1840" s="11"/>
      <c r="O1840" s="3" t="s">
        <v>2667</v>
      </c>
      <c r="P1840" s="3" t="s">
        <v>958</v>
      </c>
    </row>
    <row r="1841" spans="1:16" x14ac:dyDescent="0.3">
      <c r="A1841" s="3" t="s">
        <v>27</v>
      </c>
      <c r="B1841" s="3" t="s">
        <v>2671</v>
      </c>
      <c r="C1841" s="3" t="s">
        <v>164</v>
      </c>
      <c r="D1841" s="3" t="s">
        <v>30</v>
      </c>
      <c r="E1841" s="3" t="s">
        <v>31</v>
      </c>
      <c r="F1841" s="3" t="b">
        <v>0</v>
      </c>
      <c r="G1841" s="3" t="s">
        <v>64</v>
      </c>
      <c r="H1841" s="6">
        <v>44944.544745370367</v>
      </c>
      <c r="I1841" s="3" t="b">
        <v>1</v>
      </c>
      <c r="J1841" s="3" t="b">
        <v>0</v>
      </c>
      <c r="K1841" s="3" t="s">
        <v>33</v>
      </c>
      <c r="L1841" s="3" t="s">
        <v>34</v>
      </c>
      <c r="M1841" s="8">
        <v>137500</v>
      </c>
      <c r="N1841" s="11"/>
      <c r="O1841" s="3" t="s">
        <v>2672</v>
      </c>
      <c r="P1841" s="3"/>
    </row>
    <row r="1842" spans="1:16" x14ac:dyDescent="0.3">
      <c r="A1842" s="3" t="s">
        <v>27</v>
      </c>
      <c r="B1842" s="3" t="s">
        <v>2673</v>
      </c>
      <c r="C1842" s="3" t="s">
        <v>83</v>
      </c>
      <c r="D1842" s="3" t="s">
        <v>627</v>
      </c>
      <c r="E1842" s="3" t="s">
        <v>31</v>
      </c>
      <c r="F1842" s="3" t="b">
        <v>0</v>
      </c>
      <c r="G1842" s="3" t="s">
        <v>64</v>
      </c>
      <c r="H1842" s="6">
        <v>44928.668310185189</v>
      </c>
      <c r="I1842" s="3" t="b">
        <v>0</v>
      </c>
      <c r="J1842" s="3" t="b">
        <v>0</v>
      </c>
      <c r="K1842" s="3" t="s">
        <v>33</v>
      </c>
      <c r="L1842" s="3" t="s">
        <v>34</v>
      </c>
      <c r="M1842" s="8">
        <v>162000</v>
      </c>
      <c r="N1842" s="11"/>
      <c r="O1842" s="3" t="s">
        <v>2674</v>
      </c>
      <c r="P1842" s="3" t="s">
        <v>268</v>
      </c>
    </row>
    <row r="1843" spans="1:16" x14ac:dyDescent="0.3">
      <c r="A1843" s="3" t="s">
        <v>27</v>
      </c>
      <c r="B1843" s="3" t="s">
        <v>2686</v>
      </c>
      <c r="C1843" s="3" t="s">
        <v>2687</v>
      </c>
      <c r="D1843" s="3" t="s">
        <v>2688</v>
      </c>
      <c r="E1843" s="3" t="s">
        <v>31</v>
      </c>
      <c r="F1843" s="3" t="b">
        <v>0</v>
      </c>
      <c r="G1843" s="3" t="s">
        <v>32</v>
      </c>
      <c r="H1843" s="6">
        <v>44929.981145833342</v>
      </c>
      <c r="I1843" s="3" t="b">
        <v>0</v>
      </c>
      <c r="J1843" s="3" t="b">
        <v>0</v>
      </c>
      <c r="K1843" s="3" t="s">
        <v>33</v>
      </c>
      <c r="L1843" s="3" t="s">
        <v>48</v>
      </c>
      <c r="M1843" s="8"/>
      <c r="N1843" s="11">
        <v>24</v>
      </c>
      <c r="O1843" s="3" t="s">
        <v>657</v>
      </c>
      <c r="P1843" s="3"/>
    </row>
    <row r="1844" spans="1:16" x14ac:dyDescent="0.3">
      <c r="A1844" s="3" t="s">
        <v>27</v>
      </c>
      <c r="B1844" s="3" t="s">
        <v>27</v>
      </c>
      <c r="C1844" s="3" t="s">
        <v>87</v>
      </c>
      <c r="D1844" s="3" t="s">
        <v>30</v>
      </c>
      <c r="E1844" s="3" t="s">
        <v>133</v>
      </c>
      <c r="F1844" s="3" t="b">
        <v>1</v>
      </c>
      <c r="G1844" s="3" t="s">
        <v>140</v>
      </c>
      <c r="H1844" s="6">
        <v>44954.67796296296</v>
      </c>
      <c r="I1844" s="3" t="b">
        <v>0</v>
      </c>
      <c r="J1844" s="3" t="b">
        <v>0</v>
      </c>
      <c r="K1844" s="3" t="s">
        <v>33</v>
      </c>
      <c r="L1844" s="3" t="s">
        <v>34</v>
      </c>
      <c r="M1844" s="8">
        <v>125000</v>
      </c>
      <c r="N1844" s="11"/>
      <c r="O1844" s="3" t="s">
        <v>2694</v>
      </c>
      <c r="P1844" s="3" t="s">
        <v>1216</v>
      </c>
    </row>
    <row r="1845" spans="1:16" x14ac:dyDescent="0.3">
      <c r="A1845" s="3" t="s">
        <v>27</v>
      </c>
      <c r="B1845" s="3" t="s">
        <v>674</v>
      </c>
      <c r="C1845" s="3" t="s">
        <v>97</v>
      </c>
      <c r="D1845" s="3" t="s">
        <v>41</v>
      </c>
      <c r="E1845" s="3" t="s">
        <v>31</v>
      </c>
      <c r="F1845" s="3" t="b">
        <v>0</v>
      </c>
      <c r="G1845" s="3" t="s">
        <v>32</v>
      </c>
      <c r="H1845" s="6">
        <v>44947.293981481482</v>
      </c>
      <c r="I1845" s="3" t="b">
        <v>0</v>
      </c>
      <c r="J1845" s="3" t="b">
        <v>0</v>
      </c>
      <c r="K1845" s="3" t="s">
        <v>33</v>
      </c>
      <c r="L1845" s="3" t="s">
        <v>34</v>
      </c>
      <c r="M1845" s="8">
        <v>195249.5</v>
      </c>
      <c r="N1845" s="11"/>
      <c r="O1845" s="3" t="s">
        <v>2695</v>
      </c>
      <c r="P1845" s="3" t="s">
        <v>2696</v>
      </c>
    </row>
    <row r="1846" spans="1:16" x14ac:dyDescent="0.3">
      <c r="A1846" s="3" t="s">
        <v>27</v>
      </c>
      <c r="B1846" s="3" t="s">
        <v>27</v>
      </c>
      <c r="C1846" s="3" t="s">
        <v>79</v>
      </c>
      <c r="D1846" s="3" t="s">
        <v>296</v>
      </c>
      <c r="E1846" s="3" t="s">
        <v>31</v>
      </c>
      <c r="F1846" s="3" t="b">
        <v>0</v>
      </c>
      <c r="G1846" s="3" t="s">
        <v>58</v>
      </c>
      <c r="H1846" s="6">
        <v>44929.981458333343</v>
      </c>
      <c r="I1846" s="3" t="b">
        <v>0</v>
      </c>
      <c r="J1846" s="3" t="b">
        <v>0</v>
      </c>
      <c r="K1846" s="3" t="s">
        <v>33</v>
      </c>
      <c r="L1846" s="3" t="s">
        <v>48</v>
      </c>
      <c r="M1846" s="8"/>
      <c r="N1846" s="11">
        <v>24</v>
      </c>
      <c r="O1846" s="3" t="s">
        <v>2697</v>
      </c>
      <c r="P1846" s="3" t="s">
        <v>2698</v>
      </c>
    </row>
    <row r="1847" spans="1:16" x14ac:dyDescent="0.3">
      <c r="A1847" s="3" t="s">
        <v>27</v>
      </c>
      <c r="B1847" s="3" t="s">
        <v>2701</v>
      </c>
      <c r="C1847" s="3" t="s">
        <v>620</v>
      </c>
      <c r="D1847" s="3" t="s">
        <v>867</v>
      </c>
      <c r="E1847" s="3" t="s">
        <v>31</v>
      </c>
      <c r="F1847" s="3" t="b">
        <v>0</v>
      </c>
      <c r="G1847" s="3" t="s">
        <v>110</v>
      </c>
      <c r="H1847" s="6">
        <v>44946.988275462973</v>
      </c>
      <c r="I1847" s="3" t="b">
        <v>0</v>
      </c>
      <c r="J1847" s="3" t="b">
        <v>0</v>
      </c>
      <c r="K1847" s="3" t="s">
        <v>110</v>
      </c>
      <c r="L1847" s="3" t="s">
        <v>34</v>
      </c>
      <c r="M1847" s="8">
        <v>245000</v>
      </c>
      <c r="N1847" s="11"/>
      <c r="O1847" s="3" t="s">
        <v>2702</v>
      </c>
      <c r="P1847" s="3" t="s">
        <v>2703</v>
      </c>
    </row>
    <row r="1848" spans="1:16" x14ac:dyDescent="0.3">
      <c r="A1848" s="3" t="s">
        <v>27</v>
      </c>
      <c r="B1848" s="3" t="s">
        <v>980</v>
      </c>
      <c r="C1848" s="3" t="s">
        <v>87</v>
      </c>
      <c r="D1848" s="3" t="s">
        <v>293</v>
      </c>
      <c r="E1848" s="3" t="s">
        <v>31</v>
      </c>
      <c r="F1848" s="3" t="b">
        <v>1</v>
      </c>
      <c r="G1848" s="3" t="s">
        <v>64</v>
      </c>
      <c r="H1848" s="6">
        <v>44943.055</v>
      </c>
      <c r="I1848" s="3" t="b">
        <v>0</v>
      </c>
      <c r="J1848" s="3" t="b">
        <v>1</v>
      </c>
      <c r="K1848" s="3" t="s">
        <v>33</v>
      </c>
      <c r="L1848" s="3" t="s">
        <v>34</v>
      </c>
      <c r="M1848" s="8">
        <v>110000</v>
      </c>
      <c r="N1848" s="11"/>
      <c r="O1848" s="3" t="s">
        <v>2715</v>
      </c>
      <c r="P1848" s="3" t="s">
        <v>2716</v>
      </c>
    </row>
    <row r="1849" spans="1:16" x14ac:dyDescent="0.3">
      <c r="A1849" s="3" t="s">
        <v>27</v>
      </c>
      <c r="B1849" s="3" t="s">
        <v>2718</v>
      </c>
      <c r="C1849" s="3" t="s">
        <v>491</v>
      </c>
      <c r="D1849" s="3" t="s">
        <v>53</v>
      </c>
      <c r="E1849" s="3" t="s">
        <v>1294</v>
      </c>
      <c r="F1849" s="3" t="b">
        <v>0</v>
      </c>
      <c r="G1849" s="3" t="s">
        <v>110</v>
      </c>
      <c r="H1849" s="6">
        <v>44932.795775462961</v>
      </c>
      <c r="I1849" s="3" t="b">
        <v>0</v>
      </c>
      <c r="J1849" s="3" t="b">
        <v>0</v>
      </c>
      <c r="K1849" s="3" t="s">
        <v>110</v>
      </c>
      <c r="L1849" s="3" t="s">
        <v>48</v>
      </c>
      <c r="M1849" s="8"/>
      <c r="N1849" s="11">
        <v>30</v>
      </c>
      <c r="O1849" s="3" t="s">
        <v>2719</v>
      </c>
      <c r="P1849" s="3" t="s">
        <v>2720</v>
      </c>
    </row>
    <row r="1850" spans="1:16" x14ac:dyDescent="0.3">
      <c r="A1850" s="3" t="s">
        <v>27</v>
      </c>
      <c r="B1850" s="3" t="s">
        <v>27</v>
      </c>
      <c r="C1850" s="3" t="s">
        <v>87</v>
      </c>
      <c r="D1850" s="3" t="s">
        <v>76</v>
      </c>
      <c r="E1850" s="3" t="s">
        <v>31</v>
      </c>
      <c r="F1850" s="3" t="b">
        <v>1</v>
      </c>
      <c r="G1850" s="3" t="s">
        <v>58</v>
      </c>
      <c r="H1850" s="6">
        <v>44931.794594907413</v>
      </c>
      <c r="I1850" s="3" t="b">
        <v>0</v>
      </c>
      <c r="J1850" s="3" t="b">
        <v>1</v>
      </c>
      <c r="K1850" s="3" t="s">
        <v>33</v>
      </c>
      <c r="L1850" s="3" t="s">
        <v>34</v>
      </c>
      <c r="M1850" s="8">
        <v>130000</v>
      </c>
      <c r="N1850" s="11"/>
      <c r="O1850" s="3" t="s">
        <v>2724</v>
      </c>
      <c r="P1850" s="3" t="s">
        <v>374</v>
      </c>
    </row>
    <row r="1851" spans="1:16" x14ac:dyDescent="0.3">
      <c r="A1851" s="3" t="s">
        <v>27</v>
      </c>
      <c r="B1851" s="3" t="s">
        <v>27</v>
      </c>
      <c r="C1851" s="3" t="s">
        <v>87</v>
      </c>
      <c r="D1851" s="3" t="s">
        <v>30</v>
      </c>
      <c r="E1851" s="3" t="s">
        <v>31</v>
      </c>
      <c r="F1851" s="3" t="b">
        <v>1</v>
      </c>
      <c r="G1851" s="3" t="s">
        <v>110</v>
      </c>
      <c r="H1851" s="6">
        <v>44947.029918981483</v>
      </c>
      <c r="I1851" s="3" t="b">
        <v>0</v>
      </c>
      <c r="J1851" s="3" t="b">
        <v>0</v>
      </c>
      <c r="K1851" s="3" t="s">
        <v>110</v>
      </c>
      <c r="L1851" s="3" t="s">
        <v>34</v>
      </c>
      <c r="M1851" s="8">
        <v>165000</v>
      </c>
      <c r="N1851" s="11"/>
      <c r="O1851" s="3" t="s">
        <v>2734</v>
      </c>
      <c r="P1851" s="3" t="s">
        <v>2735</v>
      </c>
    </row>
    <row r="1852" spans="1:16" x14ac:dyDescent="0.3">
      <c r="A1852" s="3" t="s">
        <v>27</v>
      </c>
      <c r="B1852" s="3" t="s">
        <v>27</v>
      </c>
      <c r="C1852" s="3" t="s">
        <v>258</v>
      </c>
      <c r="D1852" s="3" t="s">
        <v>30</v>
      </c>
      <c r="E1852" s="3" t="s">
        <v>31</v>
      </c>
      <c r="F1852" s="3" t="b">
        <v>0</v>
      </c>
      <c r="G1852" s="3" t="s">
        <v>32</v>
      </c>
      <c r="H1852" s="6">
        <v>44937.961747685193</v>
      </c>
      <c r="I1852" s="3" t="b">
        <v>0</v>
      </c>
      <c r="J1852" s="3" t="b">
        <v>1</v>
      </c>
      <c r="K1852" s="3" t="s">
        <v>33</v>
      </c>
      <c r="L1852" s="3" t="s">
        <v>34</v>
      </c>
      <c r="M1852" s="8">
        <v>99876.2734375</v>
      </c>
      <c r="N1852" s="11"/>
      <c r="O1852" s="3" t="s">
        <v>2736</v>
      </c>
      <c r="P1852" s="3" t="s">
        <v>2737</v>
      </c>
    </row>
    <row r="1853" spans="1:16" x14ac:dyDescent="0.3">
      <c r="A1853" s="3" t="s">
        <v>27</v>
      </c>
      <c r="B1853" s="3" t="s">
        <v>2745</v>
      </c>
      <c r="C1853" s="3" t="s">
        <v>29</v>
      </c>
      <c r="D1853" s="3" t="s">
        <v>30</v>
      </c>
      <c r="E1853" s="3" t="s">
        <v>31</v>
      </c>
      <c r="F1853" s="3" t="b">
        <v>0</v>
      </c>
      <c r="G1853" s="3" t="s">
        <v>32</v>
      </c>
      <c r="H1853" s="6">
        <v>44937.253541666672</v>
      </c>
      <c r="I1853" s="3" t="b">
        <v>0</v>
      </c>
      <c r="J1853" s="3" t="b">
        <v>1</v>
      </c>
      <c r="K1853" s="3" t="s">
        <v>33</v>
      </c>
      <c r="L1853" s="3" t="s">
        <v>34</v>
      </c>
      <c r="M1853" s="8">
        <v>196800</v>
      </c>
      <c r="N1853" s="11"/>
      <c r="O1853" s="3" t="s">
        <v>35</v>
      </c>
      <c r="P1853" s="3" t="s">
        <v>275</v>
      </c>
    </row>
    <row r="1854" spans="1:16" x14ac:dyDescent="0.3">
      <c r="A1854" s="3" t="s">
        <v>27</v>
      </c>
      <c r="B1854" s="3" t="s">
        <v>2756</v>
      </c>
      <c r="C1854" s="3" t="s">
        <v>87</v>
      </c>
      <c r="D1854" s="3" t="s">
        <v>263</v>
      </c>
      <c r="E1854" s="3" t="s">
        <v>133</v>
      </c>
      <c r="F1854" s="3" t="b">
        <v>1</v>
      </c>
      <c r="G1854" s="3" t="s">
        <v>110</v>
      </c>
      <c r="H1854" s="6">
        <v>44932.753981481481</v>
      </c>
      <c r="I1854" s="3" t="b">
        <v>0</v>
      </c>
      <c r="J1854" s="3" t="b">
        <v>0</v>
      </c>
      <c r="K1854" s="3" t="s">
        <v>110</v>
      </c>
      <c r="L1854" s="3" t="s">
        <v>48</v>
      </c>
      <c r="M1854" s="8"/>
      <c r="N1854" s="11">
        <v>30.5</v>
      </c>
      <c r="O1854" s="3" t="s">
        <v>264</v>
      </c>
      <c r="P1854" s="3"/>
    </row>
    <row r="1855" spans="1:16" x14ac:dyDescent="0.3">
      <c r="A1855" s="3" t="s">
        <v>27</v>
      </c>
      <c r="B1855" s="3" t="s">
        <v>2764</v>
      </c>
      <c r="C1855" s="3" t="s">
        <v>396</v>
      </c>
      <c r="D1855" s="3" t="s">
        <v>76</v>
      </c>
      <c r="E1855" s="3" t="s">
        <v>31</v>
      </c>
      <c r="F1855" s="3" t="b">
        <v>0</v>
      </c>
      <c r="G1855" s="3" t="s">
        <v>110</v>
      </c>
      <c r="H1855" s="6">
        <v>44931.579664351862</v>
      </c>
      <c r="I1855" s="3" t="b">
        <v>0</v>
      </c>
      <c r="J1855" s="3" t="b">
        <v>1</v>
      </c>
      <c r="K1855" s="3" t="s">
        <v>110</v>
      </c>
      <c r="L1855" s="3" t="s">
        <v>34</v>
      </c>
      <c r="M1855" s="8">
        <v>145000</v>
      </c>
      <c r="N1855" s="11"/>
      <c r="O1855" s="3" t="s">
        <v>589</v>
      </c>
      <c r="P1855" s="3" t="s">
        <v>2765</v>
      </c>
    </row>
    <row r="1856" spans="1:16" x14ac:dyDescent="0.3">
      <c r="A1856" s="3" t="s">
        <v>27</v>
      </c>
      <c r="B1856" s="3" t="s">
        <v>2766</v>
      </c>
      <c r="C1856" s="3" t="s">
        <v>565</v>
      </c>
      <c r="D1856" s="3" t="s">
        <v>93</v>
      </c>
      <c r="E1856" s="3" t="s">
        <v>31</v>
      </c>
      <c r="F1856" s="3" t="b">
        <v>0</v>
      </c>
      <c r="G1856" s="3" t="s">
        <v>140</v>
      </c>
      <c r="H1856" s="6">
        <v>44937.282847222217</v>
      </c>
      <c r="I1856" s="3" t="b">
        <v>0</v>
      </c>
      <c r="J1856" s="3" t="b">
        <v>1</v>
      </c>
      <c r="K1856" s="3" t="s">
        <v>33</v>
      </c>
      <c r="L1856" s="3" t="s">
        <v>34</v>
      </c>
      <c r="M1856" s="8">
        <v>125000</v>
      </c>
      <c r="N1856" s="11"/>
      <c r="O1856" s="3" t="s">
        <v>2767</v>
      </c>
      <c r="P1856" s="3" t="s">
        <v>2768</v>
      </c>
    </row>
    <row r="1857" spans="1:16" x14ac:dyDescent="0.3">
      <c r="A1857" s="3" t="s">
        <v>27</v>
      </c>
      <c r="B1857" s="3" t="s">
        <v>2769</v>
      </c>
      <c r="C1857" s="3" t="s">
        <v>87</v>
      </c>
      <c r="D1857" s="3" t="s">
        <v>30</v>
      </c>
      <c r="E1857" s="3" t="s">
        <v>31</v>
      </c>
      <c r="F1857" s="3" t="b">
        <v>1</v>
      </c>
      <c r="G1857" s="3" t="s">
        <v>110</v>
      </c>
      <c r="H1857" s="6">
        <v>44950.333541666667</v>
      </c>
      <c r="I1857" s="3" t="b">
        <v>0</v>
      </c>
      <c r="J1857" s="3" t="b">
        <v>1</v>
      </c>
      <c r="K1857" s="3" t="s">
        <v>110</v>
      </c>
      <c r="L1857" s="3" t="s">
        <v>34</v>
      </c>
      <c r="M1857" s="8">
        <v>210000</v>
      </c>
      <c r="N1857" s="11"/>
      <c r="O1857" s="3" t="s">
        <v>158</v>
      </c>
      <c r="P1857" s="3"/>
    </row>
    <row r="1858" spans="1:16" x14ac:dyDescent="0.3">
      <c r="A1858" s="3" t="s">
        <v>27</v>
      </c>
      <c r="B1858" s="3" t="s">
        <v>2003</v>
      </c>
      <c r="C1858" s="3" t="s">
        <v>75</v>
      </c>
      <c r="D1858" s="3" t="s">
        <v>41</v>
      </c>
      <c r="E1858" s="3" t="s">
        <v>31</v>
      </c>
      <c r="F1858" s="3" t="b">
        <v>0</v>
      </c>
      <c r="G1858" s="3" t="s">
        <v>84</v>
      </c>
      <c r="H1858" s="6">
        <v>44951.129155092603</v>
      </c>
      <c r="I1858" s="3" t="b">
        <v>0</v>
      </c>
      <c r="J1858" s="3" t="b">
        <v>0</v>
      </c>
      <c r="K1858" s="3" t="s">
        <v>33</v>
      </c>
      <c r="L1858" s="3" t="s">
        <v>34</v>
      </c>
      <c r="M1858" s="8">
        <v>192000</v>
      </c>
      <c r="N1858" s="11"/>
      <c r="O1858" s="3" t="s">
        <v>875</v>
      </c>
      <c r="P1858" s="3" t="s">
        <v>2770</v>
      </c>
    </row>
    <row r="1859" spans="1:16" x14ac:dyDescent="0.3">
      <c r="A1859" s="3" t="s">
        <v>27</v>
      </c>
      <c r="B1859" s="3" t="s">
        <v>27</v>
      </c>
      <c r="C1859" s="3" t="s">
        <v>87</v>
      </c>
      <c r="D1859" s="3" t="s">
        <v>53</v>
      </c>
      <c r="E1859" s="3" t="s">
        <v>133</v>
      </c>
      <c r="F1859" s="3" t="b">
        <v>1</v>
      </c>
      <c r="G1859" s="3" t="s">
        <v>64</v>
      </c>
      <c r="H1859" s="6">
        <v>44948.877384259264</v>
      </c>
      <c r="I1859" s="3" t="b">
        <v>0</v>
      </c>
      <c r="J1859" s="3" t="b">
        <v>0</v>
      </c>
      <c r="K1859" s="3" t="s">
        <v>33</v>
      </c>
      <c r="L1859" s="3" t="s">
        <v>34</v>
      </c>
      <c r="M1859" s="8">
        <v>125000</v>
      </c>
      <c r="N1859" s="11"/>
      <c r="O1859" s="3" t="s">
        <v>2784</v>
      </c>
      <c r="P1859" s="3" t="s">
        <v>2785</v>
      </c>
    </row>
    <row r="1860" spans="1:16" x14ac:dyDescent="0.3">
      <c r="A1860" s="3" t="s">
        <v>27</v>
      </c>
      <c r="B1860" s="3" t="s">
        <v>2786</v>
      </c>
      <c r="C1860" s="3"/>
      <c r="D1860" s="3" t="s">
        <v>30</v>
      </c>
      <c r="E1860" s="3" t="s">
        <v>31</v>
      </c>
      <c r="F1860" s="3" t="b">
        <v>0</v>
      </c>
      <c r="G1860" s="3" t="s">
        <v>64</v>
      </c>
      <c r="H1860" s="6">
        <v>44929.730243055557</v>
      </c>
      <c r="I1860" s="3" t="b">
        <v>0</v>
      </c>
      <c r="J1860" s="3" t="b">
        <v>0</v>
      </c>
      <c r="K1860" s="3" t="s">
        <v>33</v>
      </c>
      <c r="L1860" s="3" t="s">
        <v>34</v>
      </c>
      <c r="M1860" s="8">
        <v>190000</v>
      </c>
      <c r="N1860" s="11"/>
      <c r="O1860" s="3" t="s">
        <v>327</v>
      </c>
      <c r="P1860" s="3" t="s">
        <v>2787</v>
      </c>
    </row>
    <row r="1861" spans="1:16" x14ac:dyDescent="0.3">
      <c r="A1861" s="3" t="s">
        <v>27</v>
      </c>
      <c r="B1861" s="3" t="s">
        <v>27</v>
      </c>
      <c r="C1861" s="3" t="s">
        <v>1368</v>
      </c>
      <c r="D1861" s="3" t="s">
        <v>76</v>
      </c>
      <c r="E1861" s="3" t="s">
        <v>31</v>
      </c>
      <c r="F1861" s="3" t="b">
        <v>0</v>
      </c>
      <c r="G1861" s="3" t="s">
        <v>88</v>
      </c>
      <c r="H1861" s="6">
        <v>44933.377858796302</v>
      </c>
      <c r="I1861" s="3" t="b">
        <v>0</v>
      </c>
      <c r="J1861" s="3" t="b">
        <v>1</v>
      </c>
      <c r="K1861" s="3" t="s">
        <v>33</v>
      </c>
      <c r="L1861" s="3" t="s">
        <v>34</v>
      </c>
      <c r="M1861" s="8">
        <v>86000</v>
      </c>
      <c r="N1861" s="11"/>
      <c r="O1861" s="3" t="s">
        <v>2790</v>
      </c>
      <c r="P1861" s="3" t="s">
        <v>2791</v>
      </c>
    </row>
    <row r="1862" spans="1:16" x14ac:dyDescent="0.3">
      <c r="A1862" s="3" t="s">
        <v>27</v>
      </c>
      <c r="B1862" s="3" t="s">
        <v>2797</v>
      </c>
      <c r="C1862" s="3" t="s">
        <v>821</v>
      </c>
      <c r="D1862" s="3" t="s">
        <v>287</v>
      </c>
      <c r="E1862" s="3" t="s">
        <v>31</v>
      </c>
      <c r="F1862" s="3" t="b">
        <v>0</v>
      </c>
      <c r="G1862" s="3" t="s">
        <v>32</v>
      </c>
      <c r="H1862" s="6">
        <v>44941.003032407411</v>
      </c>
      <c r="I1862" s="3" t="b">
        <v>0</v>
      </c>
      <c r="J1862" s="3" t="b">
        <v>1</v>
      </c>
      <c r="K1862" s="3" t="s">
        <v>33</v>
      </c>
      <c r="L1862" s="3" t="s">
        <v>34</v>
      </c>
      <c r="M1862" s="8">
        <v>110000</v>
      </c>
      <c r="N1862" s="11"/>
      <c r="O1862" s="3" t="s">
        <v>2798</v>
      </c>
      <c r="P1862" s="3" t="s">
        <v>2799</v>
      </c>
    </row>
    <row r="1863" spans="1:16" x14ac:dyDescent="0.3">
      <c r="A1863" s="3" t="s">
        <v>27</v>
      </c>
      <c r="B1863" s="3" t="s">
        <v>27</v>
      </c>
      <c r="C1863" s="3" t="s">
        <v>2808</v>
      </c>
      <c r="D1863" s="3" t="s">
        <v>41</v>
      </c>
      <c r="E1863" s="3" t="s">
        <v>31</v>
      </c>
      <c r="F1863" s="3" t="b">
        <v>0</v>
      </c>
      <c r="G1863" s="3" t="s">
        <v>359</v>
      </c>
      <c r="H1863" s="6">
        <v>44949.913171296299</v>
      </c>
      <c r="I1863" s="3" t="b">
        <v>0</v>
      </c>
      <c r="J1863" s="3" t="b">
        <v>0</v>
      </c>
      <c r="K1863" s="3" t="s">
        <v>359</v>
      </c>
      <c r="L1863" s="3" t="s">
        <v>34</v>
      </c>
      <c r="M1863" s="8">
        <v>64821.5</v>
      </c>
      <c r="N1863" s="11"/>
      <c r="O1863" s="3" t="s">
        <v>2809</v>
      </c>
      <c r="P1863" s="3" t="s">
        <v>2810</v>
      </c>
    </row>
    <row r="1864" spans="1:16" x14ac:dyDescent="0.3">
      <c r="A1864" s="3" t="s">
        <v>27</v>
      </c>
      <c r="B1864" s="3" t="s">
        <v>2836</v>
      </c>
      <c r="C1864" s="3" t="s">
        <v>87</v>
      </c>
      <c r="D1864" s="3" t="s">
        <v>30</v>
      </c>
      <c r="E1864" s="3" t="s">
        <v>133</v>
      </c>
      <c r="F1864" s="3" t="b">
        <v>1</v>
      </c>
      <c r="G1864" s="3" t="s">
        <v>58</v>
      </c>
      <c r="H1864" s="6">
        <v>44954.628263888888</v>
      </c>
      <c r="I1864" s="3" t="b">
        <v>0</v>
      </c>
      <c r="J1864" s="3" t="b">
        <v>0</v>
      </c>
      <c r="K1864" s="3" t="s">
        <v>33</v>
      </c>
      <c r="L1864" s="3" t="s">
        <v>48</v>
      </c>
      <c r="M1864" s="8"/>
      <c r="N1864" s="11">
        <v>57.5</v>
      </c>
      <c r="O1864" s="3" t="s">
        <v>1189</v>
      </c>
      <c r="P1864" s="3" t="s">
        <v>2837</v>
      </c>
    </row>
    <row r="1865" spans="1:16" x14ac:dyDescent="0.3">
      <c r="A1865" s="3" t="s">
        <v>27</v>
      </c>
      <c r="B1865" s="3" t="s">
        <v>2852</v>
      </c>
      <c r="C1865" s="3" t="s">
        <v>87</v>
      </c>
      <c r="D1865" s="3" t="s">
        <v>53</v>
      </c>
      <c r="E1865" s="3" t="s">
        <v>31</v>
      </c>
      <c r="F1865" s="3" t="b">
        <v>1</v>
      </c>
      <c r="G1865" s="3" t="s">
        <v>88</v>
      </c>
      <c r="H1865" s="6">
        <v>44939.089166666658</v>
      </c>
      <c r="I1865" s="3" t="b">
        <v>0</v>
      </c>
      <c r="J1865" s="3" t="b">
        <v>1</v>
      </c>
      <c r="K1865" s="3" t="s">
        <v>33</v>
      </c>
      <c r="L1865" s="3" t="s">
        <v>34</v>
      </c>
      <c r="M1865" s="8">
        <v>120000</v>
      </c>
      <c r="N1865" s="11"/>
      <c r="O1865" s="3" t="s">
        <v>2853</v>
      </c>
      <c r="P1865" s="3" t="s">
        <v>2854</v>
      </c>
    </row>
    <row r="1866" spans="1:16" x14ac:dyDescent="0.3">
      <c r="A1866" s="3" t="s">
        <v>27</v>
      </c>
      <c r="B1866" s="3" t="s">
        <v>2860</v>
      </c>
      <c r="C1866" s="3" t="s">
        <v>321</v>
      </c>
      <c r="D1866" s="3" t="s">
        <v>1419</v>
      </c>
      <c r="E1866" s="3" t="s">
        <v>31</v>
      </c>
      <c r="F1866" s="3" t="b">
        <v>0</v>
      </c>
      <c r="G1866" s="3" t="s">
        <v>88</v>
      </c>
      <c r="H1866" s="6">
        <v>44950.671307870369</v>
      </c>
      <c r="I1866" s="3" t="b">
        <v>0</v>
      </c>
      <c r="J1866" s="3" t="b">
        <v>1</v>
      </c>
      <c r="K1866" s="3" t="s">
        <v>33</v>
      </c>
      <c r="L1866" s="3" t="s">
        <v>34</v>
      </c>
      <c r="M1866" s="8">
        <v>150000</v>
      </c>
      <c r="N1866" s="11"/>
      <c r="O1866" s="3" t="s">
        <v>2861</v>
      </c>
      <c r="P1866" s="3" t="s">
        <v>38</v>
      </c>
    </row>
    <row r="1867" spans="1:16" x14ac:dyDescent="0.3">
      <c r="A1867" s="3" t="s">
        <v>27</v>
      </c>
      <c r="B1867" s="3" t="s">
        <v>27</v>
      </c>
      <c r="C1867" s="3" t="s">
        <v>87</v>
      </c>
      <c r="D1867" s="3" t="s">
        <v>76</v>
      </c>
      <c r="E1867" s="3" t="s">
        <v>31</v>
      </c>
      <c r="F1867" s="3" t="b">
        <v>1</v>
      </c>
      <c r="G1867" s="3" t="s">
        <v>110</v>
      </c>
      <c r="H1867" s="6">
        <v>44938.6403587963</v>
      </c>
      <c r="I1867" s="3" t="b">
        <v>0</v>
      </c>
      <c r="J1867" s="3" t="b">
        <v>1</v>
      </c>
      <c r="K1867" s="3" t="s">
        <v>110</v>
      </c>
      <c r="L1867" s="3" t="s">
        <v>34</v>
      </c>
      <c r="M1867" s="8">
        <v>110000</v>
      </c>
      <c r="N1867" s="11"/>
      <c r="O1867" s="3" t="s">
        <v>2865</v>
      </c>
      <c r="P1867" s="3" t="s">
        <v>347</v>
      </c>
    </row>
    <row r="1868" spans="1:16" x14ac:dyDescent="0.3">
      <c r="A1868" s="3" t="s">
        <v>27</v>
      </c>
      <c r="B1868" s="3" t="s">
        <v>2873</v>
      </c>
      <c r="C1868" s="3" t="s">
        <v>2874</v>
      </c>
      <c r="D1868" s="3" t="s">
        <v>30</v>
      </c>
      <c r="E1868" s="3" t="s">
        <v>31</v>
      </c>
      <c r="F1868" s="3" t="b">
        <v>0</v>
      </c>
      <c r="G1868" s="3" t="s">
        <v>32</v>
      </c>
      <c r="H1868" s="6">
        <v>44946.515092592592</v>
      </c>
      <c r="I1868" s="3" t="b">
        <v>0</v>
      </c>
      <c r="J1868" s="3" t="b">
        <v>1</v>
      </c>
      <c r="K1868" s="3" t="s">
        <v>33</v>
      </c>
      <c r="L1868" s="3" t="s">
        <v>34</v>
      </c>
      <c r="M1868" s="8">
        <v>160000</v>
      </c>
      <c r="N1868" s="11"/>
      <c r="O1868" s="3" t="s">
        <v>80</v>
      </c>
      <c r="P1868" s="3" t="s">
        <v>2415</v>
      </c>
    </row>
    <row r="1869" spans="1:16" x14ac:dyDescent="0.3">
      <c r="A1869" s="3" t="s">
        <v>27</v>
      </c>
      <c r="B1869" s="3" t="s">
        <v>2878</v>
      </c>
      <c r="C1869" s="3"/>
      <c r="D1869" s="3" t="s">
        <v>30</v>
      </c>
      <c r="E1869" s="3" t="s">
        <v>31</v>
      </c>
      <c r="F1869" s="3" t="b">
        <v>0</v>
      </c>
      <c r="G1869" s="3" t="s">
        <v>64</v>
      </c>
      <c r="H1869" s="6">
        <v>44950.960462962961</v>
      </c>
      <c r="I1869" s="3" t="b">
        <v>0</v>
      </c>
      <c r="J1869" s="3" t="b">
        <v>0</v>
      </c>
      <c r="K1869" s="3" t="s">
        <v>33</v>
      </c>
      <c r="L1869" s="3" t="s">
        <v>34</v>
      </c>
      <c r="M1869" s="8">
        <v>225000</v>
      </c>
      <c r="N1869" s="11"/>
      <c r="O1869" s="3" t="s">
        <v>344</v>
      </c>
      <c r="P1869" s="3" t="s">
        <v>2879</v>
      </c>
    </row>
    <row r="1870" spans="1:16" x14ac:dyDescent="0.3">
      <c r="A1870" s="3" t="s">
        <v>27</v>
      </c>
      <c r="B1870" s="3" t="s">
        <v>2884</v>
      </c>
      <c r="C1870" s="3" t="s">
        <v>33</v>
      </c>
      <c r="D1870" s="3" t="s">
        <v>30</v>
      </c>
      <c r="E1870" s="3" t="s">
        <v>31</v>
      </c>
      <c r="F1870" s="3" t="b">
        <v>0</v>
      </c>
      <c r="G1870" s="3" t="s">
        <v>58</v>
      </c>
      <c r="H1870" s="6">
        <v>44930.836631944447</v>
      </c>
      <c r="I1870" s="3" t="b">
        <v>1</v>
      </c>
      <c r="J1870" s="3" t="b">
        <v>1</v>
      </c>
      <c r="K1870" s="3" t="s">
        <v>33</v>
      </c>
      <c r="L1870" s="3" t="s">
        <v>34</v>
      </c>
      <c r="M1870" s="8">
        <v>222500</v>
      </c>
      <c r="N1870" s="11"/>
      <c r="O1870" s="3" t="s">
        <v>614</v>
      </c>
      <c r="P1870" s="3"/>
    </row>
    <row r="1871" spans="1:16" x14ac:dyDescent="0.3">
      <c r="A1871" s="3" t="s">
        <v>27</v>
      </c>
      <c r="B1871" s="3" t="s">
        <v>2885</v>
      </c>
      <c r="C1871" s="3" t="s">
        <v>2886</v>
      </c>
      <c r="D1871" s="3" t="s">
        <v>867</v>
      </c>
      <c r="E1871" s="3" t="s">
        <v>31</v>
      </c>
      <c r="F1871" s="3" t="b">
        <v>0</v>
      </c>
      <c r="G1871" s="3" t="s">
        <v>88</v>
      </c>
      <c r="H1871" s="6">
        <v>44949.002141203702</v>
      </c>
      <c r="I1871" s="3" t="b">
        <v>0</v>
      </c>
      <c r="J1871" s="3" t="b">
        <v>0</v>
      </c>
      <c r="K1871" s="3" t="s">
        <v>33</v>
      </c>
      <c r="L1871" s="3" t="s">
        <v>34</v>
      </c>
      <c r="M1871" s="8">
        <v>103330</v>
      </c>
      <c r="N1871" s="11"/>
      <c r="O1871" s="3" t="s">
        <v>2466</v>
      </c>
      <c r="P1871" s="3" t="s">
        <v>2887</v>
      </c>
    </row>
    <row r="1872" spans="1:16" x14ac:dyDescent="0.3">
      <c r="A1872" s="3" t="s">
        <v>27</v>
      </c>
      <c r="B1872" s="3" t="s">
        <v>1622</v>
      </c>
      <c r="C1872" s="3" t="s">
        <v>2903</v>
      </c>
      <c r="D1872" s="3" t="s">
        <v>93</v>
      </c>
      <c r="E1872" s="3" t="s">
        <v>31</v>
      </c>
      <c r="F1872" s="3" t="b">
        <v>0</v>
      </c>
      <c r="G1872" s="3" t="s">
        <v>64</v>
      </c>
      <c r="H1872" s="6">
        <v>44938.33693287037</v>
      </c>
      <c r="I1872" s="3" t="b">
        <v>0</v>
      </c>
      <c r="J1872" s="3" t="b">
        <v>1</v>
      </c>
      <c r="K1872" s="3" t="s">
        <v>33</v>
      </c>
      <c r="L1872" s="3" t="s">
        <v>34</v>
      </c>
      <c r="M1872" s="8">
        <v>90000</v>
      </c>
      <c r="N1872" s="11"/>
      <c r="O1872" s="3" t="s">
        <v>784</v>
      </c>
      <c r="P1872" s="3" t="s">
        <v>2904</v>
      </c>
    </row>
    <row r="1873" spans="1:16" x14ac:dyDescent="0.3">
      <c r="A1873" s="3" t="s">
        <v>27</v>
      </c>
      <c r="B1873" s="3" t="s">
        <v>257</v>
      </c>
      <c r="C1873" s="3" t="s">
        <v>87</v>
      </c>
      <c r="D1873" s="3" t="s">
        <v>30</v>
      </c>
      <c r="E1873" s="3" t="s">
        <v>31</v>
      </c>
      <c r="F1873" s="3" t="b">
        <v>1</v>
      </c>
      <c r="G1873" s="3" t="s">
        <v>58</v>
      </c>
      <c r="H1873" s="6">
        <v>44946.932395833333</v>
      </c>
      <c r="I1873" s="3" t="b">
        <v>0</v>
      </c>
      <c r="J1873" s="3" t="b">
        <v>1</v>
      </c>
      <c r="K1873" s="3" t="s">
        <v>33</v>
      </c>
      <c r="L1873" s="3" t="s">
        <v>34</v>
      </c>
      <c r="M1873" s="8">
        <v>140000</v>
      </c>
      <c r="N1873" s="11"/>
      <c r="O1873" s="3" t="s">
        <v>485</v>
      </c>
      <c r="P1873" s="3" t="s">
        <v>2905</v>
      </c>
    </row>
    <row r="1874" spans="1:16" x14ac:dyDescent="0.3">
      <c r="A1874" s="3" t="s">
        <v>27</v>
      </c>
      <c r="B1874" s="3" t="s">
        <v>27</v>
      </c>
      <c r="C1874" s="3" t="s">
        <v>1184</v>
      </c>
      <c r="D1874" s="3" t="s">
        <v>1795</v>
      </c>
      <c r="E1874" s="3" t="s">
        <v>31</v>
      </c>
      <c r="F1874" s="3" t="b">
        <v>0</v>
      </c>
      <c r="G1874" s="3" t="s">
        <v>110</v>
      </c>
      <c r="H1874" s="6">
        <v>44956.33766203704</v>
      </c>
      <c r="I1874" s="3" t="b">
        <v>0</v>
      </c>
      <c r="J1874" s="3" t="b">
        <v>0</v>
      </c>
      <c r="K1874" s="3" t="s">
        <v>110</v>
      </c>
      <c r="L1874" s="3" t="s">
        <v>34</v>
      </c>
      <c r="M1874" s="8">
        <v>150000</v>
      </c>
      <c r="N1874" s="11"/>
      <c r="O1874" s="3" t="s">
        <v>1796</v>
      </c>
      <c r="P1874" s="3" t="s">
        <v>2907</v>
      </c>
    </row>
    <row r="1875" spans="1:16" x14ac:dyDescent="0.3">
      <c r="A1875" s="3" t="s">
        <v>27</v>
      </c>
      <c r="B1875" s="3" t="s">
        <v>2910</v>
      </c>
      <c r="C1875" s="3" t="s">
        <v>79</v>
      </c>
      <c r="D1875" s="3" t="s">
        <v>296</v>
      </c>
      <c r="E1875" s="3" t="s">
        <v>31</v>
      </c>
      <c r="F1875" s="3" t="b">
        <v>0</v>
      </c>
      <c r="G1875" s="3" t="s">
        <v>58</v>
      </c>
      <c r="H1875" s="6">
        <v>44929.981562499997</v>
      </c>
      <c r="I1875" s="3" t="b">
        <v>0</v>
      </c>
      <c r="J1875" s="3" t="b">
        <v>0</v>
      </c>
      <c r="K1875" s="3" t="s">
        <v>33</v>
      </c>
      <c r="L1875" s="3" t="s">
        <v>48</v>
      </c>
      <c r="M1875" s="8"/>
      <c r="N1875" s="11">
        <v>24</v>
      </c>
      <c r="O1875" s="3" t="s">
        <v>657</v>
      </c>
      <c r="P1875" s="3"/>
    </row>
    <row r="1876" spans="1:16" x14ac:dyDescent="0.3">
      <c r="A1876" s="3" t="s">
        <v>27</v>
      </c>
      <c r="B1876" s="3" t="s">
        <v>27</v>
      </c>
      <c r="C1876" s="3" t="s">
        <v>965</v>
      </c>
      <c r="D1876" s="3" t="s">
        <v>237</v>
      </c>
      <c r="E1876" s="3" t="s">
        <v>31</v>
      </c>
      <c r="F1876" s="3" t="b">
        <v>0</v>
      </c>
      <c r="G1876" s="3" t="s">
        <v>64</v>
      </c>
      <c r="H1876" s="6">
        <v>44942.680254629631</v>
      </c>
      <c r="I1876" s="3" t="b">
        <v>0</v>
      </c>
      <c r="J1876" s="3" t="b">
        <v>0</v>
      </c>
      <c r="K1876" s="3" t="s">
        <v>33</v>
      </c>
      <c r="L1876" s="3" t="s">
        <v>34</v>
      </c>
      <c r="M1876" s="8">
        <v>145000</v>
      </c>
      <c r="N1876" s="11"/>
      <c r="O1876" s="3" t="s">
        <v>175</v>
      </c>
      <c r="P1876" s="3" t="s">
        <v>1947</v>
      </c>
    </row>
    <row r="1877" spans="1:16" x14ac:dyDescent="0.3">
      <c r="A1877" s="3" t="s">
        <v>27</v>
      </c>
      <c r="B1877" s="3" t="s">
        <v>2927</v>
      </c>
      <c r="C1877" s="3" t="s">
        <v>270</v>
      </c>
      <c r="D1877" s="3" t="s">
        <v>30</v>
      </c>
      <c r="E1877" s="3" t="s">
        <v>31</v>
      </c>
      <c r="F1877" s="3" t="b">
        <v>0</v>
      </c>
      <c r="G1877" s="3" t="s">
        <v>32</v>
      </c>
      <c r="H1877" s="6">
        <v>44937.253587962958</v>
      </c>
      <c r="I1877" s="3" t="b">
        <v>0</v>
      </c>
      <c r="J1877" s="3" t="b">
        <v>1</v>
      </c>
      <c r="K1877" s="3" t="s">
        <v>33</v>
      </c>
      <c r="L1877" s="3" t="s">
        <v>34</v>
      </c>
      <c r="M1877" s="8">
        <v>158857.5</v>
      </c>
      <c r="N1877" s="11"/>
      <c r="O1877" s="3" t="s">
        <v>35</v>
      </c>
      <c r="P1877" s="3" t="s">
        <v>2928</v>
      </c>
    </row>
    <row r="1878" spans="1:16" x14ac:dyDescent="0.3">
      <c r="A1878" s="3" t="s">
        <v>27</v>
      </c>
      <c r="B1878" s="3" t="s">
        <v>2929</v>
      </c>
      <c r="C1878" s="3" t="s">
        <v>2930</v>
      </c>
      <c r="D1878" s="3" t="s">
        <v>287</v>
      </c>
      <c r="E1878" s="3" t="s">
        <v>31</v>
      </c>
      <c r="F1878" s="3" t="b">
        <v>0</v>
      </c>
      <c r="G1878" s="3" t="s">
        <v>88</v>
      </c>
      <c r="H1878" s="6">
        <v>44934.002800925933</v>
      </c>
      <c r="I1878" s="3" t="b">
        <v>0</v>
      </c>
      <c r="J1878" s="3" t="b">
        <v>0</v>
      </c>
      <c r="K1878" s="3" t="s">
        <v>33</v>
      </c>
      <c r="L1878" s="3" t="s">
        <v>34</v>
      </c>
      <c r="M1878" s="8">
        <v>96103</v>
      </c>
      <c r="N1878" s="11"/>
      <c r="O1878" s="3" t="s">
        <v>2931</v>
      </c>
      <c r="P1878" s="3"/>
    </row>
    <row r="1879" spans="1:16" x14ac:dyDescent="0.3">
      <c r="A1879" s="3" t="s">
        <v>27</v>
      </c>
      <c r="B1879" s="3" t="s">
        <v>2932</v>
      </c>
      <c r="C1879" s="3" t="s">
        <v>87</v>
      </c>
      <c r="D1879" s="3" t="s">
        <v>263</v>
      </c>
      <c r="E1879" s="3" t="s">
        <v>133</v>
      </c>
      <c r="F1879" s="3" t="b">
        <v>1</v>
      </c>
      <c r="G1879" s="3" t="s">
        <v>110</v>
      </c>
      <c r="H1879" s="6">
        <v>44944.950856481482</v>
      </c>
      <c r="I1879" s="3" t="b">
        <v>0</v>
      </c>
      <c r="J1879" s="3" t="b">
        <v>0</v>
      </c>
      <c r="K1879" s="3" t="s">
        <v>110</v>
      </c>
      <c r="L1879" s="3" t="s">
        <v>48</v>
      </c>
      <c r="M1879" s="8"/>
      <c r="N1879" s="11">
        <v>44.5</v>
      </c>
      <c r="O1879" s="3" t="s">
        <v>264</v>
      </c>
      <c r="P1879" s="3" t="s">
        <v>2415</v>
      </c>
    </row>
    <row r="1880" spans="1:16" x14ac:dyDescent="0.3">
      <c r="A1880" s="3" t="s">
        <v>27</v>
      </c>
      <c r="B1880" s="3" t="s">
        <v>27</v>
      </c>
      <c r="C1880" s="3" t="s">
        <v>33</v>
      </c>
      <c r="D1880" s="3" t="s">
        <v>30</v>
      </c>
      <c r="E1880" s="3" t="s">
        <v>31</v>
      </c>
      <c r="F1880" s="3" t="b">
        <v>0</v>
      </c>
      <c r="G1880" s="3" t="s">
        <v>110</v>
      </c>
      <c r="H1880" s="6">
        <v>44942.808854166673</v>
      </c>
      <c r="I1880" s="3" t="b">
        <v>0</v>
      </c>
      <c r="J1880" s="3" t="b">
        <v>1</v>
      </c>
      <c r="K1880" s="3" t="s">
        <v>110</v>
      </c>
      <c r="L1880" s="3" t="s">
        <v>34</v>
      </c>
      <c r="M1880" s="8">
        <v>140000</v>
      </c>
      <c r="N1880" s="11"/>
      <c r="O1880" s="3" t="s">
        <v>2933</v>
      </c>
      <c r="P1880" s="3" t="s">
        <v>2934</v>
      </c>
    </row>
    <row r="1881" spans="1:16" x14ac:dyDescent="0.3">
      <c r="A1881" s="3" t="s">
        <v>27</v>
      </c>
      <c r="B1881" s="3" t="s">
        <v>27</v>
      </c>
      <c r="C1881" s="3" t="s">
        <v>549</v>
      </c>
      <c r="D1881" s="3" t="s">
        <v>41</v>
      </c>
      <c r="E1881" s="3" t="s">
        <v>31</v>
      </c>
      <c r="F1881" s="3" t="b">
        <v>0</v>
      </c>
      <c r="G1881" s="3" t="s">
        <v>140</v>
      </c>
      <c r="H1881" s="6">
        <v>44939.014039351852</v>
      </c>
      <c r="I1881" s="3" t="b">
        <v>0</v>
      </c>
      <c r="J1881" s="3" t="b">
        <v>0</v>
      </c>
      <c r="K1881" s="3" t="s">
        <v>33</v>
      </c>
      <c r="L1881" s="3" t="s">
        <v>34</v>
      </c>
      <c r="M1881" s="8">
        <v>157500</v>
      </c>
      <c r="N1881" s="11"/>
      <c r="O1881" s="3" t="s">
        <v>2946</v>
      </c>
      <c r="P1881" s="3" t="s">
        <v>2947</v>
      </c>
    </row>
    <row r="1882" spans="1:16" x14ac:dyDescent="0.3">
      <c r="A1882" s="3" t="s">
        <v>27</v>
      </c>
      <c r="B1882" s="3" t="s">
        <v>2951</v>
      </c>
      <c r="C1882" s="3" t="s">
        <v>2952</v>
      </c>
      <c r="D1882" s="3" t="s">
        <v>2953</v>
      </c>
      <c r="E1882" s="3" t="s">
        <v>31</v>
      </c>
      <c r="F1882" s="3" t="b">
        <v>0</v>
      </c>
      <c r="G1882" s="3" t="s">
        <v>110</v>
      </c>
      <c r="H1882" s="6">
        <v>44949.002106481479</v>
      </c>
      <c r="I1882" s="3" t="b">
        <v>0</v>
      </c>
      <c r="J1882" s="3" t="b">
        <v>0</v>
      </c>
      <c r="K1882" s="3" t="s">
        <v>110</v>
      </c>
      <c r="L1882" s="3" t="s">
        <v>48</v>
      </c>
      <c r="M1882" s="8"/>
      <c r="N1882" s="11">
        <v>24</v>
      </c>
      <c r="O1882" s="3" t="s">
        <v>2954</v>
      </c>
      <c r="P1882" s="3" t="s">
        <v>2955</v>
      </c>
    </row>
    <row r="1883" spans="1:16" x14ac:dyDescent="0.3">
      <c r="A1883" s="3" t="s">
        <v>27</v>
      </c>
      <c r="B1883" s="3" t="s">
        <v>2964</v>
      </c>
      <c r="C1883" s="3" t="s">
        <v>2965</v>
      </c>
      <c r="D1883" s="3" t="s">
        <v>76</v>
      </c>
      <c r="E1883" s="3" t="s">
        <v>31</v>
      </c>
      <c r="F1883" s="3" t="b">
        <v>0</v>
      </c>
      <c r="G1883" s="3" t="s">
        <v>32</v>
      </c>
      <c r="H1883" s="6">
        <v>44935.7112037037</v>
      </c>
      <c r="I1883" s="3" t="b">
        <v>0</v>
      </c>
      <c r="J1883" s="3" t="b">
        <v>1</v>
      </c>
      <c r="K1883" s="3" t="s">
        <v>33</v>
      </c>
      <c r="L1883" s="3" t="s">
        <v>34</v>
      </c>
      <c r="M1883" s="8">
        <v>212500</v>
      </c>
      <c r="N1883" s="11"/>
      <c r="O1883" s="3" t="s">
        <v>2966</v>
      </c>
      <c r="P1883" s="3" t="s">
        <v>2967</v>
      </c>
    </row>
    <row r="1884" spans="1:16" x14ac:dyDescent="0.3">
      <c r="A1884" s="3" t="s">
        <v>27</v>
      </c>
      <c r="B1884" s="3" t="s">
        <v>27</v>
      </c>
      <c r="C1884" s="3" t="s">
        <v>87</v>
      </c>
      <c r="D1884" s="3" t="s">
        <v>30</v>
      </c>
      <c r="E1884" s="3" t="s">
        <v>31</v>
      </c>
      <c r="F1884" s="3" t="b">
        <v>1</v>
      </c>
      <c r="G1884" s="3" t="s">
        <v>110</v>
      </c>
      <c r="H1884" s="6">
        <v>44938.723553240743</v>
      </c>
      <c r="I1884" s="3" t="b">
        <v>0</v>
      </c>
      <c r="J1884" s="3" t="b">
        <v>0</v>
      </c>
      <c r="K1884" s="3" t="s">
        <v>110</v>
      </c>
      <c r="L1884" s="3" t="s">
        <v>34</v>
      </c>
      <c r="M1884" s="8">
        <v>110000</v>
      </c>
      <c r="N1884" s="11"/>
      <c r="O1884" s="3" t="s">
        <v>327</v>
      </c>
      <c r="P1884" s="3" t="s">
        <v>2971</v>
      </c>
    </row>
    <row r="1885" spans="1:16" x14ac:dyDescent="0.3">
      <c r="A1885" s="3" t="s">
        <v>27</v>
      </c>
      <c r="B1885" s="3" t="s">
        <v>2995</v>
      </c>
      <c r="C1885" s="3" t="s">
        <v>2996</v>
      </c>
      <c r="D1885" s="3" t="s">
        <v>41</v>
      </c>
      <c r="E1885" s="3" t="s">
        <v>31</v>
      </c>
      <c r="F1885" s="3" t="b">
        <v>0</v>
      </c>
      <c r="G1885" s="3" t="s">
        <v>1548</v>
      </c>
      <c r="H1885" s="6">
        <v>44933.073506944442</v>
      </c>
      <c r="I1885" s="3" t="b">
        <v>0</v>
      </c>
      <c r="J1885" s="3" t="b">
        <v>0</v>
      </c>
      <c r="K1885" s="3" t="s">
        <v>1548</v>
      </c>
      <c r="L1885" s="3" t="s">
        <v>34</v>
      </c>
      <c r="M1885" s="8">
        <v>81900</v>
      </c>
      <c r="N1885" s="11"/>
      <c r="O1885" s="3" t="s">
        <v>1549</v>
      </c>
      <c r="P1885" s="3" t="s">
        <v>2997</v>
      </c>
    </row>
    <row r="1886" spans="1:16" x14ac:dyDescent="0.3">
      <c r="A1886" s="3" t="s">
        <v>27</v>
      </c>
      <c r="B1886" s="3" t="s">
        <v>3004</v>
      </c>
      <c r="C1886" s="3" t="s">
        <v>33</v>
      </c>
      <c r="D1886" s="3" t="s">
        <v>30</v>
      </c>
      <c r="E1886" s="3" t="s">
        <v>31</v>
      </c>
      <c r="F1886" s="3" t="b">
        <v>0</v>
      </c>
      <c r="G1886" s="3" t="s">
        <v>110</v>
      </c>
      <c r="H1886" s="6">
        <v>44938.07613425926</v>
      </c>
      <c r="I1886" s="3" t="b">
        <v>0</v>
      </c>
      <c r="J1886" s="3" t="b">
        <v>0</v>
      </c>
      <c r="K1886" s="3" t="s">
        <v>110</v>
      </c>
      <c r="L1886" s="3" t="s">
        <v>34</v>
      </c>
      <c r="M1886" s="8">
        <v>250000</v>
      </c>
      <c r="N1886" s="11"/>
      <c r="O1886" s="3" t="s">
        <v>344</v>
      </c>
      <c r="P1886" s="3" t="s">
        <v>2879</v>
      </c>
    </row>
    <row r="1887" spans="1:16" x14ac:dyDescent="0.3">
      <c r="A1887" s="3" t="s">
        <v>27</v>
      </c>
      <c r="B1887" s="3" t="s">
        <v>3016</v>
      </c>
      <c r="C1887" s="3" t="s">
        <v>1623</v>
      </c>
      <c r="D1887" s="3" t="s">
        <v>950</v>
      </c>
      <c r="E1887" s="3" t="s">
        <v>31</v>
      </c>
      <c r="F1887" s="3" t="b">
        <v>0</v>
      </c>
      <c r="G1887" s="3" t="s">
        <v>84</v>
      </c>
      <c r="H1887" s="6">
        <v>44954.587118055562</v>
      </c>
      <c r="I1887" s="3" t="b">
        <v>0</v>
      </c>
      <c r="J1887" s="3" t="b">
        <v>1</v>
      </c>
      <c r="K1887" s="3" t="s">
        <v>33</v>
      </c>
      <c r="L1887" s="3" t="s">
        <v>34</v>
      </c>
      <c r="M1887" s="8">
        <v>119550</v>
      </c>
      <c r="N1887" s="11"/>
      <c r="O1887" s="3" t="s">
        <v>784</v>
      </c>
      <c r="P1887" s="3" t="s">
        <v>1624</v>
      </c>
    </row>
    <row r="1888" spans="1:16" x14ac:dyDescent="0.3">
      <c r="A1888" s="3" t="s">
        <v>27</v>
      </c>
      <c r="B1888" s="3" t="s">
        <v>3026</v>
      </c>
      <c r="C1888" s="3" t="s">
        <v>3027</v>
      </c>
      <c r="D1888" s="3" t="s">
        <v>41</v>
      </c>
      <c r="E1888" s="3" t="s">
        <v>31</v>
      </c>
      <c r="F1888" s="3" t="b">
        <v>0</v>
      </c>
      <c r="G1888" s="3" t="s">
        <v>42</v>
      </c>
      <c r="H1888" s="6">
        <v>44952.42759259259</v>
      </c>
      <c r="I1888" s="3" t="b">
        <v>0</v>
      </c>
      <c r="J1888" s="3" t="b">
        <v>0</v>
      </c>
      <c r="K1888" s="3" t="s">
        <v>42</v>
      </c>
      <c r="L1888" s="3" t="s">
        <v>34</v>
      </c>
      <c r="M1888" s="8">
        <v>56700</v>
      </c>
      <c r="N1888" s="11"/>
      <c r="O1888" s="3" t="s">
        <v>3028</v>
      </c>
      <c r="P1888" s="3" t="s">
        <v>3029</v>
      </c>
    </row>
    <row r="1889" spans="1:16" x14ac:dyDescent="0.3">
      <c r="A1889" s="3" t="s">
        <v>27</v>
      </c>
      <c r="B1889" s="3" t="s">
        <v>3035</v>
      </c>
      <c r="C1889" s="3" t="s">
        <v>87</v>
      </c>
      <c r="D1889" s="3" t="s">
        <v>76</v>
      </c>
      <c r="E1889" s="3" t="s">
        <v>31</v>
      </c>
      <c r="F1889" s="3" t="b">
        <v>1</v>
      </c>
      <c r="G1889" s="3" t="s">
        <v>88</v>
      </c>
      <c r="H1889" s="6">
        <v>44951.962430555563</v>
      </c>
      <c r="I1889" s="3" t="b">
        <v>0</v>
      </c>
      <c r="J1889" s="3" t="b">
        <v>1</v>
      </c>
      <c r="K1889" s="3" t="s">
        <v>33</v>
      </c>
      <c r="L1889" s="3" t="s">
        <v>34</v>
      </c>
      <c r="M1889" s="8">
        <v>150000</v>
      </c>
      <c r="N1889" s="11"/>
      <c r="O1889" s="3" t="s">
        <v>3036</v>
      </c>
      <c r="P1889" s="3" t="s">
        <v>3037</v>
      </c>
    </row>
    <row r="1890" spans="1:16" x14ac:dyDescent="0.3">
      <c r="A1890" s="3" t="s">
        <v>27</v>
      </c>
      <c r="B1890" s="3" t="s">
        <v>519</v>
      </c>
      <c r="C1890" s="3" t="s">
        <v>472</v>
      </c>
      <c r="D1890" s="3" t="s">
        <v>93</v>
      </c>
      <c r="E1890" s="3" t="s">
        <v>31</v>
      </c>
      <c r="F1890" s="3" t="b">
        <v>0</v>
      </c>
      <c r="G1890" s="3" t="s">
        <v>64</v>
      </c>
      <c r="H1890" s="6">
        <v>44937.377881944441</v>
      </c>
      <c r="I1890" s="3" t="b">
        <v>0</v>
      </c>
      <c r="J1890" s="3" t="b">
        <v>1</v>
      </c>
      <c r="K1890" s="3" t="s">
        <v>33</v>
      </c>
      <c r="L1890" s="3" t="s">
        <v>34</v>
      </c>
      <c r="M1890" s="8">
        <v>150000</v>
      </c>
      <c r="N1890" s="11"/>
      <c r="O1890" s="3" t="s">
        <v>3050</v>
      </c>
      <c r="P1890" s="3" t="s">
        <v>3051</v>
      </c>
    </row>
    <row r="1891" spans="1:16" x14ac:dyDescent="0.3">
      <c r="A1891" s="3" t="s">
        <v>27</v>
      </c>
      <c r="B1891" s="3" t="s">
        <v>3052</v>
      </c>
      <c r="C1891" s="3" t="s">
        <v>87</v>
      </c>
      <c r="D1891" s="3" t="s">
        <v>76</v>
      </c>
      <c r="E1891" s="3" t="s">
        <v>133</v>
      </c>
      <c r="F1891" s="3" t="b">
        <v>1</v>
      </c>
      <c r="G1891" s="3" t="s">
        <v>64</v>
      </c>
      <c r="H1891" s="6">
        <v>44927.627754629633</v>
      </c>
      <c r="I1891" s="3" t="b">
        <v>0</v>
      </c>
      <c r="J1891" s="3" t="b">
        <v>0</v>
      </c>
      <c r="K1891" s="3" t="s">
        <v>33</v>
      </c>
      <c r="L1891" s="3" t="s">
        <v>34</v>
      </c>
      <c r="M1891" s="8">
        <v>113000</v>
      </c>
      <c r="N1891" s="11"/>
      <c r="O1891" s="3" t="s">
        <v>1156</v>
      </c>
      <c r="P1891" s="3" t="s">
        <v>3053</v>
      </c>
    </row>
    <row r="1892" spans="1:16" x14ac:dyDescent="0.3">
      <c r="A1892" s="3" t="s">
        <v>27</v>
      </c>
      <c r="B1892" s="3" t="s">
        <v>27</v>
      </c>
      <c r="C1892" s="3" t="s">
        <v>87</v>
      </c>
      <c r="D1892" s="3" t="s">
        <v>30</v>
      </c>
      <c r="E1892" s="3" t="s">
        <v>31</v>
      </c>
      <c r="F1892" s="3" t="b">
        <v>1</v>
      </c>
      <c r="G1892" s="3" t="s">
        <v>32</v>
      </c>
      <c r="H1892" s="6">
        <v>44939.754062499997</v>
      </c>
      <c r="I1892" s="3" t="b">
        <v>0</v>
      </c>
      <c r="J1892" s="3" t="b">
        <v>0</v>
      </c>
      <c r="K1892" s="3" t="s">
        <v>33</v>
      </c>
      <c r="L1892" s="3" t="s">
        <v>34</v>
      </c>
      <c r="M1892" s="8">
        <v>132500</v>
      </c>
      <c r="N1892" s="11"/>
      <c r="O1892" s="3" t="s">
        <v>3065</v>
      </c>
      <c r="P1892" s="3" t="s">
        <v>3066</v>
      </c>
    </row>
    <row r="1893" spans="1:16" x14ac:dyDescent="0.3">
      <c r="A1893" s="3" t="s">
        <v>27</v>
      </c>
      <c r="B1893" s="3" t="s">
        <v>3068</v>
      </c>
      <c r="C1893" s="3" t="s">
        <v>87</v>
      </c>
      <c r="D1893" s="3" t="s">
        <v>263</v>
      </c>
      <c r="E1893" s="3" t="s">
        <v>133</v>
      </c>
      <c r="F1893" s="3" t="b">
        <v>1</v>
      </c>
      <c r="G1893" s="3" t="s">
        <v>110</v>
      </c>
      <c r="H1893" s="6">
        <v>44943.950798611113</v>
      </c>
      <c r="I1893" s="3" t="b">
        <v>1</v>
      </c>
      <c r="J1893" s="3" t="b">
        <v>0</v>
      </c>
      <c r="K1893" s="3" t="s">
        <v>110</v>
      </c>
      <c r="L1893" s="3" t="s">
        <v>48</v>
      </c>
      <c r="M1893" s="8"/>
      <c r="N1893" s="11">
        <v>30.5</v>
      </c>
      <c r="O1893" s="3" t="s">
        <v>264</v>
      </c>
      <c r="P1893" s="3"/>
    </row>
    <row r="1894" spans="1:16" x14ac:dyDescent="0.3">
      <c r="A1894" s="3" t="s">
        <v>27</v>
      </c>
      <c r="B1894" s="3" t="s">
        <v>27</v>
      </c>
      <c r="C1894" s="3" t="s">
        <v>3083</v>
      </c>
      <c r="D1894" s="3" t="s">
        <v>41</v>
      </c>
      <c r="E1894" s="3" t="s">
        <v>31</v>
      </c>
      <c r="F1894" s="3" t="b">
        <v>0</v>
      </c>
      <c r="G1894" s="3" t="s">
        <v>1104</v>
      </c>
      <c r="H1894" s="6">
        <v>44950.260972222219</v>
      </c>
      <c r="I1894" s="3" t="b">
        <v>0</v>
      </c>
      <c r="J1894" s="3" t="b">
        <v>0</v>
      </c>
      <c r="K1894" s="3" t="s">
        <v>1104</v>
      </c>
      <c r="L1894" s="3" t="s">
        <v>34</v>
      </c>
      <c r="M1894" s="8">
        <v>88128</v>
      </c>
      <c r="N1894" s="11"/>
      <c r="O1894" s="3" t="s">
        <v>3084</v>
      </c>
      <c r="P1894" s="3" t="s">
        <v>3085</v>
      </c>
    </row>
    <row r="1895" spans="1:16" x14ac:dyDescent="0.3">
      <c r="A1895" s="3" t="s">
        <v>27</v>
      </c>
      <c r="B1895" s="3" t="s">
        <v>3088</v>
      </c>
      <c r="C1895" s="3" t="s">
        <v>3089</v>
      </c>
      <c r="D1895" s="3" t="s">
        <v>41</v>
      </c>
      <c r="E1895" s="3" t="s">
        <v>31</v>
      </c>
      <c r="F1895" s="3" t="b">
        <v>0</v>
      </c>
      <c r="G1895" s="3" t="s">
        <v>818</v>
      </c>
      <c r="H1895" s="6">
        <v>44945.803946759261</v>
      </c>
      <c r="I1895" s="3" t="b">
        <v>0</v>
      </c>
      <c r="J1895" s="3" t="b">
        <v>0</v>
      </c>
      <c r="K1895" s="3" t="s">
        <v>818</v>
      </c>
      <c r="L1895" s="3" t="s">
        <v>34</v>
      </c>
      <c r="M1895" s="8">
        <v>157500</v>
      </c>
      <c r="N1895" s="11"/>
      <c r="O1895" s="3" t="s">
        <v>3090</v>
      </c>
      <c r="P1895" s="3" t="s">
        <v>374</v>
      </c>
    </row>
    <row r="1896" spans="1:16" x14ac:dyDescent="0.3">
      <c r="A1896" s="3" t="s">
        <v>27</v>
      </c>
      <c r="B1896" s="3" t="s">
        <v>3091</v>
      </c>
      <c r="C1896" s="3" t="s">
        <v>270</v>
      </c>
      <c r="D1896" s="3" t="s">
        <v>3092</v>
      </c>
      <c r="E1896" s="3" t="s">
        <v>31</v>
      </c>
      <c r="F1896" s="3" t="b">
        <v>0</v>
      </c>
      <c r="G1896" s="3" t="s">
        <v>32</v>
      </c>
      <c r="H1896" s="6">
        <v>44935.669722222221</v>
      </c>
      <c r="I1896" s="3" t="b">
        <v>0</v>
      </c>
      <c r="J1896" s="3" t="b">
        <v>0</v>
      </c>
      <c r="K1896" s="3" t="s">
        <v>33</v>
      </c>
      <c r="L1896" s="3" t="s">
        <v>48</v>
      </c>
      <c r="M1896" s="8"/>
      <c r="N1896" s="11">
        <v>90</v>
      </c>
      <c r="O1896" s="3" t="s">
        <v>196</v>
      </c>
      <c r="P1896" s="3" t="s">
        <v>433</v>
      </c>
    </row>
    <row r="1897" spans="1:16" x14ac:dyDescent="0.3">
      <c r="A1897" s="3" t="s">
        <v>27</v>
      </c>
      <c r="B1897" s="3" t="s">
        <v>3109</v>
      </c>
      <c r="C1897" s="3" t="s">
        <v>87</v>
      </c>
      <c r="D1897" s="3" t="s">
        <v>76</v>
      </c>
      <c r="E1897" s="3" t="s">
        <v>31</v>
      </c>
      <c r="F1897" s="3" t="b">
        <v>1</v>
      </c>
      <c r="G1897" s="3" t="s">
        <v>58</v>
      </c>
      <c r="H1897" s="6">
        <v>44935.919988425929</v>
      </c>
      <c r="I1897" s="3" t="b">
        <v>0</v>
      </c>
      <c r="J1897" s="3" t="b">
        <v>1</v>
      </c>
      <c r="K1897" s="3" t="s">
        <v>33</v>
      </c>
      <c r="L1897" s="3" t="s">
        <v>34</v>
      </c>
      <c r="M1897" s="8">
        <v>232500</v>
      </c>
      <c r="N1897" s="11"/>
      <c r="O1897" s="3" t="s">
        <v>3110</v>
      </c>
      <c r="P1897" s="3"/>
    </row>
    <row r="1898" spans="1:16" x14ac:dyDescent="0.3">
      <c r="A1898" s="3" t="s">
        <v>27</v>
      </c>
      <c r="B1898" s="3" t="s">
        <v>27</v>
      </c>
      <c r="C1898" s="3" t="s">
        <v>87</v>
      </c>
      <c r="D1898" s="3" t="s">
        <v>30</v>
      </c>
      <c r="E1898" s="3" t="s">
        <v>31</v>
      </c>
      <c r="F1898" s="3" t="b">
        <v>1</v>
      </c>
      <c r="G1898" s="3" t="s">
        <v>84</v>
      </c>
      <c r="H1898" s="6">
        <v>44956.712013888893</v>
      </c>
      <c r="I1898" s="3" t="b">
        <v>0</v>
      </c>
      <c r="J1898" s="3" t="b">
        <v>0</v>
      </c>
      <c r="K1898" s="3" t="s">
        <v>33</v>
      </c>
      <c r="L1898" s="3" t="s">
        <v>48</v>
      </c>
      <c r="M1898" s="8"/>
      <c r="N1898" s="11">
        <v>45</v>
      </c>
      <c r="O1898" s="3" t="s">
        <v>3114</v>
      </c>
      <c r="P1898" s="3" t="s">
        <v>3115</v>
      </c>
    </row>
    <row r="1899" spans="1:16" x14ac:dyDescent="0.3">
      <c r="A1899" s="3" t="s">
        <v>27</v>
      </c>
      <c r="B1899" s="3" t="s">
        <v>3117</v>
      </c>
      <c r="C1899" s="3" t="s">
        <v>87</v>
      </c>
      <c r="D1899" s="3" t="s">
        <v>53</v>
      </c>
      <c r="E1899" s="3" t="s">
        <v>133</v>
      </c>
      <c r="F1899" s="3" t="b">
        <v>1</v>
      </c>
      <c r="G1899" s="3" t="s">
        <v>84</v>
      </c>
      <c r="H1899" s="6">
        <v>44944.212557870371</v>
      </c>
      <c r="I1899" s="3" t="b">
        <v>0</v>
      </c>
      <c r="J1899" s="3" t="b">
        <v>1</v>
      </c>
      <c r="K1899" s="3" t="s">
        <v>33</v>
      </c>
      <c r="L1899" s="3" t="s">
        <v>48</v>
      </c>
      <c r="M1899" s="8"/>
      <c r="N1899" s="11">
        <v>59.5</v>
      </c>
      <c r="O1899" s="3" t="s">
        <v>3118</v>
      </c>
      <c r="P1899" s="3" t="s">
        <v>3119</v>
      </c>
    </row>
    <row r="1900" spans="1:16" x14ac:dyDescent="0.3">
      <c r="A1900" s="3" t="s">
        <v>27</v>
      </c>
      <c r="B1900" s="3" t="s">
        <v>3132</v>
      </c>
      <c r="C1900" s="3" t="s">
        <v>965</v>
      </c>
      <c r="D1900" s="3" t="s">
        <v>1419</v>
      </c>
      <c r="E1900" s="3" t="s">
        <v>31</v>
      </c>
      <c r="F1900" s="3" t="b">
        <v>0</v>
      </c>
      <c r="G1900" s="3" t="s">
        <v>64</v>
      </c>
      <c r="H1900" s="6">
        <v>44933.66814814815</v>
      </c>
      <c r="I1900" s="3" t="b">
        <v>0</v>
      </c>
      <c r="J1900" s="3" t="b">
        <v>0</v>
      </c>
      <c r="K1900" s="3" t="s">
        <v>33</v>
      </c>
      <c r="L1900" s="3" t="s">
        <v>34</v>
      </c>
      <c r="M1900" s="8">
        <v>115000</v>
      </c>
      <c r="N1900" s="11"/>
      <c r="O1900" s="3" t="s">
        <v>175</v>
      </c>
      <c r="P1900" s="3" t="s">
        <v>1947</v>
      </c>
    </row>
    <row r="1901" spans="1:16" x14ac:dyDescent="0.3">
      <c r="A1901" s="3" t="s">
        <v>27</v>
      </c>
      <c r="B1901" s="3" t="s">
        <v>3133</v>
      </c>
      <c r="C1901" s="3" t="s">
        <v>3134</v>
      </c>
      <c r="D1901" s="3" t="s">
        <v>76</v>
      </c>
      <c r="E1901" s="3" t="s">
        <v>31</v>
      </c>
      <c r="F1901" s="3" t="b">
        <v>0</v>
      </c>
      <c r="G1901" s="3" t="s">
        <v>84</v>
      </c>
      <c r="H1901" s="6">
        <v>44951.628622685188</v>
      </c>
      <c r="I1901" s="3" t="b">
        <v>0</v>
      </c>
      <c r="J1901" s="3" t="b">
        <v>1</v>
      </c>
      <c r="K1901" s="3" t="s">
        <v>33</v>
      </c>
      <c r="L1901" s="3" t="s">
        <v>34</v>
      </c>
      <c r="M1901" s="8">
        <v>135359.34375</v>
      </c>
      <c r="N1901" s="11"/>
      <c r="O1901" s="3" t="s">
        <v>3135</v>
      </c>
      <c r="P1901" s="3" t="s">
        <v>3136</v>
      </c>
    </row>
    <row r="1902" spans="1:16" x14ac:dyDescent="0.3">
      <c r="A1902" s="3" t="s">
        <v>27</v>
      </c>
      <c r="B1902" s="3" t="s">
        <v>3137</v>
      </c>
      <c r="C1902" s="3" t="s">
        <v>3138</v>
      </c>
      <c r="D1902" s="3" t="s">
        <v>287</v>
      </c>
      <c r="E1902" s="3" t="s">
        <v>133</v>
      </c>
      <c r="F1902" s="3" t="b">
        <v>0</v>
      </c>
      <c r="G1902" s="3" t="s">
        <v>64</v>
      </c>
      <c r="H1902" s="6">
        <v>44949.002511574072</v>
      </c>
      <c r="I1902" s="3" t="b">
        <v>0</v>
      </c>
      <c r="J1902" s="3" t="b">
        <v>0</v>
      </c>
      <c r="K1902" s="3" t="s">
        <v>33</v>
      </c>
      <c r="L1902" s="3" t="s">
        <v>34</v>
      </c>
      <c r="M1902" s="8">
        <v>108281</v>
      </c>
      <c r="N1902" s="11"/>
      <c r="O1902" s="3" t="s">
        <v>3139</v>
      </c>
      <c r="P1902" s="3" t="s">
        <v>3140</v>
      </c>
    </row>
    <row r="1903" spans="1:16" x14ac:dyDescent="0.3">
      <c r="A1903" s="3" t="s">
        <v>27</v>
      </c>
      <c r="B1903" s="3" t="s">
        <v>1363</v>
      </c>
      <c r="C1903" s="3" t="s">
        <v>1364</v>
      </c>
      <c r="D1903" s="3" t="s">
        <v>1365</v>
      </c>
      <c r="E1903" s="3" t="s">
        <v>133</v>
      </c>
      <c r="F1903" s="3" t="b">
        <v>0</v>
      </c>
      <c r="G1903" s="3" t="s">
        <v>140</v>
      </c>
      <c r="H1903" s="6">
        <v>44943.783182870371</v>
      </c>
      <c r="I1903" s="3" t="b">
        <v>0</v>
      </c>
      <c r="J1903" s="3" t="b">
        <v>0</v>
      </c>
      <c r="K1903" s="3" t="s">
        <v>33</v>
      </c>
      <c r="L1903" s="3" t="s">
        <v>48</v>
      </c>
      <c r="M1903" s="8"/>
      <c r="N1903" s="11">
        <v>77.5</v>
      </c>
      <c r="O1903" s="3" t="s">
        <v>1366</v>
      </c>
      <c r="P1903" s="3" t="s">
        <v>71</v>
      </c>
    </row>
    <row r="1904" spans="1:16" x14ac:dyDescent="0.3">
      <c r="A1904" s="3" t="s">
        <v>27</v>
      </c>
      <c r="B1904" s="3" t="s">
        <v>27</v>
      </c>
      <c r="C1904" s="3" t="s">
        <v>87</v>
      </c>
      <c r="D1904" s="3" t="s">
        <v>30</v>
      </c>
      <c r="E1904" s="3" t="s">
        <v>133</v>
      </c>
      <c r="F1904" s="3" t="b">
        <v>1</v>
      </c>
      <c r="G1904" s="3" t="s">
        <v>110</v>
      </c>
      <c r="H1904" s="6">
        <v>44931.829664351862</v>
      </c>
      <c r="I1904" s="3" t="b">
        <v>0</v>
      </c>
      <c r="J1904" s="3" t="b">
        <v>1</v>
      </c>
      <c r="K1904" s="3" t="s">
        <v>110</v>
      </c>
      <c r="L1904" s="3" t="s">
        <v>48</v>
      </c>
      <c r="M1904" s="8"/>
      <c r="N1904" s="11">
        <v>43.950000762939453</v>
      </c>
      <c r="O1904" s="3" t="s">
        <v>1609</v>
      </c>
      <c r="P1904" s="3" t="s">
        <v>3155</v>
      </c>
    </row>
    <row r="1905" spans="1:16" x14ac:dyDescent="0.3">
      <c r="A1905" s="3" t="s">
        <v>27</v>
      </c>
      <c r="B1905" s="3" t="s">
        <v>3156</v>
      </c>
      <c r="C1905" s="3" t="s">
        <v>33</v>
      </c>
      <c r="D1905" s="3" t="s">
        <v>1013</v>
      </c>
      <c r="E1905" s="3" t="s">
        <v>31</v>
      </c>
      <c r="F1905" s="3" t="b">
        <v>0</v>
      </c>
      <c r="G1905" s="3" t="s">
        <v>110</v>
      </c>
      <c r="H1905" s="6">
        <v>44954.348101851851</v>
      </c>
      <c r="I1905" s="3" t="b">
        <v>0</v>
      </c>
      <c r="J1905" s="3" t="b">
        <v>1</v>
      </c>
      <c r="K1905" s="3" t="s">
        <v>110</v>
      </c>
      <c r="L1905" s="3" t="s">
        <v>34</v>
      </c>
      <c r="M1905" s="8">
        <v>97500</v>
      </c>
      <c r="N1905" s="11"/>
      <c r="O1905" s="3" t="s">
        <v>3157</v>
      </c>
      <c r="P1905" s="3" t="s">
        <v>3158</v>
      </c>
    </row>
    <row r="1906" spans="1:16" x14ac:dyDescent="0.3">
      <c r="A1906" s="3" t="s">
        <v>27</v>
      </c>
      <c r="B1906" s="3" t="s">
        <v>3161</v>
      </c>
      <c r="C1906" s="3" t="s">
        <v>435</v>
      </c>
      <c r="D1906" s="3" t="s">
        <v>41</v>
      </c>
      <c r="E1906" s="3" t="s">
        <v>31</v>
      </c>
      <c r="F1906" s="3" t="b">
        <v>0</v>
      </c>
      <c r="G1906" s="3" t="s">
        <v>436</v>
      </c>
      <c r="H1906" s="6">
        <v>44943.758460648147</v>
      </c>
      <c r="I1906" s="3" t="b">
        <v>0</v>
      </c>
      <c r="J1906" s="3" t="b">
        <v>0</v>
      </c>
      <c r="K1906" s="3" t="s">
        <v>436</v>
      </c>
      <c r="L1906" s="3" t="s">
        <v>34</v>
      </c>
      <c r="M1906" s="8">
        <v>79200</v>
      </c>
      <c r="N1906" s="11"/>
      <c r="O1906" s="3" t="s">
        <v>652</v>
      </c>
      <c r="P1906" s="3" t="s">
        <v>3162</v>
      </c>
    </row>
    <row r="1907" spans="1:16" x14ac:dyDescent="0.3">
      <c r="A1907" s="3" t="s">
        <v>27</v>
      </c>
      <c r="B1907" s="3" t="s">
        <v>27</v>
      </c>
      <c r="C1907" s="3" t="s">
        <v>824</v>
      </c>
      <c r="D1907" s="3" t="s">
        <v>307</v>
      </c>
      <c r="E1907" s="3" t="s">
        <v>133</v>
      </c>
      <c r="F1907" s="3" t="b">
        <v>0</v>
      </c>
      <c r="G1907" s="3" t="s">
        <v>84</v>
      </c>
      <c r="H1907" s="6">
        <v>44950.837546296287</v>
      </c>
      <c r="I1907" s="3" t="b">
        <v>0</v>
      </c>
      <c r="J1907" s="3" t="b">
        <v>0</v>
      </c>
      <c r="K1907" s="3" t="s">
        <v>33</v>
      </c>
      <c r="L1907" s="3" t="s">
        <v>48</v>
      </c>
      <c r="M1907" s="8"/>
      <c r="N1907" s="11">
        <v>72.5</v>
      </c>
      <c r="O1907" s="3" t="s">
        <v>114</v>
      </c>
      <c r="P1907" s="3" t="s">
        <v>806</v>
      </c>
    </row>
    <row r="1908" spans="1:16" x14ac:dyDescent="0.3">
      <c r="A1908" s="3" t="s">
        <v>27</v>
      </c>
      <c r="B1908" s="3" t="s">
        <v>3175</v>
      </c>
      <c r="C1908" s="3" t="s">
        <v>79</v>
      </c>
      <c r="D1908" s="3" t="s">
        <v>30</v>
      </c>
      <c r="E1908" s="3" t="s">
        <v>31</v>
      </c>
      <c r="F1908" s="3" t="b">
        <v>0</v>
      </c>
      <c r="G1908" s="3" t="s">
        <v>110</v>
      </c>
      <c r="H1908" s="6">
        <v>44935.899270833332</v>
      </c>
      <c r="I1908" s="3" t="b">
        <v>0</v>
      </c>
      <c r="J1908" s="3" t="b">
        <v>1</v>
      </c>
      <c r="K1908" s="3" t="s">
        <v>110</v>
      </c>
      <c r="L1908" s="3" t="s">
        <v>34</v>
      </c>
      <c r="M1908" s="8">
        <v>110000</v>
      </c>
      <c r="N1908" s="11"/>
      <c r="O1908" s="3" t="s">
        <v>3176</v>
      </c>
      <c r="P1908" s="3" t="s">
        <v>3177</v>
      </c>
    </row>
    <row r="1909" spans="1:16" x14ac:dyDescent="0.3">
      <c r="A1909" s="3" t="s">
        <v>27</v>
      </c>
      <c r="B1909" s="3" t="s">
        <v>3180</v>
      </c>
      <c r="C1909" s="3" t="s">
        <v>447</v>
      </c>
      <c r="D1909" s="3" t="s">
        <v>940</v>
      </c>
      <c r="E1909" s="3" t="s">
        <v>31</v>
      </c>
      <c r="F1909" s="3" t="b">
        <v>0</v>
      </c>
      <c r="G1909" s="3" t="s">
        <v>32</v>
      </c>
      <c r="H1909" s="6">
        <v>44951.292407407411</v>
      </c>
      <c r="I1909" s="3" t="b">
        <v>1</v>
      </c>
      <c r="J1909" s="3" t="b">
        <v>0</v>
      </c>
      <c r="K1909" s="3" t="s">
        <v>33</v>
      </c>
      <c r="L1909" s="3" t="s">
        <v>34</v>
      </c>
      <c r="M1909" s="8">
        <v>185000</v>
      </c>
      <c r="N1909" s="11"/>
      <c r="O1909" s="3" t="s">
        <v>741</v>
      </c>
      <c r="P1909" s="3"/>
    </row>
    <row r="1910" spans="1:16" x14ac:dyDescent="0.3">
      <c r="A1910" s="3" t="s">
        <v>27</v>
      </c>
      <c r="B1910" s="3" t="s">
        <v>3182</v>
      </c>
      <c r="C1910" s="3" t="s">
        <v>362</v>
      </c>
      <c r="D1910" s="3" t="s">
        <v>93</v>
      </c>
      <c r="E1910" s="3" t="s">
        <v>31</v>
      </c>
      <c r="F1910" s="3" t="b">
        <v>0</v>
      </c>
      <c r="G1910" s="3" t="s">
        <v>64</v>
      </c>
      <c r="H1910" s="6">
        <v>44934.293136574073</v>
      </c>
      <c r="I1910" s="3" t="b">
        <v>0</v>
      </c>
      <c r="J1910" s="3" t="b">
        <v>1</v>
      </c>
      <c r="K1910" s="3" t="s">
        <v>33</v>
      </c>
      <c r="L1910" s="3" t="s">
        <v>34</v>
      </c>
      <c r="M1910" s="8">
        <v>115000</v>
      </c>
      <c r="N1910" s="11"/>
      <c r="O1910" s="3" t="s">
        <v>303</v>
      </c>
      <c r="P1910" s="3"/>
    </row>
    <row r="1911" spans="1:16" x14ac:dyDescent="0.3">
      <c r="A1911" s="3" t="s">
        <v>27</v>
      </c>
      <c r="B1911" s="3" t="s">
        <v>3201</v>
      </c>
      <c r="C1911" s="3" t="s">
        <v>87</v>
      </c>
      <c r="D1911" s="3" t="s">
        <v>30</v>
      </c>
      <c r="E1911" s="3" t="s">
        <v>31</v>
      </c>
      <c r="F1911" s="3" t="b">
        <v>1</v>
      </c>
      <c r="G1911" s="3" t="s">
        <v>58</v>
      </c>
      <c r="H1911" s="6">
        <v>44945.682500000003</v>
      </c>
      <c r="I1911" s="3" t="b">
        <v>0</v>
      </c>
      <c r="J1911" s="3" t="b">
        <v>0</v>
      </c>
      <c r="K1911" s="3" t="s">
        <v>33</v>
      </c>
      <c r="L1911" s="3" t="s">
        <v>34</v>
      </c>
      <c r="M1911" s="8">
        <v>197500</v>
      </c>
      <c r="N1911" s="11"/>
      <c r="O1911" s="3" t="s">
        <v>344</v>
      </c>
      <c r="P1911" s="3" t="s">
        <v>347</v>
      </c>
    </row>
    <row r="1912" spans="1:16" x14ac:dyDescent="0.3">
      <c r="A1912" s="3" t="s">
        <v>27</v>
      </c>
      <c r="B1912" s="3" t="s">
        <v>3207</v>
      </c>
      <c r="C1912" s="3" t="s">
        <v>244</v>
      </c>
      <c r="D1912" s="3" t="s">
        <v>93</v>
      </c>
      <c r="E1912" s="3" t="s">
        <v>31</v>
      </c>
      <c r="F1912" s="3" t="b">
        <v>0</v>
      </c>
      <c r="G1912" s="3" t="s">
        <v>110</v>
      </c>
      <c r="H1912" s="6">
        <v>44942.433888888889</v>
      </c>
      <c r="I1912" s="3" t="b">
        <v>1</v>
      </c>
      <c r="J1912" s="3" t="b">
        <v>1</v>
      </c>
      <c r="K1912" s="3" t="s">
        <v>110</v>
      </c>
      <c r="L1912" s="3" t="s">
        <v>34</v>
      </c>
      <c r="M1912" s="8">
        <v>200000</v>
      </c>
      <c r="N1912" s="11"/>
      <c r="O1912" s="3" t="s">
        <v>861</v>
      </c>
      <c r="P1912" s="3" t="s">
        <v>3208</v>
      </c>
    </row>
    <row r="1913" spans="1:16" x14ac:dyDescent="0.3">
      <c r="A1913" s="3" t="s">
        <v>27</v>
      </c>
      <c r="B1913" s="3" t="s">
        <v>3215</v>
      </c>
      <c r="C1913" s="3" t="s">
        <v>75</v>
      </c>
      <c r="D1913" s="3" t="s">
        <v>2465</v>
      </c>
      <c r="E1913" s="3" t="s">
        <v>31</v>
      </c>
      <c r="F1913" s="3" t="b">
        <v>0</v>
      </c>
      <c r="G1913" s="3" t="s">
        <v>84</v>
      </c>
      <c r="H1913" s="6">
        <v>44929.982175925928</v>
      </c>
      <c r="I1913" s="3" t="b">
        <v>0</v>
      </c>
      <c r="J1913" s="3" t="b">
        <v>1</v>
      </c>
      <c r="K1913" s="3" t="s">
        <v>33</v>
      </c>
      <c r="L1913" s="3" t="s">
        <v>48</v>
      </c>
      <c r="M1913" s="8"/>
      <c r="N1913" s="11">
        <v>24</v>
      </c>
      <c r="O1913" s="3" t="s">
        <v>3216</v>
      </c>
      <c r="P1913" s="3" t="s">
        <v>347</v>
      </c>
    </row>
    <row r="1914" spans="1:16" x14ac:dyDescent="0.3">
      <c r="A1914" s="3" t="s">
        <v>27</v>
      </c>
      <c r="B1914" s="3" t="s">
        <v>27</v>
      </c>
      <c r="C1914" s="3" t="s">
        <v>447</v>
      </c>
      <c r="D1914" s="3" t="s">
        <v>93</v>
      </c>
      <c r="E1914" s="3" t="s">
        <v>31</v>
      </c>
      <c r="F1914" s="3" t="b">
        <v>0</v>
      </c>
      <c r="G1914" s="3" t="s">
        <v>32</v>
      </c>
      <c r="H1914" s="6">
        <v>44953.420173611114</v>
      </c>
      <c r="I1914" s="3" t="b">
        <v>0</v>
      </c>
      <c r="J1914" s="3" t="b">
        <v>1</v>
      </c>
      <c r="K1914" s="3" t="s">
        <v>33</v>
      </c>
      <c r="L1914" s="3" t="s">
        <v>34</v>
      </c>
      <c r="M1914" s="8">
        <v>80000</v>
      </c>
      <c r="N1914" s="11"/>
      <c r="O1914" s="3" t="s">
        <v>3220</v>
      </c>
      <c r="P1914" s="3" t="s">
        <v>3221</v>
      </c>
    </row>
    <row r="1915" spans="1:16" x14ac:dyDescent="0.3">
      <c r="A1915" s="3" t="s">
        <v>27</v>
      </c>
      <c r="B1915" s="3" t="s">
        <v>3224</v>
      </c>
      <c r="C1915" s="3" t="s">
        <v>3030</v>
      </c>
      <c r="D1915" s="3" t="s">
        <v>3225</v>
      </c>
      <c r="E1915" s="3" t="s">
        <v>31</v>
      </c>
      <c r="F1915" s="3" t="b">
        <v>0</v>
      </c>
      <c r="G1915" s="3" t="s">
        <v>88</v>
      </c>
      <c r="H1915" s="6">
        <v>44929.98265046296</v>
      </c>
      <c r="I1915" s="3" t="b">
        <v>0</v>
      </c>
      <c r="J1915" s="3" t="b">
        <v>0</v>
      </c>
      <c r="K1915" s="3" t="s">
        <v>33</v>
      </c>
      <c r="L1915" s="3" t="s">
        <v>48</v>
      </c>
      <c r="M1915" s="8"/>
      <c r="N1915" s="11">
        <v>24</v>
      </c>
      <c r="O1915" s="3" t="s">
        <v>3226</v>
      </c>
      <c r="P1915" s="3" t="s">
        <v>3227</v>
      </c>
    </row>
    <row r="1916" spans="1:16" x14ac:dyDescent="0.3">
      <c r="A1916" s="3" t="s">
        <v>27</v>
      </c>
      <c r="B1916" s="3" t="s">
        <v>3250</v>
      </c>
      <c r="C1916" s="3" t="s">
        <v>87</v>
      </c>
      <c r="D1916" s="3" t="s">
        <v>263</v>
      </c>
      <c r="E1916" s="3" t="s">
        <v>133</v>
      </c>
      <c r="F1916" s="3" t="b">
        <v>1</v>
      </c>
      <c r="G1916" s="3" t="s">
        <v>110</v>
      </c>
      <c r="H1916" s="6">
        <v>44934.060069444437</v>
      </c>
      <c r="I1916" s="3" t="b">
        <v>1</v>
      </c>
      <c r="J1916" s="3" t="b">
        <v>0</v>
      </c>
      <c r="K1916" s="3" t="s">
        <v>110</v>
      </c>
      <c r="L1916" s="3" t="s">
        <v>48</v>
      </c>
      <c r="M1916" s="8"/>
      <c r="N1916" s="11">
        <v>49</v>
      </c>
      <c r="O1916" s="3" t="s">
        <v>264</v>
      </c>
      <c r="P1916" s="3" t="s">
        <v>405</v>
      </c>
    </row>
    <row r="1917" spans="1:16" x14ac:dyDescent="0.3">
      <c r="A1917" s="3" t="s">
        <v>27</v>
      </c>
      <c r="B1917" s="3" t="s">
        <v>3265</v>
      </c>
      <c r="C1917" s="3" t="s">
        <v>87</v>
      </c>
      <c r="D1917" s="3" t="s">
        <v>76</v>
      </c>
      <c r="E1917" s="3" t="s">
        <v>31</v>
      </c>
      <c r="F1917" s="3" t="b">
        <v>1</v>
      </c>
      <c r="G1917" s="3" t="s">
        <v>64</v>
      </c>
      <c r="H1917" s="6">
        <v>44936.085543981477</v>
      </c>
      <c r="I1917" s="3" t="b">
        <v>1</v>
      </c>
      <c r="J1917" s="3" t="b">
        <v>1</v>
      </c>
      <c r="K1917" s="3" t="s">
        <v>33</v>
      </c>
      <c r="L1917" s="3" t="s">
        <v>34</v>
      </c>
      <c r="M1917" s="8">
        <v>247500</v>
      </c>
      <c r="N1917" s="11"/>
      <c r="O1917" s="3" t="s">
        <v>3266</v>
      </c>
      <c r="P1917" s="3" t="s">
        <v>3267</v>
      </c>
    </row>
    <row r="1918" spans="1:16" x14ac:dyDescent="0.3">
      <c r="A1918" s="3" t="s">
        <v>27</v>
      </c>
      <c r="B1918" s="3" t="s">
        <v>3270</v>
      </c>
      <c r="C1918" s="3" t="s">
        <v>396</v>
      </c>
      <c r="D1918" s="3" t="s">
        <v>1361</v>
      </c>
      <c r="E1918" s="3" t="s">
        <v>31</v>
      </c>
      <c r="F1918" s="3" t="b">
        <v>0</v>
      </c>
      <c r="G1918" s="3" t="s">
        <v>58</v>
      </c>
      <c r="H1918" s="6">
        <v>44929.981412037043</v>
      </c>
      <c r="I1918" s="3" t="b">
        <v>0</v>
      </c>
      <c r="J1918" s="3" t="b">
        <v>0</v>
      </c>
      <c r="K1918" s="3" t="s">
        <v>33</v>
      </c>
      <c r="L1918" s="3" t="s">
        <v>48</v>
      </c>
      <c r="M1918" s="8"/>
      <c r="N1918" s="11">
        <v>24</v>
      </c>
      <c r="O1918" s="3" t="s">
        <v>3271</v>
      </c>
      <c r="P1918" s="3" t="s">
        <v>3272</v>
      </c>
    </row>
    <row r="1919" spans="1:16" x14ac:dyDescent="0.3">
      <c r="A1919" s="3" t="s">
        <v>27</v>
      </c>
      <c r="B1919" s="3" t="s">
        <v>3275</v>
      </c>
      <c r="C1919" s="3" t="s">
        <v>641</v>
      </c>
      <c r="D1919" s="3" t="s">
        <v>93</v>
      </c>
      <c r="E1919" s="3" t="s">
        <v>31</v>
      </c>
      <c r="F1919" s="3" t="b">
        <v>0</v>
      </c>
      <c r="G1919" s="3" t="s">
        <v>88</v>
      </c>
      <c r="H1919" s="6">
        <v>44936.473749999997</v>
      </c>
      <c r="I1919" s="3" t="b">
        <v>0</v>
      </c>
      <c r="J1919" s="3" t="b">
        <v>1</v>
      </c>
      <c r="K1919" s="3" t="s">
        <v>33</v>
      </c>
      <c r="L1919" s="3" t="s">
        <v>34</v>
      </c>
      <c r="M1919" s="8">
        <v>200000</v>
      </c>
      <c r="N1919" s="11"/>
      <c r="O1919" s="3" t="s">
        <v>3276</v>
      </c>
      <c r="P1919" s="3"/>
    </row>
    <row r="1920" spans="1:16" x14ac:dyDescent="0.3">
      <c r="A1920" s="3" t="s">
        <v>27</v>
      </c>
      <c r="B1920" s="3" t="s">
        <v>525</v>
      </c>
      <c r="C1920" s="3" t="s">
        <v>79</v>
      </c>
      <c r="D1920" s="3" t="s">
        <v>30</v>
      </c>
      <c r="E1920" s="3" t="s">
        <v>31</v>
      </c>
      <c r="F1920" s="3" t="b">
        <v>0</v>
      </c>
      <c r="G1920" s="3" t="s">
        <v>110</v>
      </c>
      <c r="H1920" s="6">
        <v>44930.873136574082</v>
      </c>
      <c r="I1920" s="3" t="b">
        <v>0</v>
      </c>
      <c r="J1920" s="3" t="b">
        <v>1</v>
      </c>
      <c r="K1920" s="3" t="s">
        <v>110</v>
      </c>
      <c r="L1920" s="3" t="s">
        <v>34</v>
      </c>
      <c r="M1920" s="8">
        <v>135000</v>
      </c>
      <c r="N1920" s="11"/>
      <c r="O1920" s="3" t="s">
        <v>299</v>
      </c>
      <c r="P1920" s="3" t="s">
        <v>300</v>
      </c>
    </row>
    <row r="1921" spans="1:16" x14ac:dyDescent="0.3">
      <c r="A1921" s="3" t="s">
        <v>27</v>
      </c>
      <c r="B1921" s="3" t="s">
        <v>3291</v>
      </c>
      <c r="C1921" s="3" t="s">
        <v>549</v>
      </c>
      <c r="D1921" s="3" t="s">
        <v>30</v>
      </c>
      <c r="E1921" s="3" t="s">
        <v>31</v>
      </c>
      <c r="F1921" s="3" t="b">
        <v>0</v>
      </c>
      <c r="G1921" s="3" t="s">
        <v>140</v>
      </c>
      <c r="H1921" s="6">
        <v>44952.826192129629</v>
      </c>
      <c r="I1921" s="3" t="b">
        <v>0</v>
      </c>
      <c r="J1921" s="3" t="b">
        <v>1</v>
      </c>
      <c r="K1921" s="3" t="s">
        <v>33</v>
      </c>
      <c r="L1921" s="3" t="s">
        <v>34</v>
      </c>
      <c r="M1921" s="8">
        <v>107665</v>
      </c>
      <c r="N1921" s="11"/>
      <c r="O1921" s="3" t="s">
        <v>550</v>
      </c>
      <c r="P1921" s="3" t="s">
        <v>3292</v>
      </c>
    </row>
    <row r="1922" spans="1:16" x14ac:dyDescent="0.3">
      <c r="A1922" s="3" t="s">
        <v>27</v>
      </c>
      <c r="B1922" s="3" t="s">
        <v>3297</v>
      </c>
      <c r="C1922" s="3" t="s">
        <v>87</v>
      </c>
      <c r="D1922" s="3" t="s">
        <v>30</v>
      </c>
      <c r="E1922" s="3" t="s">
        <v>133</v>
      </c>
      <c r="F1922" s="3" t="b">
        <v>1</v>
      </c>
      <c r="G1922" s="3" t="s">
        <v>32</v>
      </c>
      <c r="H1922" s="6">
        <v>44936.889085648138</v>
      </c>
      <c r="I1922" s="3" t="b">
        <v>0</v>
      </c>
      <c r="J1922" s="3" t="b">
        <v>0</v>
      </c>
      <c r="K1922" s="3" t="s">
        <v>33</v>
      </c>
      <c r="L1922" s="3" t="s">
        <v>48</v>
      </c>
      <c r="M1922" s="8"/>
      <c r="N1922" s="11">
        <v>70</v>
      </c>
      <c r="O1922" s="3" t="s">
        <v>833</v>
      </c>
      <c r="P1922" s="3" t="s">
        <v>3298</v>
      </c>
    </row>
    <row r="1923" spans="1:16" x14ac:dyDescent="0.3">
      <c r="A1923" s="3" t="s">
        <v>27</v>
      </c>
      <c r="B1923" s="3" t="s">
        <v>27</v>
      </c>
      <c r="C1923" s="3" t="s">
        <v>164</v>
      </c>
      <c r="D1923" s="3" t="s">
        <v>30</v>
      </c>
      <c r="E1923" s="3" t="s">
        <v>31</v>
      </c>
      <c r="F1923" s="3" t="b">
        <v>0</v>
      </c>
      <c r="G1923" s="3" t="s">
        <v>64</v>
      </c>
      <c r="H1923" s="6">
        <v>44935.668796296297</v>
      </c>
      <c r="I1923" s="3" t="b">
        <v>0</v>
      </c>
      <c r="J1923" s="3" t="b">
        <v>0</v>
      </c>
      <c r="K1923" s="3" t="s">
        <v>33</v>
      </c>
      <c r="L1923" s="3" t="s">
        <v>34</v>
      </c>
      <c r="M1923" s="8">
        <v>167500</v>
      </c>
      <c r="N1923" s="11"/>
      <c r="O1923" s="3" t="s">
        <v>3299</v>
      </c>
      <c r="P1923" s="3" t="s">
        <v>3300</v>
      </c>
    </row>
    <row r="1924" spans="1:16" x14ac:dyDescent="0.3">
      <c r="A1924" s="3" t="s">
        <v>27</v>
      </c>
      <c r="B1924" s="3" t="s">
        <v>3306</v>
      </c>
      <c r="C1924" s="3" t="s">
        <v>1877</v>
      </c>
      <c r="D1924" s="3" t="s">
        <v>1013</v>
      </c>
      <c r="E1924" s="3" t="s">
        <v>31</v>
      </c>
      <c r="F1924" s="3" t="b">
        <v>0</v>
      </c>
      <c r="G1924" s="3" t="s">
        <v>140</v>
      </c>
      <c r="H1924" s="6">
        <v>44956.195902777778</v>
      </c>
      <c r="I1924" s="3" t="b">
        <v>0</v>
      </c>
      <c r="J1924" s="3" t="b">
        <v>1</v>
      </c>
      <c r="K1924" s="3" t="s">
        <v>33</v>
      </c>
      <c r="L1924" s="3" t="s">
        <v>34</v>
      </c>
      <c r="M1924" s="8">
        <v>119550</v>
      </c>
      <c r="N1924" s="11"/>
      <c r="O1924" s="3" t="s">
        <v>784</v>
      </c>
      <c r="P1924" s="3" t="s">
        <v>2618</v>
      </c>
    </row>
    <row r="1925" spans="1:16" x14ac:dyDescent="0.3">
      <c r="A1925" s="3" t="s">
        <v>27</v>
      </c>
      <c r="B1925" s="3" t="s">
        <v>1102</v>
      </c>
      <c r="C1925" s="3" t="s">
        <v>969</v>
      </c>
      <c r="D1925" s="3" t="s">
        <v>93</v>
      </c>
      <c r="E1925" s="3" t="s">
        <v>31</v>
      </c>
      <c r="F1925" s="3" t="b">
        <v>0</v>
      </c>
      <c r="G1925" s="3" t="s">
        <v>32</v>
      </c>
      <c r="H1925" s="6">
        <v>44930.314212962963</v>
      </c>
      <c r="I1925" s="3" t="b">
        <v>0</v>
      </c>
      <c r="J1925" s="3" t="b">
        <v>0</v>
      </c>
      <c r="K1925" s="3" t="s">
        <v>33</v>
      </c>
      <c r="L1925" s="3" t="s">
        <v>34</v>
      </c>
      <c r="M1925" s="8">
        <v>125000</v>
      </c>
      <c r="N1925" s="11"/>
      <c r="O1925" s="3" t="s">
        <v>3310</v>
      </c>
      <c r="P1925" s="3" t="s">
        <v>3311</v>
      </c>
    </row>
    <row r="1926" spans="1:16" x14ac:dyDescent="0.3">
      <c r="A1926" s="3" t="s">
        <v>27</v>
      </c>
      <c r="B1926" s="3" t="s">
        <v>3318</v>
      </c>
      <c r="C1926" s="3" t="s">
        <v>565</v>
      </c>
      <c r="D1926" s="3" t="s">
        <v>867</v>
      </c>
      <c r="E1926" s="3" t="s">
        <v>31</v>
      </c>
      <c r="F1926" s="3" t="b">
        <v>0</v>
      </c>
      <c r="G1926" s="3" t="s">
        <v>88</v>
      </c>
      <c r="H1926" s="6">
        <v>44949.004652777781</v>
      </c>
      <c r="I1926" s="3" t="b">
        <v>0</v>
      </c>
      <c r="J1926" s="3" t="b">
        <v>0</v>
      </c>
      <c r="K1926" s="3" t="s">
        <v>33</v>
      </c>
      <c r="L1926" s="3" t="s">
        <v>34</v>
      </c>
      <c r="M1926" s="8">
        <v>111030</v>
      </c>
      <c r="N1926" s="11"/>
      <c r="O1926" s="3" t="s">
        <v>3319</v>
      </c>
      <c r="P1926" s="3" t="s">
        <v>3320</v>
      </c>
    </row>
    <row r="1927" spans="1:16" x14ac:dyDescent="0.3">
      <c r="A1927" s="3" t="s">
        <v>27</v>
      </c>
      <c r="B1927" s="3" t="s">
        <v>3330</v>
      </c>
      <c r="C1927" s="3" t="s">
        <v>40</v>
      </c>
      <c r="D1927" s="3" t="s">
        <v>41</v>
      </c>
      <c r="E1927" s="3" t="s">
        <v>31</v>
      </c>
      <c r="F1927" s="3" t="b">
        <v>0</v>
      </c>
      <c r="G1927" s="3" t="s">
        <v>42</v>
      </c>
      <c r="H1927" s="6">
        <v>44942.452025462961</v>
      </c>
      <c r="I1927" s="3" t="b">
        <v>0</v>
      </c>
      <c r="J1927" s="3" t="b">
        <v>0</v>
      </c>
      <c r="K1927" s="3" t="s">
        <v>42</v>
      </c>
      <c r="L1927" s="3" t="s">
        <v>34</v>
      </c>
      <c r="M1927" s="8">
        <v>80850</v>
      </c>
      <c r="N1927" s="11"/>
      <c r="O1927" s="3" t="s">
        <v>533</v>
      </c>
      <c r="P1927" s="3" t="s">
        <v>3331</v>
      </c>
    </row>
    <row r="1928" spans="1:16" x14ac:dyDescent="0.3">
      <c r="A1928" s="3" t="s">
        <v>27</v>
      </c>
      <c r="B1928" s="3" t="s">
        <v>3334</v>
      </c>
      <c r="C1928" s="3" t="s">
        <v>505</v>
      </c>
      <c r="D1928" s="3" t="s">
        <v>41</v>
      </c>
      <c r="E1928" s="3" t="s">
        <v>31</v>
      </c>
      <c r="F1928" s="3" t="b">
        <v>0</v>
      </c>
      <c r="G1928" s="3" t="s">
        <v>505</v>
      </c>
      <c r="H1928" s="6">
        <v>44931.572233796287</v>
      </c>
      <c r="I1928" s="3" t="b">
        <v>0</v>
      </c>
      <c r="J1928" s="3" t="b">
        <v>0</v>
      </c>
      <c r="K1928" s="3" t="s">
        <v>505</v>
      </c>
      <c r="L1928" s="3" t="s">
        <v>34</v>
      </c>
      <c r="M1928" s="8">
        <v>50400</v>
      </c>
      <c r="N1928" s="11"/>
      <c r="O1928" s="3" t="s">
        <v>579</v>
      </c>
      <c r="P1928" s="3" t="s">
        <v>3335</v>
      </c>
    </row>
    <row r="1929" spans="1:16" x14ac:dyDescent="0.3">
      <c r="A1929" s="3" t="s">
        <v>27</v>
      </c>
      <c r="B1929" s="3" t="s">
        <v>3339</v>
      </c>
      <c r="C1929" s="3" t="s">
        <v>1916</v>
      </c>
      <c r="D1929" s="3" t="s">
        <v>41</v>
      </c>
      <c r="E1929" s="3" t="s">
        <v>31</v>
      </c>
      <c r="F1929" s="3" t="b">
        <v>0</v>
      </c>
      <c r="G1929" s="3" t="s">
        <v>1917</v>
      </c>
      <c r="H1929" s="6">
        <v>44942.546307870369</v>
      </c>
      <c r="I1929" s="3" t="b">
        <v>0</v>
      </c>
      <c r="J1929" s="3" t="b">
        <v>0</v>
      </c>
      <c r="K1929" s="3" t="s">
        <v>1917</v>
      </c>
      <c r="L1929" s="3" t="s">
        <v>34</v>
      </c>
      <c r="M1929" s="8">
        <v>64821.5</v>
      </c>
      <c r="N1929" s="11"/>
      <c r="O1929" s="3" t="s">
        <v>3340</v>
      </c>
      <c r="P1929" s="3" t="s">
        <v>3341</v>
      </c>
    </row>
    <row r="1930" spans="1:16" x14ac:dyDescent="0.3">
      <c r="A1930" s="3" t="s">
        <v>27</v>
      </c>
      <c r="B1930" s="3" t="s">
        <v>1586</v>
      </c>
      <c r="C1930" s="3" t="s">
        <v>87</v>
      </c>
      <c r="D1930" s="3" t="s">
        <v>30</v>
      </c>
      <c r="E1930" s="3" t="s">
        <v>31</v>
      </c>
      <c r="F1930" s="3" t="b">
        <v>1</v>
      </c>
      <c r="G1930" s="3" t="s">
        <v>58</v>
      </c>
      <c r="H1930" s="6">
        <v>44947.464606481481</v>
      </c>
      <c r="I1930" s="3" t="b">
        <v>0</v>
      </c>
      <c r="J1930" s="3" t="b">
        <v>0</v>
      </c>
      <c r="K1930" s="3" t="s">
        <v>33</v>
      </c>
      <c r="L1930" s="3" t="s">
        <v>34</v>
      </c>
      <c r="M1930" s="8">
        <v>300000</v>
      </c>
      <c r="N1930" s="11"/>
      <c r="O1930" s="3" t="s">
        <v>3344</v>
      </c>
      <c r="P1930" s="3" t="s">
        <v>3345</v>
      </c>
    </row>
    <row r="1931" spans="1:16" x14ac:dyDescent="0.3">
      <c r="A1931" s="3" t="s">
        <v>27</v>
      </c>
      <c r="B1931" s="3" t="s">
        <v>3351</v>
      </c>
      <c r="C1931" s="3" t="s">
        <v>87</v>
      </c>
      <c r="D1931" s="3" t="s">
        <v>2449</v>
      </c>
      <c r="E1931" s="3" t="s">
        <v>1294</v>
      </c>
      <c r="F1931" s="3" t="b">
        <v>1</v>
      </c>
      <c r="G1931" s="3" t="s">
        <v>32</v>
      </c>
      <c r="H1931" s="6">
        <v>44944.420856481483</v>
      </c>
      <c r="I1931" s="3" t="b">
        <v>0</v>
      </c>
      <c r="J1931" s="3" t="b">
        <v>1</v>
      </c>
      <c r="K1931" s="3" t="s">
        <v>33</v>
      </c>
      <c r="L1931" s="3" t="s">
        <v>48</v>
      </c>
      <c r="M1931" s="8"/>
      <c r="N1931" s="11">
        <v>89</v>
      </c>
      <c r="O1931" s="3" t="s">
        <v>3352</v>
      </c>
      <c r="P1931" s="3" t="s">
        <v>3353</v>
      </c>
    </row>
    <row r="1932" spans="1:16" x14ac:dyDescent="0.3">
      <c r="A1932" s="3" t="s">
        <v>27</v>
      </c>
      <c r="B1932" s="3" t="s">
        <v>1067</v>
      </c>
      <c r="C1932" s="3" t="s">
        <v>321</v>
      </c>
      <c r="D1932" s="3" t="s">
        <v>1408</v>
      </c>
      <c r="E1932" s="3" t="s">
        <v>31</v>
      </c>
      <c r="F1932" s="3" t="b">
        <v>0</v>
      </c>
      <c r="G1932" s="3" t="s">
        <v>88</v>
      </c>
      <c r="H1932" s="6">
        <v>44955.004224537042</v>
      </c>
      <c r="I1932" s="3" t="b">
        <v>0</v>
      </c>
      <c r="J1932" s="3" t="b">
        <v>1</v>
      </c>
      <c r="K1932" s="3" t="s">
        <v>33</v>
      </c>
      <c r="L1932" s="3" t="s">
        <v>48</v>
      </c>
      <c r="M1932" s="8"/>
      <c r="N1932" s="11">
        <v>24</v>
      </c>
      <c r="O1932" s="3" t="s">
        <v>3358</v>
      </c>
      <c r="P1932" s="3" t="s">
        <v>3359</v>
      </c>
    </row>
    <row r="1933" spans="1:16" x14ac:dyDescent="0.3">
      <c r="A1933" s="3" t="s">
        <v>27</v>
      </c>
      <c r="B1933" s="3" t="s">
        <v>3370</v>
      </c>
      <c r="C1933" s="3" t="s">
        <v>109</v>
      </c>
      <c r="D1933" s="3" t="s">
        <v>1013</v>
      </c>
      <c r="E1933" s="3" t="s">
        <v>31</v>
      </c>
      <c r="F1933" s="3" t="b">
        <v>0</v>
      </c>
      <c r="G1933" s="3" t="s">
        <v>58</v>
      </c>
      <c r="H1933" s="6">
        <v>44934.710300925923</v>
      </c>
      <c r="I1933" s="3" t="b">
        <v>0</v>
      </c>
      <c r="J1933" s="3" t="b">
        <v>1</v>
      </c>
      <c r="K1933" s="3" t="s">
        <v>33</v>
      </c>
      <c r="L1933" s="3" t="s">
        <v>34</v>
      </c>
      <c r="M1933" s="8">
        <v>133340</v>
      </c>
      <c r="N1933" s="11"/>
      <c r="O1933" s="3" t="s">
        <v>351</v>
      </c>
      <c r="P1933" s="3" t="s">
        <v>347</v>
      </c>
    </row>
    <row r="1934" spans="1:16" x14ac:dyDescent="0.3">
      <c r="A1934" s="3" t="s">
        <v>27</v>
      </c>
      <c r="B1934" s="3" t="s">
        <v>3378</v>
      </c>
      <c r="C1934" s="3" t="s">
        <v>358</v>
      </c>
      <c r="D1934" s="3" t="s">
        <v>41</v>
      </c>
      <c r="E1934" s="3" t="s">
        <v>31</v>
      </c>
      <c r="F1934" s="3" t="b">
        <v>0</v>
      </c>
      <c r="G1934" s="3" t="s">
        <v>359</v>
      </c>
      <c r="H1934" s="6">
        <v>44952.776458333326</v>
      </c>
      <c r="I1934" s="3" t="b">
        <v>0</v>
      </c>
      <c r="J1934" s="3" t="b">
        <v>0</v>
      </c>
      <c r="K1934" s="3" t="s">
        <v>359</v>
      </c>
      <c r="L1934" s="3" t="s">
        <v>34</v>
      </c>
      <c r="M1934" s="8">
        <v>131867</v>
      </c>
      <c r="N1934" s="11"/>
      <c r="O1934" s="3" t="s">
        <v>3379</v>
      </c>
      <c r="P1934" s="3" t="s">
        <v>979</v>
      </c>
    </row>
    <row r="1935" spans="1:16" x14ac:dyDescent="0.3">
      <c r="A1935" s="3" t="s">
        <v>27</v>
      </c>
      <c r="B1935" s="3" t="s">
        <v>3389</v>
      </c>
      <c r="C1935" s="3" t="s">
        <v>244</v>
      </c>
      <c r="D1935" s="3" t="s">
        <v>3390</v>
      </c>
      <c r="E1935" s="3" t="s">
        <v>31</v>
      </c>
      <c r="F1935" s="3" t="b">
        <v>0</v>
      </c>
      <c r="G1935" s="3" t="s">
        <v>58</v>
      </c>
      <c r="H1935" s="6">
        <v>44929.981851851851</v>
      </c>
      <c r="I1935" s="3" t="b">
        <v>0</v>
      </c>
      <c r="J1935" s="3" t="b">
        <v>0</v>
      </c>
      <c r="K1935" s="3" t="s">
        <v>33</v>
      </c>
      <c r="L1935" s="3" t="s">
        <v>48</v>
      </c>
      <c r="M1935" s="8"/>
      <c r="N1935" s="11">
        <v>24</v>
      </c>
      <c r="O1935" s="3" t="s">
        <v>3391</v>
      </c>
      <c r="P1935" s="3" t="s">
        <v>3392</v>
      </c>
    </row>
    <row r="1936" spans="1:16" x14ac:dyDescent="0.3">
      <c r="A1936" s="3" t="s">
        <v>27</v>
      </c>
      <c r="B1936" s="3" t="s">
        <v>3393</v>
      </c>
      <c r="C1936" s="3" t="s">
        <v>87</v>
      </c>
      <c r="D1936" s="3" t="s">
        <v>263</v>
      </c>
      <c r="E1936" s="3" t="s">
        <v>133</v>
      </c>
      <c r="F1936" s="3" t="b">
        <v>1</v>
      </c>
      <c r="G1936" s="3" t="s">
        <v>110</v>
      </c>
      <c r="H1936" s="6">
        <v>44948.22383101852</v>
      </c>
      <c r="I1936" s="3" t="b">
        <v>0</v>
      </c>
      <c r="J1936" s="3" t="b">
        <v>0</v>
      </c>
      <c r="K1936" s="3" t="s">
        <v>110</v>
      </c>
      <c r="L1936" s="3" t="s">
        <v>48</v>
      </c>
      <c r="M1936" s="8"/>
      <c r="N1936" s="11">
        <v>20</v>
      </c>
      <c r="O1936" s="3" t="s">
        <v>264</v>
      </c>
      <c r="P1936" s="3" t="s">
        <v>932</v>
      </c>
    </row>
    <row r="1937" spans="1:16" x14ac:dyDescent="0.3">
      <c r="A1937" s="3" t="s">
        <v>27</v>
      </c>
      <c r="B1937" s="3" t="s">
        <v>519</v>
      </c>
      <c r="C1937" s="3" t="s">
        <v>87</v>
      </c>
      <c r="D1937" s="3" t="s">
        <v>867</v>
      </c>
      <c r="E1937" s="3" t="s">
        <v>31</v>
      </c>
      <c r="F1937" s="3" t="b">
        <v>1</v>
      </c>
      <c r="G1937" s="3" t="s">
        <v>84</v>
      </c>
      <c r="H1937" s="6">
        <v>44955.003750000003</v>
      </c>
      <c r="I1937" s="3" t="b">
        <v>0</v>
      </c>
      <c r="J1937" s="3" t="b">
        <v>0</v>
      </c>
      <c r="K1937" s="3" t="s">
        <v>33</v>
      </c>
      <c r="L1937" s="3" t="s">
        <v>34</v>
      </c>
      <c r="M1937" s="8">
        <v>155000</v>
      </c>
      <c r="N1937" s="11"/>
      <c r="O1937" s="3" t="s">
        <v>3397</v>
      </c>
      <c r="P1937" s="3" t="s">
        <v>3398</v>
      </c>
    </row>
    <row r="1938" spans="1:16" x14ac:dyDescent="0.3">
      <c r="A1938" s="3" t="s">
        <v>27</v>
      </c>
      <c r="B1938" s="3" t="s">
        <v>3401</v>
      </c>
      <c r="C1938" s="3" t="s">
        <v>1270</v>
      </c>
      <c r="D1938" s="3" t="s">
        <v>1419</v>
      </c>
      <c r="E1938" s="3" t="s">
        <v>31</v>
      </c>
      <c r="F1938" s="3" t="b">
        <v>0</v>
      </c>
      <c r="G1938" s="3" t="s">
        <v>88</v>
      </c>
      <c r="H1938" s="6">
        <v>44955.587905092587</v>
      </c>
      <c r="I1938" s="3" t="b">
        <v>0</v>
      </c>
      <c r="J1938" s="3" t="b">
        <v>0</v>
      </c>
      <c r="K1938" s="3" t="s">
        <v>33</v>
      </c>
      <c r="L1938" s="3" t="s">
        <v>34</v>
      </c>
      <c r="M1938" s="8">
        <v>136400</v>
      </c>
      <c r="N1938" s="11"/>
      <c r="O1938" s="3" t="s">
        <v>3014</v>
      </c>
      <c r="P1938" s="3" t="s">
        <v>3402</v>
      </c>
    </row>
    <row r="1939" spans="1:16" x14ac:dyDescent="0.3">
      <c r="A1939" s="3" t="s">
        <v>27</v>
      </c>
      <c r="B1939" s="3" t="s">
        <v>3403</v>
      </c>
      <c r="C1939" s="3" t="s">
        <v>270</v>
      </c>
      <c r="D1939" s="3" t="s">
        <v>30</v>
      </c>
      <c r="E1939" s="3" t="s">
        <v>31</v>
      </c>
      <c r="F1939" s="3" t="b">
        <v>0</v>
      </c>
      <c r="G1939" s="3" t="s">
        <v>32</v>
      </c>
      <c r="H1939" s="6">
        <v>44953.795289351852</v>
      </c>
      <c r="I1939" s="3" t="b">
        <v>0</v>
      </c>
      <c r="J1939" s="3" t="b">
        <v>1</v>
      </c>
      <c r="K1939" s="3" t="s">
        <v>33</v>
      </c>
      <c r="L1939" s="3" t="s">
        <v>34</v>
      </c>
      <c r="M1939" s="8">
        <v>197000</v>
      </c>
      <c r="N1939" s="11"/>
      <c r="O1939" s="3" t="s">
        <v>3404</v>
      </c>
      <c r="P1939" s="3" t="s">
        <v>1545</v>
      </c>
    </row>
    <row r="1940" spans="1:16" x14ac:dyDescent="0.3">
      <c r="A1940" s="3" t="s">
        <v>27</v>
      </c>
      <c r="B1940" s="3" t="s">
        <v>3407</v>
      </c>
      <c r="C1940" s="3" t="s">
        <v>87</v>
      </c>
      <c r="D1940" s="3" t="s">
        <v>263</v>
      </c>
      <c r="E1940" s="3" t="s">
        <v>133</v>
      </c>
      <c r="F1940" s="3" t="b">
        <v>1</v>
      </c>
      <c r="G1940" s="3" t="s">
        <v>110</v>
      </c>
      <c r="H1940" s="6">
        <v>44946.288958333331</v>
      </c>
      <c r="I1940" s="3" t="b">
        <v>0</v>
      </c>
      <c r="J1940" s="3" t="b">
        <v>0</v>
      </c>
      <c r="K1940" s="3" t="s">
        <v>110</v>
      </c>
      <c r="L1940" s="3" t="s">
        <v>48</v>
      </c>
      <c r="M1940" s="8"/>
      <c r="N1940" s="11">
        <v>69</v>
      </c>
      <c r="O1940" s="3" t="s">
        <v>264</v>
      </c>
      <c r="P1940" s="3" t="s">
        <v>932</v>
      </c>
    </row>
    <row r="1941" spans="1:16" x14ac:dyDescent="0.3">
      <c r="A1941" s="3" t="s">
        <v>27</v>
      </c>
      <c r="B1941" s="3" t="s">
        <v>977</v>
      </c>
      <c r="C1941" s="3" t="s">
        <v>164</v>
      </c>
      <c r="D1941" s="3" t="s">
        <v>30</v>
      </c>
      <c r="E1941" s="3" t="s">
        <v>31</v>
      </c>
      <c r="F1941" s="3" t="b">
        <v>0</v>
      </c>
      <c r="G1941" s="3" t="s">
        <v>64</v>
      </c>
      <c r="H1941" s="6">
        <v>44943.669270833343</v>
      </c>
      <c r="I1941" s="3" t="b">
        <v>0</v>
      </c>
      <c r="J1941" s="3" t="b">
        <v>0</v>
      </c>
      <c r="K1941" s="3" t="s">
        <v>33</v>
      </c>
      <c r="L1941" s="3" t="s">
        <v>34</v>
      </c>
      <c r="M1941" s="8">
        <v>130000</v>
      </c>
      <c r="N1941" s="11"/>
      <c r="O1941" s="3" t="s">
        <v>3423</v>
      </c>
      <c r="P1941" s="3" t="s">
        <v>3424</v>
      </c>
    </row>
    <row r="1942" spans="1:16" x14ac:dyDescent="0.3">
      <c r="A1942" s="3" t="s">
        <v>27</v>
      </c>
      <c r="B1942" s="3" t="s">
        <v>27</v>
      </c>
      <c r="C1942" s="3" t="s">
        <v>57</v>
      </c>
      <c r="D1942" s="3" t="s">
        <v>479</v>
      </c>
      <c r="E1942" s="3" t="s">
        <v>31</v>
      </c>
      <c r="F1942" s="3" t="b">
        <v>0</v>
      </c>
      <c r="G1942" s="3" t="s">
        <v>110</v>
      </c>
      <c r="H1942" s="6">
        <v>44948.460115740738</v>
      </c>
      <c r="I1942" s="3" t="b">
        <v>0</v>
      </c>
      <c r="J1942" s="3" t="b">
        <v>0</v>
      </c>
      <c r="K1942" s="3" t="s">
        <v>110</v>
      </c>
      <c r="L1942" s="3" t="s">
        <v>34</v>
      </c>
      <c r="M1942" s="8">
        <v>130000</v>
      </c>
      <c r="N1942" s="11"/>
      <c r="O1942" s="3" t="s">
        <v>3430</v>
      </c>
      <c r="P1942" s="3" t="s">
        <v>3431</v>
      </c>
    </row>
    <row r="1943" spans="1:16" x14ac:dyDescent="0.3">
      <c r="A1943" s="3" t="s">
        <v>27</v>
      </c>
      <c r="B1943" s="3" t="s">
        <v>3432</v>
      </c>
      <c r="C1943" s="3" t="s">
        <v>87</v>
      </c>
      <c r="D1943" s="3" t="s">
        <v>30</v>
      </c>
      <c r="E1943" s="3" t="s">
        <v>31</v>
      </c>
      <c r="F1943" s="3" t="b">
        <v>1</v>
      </c>
      <c r="G1943" s="3" t="s">
        <v>110</v>
      </c>
      <c r="H1943" s="6">
        <v>44937.001597222217</v>
      </c>
      <c r="I1943" s="3" t="b">
        <v>0</v>
      </c>
      <c r="J1943" s="3" t="b">
        <v>0</v>
      </c>
      <c r="K1943" s="3" t="s">
        <v>110</v>
      </c>
      <c r="L1943" s="3" t="s">
        <v>34</v>
      </c>
      <c r="M1943" s="8">
        <v>132500</v>
      </c>
      <c r="N1943" s="11"/>
      <c r="O1943" s="3" t="s">
        <v>196</v>
      </c>
      <c r="P1943" s="3" t="s">
        <v>1055</v>
      </c>
    </row>
    <row r="1944" spans="1:16" x14ac:dyDescent="0.3">
      <c r="A1944" s="3" t="s">
        <v>27</v>
      </c>
      <c r="B1944" s="3" t="s">
        <v>2480</v>
      </c>
      <c r="C1944" s="3" t="s">
        <v>87</v>
      </c>
      <c r="D1944" s="3" t="s">
        <v>263</v>
      </c>
      <c r="E1944" s="3" t="s">
        <v>133</v>
      </c>
      <c r="F1944" s="3" t="b">
        <v>1</v>
      </c>
      <c r="G1944" s="3" t="s">
        <v>58</v>
      </c>
      <c r="H1944" s="6">
        <v>44939.754432870373</v>
      </c>
      <c r="I1944" s="3" t="b">
        <v>0</v>
      </c>
      <c r="J1944" s="3" t="b">
        <v>0</v>
      </c>
      <c r="K1944" s="3" t="s">
        <v>33</v>
      </c>
      <c r="L1944" s="3" t="s">
        <v>48</v>
      </c>
      <c r="M1944" s="8"/>
      <c r="N1944" s="11">
        <v>30.5</v>
      </c>
      <c r="O1944" s="3" t="s">
        <v>264</v>
      </c>
      <c r="P1944" s="3"/>
    </row>
    <row r="1945" spans="1:16" x14ac:dyDescent="0.3">
      <c r="A1945" s="3" t="s">
        <v>27</v>
      </c>
      <c r="B1945" s="3" t="s">
        <v>3442</v>
      </c>
      <c r="C1945" s="3" t="s">
        <v>3443</v>
      </c>
      <c r="D1945" s="3" t="s">
        <v>41</v>
      </c>
      <c r="E1945" s="3" t="s">
        <v>31</v>
      </c>
      <c r="F1945" s="3" t="b">
        <v>0</v>
      </c>
      <c r="G1945" s="3" t="s">
        <v>651</v>
      </c>
      <c r="H1945" s="6">
        <v>44929.226817129631</v>
      </c>
      <c r="I1945" s="3" t="b">
        <v>1</v>
      </c>
      <c r="J1945" s="3" t="b">
        <v>0</v>
      </c>
      <c r="K1945" s="3" t="s">
        <v>651</v>
      </c>
      <c r="L1945" s="3" t="s">
        <v>34</v>
      </c>
      <c r="M1945" s="8">
        <v>88128</v>
      </c>
      <c r="N1945" s="11"/>
      <c r="O1945" s="3" t="s">
        <v>3444</v>
      </c>
      <c r="P1945" s="3" t="s">
        <v>3445</v>
      </c>
    </row>
    <row r="1946" spans="1:16" x14ac:dyDescent="0.3">
      <c r="A1946" s="3" t="s">
        <v>27</v>
      </c>
      <c r="B1946" s="3" t="s">
        <v>3446</v>
      </c>
      <c r="C1946" s="3" t="s">
        <v>2903</v>
      </c>
      <c r="D1946" s="3" t="s">
        <v>93</v>
      </c>
      <c r="E1946" s="3" t="s">
        <v>31</v>
      </c>
      <c r="F1946" s="3" t="b">
        <v>0</v>
      </c>
      <c r="G1946" s="3" t="s">
        <v>64</v>
      </c>
      <c r="H1946" s="6">
        <v>44938.420335648138</v>
      </c>
      <c r="I1946" s="3" t="b">
        <v>0</v>
      </c>
      <c r="J1946" s="3" t="b">
        <v>0</v>
      </c>
      <c r="K1946" s="3" t="s">
        <v>33</v>
      </c>
      <c r="L1946" s="3" t="s">
        <v>34</v>
      </c>
      <c r="M1946" s="8">
        <v>90000</v>
      </c>
      <c r="N1946" s="11"/>
      <c r="O1946" s="3" t="s">
        <v>784</v>
      </c>
      <c r="P1946" s="3" t="s">
        <v>3447</v>
      </c>
    </row>
    <row r="1947" spans="1:16" x14ac:dyDescent="0.3">
      <c r="A1947" s="3" t="s">
        <v>27</v>
      </c>
      <c r="B1947" s="3" t="s">
        <v>27</v>
      </c>
      <c r="C1947" s="3" t="s">
        <v>33</v>
      </c>
      <c r="D1947" s="3" t="s">
        <v>30</v>
      </c>
      <c r="E1947" s="3" t="s">
        <v>133</v>
      </c>
      <c r="F1947" s="3" t="b">
        <v>0</v>
      </c>
      <c r="G1947" s="3" t="s">
        <v>58</v>
      </c>
      <c r="H1947" s="6">
        <v>44950.878865740742</v>
      </c>
      <c r="I1947" s="3" t="b">
        <v>0</v>
      </c>
      <c r="J1947" s="3" t="b">
        <v>0</v>
      </c>
      <c r="K1947" s="3" t="s">
        <v>33</v>
      </c>
      <c r="L1947" s="3" t="s">
        <v>48</v>
      </c>
      <c r="M1947" s="8"/>
      <c r="N1947" s="11">
        <v>65</v>
      </c>
      <c r="O1947" s="3" t="s">
        <v>3469</v>
      </c>
      <c r="P1947" s="3" t="s">
        <v>3470</v>
      </c>
    </row>
    <row r="1948" spans="1:16" x14ac:dyDescent="0.3">
      <c r="A1948" s="3" t="s">
        <v>27</v>
      </c>
      <c r="B1948" s="3" t="s">
        <v>27</v>
      </c>
      <c r="C1948" s="3" t="s">
        <v>965</v>
      </c>
      <c r="D1948" s="3" t="s">
        <v>188</v>
      </c>
      <c r="E1948" s="3" t="s">
        <v>31</v>
      </c>
      <c r="F1948" s="3" t="b">
        <v>0</v>
      </c>
      <c r="G1948" s="3" t="s">
        <v>140</v>
      </c>
      <c r="H1948" s="6">
        <v>44932.674004629633</v>
      </c>
      <c r="I1948" s="3" t="b">
        <v>0</v>
      </c>
      <c r="J1948" s="3" t="b">
        <v>0</v>
      </c>
      <c r="K1948" s="3" t="s">
        <v>33</v>
      </c>
      <c r="L1948" s="3" t="s">
        <v>34</v>
      </c>
      <c r="M1948" s="8">
        <v>160000</v>
      </c>
      <c r="N1948" s="11"/>
      <c r="O1948" s="3" t="s">
        <v>3474</v>
      </c>
      <c r="P1948" s="3" t="s">
        <v>347</v>
      </c>
    </row>
    <row r="1949" spans="1:16" x14ac:dyDescent="0.3">
      <c r="A1949" s="3" t="s">
        <v>27</v>
      </c>
      <c r="B1949" s="3" t="s">
        <v>100</v>
      </c>
      <c r="C1949" s="3" t="s">
        <v>87</v>
      </c>
      <c r="D1949" s="3" t="s">
        <v>30</v>
      </c>
      <c r="E1949" s="3" t="s">
        <v>31</v>
      </c>
      <c r="F1949" s="3" t="b">
        <v>1</v>
      </c>
      <c r="G1949" s="3" t="s">
        <v>84</v>
      </c>
      <c r="H1949" s="6">
        <v>44935.670381944437</v>
      </c>
      <c r="I1949" s="3" t="b">
        <v>0</v>
      </c>
      <c r="J1949" s="3" t="b">
        <v>1</v>
      </c>
      <c r="K1949" s="3" t="s">
        <v>33</v>
      </c>
      <c r="L1949" s="3" t="s">
        <v>34</v>
      </c>
      <c r="M1949" s="8">
        <v>117500</v>
      </c>
      <c r="N1949" s="11"/>
      <c r="O1949" s="3" t="s">
        <v>485</v>
      </c>
      <c r="P1949" s="3" t="s">
        <v>3475</v>
      </c>
    </row>
    <row r="1950" spans="1:16" x14ac:dyDescent="0.3">
      <c r="A1950" s="3" t="s">
        <v>27</v>
      </c>
      <c r="B1950" s="3" t="s">
        <v>27</v>
      </c>
      <c r="C1950" s="3" t="s">
        <v>1488</v>
      </c>
      <c r="D1950" s="3" t="s">
        <v>30</v>
      </c>
      <c r="E1950" s="3" t="s">
        <v>133</v>
      </c>
      <c r="F1950" s="3" t="b">
        <v>0</v>
      </c>
      <c r="G1950" s="3" t="s">
        <v>84</v>
      </c>
      <c r="H1950" s="6">
        <v>44936.639745370368</v>
      </c>
      <c r="I1950" s="3" t="b">
        <v>0</v>
      </c>
      <c r="J1950" s="3" t="b">
        <v>0</v>
      </c>
      <c r="K1950" s="3" t="s">
        <v>33</v>
      </c>
      <c r="L1950" s="3" t="s">
        <v>48</v>
      </c>
      <c r="M1950" s="8"/>
      <c r="N1950" s="11">
        <v>57.5</v>
      </c>
      <c r="O1950" s="3" t="s">
        <v>3476</v>
      </c>
      <c r="P1950" s="3" t="s">
        <v>135</v>
      </c>
    </row>
    <row r="1951" spans="1:16" x14ac:dyDescent="0.3">
      <c r="A1951" s="3" t="s">
        <v>27</v>
      </c>
      <c r="B1951" s="3" t="s">
        <v>3479</v>
      </c>
      <c r="C1951" s="3" t="s">
        <v>3480</v>
      </c>
      <c r="D1951" s="3" t="s">
        <v>106</v>
      </c>
      <c r="E1951" s="3" t="s">
        <v>31</v>
      </c>
      <c r="F1951" s="3" t="b">
        <v>0</v>
      </c>
      <c r="G1951" s="3" t="s">
        <v>140</v>
      </c>
      <c r="H1951" s="6">
        <v>44949.084189814806</v>
      </c>
      <c r="I1951" s="3" t="b">
        <v>0</v>
      </c>
      <c r="J1951" s="3" t="b">
        <v>1</v>
      </c>
      <c r="K1951" s="3" t="s">
        <v>33</v>
      </c>
      <c r="L1951" s="3" t="s">
        <v>34</v>
      </c>
      <c r="M1951" s="8">
        <v>150500</v>
      </c>
      <c r="N1951" s="11"/>
      <c r="O1951" s="3" t="s">
        <v>3481</v>
      </c>
      <c r="P1951" s="3" t="s">
        <v>3482</v>
      </c>
    </row>
    <row r="1952" spans="1:16" x14ac:dyDescent="0.3">
      <c r="A1952" s="3" t="s">
        <v>27</v>
      </c>
      <c r="B1952" s="3" t="s">
        <v>519</v>
      </c>
      <c r="C1952" s="3" t="s">
        <v>3484</v>
      </c>
      <c r="D1952" s="3" t="s">
        <v>30</v>
      </c>
      <c r="E1952" s="3" t="s">
        <v>31</v>
      </c>
      <c r="F1952" s="3" t="b">
        <v>0</v>
      </c>
      <c r="G1952" s="3" t="s">
        <v>58</v>
      </c>
      <c r="H1952" s="6">
        <v>44952.629131944443</v>
      </c>
      <c r="I1952" s="3" t="b">
        <v>0</v>
      </c>
      <c r="J1952" s="3" t="b">
        <v>0</v>
      </c>
      <c r="K1952" s="3" t="s">
        <v>33</v>
      </c>
      <c r="L1952" s="3" t="s">
        <v>34</v>
      </c>
      <c r="M1952" s="8">
        <v>106759</v>
      </c>
      <c r="N1952" s="11"/>
      <c r="O1952" s="3" t="s">
        <v>144</v>
      </c>
      <c r="P1952" s="3" t="s">
        <v>3485</v>
      </c>
    </row>
    <row r="1953" spans="1:16" x14ac:dyDescent="0.3">
      <c r="A1953" s="3" t="s">
        <v>27</v>
      </c>
      <c r="B1953" s="3" t="s">
        <v>3488</v>
      </c>
      <c r="C1953" s="3" t="s">
        <v>1839</v>
      </c>
      <c r="D1953" s="3" t="s">
        <v>1840</v>
      </c>
      <c r="E1953" s="3" t="s">
        <v>31</v>
      </c>
      <c r="F1953" s="3" t="b">
        <v>0</v>
      </c>
      <c r="G1953" s="3" t="s">
        <v>32</v>
      </c>
      <c r="H1953" s="6">
        <v>44929.981145833342</v>
      </c>
      <c r="I1953" s="3" t="b">
        <v>0</v>
      </c>
      <c r="J1953" s="3" t="b">
        <v>0</v>
      </c>
      <c r="K1953" s="3" t="s">
        <v>33</v>
      </c>
      <c r="L1953" s="3" t="s">
        <v>48</v>
      </c>
      <c r="M1953" s="8"/>
      <c r="N1953" s="11">
        <v>24</v>
      </c>
      <c r="O1953" s="3" t="s">
        <v>3489</v>
      </c>
      <c r="P1953" s="3" t="s">
        <v>3490</v>
      </c>
    </row>
    <row r="1954" spans="1:16" x14ac:dyDescent="0.3">
      <c r="A1954" s="3" t="s">
        <v>27</v>
      </c>
      <c r="B1954" s="3" t="s">
        <v>3495</v>
      </c>
      <c r="C1954" s="3" t="s">
        <v>2508</v>
      </c>
      <c r="D1954" s="3" t="s">
        <v>2509</v>
      </c>
      <c r="E1954" s="3" t="s">
        <v>31</v>
      </c>
      <c r="F1954" s="3" t="b">
        <v>0</v>
      </c>
      <c r="G1954" s="3" t="s">
        <v>88</v>
      </c>
      <c r="H1954" s="6">
        <v>44929.982997685183</v>
      </c>
      <c r="I1954" s="3" t="b">
        <v>0</v>
      </c>
      <c r="J1954" s="3" t="b">
        <v>0</v>
      </c>
      <c r="K1954" s="3" t="s">
        <v>33</v>
      </c>
      <c r="L1954" s="3" t="s">
        <v>48</v>
      </c>
      <c r="M1954" s="8"/>
      <c r="N1954" s="11">
        <v>24</v>
      </c>
      <c r="O1954" s="3" t="s">
        <v>3496</v>
      </c>
      <c r="P1954" s="3" t="s">
        <v>3497</v>
      </c>
    </row>
    <row r="1955" spans="1:16" x14ac:dyDescent="0.3">
      <c r="A1955" s="3" t="s">
        <v>27</v>
      </c>
      <c r="B1955" s="3" t="s">
        <v>3498</v>
      </c>
      <c r="C1955" s="3" t="s">
        <v>87</v>
      </c>
      <c r="D1955" s="3" t="s">
        <v>30</v>
      </c>
      <c r="E1955" s="3" t="s">
        <v>133</v>
      </c>
      <c r="F1955" s="3" t="b">
        <v>1</v>
      </c>
      <c r="G1955" s="3" t="s">
        <v>84</v>
      </c>
      <c r="H1955" s="6">
        <v>44946.891180555547</v>
      </c>
      <c r="I1955" s="3" t="b">
        <v>0</v>
      </c>
      <c r="J1955" s="3" t="b">
        <v>1</v>
      </c>
      <c r="K1955" s="3" t="s">
        <v>33</v>
      </c>
      <c r="L1955" s="3" t="s">
        <v>48</v>
      </c>
      <c r="M1955" s="8"/>
      <c r="N1955" s="11">
        <v>57.5</v>
      </c>
      <c r="O1955" s="3" t="s">
        <v>3499</v>
      </c>
      <c r="P1955" s="3" t="s">
        <v>1216</v>
      </c>
    </row>
    <row r="1956" spans="1:16" x14ac:dyDescent="0.3">
      <c r="A1956" s="3" t="s">
        <v>27</v>
      </c>
      <c r="B1956" s="3" t="s">
        <v>3514</v>
      </c>
      <c r="C1956" s="3" t="s">
        <v>620</v>
      </c>
      <c r="D1956" s="3" t="s">
        <v>76</v>
      </c>
      <c r="E1956" s="3" t="s">
        <v>31</v>
      </c>
      <c r="F1956" s="3" t="b">
        <v>0</v>
      </c>
      <c r="G1956" s="3" t="s">
        <v>110</v>
      </c>
      <c r="H1956" s="6">
        <v>44939.182118055563</v>
      </c>
      <c r="I1956" s="3" t="b">
        <v>0</v>
      </c>
      <c r="J1956" s="3" t="b">
        <v>1</v>
      </c>
      <c r="K1956" s="3" t="s">
        <v>110</v>
      </c>
      <c r="L1956" s="3" t="s">
        <v>34</v>
      </c>
      <c r="M1956" s="8">
        <v>171000</v>
      </c>
      <c r="N1956" s="11"/>
      <c r="O1956" s="3" t="s">
        <v>3515</v>
      </c>
      <c r="P1956" s="3" t="s">
        <v>3516</v>
      </c>
    </row>
    <row r="1957" spans="1:16" x14ac:dyDescent="0.3">
      <c r="A1957" s="3" t="s">
        <v>27</v>
      </c>
      <c r="B1957" s="3" t="s">
        <v>3519</v>
      </c>
      <c r="C1957" s="3" t="s">
        <v>3520</v>
      </c>
      <c r="D1957" s="3" t="s">
        <v>93</v>
      </c>
      <c r="E1957" s="3" t="s">
        <v>31</v>
      </c>
      <c r="F1957" s="3" t="b">
        <v>0</v>
      </c>
      <c r="G1957" s="3" t="s">
        <v>64</v>
      </c>
      <c r="H1957" s="6">
        <v>44949.294050925928</v>
      </c>
      <c r="I1957" s="3" t="b">
        <v>0</v>
      </c>
      <c r="J1957" s="3" t="b">
        <v>1</v>
      </c>
      <c r="K1957" s="3" t="s">
        <v>33</v>
      </c>
      <c r="L1957" s="3" t="s">
        <v>34</v>
      </c>
      <c r="M1957" s="8">
        <v>90000</v>
      </c>
      <c r="N1957" s="11"/>
      <c r="O1957" s="3" t="s">
        <v>784</v>
      </c>
      <c r="P1957" s="3" t="s">
        <v>3521</v>
      </c>
    </row>
    <row r="1958" spans="1:16" x14ac:dyDescent="0.3">
      <c r="A1958" s="3" t="s">
        <v>27</v>
      </c>
      <c r="B1958" s="3" t="s">
        <v>3522</v>
      </c>
      <c r="C1958" s="3" t="s">
        <v>447</v>
      </c>
      <c r="D1958" s="3" t="s">
        <v>867</v>
      </c>
      <c r="E1958" s="3" t="s">
        <v>31</v>
      </c>
      <c r="F1958" s="3" t="b">
        <v>0</v>
      </c>
      <c r="G1958" s="3" t="s">
        <v>32</v>
      </c>
      <c r="H1958" s="6">
        <v>44954.003611111111</v>
      </c>
      <c r="I1958" s="3" t="b">
        <v>0</v>
      </c>
      <c r="J1958" s="3" t="b">
        <v>0</v>
      </c>
      <c r="K1958" s="3" t="s">
        <v>33</v>
      </c>
      <c r="L1958" s="3" t="s">
        <v>34</v>
      </c>
      <c r="M1958" s="8">
        <v>155000</v>
      </c>
      <c r="N1958" s="11"/>
      <c r="O1958" s="3" t="s">
        <v>3523</v>
      </c>
      <c r="P1958" s="3" t="s">
        <v>275</v>
      </c>
    </row>
    <row r="1959" spans="1:16" x14ac:dyDescent="0.3">
      <c r="A1959" s="3" t="s">
        <v>27</v>
      </c>
      <c r="B1959" s="3" t="s">
        <v>3530</v>
      </c>
      <c r="C1959" s="3" t="s">
        <v>565</v>
      </c>
      <c r="D1959" s="3" t="s">
        <v>1013</v>
      </c>
      <c r="E1959" s="3" t="s">
        <v>31</v>
      </c>
      <c r="F1959" s="3" t="b">
        <v>0</v>
      </c>
      <c r="G1959" s="3" t="s">
        <v>88</v>
      </c>
      <c r="H1959" s="6">
        <v>44934.002881944441</v>
      </c>
      <c r="I1959" s="3" t="b">
        <v>0</v>
      </c>
      <c r="J1959" s="3" t="b">
        <v>1</v>
      </c>
      <c r="K1959" s="3" t="s">
        <v>33</v>
      </c>
      <c r="L1959" s="3" t="s">
        <v>34</v>
      </c>
      <c r="M1959" s="8">
        <v>157000</v>
      </c>
      <c r="N1959" s="11"/>
      <c r="O1959" s="3" t="s">
        <v>3531</v>
      </c>
      <c r="P1959" s="3" t="s">
        <v>2153</v>
      </c>
    </row>
    <row r="1960" spans="1:16" x14ac:dyDescent="0.3">
      <c r="A1960" s="3" t="s">
        <v>27</v>
      </c>
      <c r="B1960" s="3" t="s">
        <v>257</v>
      </c>
      <c r="C1960" s="3" t="s">
        <v>1672</v>
      </c>
      <c r="D1960" s="3" t="s">
        <v>3532</v>
      </c>
      <c r="E1960" s="3" t="s">
        <v>31</v>
      </c>
      <c r="F1960" s="3" t="b">
        <v>0</v>
      </c>
      <c r="G1960" s="3" t="s">
        <v>140</v>
      </c>
      <c r="H1960" s="6">
        <v>44931.333449074067</v>
      </c>
      <c r="I1960" s="3" t="b">
        <v>0</v>
      </c>
      <c r="J1960" s="3" t="b">
        <v>0</v>
      </c>
      <c r="K1960" s="3" t="s">
        <v>33</v>
      </c>
      <c r="L1960" s="3" t="s">
        <v>34</v>
      </c>
      <c r="M1960" s="8">
        <v>74235</v>
      </c>
      <c r="N1960" s="11"/>
      <c r="O1960" s="3" t="s">
        <v>2393</v>
      </c>
      <c r="P1960" s="3" t="s">
        <v>2394</v>
      </c>
    </row>
    <row r="1961" spans="1:16" x14ac:dyDescent="0.3">
      <c r="A1961" s="3" t="s">
        <v>27</v>
      </c>
      <c r="B1961" s="3" t="s">
        <v>3540</v>
      </c>
      <c r="C1961" s="3" t="s">
        <v>164</v>
      </c>
      <c r="D1961" s="3" t="s">
        <v>76</v>
      </c>
      <c r="E1961" s="3" t="s">
        <v>31</v>
      </c>
      <c r="F1961" s="3" t="b">
        <v>0</v>
      </c>
      <c r="G1961" s="3" t="s">
        <v>64</v>
      </c>
      <c r="H1961" s="6">
        <v>44930.793761574067</v>
      </c>
      <c r="I1961" s="3" t="b">
        <v>0</v>
      </c>
      <c r="J1961" s="3" t="b">
        <v>1</v>
      </c>
      <c r="K1961" s="3" t="s">
        <v>33</v>
      </c>
      <c r="L1961" s="3" t="s">
        <v>34</v>
      </c>
      <c r="M1961" s="8">
        <v>100750</v>
      </c>
      <c r="N1961" s="11"/>
      <c r="O1961" s="3" t="s">
        <v>3541</v>
      </c>
      <c r="P1961" s="3" t="s">
        <v>3542</v>
      </c>
    </row>
    <row r="1962" spans="1:16" x14ac:dyDescent="0.3">
      <c r="A1962" s="3" t="s">
        <v>27</v>
      </c>
      <c r="B1962" s="3" t="s">
        <v>27</v>
      </c>
      <c r="C1962" s="3" t="s">
        <v>1908</v>
      </c>
      <c r="D1962" s="3" t="s">
        <v>30</v>
      </c>
      <c r="E1962" s="3" t="s">
        <v>133</v>
      </c>
      <c r="F1962" s="3" t="b">
        <v>0</v>
      </c>
      <c r="G1962" s="3" t="s">
        <v>32</v>
      </c>
      <c r="H1962" s="6">
        <v>44950.711377314823</v>
      </c>
      <c r="I1962" s="3" t="b">
        <v>0</v>
      </c>
      <c r="J1962" s="3" t="b">
        <v>0</v>
      </c>
      <c r="K1962" s="3" t="s">
        <v>33</v>
      </c>
      <c r="L1962" s="3" t="s">
        <v>48</v>
      </c>
      <c r="M1962" s="8"/>
      <c r="N1962" s="11">
        <v>62.5</v>
      </c>
      <c r="O1962" s="3" t="s">
        <v>3550</v>
      </c>
      <c r="P1962" s="3"/>
    </row>
    <row r="1963" spans="1:16" x14ac:dyDescent="0.3">
      <c r="A1963" s="3" t="s">
        <v>27</v>
      </c>
      <c r="B1963" s="3" t="s">
        <v>3557</v>
      </c>
      <c r="C1963" s="3" t="s">
        <v>1321</v>
      </c>
      <c r="D1963" s="3" t="s">
        <v>93</v>
      </c>
      <c r="E1963" s="3" t="s">
        <v>31</v>
      </c>
      <c r="F1963" s="3" t="b">
        <v>0</v>
      </c>
      <c r="G1963" s="3" t="s">
        <v>32</v>
      </c>
      <c r="H1963" s="6">
        <v>44930.147581018522</v>
      </c>
      <c r="I1963" s="3" t="b">
        <v>0</v>
      </c>
      <c r="J1963" s="3" t="b">
        <v>1</v>
      </c>
      <c r="K1963" s="3" t="s">
        <v>33</v>
      </c>
      <c r="L1963" s="3" t="s">
        <v>34</v>
      </c>
      <c r="M1963" s="8">
        <v>115000</v>
      </c>
      <c r="N1963" s="11"/>
      <c r="O1963" s="3" t="s">
        <v>1322</v>
      </c>
      <c r="P1963" s="3" t="s">
        <v>3558</v>
      </c>
    </row>
    <row r="1964" spans="1:16" x14ac:dyDescent="0.3">
      <c r="A1964" s="3" t="s">
        <v>27</v>
      </c>
      <c r="B1964" s="3" t="s">
        <v>3563</v>
      </c>
      <c r="C1964" s="3" t="s">
        <v>417</v>
      </c>
      <c r="D1964" s="3" t="s">
        <v>429</v>
      </c>
      <c r="E1964" s="3" t="s">
        <v>31</v>
      </c>
      <c r="F1964" s="3" t="b">
        <v>0</v>
      </c>
      <c r="G1964" s="3" t="s">
        <v>110</v>
      </c>
      <c r="H1964" s="6">
        <v>44955.015011574083</v>
      </c>
      <c r="I1964" s="3" t="b">
        <v>0</v>
      </c>
      <c r="J1964" s="3" t="b">
        <v>0</v>
      </c>
      <c r="K1964" s="3" t="s">
        <v>110</v>
      </c>
      <c r="L1964" s="3" t="s">
        <v>48</v>
      </c>
      <c r="M1964" s="8"/>
      <c r="N1964" s="11">
        <v>24</v>
      </c>
      <c r="O1964" s="3" t="s">
        <v>1445</v>
      </c>
      <c r="P1964" s="3" t="s">
        <v>3564</v>
      </c>
    </row>
    <row r="1965" spans="1:16" x14ac:dyDescent="0.3">
      <c r="A1965" s="3" t="s">
        <v>27</v>
      </c>
      <c r="B1965" s="3" t="s">
        <v>2003</v>
      </c>
      <c r="C1965" s="3" t="s">
        <v>79</v>
      </c>
      <c r="D1965" s="3" t="s">
        <v>296</v>
      </c>
      <c r="E1965" s="3" t="s">
        <v>31</v>
      </c>
      <c r="F1965" s="3" t="b">
        <v>0</v>
      </c>
      <c r="G1965" s="3" t="s">
        <v>58</v>
      </c>
      <c r="H1965" s="6">
        <v>44953.004282407397</v>
      </c>
      <c r="I1965" s="3" t="b">
        <v>0</v>
      </c>
      <c r="J1965" s="3" t="b">
        <v>1</v>
      </c>
      <c r="K1965" s="3" t="s">
        <v>33</v>
      </c>
      <c r="L1965" s="3" t="s">
        <v>48</v>
      </c>
      <c r="M1965" s="8"/>
      <c r="N1965" s="11">
        <v>24</v>
      </c>
      <c r="O1965" s="3" t="s">
        <v>1445</v>
      </c>
      <c r="P1965" s="3" t="s">
        <v>3565</v>
      </c>
    </row>
    <row r="1966" spans="1:16" x14ac:dyDescent="0.3">
      <c r="A1966" s="3" t="s">
        <v>27</v>
      </c>
      <c r="B1966" s="3" t="s">
        <v>3569</v>
      </c>
      <c r="C1966" s="3" t="s">
        <v>244</v>
      </c>
      <c r="D1966" s="3" t="s">
        <v>41</v>
      </c>
      <c r="E1966" s="3" t="s">
        <v>31</v>
      </c>
      <c r="F1966" s="3" t="b">
        <v>0</v>
      </c>
      <c r="G1966" s="3" t="s">
        <v>58</v>
      </c>
      <c r="H1966" s="6">
        <v>44952.587627314817</v>
      </c>
      <c r="I1966" s="3" t="b">
        <v>1</v>
      </c>
      <c r="J1966" s="3" t="b">
        <v>1</v>
      </c>
      <c r="K1966" s="3" t="s">
        <v>33</v>
      </c>
      <c r="L1966" s="3" t="s">
        <v>34</v>
      </c>
      <c r="M1966" s="8">
        <v>122500</v>
      </c>
      <c r="N1966" s="11"/>
      <c r="O1966" s="3" t="s">
        <v>694</v>
      </c>
      <c r="P1966" s="3" t="s">
        <v>3570</v>
      </c>
    </row>
    <row r="1967" spans="1:16" x14ac:dyDescent="0.3">
      <c r="A1967" s="3" t="s">
        <v>27</v>
      </c>
      <c r="B1967" s="3" t="s">
        <v>27</v>
      </c>
      <c r="C1967" s="3" t="s">
        <v>3030</v>
      </c>
      <c r="D1967" s="3" t="s">
        <v>30</v>
      </c>
      <c r="E1967" s="3" t="s">
        <v>31</v>
      </c>
      <c r="F1967" s="3" t="b">
        <v>0</v>
      </c>
      <c r="G1967" s="3" t="s">
        <v>88</v>
      </c>
      <c r="H1967" s="6">
        <v>44944.836145833331</v>
      </c>
      <c r="I1967" s="3" t="b">
        <v>0</v>
      </c>
      <c r="J1967" s="3" t="b">
        <v>0</v>
      </c>
      <c r="K1967" s="3" t="s">
        <v>33</v>
      </c>
      <c r="L1967" s="3" t="s">
        <v>34</v>
      </c>
      <c r="M1967" s="8">
        <v>102500</v>
      </c>
      <c r="N1967" s="11"/>
      <c r="O1967" s="3" t="s">
        <v>589</v>
      </c>
      <c r="P1967" s="3" t="s">
        <v>2893</v>
      </c>
    </row>
    <row r="1968" spans="1:16" x14ac:dyDescent="0.3">
      <c r="A1968" s="3" t="s">
        <v>27</v>
      </c>
      <c r="B1968" s="3" t="s">
        <v>3572</v>
      </c>
      <c r="C1968" s="3" t="s">
        <v>270</v>
      </c>
      <c r="D1968" s="3" t="s">
        <v>30</v>
      </c>
      <c r="E1968" s="3" t="s">
        <v>31</v>
      </c>
      <c r="F1968" s="3" t="b">
        <v>0</v>
      </c>
      <c r="G1968" s="3" t="s">
        <v>32</v>
      </c>
      <c r="H1968" s="6">
        <v>44937.253587962958</v>
      </c>
      <c r="I1968" s="3" t="b">
        <v>0</v>
      </c>
      <c r="J1968" s="3" t="b">
        <v>1</v>
      </c>
      <c r="K1968" s="3" t="s">
        <v>33</v>
      </c>
      <c r="L1968" s="3" t="s">
        <v>34</v>
      </c>
      <c r="M1968" s="8">
        <v>199000</v>
      </c>
      <c r="N1968" s="11"/>
      <c r="O1968" s="3" t="s">
        <v>35</v>
      </c>
      <c r="P1968" s="3"/>
    </row>
    <row r="1969" spans="1:16" x14ac:dyDescent="0.3">
      <c r="A1969" s="3" t="s">
        <v>27</v>
      </c>
      <c r="B1969" s="3" t="s">
        <v>27</v>
      </c>
      <c r="C1969" s="3" t="s">
        <v>1524</v>
      </c>
      <c r="D1969" s="3" t="s">
        <v>287</v>
      </c>
      <c r="E1969" s="3" t="s">
        <v>31</v>
      </c>
      <c r="F1969" s="3" t="b">
        <v>0</v>
      </c>
      <c r="G1969" s="3" t="s">
        <v>110</v>
      </c>
      <c r="H1969" s="6">
        <v>44957.982476851852</v>
      </c>
      <c r="I1969" s="3" t="b">
        <v>0</v>
      </c>
      <c r="J1969" s="3" t="b">
        <v>0</v>
      </c>
      <c r="K1969" s="3" t="s">
        <v>110</v>
      </c>
      <c r="L1969" s="3" t="s">
        <v>34</v>
      </c>
      <c r="M1969" s="8">
        <v>94157</v>
      </c>
      <c r="N1969" s="11"/>
      <c r="O1969" s="3" t="s">
        <v>1524</v>
      </c>
      <c r="P1969" s="3"/>
    </row>
    <row r="1970" spans="1:16" x14ac:dyDescent="0.3">
      <c r="A1970" s="3" t="s">
        <v>27</v>
      </c>
      <c r="B1970" s="3" t="s">
        <v>3339</v>
      </c>
      <c r="C1970" s="3" t="s">
        <v>57</v>
      </c>
      <c r="D1970" s="3" t="s">
        <v>30</v>
      </c>
      <c r="E1970" s="3" t="s">
        <v>31</v>
      </c>
      <c r="F1970" s="3" t="b">
        <v>0</v>
      </c>
      <c r="G1970" s="3" t="s">
        <v>58</v>
      </c>
      <c r="H1970" s="6">
        <v>44935.836458333331</v>
      </c>
      <c r="I1970" s="3" t="b">
        <v>0</v>
      </c>
      <c r="J1970" s="3" t="b">
        <v>0</v>
      </c>
      <c r="K1970" s="3" t="s">
        <v>33</v>
      </c>
      <c r="L1970" s="3" t="s">
        <v>34</v>
      </c>
      <c r="M1970" s="8">
        <v>70000</v>
      </c>
      <c r="N1970" s="11"/>
      <c r="O1970" s="3" t="s">
        <v>624</v>
      </c>
      <c r="P1970" s="3" t="s">
        <v>3576</v>
      </c>
    </row>
    <row r="1971" spans="1:16" x14ac:dyDescent="0.3">
      <c r="A1971" s="3" t="s">
        <v>27</v>
      </c>
      <c r="B1971" s="3" t="s">
        <v>27</v>
      </c>
      <c r="C1971" s="3" t="s">
        <v>2830</v>
      </c>
      <c r="D1971" s="3" t="s">
        <v>41</v>
      </c>
      <c r="E1971" s="3" t="s">
        <v>31</v>
      </c>
      <c r="F1971" s="3" t="b">
        <v>0</v>
      </c>
      <c r="G1971" s="3" t="s">
        <v>2831</v>
      </c>
      <c r="H1971" s="6">
        <v>44950.35224537037</v>
      </c>
      <c r="I1971" s="3" t="b">
        <v>0</v>
      </c>
      <c r="J1971" s="3" t="b">
        <v>0</v>
      </c>
      <c r="K1971" s="3" t="s">
        <v>2831</v>
      </c>
      <c r="L1971" s="3" t="s">
        <v>34</v>
      </c>
      <c r="M1971" s="8">
        <v>157500</v>
      </c>
      <c r="N1971" s="11"/>
      <c r="O1971" s="3" t="s">
        <v>3583</v>
      </c>
      <c r="P1971" s="3" t="s">
        <v>3584</v>
      </c>
    </row>
    <row r="1972" spans="1:16" x14ac:dyDescent="0.3">
      <c r="A1972" s="3" t="s">
        <v>27</v>
      </c>
      <c r="B1972" s="3" t="s">
        <v>27</v>
      </c>
      <c r="C1972" s="3" t="s">
        <v>87</v>
      </c>
      <c r="D1972" s="3" t="s">
        <v>30</v>
      </c>
      <c r="E1972" s="3" t="s">
        <v>133</v>
      </c>
      <c r="F1972" s="3" t="b">
        <v>1</v>
      </c>
      <c r="G1972" s="3" t="s">
        <v>64</v>
      </c>
      <c r="H1972" s="6">
        <v>44950.377488425933</v>
      </c>
      <c r="I1972" s="3" t="b">
        <v>0</v>
      </c>
      <c r="J1972" s="3" t="b">
        <v>0</v>
      </c>
      <c r="K1972" s="3" t="s">
        <v>33</v>
      </c>
      <c r="L1972" s="3" t="s">
        <v>48</v>
      </c>
      <c r="M1972" s="8"/>
      <c r="N1972" s="11">
        <v>55</v>
      </c>
      <c r="O1972" s="3" t="s">
        <v>1189</v>
      </c>
      <c r="P1972" s="3" t="s">
        <v>2837</v>
      </c>
    </row>
    <row r="1973" spans="1:16" x14ac:dyDescent="0.3">
      <c r="A1973" s="3" t="s">
        <v>27</v>
      </c>
      <c r="B1973" s="3" t="s">
        <v>3612</v>
      </c>
      <c r="C1973" s="3" t="s">
        <v>3613</v>
      </c>
      <c r="D1973" s="3" t="s">
        <v>151</v>
      </c>
      <c r="E1973" s="3" t="s">
        <v>31</v>
      </c>
      <c r="F1973" s="3" t="b">
        <v>0</v>
      </c>
      <c r="G1973" s="3" t="s">
        <v>32</v>
      </c>
      <c r="H1973" s="6">
        <v>44948.461238425924</v>
      </c>
      <c r="I1973" s="3" t="b">
        <v>0</v>
      </c>
      <c r="J1973" s="3" t="b">
        <v>1</v>
      </c>
      <c r="K1973" s="3" t="s">
        <v>33</v>
      </c>
      <c r="L1973" s="3" t="s">
        <v>34</v>
      </c>
      <c r="M1973" s="8">
        <v>92671.25</v>
      </c>
      <c r="N1973" s="11"/>
      <c r="O1973" s="3" t="s">
        <v>3614</v>
      </c>
      <c r="P1973" s="3" t="s">
        <v>3615</v>
      </c>
    </row>
    <row r="1974" spans="1:16" x14ac:dyDescent="0.3">
      <c r="A1974" s="3" t="s">
        <v>27</v>
      </c>
      <c r="B1974" s="3" t="s">
        <v>27</v>
      </c>
      <c r="C1974" s="3" t="s">
        <v>565</v>
      </c>
      <c r="D1974" s="3" t="s">
        <v>93</v>
      </c>
      <c r="E1974" s="3" t="s">
        <v>31</v>
      </c>
      <c r="F1974" s="3" t="b">
        <v>0</v>
      </c>
      <c r="G1974" s="3" t="s">
        <v>84</v>
      </c>
      <c r="H1974" s="6">
        <v>44930.065682870372</v>
      </c>
      <c r="I1974" s="3" t="b">
        <v>0</v>
      </c>
      <c r="J1974" s="3" t="b">
        <v>1</v>
      </c>
      <c r="K1974" s="3" t="s">
        <v>33</v>
      </c>
      <c r="L1974" s="3" t="s">
        <v>34</v>
      </c>
      <c r="M1974" s="8">
        <v>125000</v>
      </c>
      <c r="N1974" s="11"/>
      <c r="O1974" s="3" t="s">
        <v>3626</v>
      </c>
      <c r="P1974" s="3" t="s">
        <v>3627</v>
      </c>
    </row>
    <row r="1975" spans="1:16" x14ac:dyDescent="0.3">
      <c r="A1975" s="3" t="s">
        <v>27</v>
      </c>
      <c r="B1975" s="3" t="s">
        <v>3639</v>
      </c>
      <c r="C1975" s="3" t="s">
        <v>87</v>
      </c>
      <c r="D1975" s="3" t="s">
        <v>76</v>
      </c>
      <c r="E1975" s="3" t="s">
        <v>31</v>
      </c>
      <c r="F1975" s="3" t="b">
        <v>1</v>
      </c>
      <c r="G1975" s="3" t="s">
        <v>84</v>
      </c>
      <c r="H1975" s="6">
        <v>44929.85732638889</v>
      </c>
      <c r="I1975" s="3" t="b">
        <v>0</v>
      </c>
      <c r="J1975" s="3" t="b">
        <v>1</v>
      </c>
      <c r="K1975" s="3" t="s">
        <v>33</v>
      </c>
      <c r="L1975" s="3" t="s">
        <v>34</v>
      </c>
      <c r="M1975" s="8">
        <v>132662</v>
      </c>
      <c r="N1975" s="11"/>
      <c r="O1975" s="3" t="s">
        <v>3640</v>
      </c>
      <c r="P1975" s="3" t="s">
        <v>1043</v>
      </c>
    </row>
    <row r="1976" spans="1:16" x14ac:dyDescent="0.3">
      <c r="A1976" s="3" t="s">
        <v>27</v>
      </c>
      <c r="B1976" s="3" t="s">
        <v>27</v>
      </c>
      <c r="C1976" s="3" t="s">
        <v>1324</v>
      </c>
      <c r="D1976" s="3" t="s">
        <v>41</v>
      </c>
      <c r="E1976" s="3" t="s">
        <v>31</v>
      </c>
      <c r="F1976" s="3" t="b">
        <v>0</v>
      </c>
      <c r="G1976" s="3" t="s">
        <v>1324</v>
      </c>
      <c r="H1976" s="6">
        <v>44938.991249999999</v>
      </c>
      <c r="I1976" s="3" t="b">
        <v>0</v>
      </c>
      <c r="J1976" s="3" t="b">
        <v>0</v>
      </c>
      <c r="K1976" s="3" t="s">
        <v>1324</v>
      </c>
      <c r="L1976" s="3" t="s">
        <v>34</v>
      </c>
      <c r="M1976" s="8">
        <v>157500</v>
      </c>
      <c r="N1976" s="11"/>
      <c r="O1976" s="3" t="s">
        <v>310</v>
      </c>
      <c r="P1976" s="3" t="s">
        <v>3644</v>
      </c>
    </row>
    <row r="1977" spans="1:16" x14ac:dyDescent="0.3">
      <c r="A1977" s="3" t="s">
        <v>27</v>
      </c>
      <c r="B1977" s="3" t="s">
        <v>27</v>
      </c>
      <c r="C1977" s="3" t="s">
        <v>305</v>
      </c>
      <c r="D1977" s="3" t="s">
        <v>287</v>
      </c>
      <c r="E1977" s="3" t="s">
        <v>31</v>
      </c>
      <c r="F1977" s="3" t="b">
        <v>0</v>
      </c>
      <c r="G1977" s="3" t="s">
        <v>32</v>
      </c>
      <c r="H1977" s="6">
        <v>44946.014780092592</v>
      </c>
      <c r="I1977" s="3" t="b">
        <v>0</v>
      </c>
      <c r="J1977" s="3" t="b">
        <v>1</v>
      </c>
      <c r="K1977" s="3" t="s">
        <v>33</v>
      </c>
      <c r="L1977" s="3" t="s">
        <v>34</v>
      </c>
      <c r="M1977" s="8">
        <v>154000</v>
      </c>
      <c r="N1977" s="11"/>
      <c r="O1977" s="3" t="s">
        <v>3652</v>
      </c>
      <c r="P1977" s="3" t="s">
        <v>3653</v>
      </c>
    </row>
    <row r="1978" spans="1:16" x14ac:dyDescent="0.3">
      <c r="A1978" s="3" t="s">
        <v>27</v>
      </c>
      <c r="B1978" s="3" t="s">
        <v>27</v>
      </c>
      <c r="C1978" s="3" t="s">
        <v>87</v>
      </c>
      <c r="D1978" s="3" t="s">
        <v>30</v>
      </c>
      <c r="E1978" s="3" t="s">
        <v>31</v>
      </c>
      <c r="F1978" s="3" t="b">
        <v>1</v>
      </c>
      <c r="G1978" s="3" t="s">
        <v>58</v>
      </c>
      <c r="H1978" s="6">
        <v>44929.856666666667</v>
      </c>
      <c r="I1978" s="3" t="b">
        <v>0</v>
      </c>
      <c r="J1978" s="3" t="b">
        <v>0</v>
      </c>
      <c r="K1978" s="3" t="s">
        <v>33</v>
      </c>
      <c r="L1978" s="3" t="s">
        <v>34</v>
      </c>
      <c r="M1978" s="8">
        <v>106500</v>
      </c>
      <c r="N1978" s="11"/>
      <c r="O1978" s="3" t="s">
        <v>3654</v>
      </c>
      <c r="P1978" s="3" t="s">
        <v>374</v>
      </c>
    </row>
    <row r="1979" spans="1:16" x14ac:dyDescent="0.3">
      <c r="A1979" s="3" t="s">
        <v>27</v>
      </c>
      <c r="B1979" s="3" t="s">
        <v>3655</v>
      </c>
      <c r="C1979" s="3" t="s">
        <v>223</v>
      </c>
      <c r="D1979" s="3" t="s">
        <v>1419</v>
      </c>
      <c r="E1979" s="3" t="s">
        <v>31</v>
      </c>
      <c r="F1979" s="3" t="b">
        <v>0</v>
      </c>
      <c r="G1979" s="3" t="s">
        <v>64</v>
      </c>
      <c r="H1979" s="6">
        <v>44940.752511574072</v>
      </c>
      <c r="I1979" s="3" t="b">
        <v>0</v>
      </c>
      <c r="J1979" s="3" t="b">
        <v>0</v>
      </c>
      <c r="K1979" s="3" t="s">
        <v>33</v>
      </c>
      <c r="L1979" s="3" t="s">
        <v>34</v>
      </c>
      <c r="M1979" s="8">
        <v>143500</v>
      </c>
      <c r="N1979" s="11"/>
      <c r="O1979" s="3" t="s">
        <v>371</v>
      </c>
      <c r="P1979" s="3" t="s">
        <v>979</v>
      </c>
    </row>
    <row r="1980" spans="1:16" x14ac:dyDescent="0.3">
      <c r="A1980" s="3" t="s">
        <v>27</v>
      </c>
      <c r="B1980" s="3" t="s">
        <v>283</v>
      </c>
      <c r="C1980" s="3" t="s">
        <v>87</v>
      </c>
      <c r="D1980" s="3" t="s">
        <v>30</v>
      </c>
      <c r="E1980" s="3" t="s">
        <v>31</v>
      </c>
      <c r="F1980" s="3" t="b">
        <v>1</v>
      </c>
      <c r="G1980" s="3" t="s">
        <v>58</v>
      </c>
      <c r="H1980" s="6">
        <v>44945.640914351847</v>
      </c>
      <c r="I1980" s="3" t="b">
        <v>0</v>
      </c>
      <c r="J1980" s="3" t="b">
        <v>0</v>
      </c>
      <c r="K1980" s="3" t="s">
        <v>33</v>
      </c>
      <c r="L1980" s="3" t="s">
        <v>34</v>
      </c>
      <c r="M1980" s="8">
        <v>205000</v>
      </c>
      <c r="N1980" s="11"/>
      <c r="O1980" s="3" t="s">
        <v>196</v>
      </c>
      <c r="P1980" s="3" t="s">
        <v>3659</v>
      </c>
    </row>
    <row r="1981" spans="1:16" x14ac:dyDescent="0.3">
      <c r="A1981" s="3" t="s">
        <v>27</v>
      </c>
      <c r="B1981" s="3" t="s">
        <v>27</v>
      </c>
      <c r="C1981" s="3" t="s">
        <v>896</v>
      </c>
      <c r="D1981" s="3" t="s">
        <v>41</v>
      </c>
      <c r="E1981" s="3" t="s">
        <v>31</v>
      </c>
      <c r="F1981" s="3" t="b">
        <v>0</v>
      </c>
      <c r="G1981" s="3" t="s">
        <v>897</v>
      </c>
      <c r="H1981" s="6">
        <v>44951.939398148148</v>
      </c>
      <c r="I1981" s="3" t="b">
        <v>0</v>
      </c>
      <c r="J1981" s="3" t="b">
        <v>0</v>
      </c>
      <c r="K1981" s="3" t="s">
        <v>897</v>
      </c>
      <c r="L1981" s="3" t="s">
        <v>34</v>
      </c>
      <c r="M1981" s="8">
        <v>157500</v>
      </c>
      <c r="N1981" s="11"/>
      <c r="O1981" s="3" t="s">
        <v>1587</v>
      </c>
      <c r="P1981" s="3" t="s">
        <v>1588</v>
      </c>
    </row>
    <row r="1982" spans="1:16" x14ac:dyDescent="0.3">
      <c r="A1982" s="3" t="s">
        <v>27</v>
      </c>
      <c r="B1982" s="3" t="s">
        <v>519</v>
      </c>
      <c r="C1982" s="3" t="s">
        <v>87</v>
      </c>
      <c r="D1982" s="3" t="s">
        <v>30</v>
      </c>
      <c r="E1982" s="3" t="s">
        <v>31</v>
      </c>
      <c r="F1982" s="3" t="b">
        <v>1</v>
      </c>
      <c r="G1982" s="3" t="s">
        <v>110</v>
      </c>
      <c r="H1982" s="6">
        <v>44935.982604166667</v>
      </c>
      <c r="I1982" s="3" t="b">
        <v>0</v>
      </c>
      <c r="J1982" s="3" t="b">
        <v>0</v>
      </c>
      <c r="K1982" s="3" t="s">
        <v>110</v>
      </c>
      <c r="L1982" s="3" t="s">
        <v>34</v>
      </c>
      <c r="M1982" s="8">
        <v>125000</v>
      </c>
      <c r="N1982" s="11"/>
      <c r="O1982" s="3" t="s">
        <v>196</v>
      </c>
      <c r="P1982" s="3" t="s">
        <v>979</v>
      </c>
    </row>
    <row r="1983" spans="1:16" x14ac:dyDescent="0.3">
      <c r="A1983" s="3" t="s">
        <v>27</v>
      </c>
      <c r="B1983" s="3" t="s">
        <v>3673</v>
      </c>
      <c r="C1983" s="3" t="s">
        <v>87</v>
      </c>
      <c r="D1983" s="3" t="s">
        <v>263</v>
      </c>
      <c r="E1983" s="3" t="s">
        <v>133</v>
      </c>
      <c r="F1983" s="3" t="b">
        <v>1</v>
      </c>
      <c r="G1983" s="3" t="s">
        <v>58</v>
      </c>
      <c r="H1983" s="6">
        <v>44938.671099537038</v>
      </c>
      <c r="I1983" s="3" t="b">
        <v>0</v>
      </c>
      <c r="J1983" s="3" t="b">
        <v>0</v>
      </c>
      <c r="K1983" s="3" t="s">
        <v>33</v>
      </c>
      <c r="L1983" s="3" t="s">
        <v>48</v>
      </c>
      <c r="M1983" s="8"/>
      <c r="N1983" s="11">
        <v>52.5</v>
      </c>
      <c r="O1983" s="3" t="s">
        <v>264</v>
      </c>
      <c r="P1983" s="3"/>
    </row>
    <row r="1984" spans="1:16" x14ac:dyDescent="0.3">
      <c r="A1984" s="3" t="s">
        <v>27</v>
      </c>
      <c r="B1984" s="3" t="s">
        <v>3695</v>
      </c>
      <c r="C1984" s="3" t="s">
        <v>87</v>
      </c>
      <c r="D1984" s="3" t="s">
        <v>287</v>
      </c>
      <c r="E1984" s="3" t="s">
        <v>1294</v>
      </c>
      <c r="F1984" s="3" t="b">
        <v>1</v>
      </c>
      <c r="G1984" s="3" t="s">
        <v>88</v>
      </c>
      <c r="H1984" s="6">
        <v>44945.00545138889</v>
      </c>
      <c r="I1984" s="3" t="b">
        <v>0</v>
      </c>
      <c r="J1984" s="3" t="b">
        <v>0</v>
      </c>
      <c r="K1984" s="3" t="s">
        <v>33</v>
      </c>
      <c r="L1984" s="3" t="s">
        <v>34</v>
      </c>
      <c r="M1984" s="8">
        <v>101840</v>
      </c>
      <c r="N1984" s="11"/>
      <c r="O1984" s="3" t="s">
        <v>689</v>
      </c>
      <c r="P1984" s="3" t="s">
        <v>3696</v>
      </c>
    </row>
    <row r="1985" spans="1:16" x14ac:dyDescent="0.3">
      <c r="A1985" s="3" t="s">
        <v>27</v>
      </c>
      <c r="B1985" s="3" t="s">
        <v>3708</v>
      </c>
      <c r="C1985" s="3" t="s">
        <v>87</v>
      </c>
      <c r="D1985" s="3" t="s">
        <v>867</v>
      </c>
      <c r="E1985" s="3" t="s">
        <v>31</v>
      </c>
      <c r="F1985" s="3" t="b">
        <v>1</v>
      </c>
      <c r="G1985" s="3" t="s">
        <v>140</v>
      </c>
      <c r="H1985" s="6">
        <v>44948.01425925926</v>
      </c>
      <c r="I1985" s="3" t="b">
        <v>0</v>
      </c>
      <c r="J1985" s="3" t="b">
        <v>0</v>
      </c>
      <c r="K1985" s="3" t="s">
        <v>33</v>
      </c>
      <c r="L1985" s="3" t="s">
        <v>34</v>
      </c>
      <c r="M1985" s="8">
        <v>107330</v>
      </c>
      <c r="N1985" s="11"/>
      <c r="O1985" s="3" t="s">
        <v>3709</v>
      </c>
      <c r="P1985" s="3" t="s">
        <v>3710</v>
      </c>
    </row>
    <row r="1986" spans="1:16" x14ac:dyDescent="0.3">
      <c r="A1986" s="3" t="s">
        <v>27</v>
      </c>
      <c r="B1986" s="3" t="s">
        <v>3711</v>
      </c>
      <c r="C1986" s="3" t="s">
        <v>2197</v>
      </c>
      <c r="D1986" s="3" t="s">
        <v>1253</v>
      </c>
      <c r="E1986" s="3" t="s">
        <v>31</v>
      </c>
      <c r="F1986" s="3" t="b">
        <v>0</v>
      </c>
      <c r="G1986" s="3" t="s">
        <v>1252</v>
      </c>
      <c r="H1986" s="6">
        <v>44932.983425925922</v>
      </c>
      <c r="I1986" s="3" t="b">
        <v>0</v>
      </c>
      <c r="J1986" s="3" t="b">
        <v>0</v>
      </c>
      <c r="K1986" s="3" t="s">
        <v>1252</v>
      </c>
      <c r="L1986" s="3" t="s">
        <v>48</v>
      </c>
      <c r="M1986" s="8"/>
      <c r="N1986" s="11">
        <v>20</v>
      </c>
      <c r="O1986" s="3" t="s">
        <v>3712</v>
      </c>
      <c r="P1986" s="3" t="s">
        <v>3713</v>
      </c>
    </row>
    <row r="1987" spans="1:16" x14ac:dyDescent="0.3">
      <c r="A1987" s="3" t="s">
        <v>27</v>
      </c>
      <c r="B1987" s="3" t="s">
        <v>27</v>
      </c>
      <c r="C1987" s="3" t="s">
        <v>87</v>
      </c>
      <c r="D1987" s="3" t="s">
        <v>30</v>
      </c>
      <c r="E1987" s="3" t="s">
        <v>133</v>
      </c>
      <c r="F1987" s="3" t="b">
        <v>1</v>
      </c>
      <c r="G1987" s="3" t="s">
        <v>58</v>
      </c>
      <c r="H1987" s="6">
        <v>44937.014699074083</v>
      </c>
      <c r="I1987" s="3" t="b">
        <v>0</v>
      </c>
      <c r="J1987" s="3" t="b">
        <v>0</v>
      </c>
      <c r="K1987" s="3" t="s">
        <v>33</v>
      </c>
      <c r="L1987" s="3" t="s">
        <v>48</v>
      </c>
      <c r="M1987" s="8"/>
      <c r="N1987" s="11">
        <v>65</v>
      </c>
      <c r="O1987" s="3" t="s">
        <v>3714</v>
      </c>
      <c r="P1987" s="3" t="s">
        <v>38</v>
      </c>
    </row>
    <row r="1988" spans="1:16" x14ac:dyDescent="0.3">
      <c r="A1988" s="3" t="s">
        <v>27</v>
      </c>
      <c r="B1988" s="3" t="s">
        <v>2181</v>
      </c>
      <c r="C1988" s="3" t="s">
        <v>87</v>
      </c>
      <c r="D1988" s="3" t="s">
        <v>30</v>
      </c>
      <c r="E1988" s="3" t="s">
        <v>31</v>
      </c>
      <c r="F1988" s="3" t="b">
        <v>1</v>
      </c>
      <c r="G1988" s="3" t="s">
        <v>58</v>
      </c>
      <c r="H1988" s="6">
        <v>44953.462638888886</v>
      </c>
      <c r="I1988" s="3" t="b">
        <v>0</v>
      </c>
      <c r="J1988" s="3" t="b">
        <v>1</v>
      </c>
      <c r="K1988" s="3" t="s">
        <v>33</v>
      </c>
      <c r="L1988" s="3" t="s">
        <v>34</v>
      </c>
      <c r="M1988" s="8">
        <v>265000</v>
      </c>
      <c r="N1988" s="11"/>
      <c r="O1988" s="3" t="s">
        <v>3715</v>
      </c>
      <c r="P1988" s="3" t="s">
        <v>3716</v>
      </c>
    </row>
    <row r="1989" spans="1:16" x14ac:dyDescent="0.3">
      <c r="A1989" s="3" t="s">
        <v>27</v>
      </c>
      <c r="B1989" s="3" t="s">
        <v>643</v>
      </c>
      <c r="C1989" s="3" t="s">
        <v>3057</v>
      </c>
      <c r="D1989" s="3" t="s">
        <v>93</v>
      </c>
      <c r="E1989" s="3" t="s">
        <v>31</v>
      </c>
      <c r="F1989" s="3" t="b">
        <v>0</v>
      </c>
      <c r="G1989" s="3" t="s">
        <v>317</v>
      </c>
      <c r="H1989" s="6">
        <v>44933.231550925928</v>
      </c>
      <c r="I1989" s="3" t="b">
        <v>0</v>
      </c>
      <c r="J1989" s="3" t="b">
        <v>0</v>
      </c>
      <c r="K1989" s="3" t="s">
        <v>317</v>
      </c>
      <c r="L1989" s="3" t="s">
        <v>34</v>
      </c>
      <c r="M1989" s="8">
        <v>90000</v>
      </c>
      <c r="N1989" s="11"/>
      <c r="O1989" s="3" t="s">
        <v>3717</v>
      </c>
      <c r="P1989" s="3" t="s">
        <v>3718</v>
      </c>
    </row>
    <row r="1990" spans="1:16" x14ac:dyDescent="0.3">
      <c r="A1990" s="3" t="s">
        <v>27</v>
      </c>
      <c r="B1990" s="3" t="s">
        <v>27</v>
      </c>
      <c r="C1990" s="3" t="s">
        <v>87</v>
      </c>
      <c r="D1990" s="3" t="s">
        <v>76</v>
      </c>
      <c r="E1990" s="3" t="s">
        <v>31</v>
      </c>
      <c r="F1990" s="3" t="b">
        <v>1</v>
      </c>
      <c r="G1990" s="3" t="s">
        <v>84</v>
      </c>
      <c r="H1990" s="6">
        <v>44942.946180555547</v>
      </c>
      <c r="I1990" s="3" t="b">
        <v>0</v>
      </c>
      <c r="J1990" s="3" t="b">
        <v>1</v>
      </c>
      <c r="K1990" s="3" t="s">
        <v>33</v>
      </c>
      <c r="L1990" s="3" t="s">
        <v>34</v>
      </c>
      <c r="M1990" s="8">
        <v>130000</v>
      </c>
      <c r="N1990" s="11"/>
      <c r="O1990" s="3" t="s">
        <v>3726</v>
      </c>
      <c r="P1990" s="3" t="s">
        <v>328</v>
      </c>
    </row>
    <row r="1991" spans="1:16" x14ac:dyDescent="0.3">
      <c r="A1991" s="3" t="s">
        <v>27</v>
      </c>
      <c r="B1991" s="3" t="s">
        <v>519</v>
      </c>
      <c r="C1991" s="3" t="s">
        <v>87</v>
      </c>
      <c r="D1991" s="3" t="s">
        <v>30</v>
      </c>
      <c r="E1991" s="3" t="s">
        <v>31</v>
      </c>
      <c r="F1991" s="3" t="b">
        <v>1</v>
      </c>
      <c r="G1991" s="3" t="s">
        <v>110</v>
      </c>
      <c r="H1991" s="6">
        <v>44942.683807870373</v>
      </c>
      <c r="I1991" s="3" t="b">
        <v>0</v>
      </c>
      <c r="J1991" s="3" t="b">
        <v>1</v>
      </c>
      <c r="K1991" s="3" t="s">
        <v>110</v>
      </c>
      <c r="L1991" s="3" t="s">
        <v>34</v>
      </c>
      <c r="M1991" s="8">
        <v>240000</v>
      </c>
      <c r="N1991" s="11"/>
      <c r="O1991" s="3" t="s">
        <v>507</v>
      </c>
      <c r="P1991" s="3"/>
    </row>
    <row r="1992" spans="1:16" x14ac:dyDescent="0.3">
      <c r="A1992" s="3" t="s">
        <v>27</v>
      </c>
      <c r="B1992" s="3" t="s">
        <v>283</v>
      </c>
      <c r="C1992" s="3" t="s">
        <v>305</v>
      </c>
      <c r="D1992" s="3" t="s">
        <v>350</v>
      </c>
      <c r="E1992" s="3" t="s">
        <v>31</v>
      </c>
      <c r="F1992" s="3" t="b">
        <v>0</v>
      </c>
      <c r="G1992" s="3" t="s">
        <v>32</v>
      </c>
      <c r="H1992" s="6">
        <v>44928.585300925923</v>
      </c>
      <c r="I1992" s="3" t="b">
        <v>0</v>
      </c>
      <c r="J1992" s="3" t="b">
        <v>0</v>
      </c>
      <c r="K1992" s="3" t="s">
        <v>33</v>
      </c>
      <c r="L1992" s="3" t="s">
        <v>34</v>
      </c>
      <c r="M1992" s="8">
        <v>230000</v>
      </c>
      <c r="N1992" s="11"/>
      <c r="O1992" s="3" t="s">
        <v>196</v>
      </c>
      <c r="P1992" s="3" t="s">
        <v>1268</v>
      </c>
    </row>
    <row r="1993" spans="1:16" x14ac:dyDescent="0.3">
      <c r="A1993" s="3" t="s">
        <v>27</v>
      </c>
      <c r="B1993" s="3" t="s">
        <v>519</v>
      </c>
      <c r="C1993" s="3" t="s">
        <v>447</v>
      </c>
      <c r="D1993" s="3" t="s">
        <v>188</v>
      </c>
      <c r="E1993" s="3" t="s">
        <v>31</v>
      </c>
      <c r="F1993" s="3" t="b">
        <v>0</v>
      </c>
      <c r="G1993" s="3" t="s">
        <v>32</v>
      </c>
      <c r="H1993" s="6">
        <v>44930.064236111109</v>
      </c>
      <c r="I1993" s="3" t="b">
        <v>0</v>
      </c>
      <c r="J1993" s="3" t="b">
        <v>0</v>
      </c>
      <c r="K1993" s="3" t="s">
        <v>33</v>
      </c>
      <c r="L1993" s="3" t="s">
        <v>34</v>
      </c>
      <c r="M1993" s="8">
        <v>175000</v>
      </c>
      <c r="N1993" s="11"/>
      <c r="O1993" s="3" t="s">
        <v>255</v>
      </c>
      <c r="P1993" s="3" t="s">
        <v>3731</v>
      </c>
    </row>
    <row r="1994" spans="1:16" x14ac:dyDescent="0.3">
      <c r="A1994" s="3" t="s">
        <v>27</v>
      </c>
      <c r="B1994" s="3" t="s">
        <v>977</v>
      </c>
      <c r="C1994" s="3" t="s">
        <v>3030</v>
      </c>
      <c r="D1994" s="3" t="s">
        <v>30</v>
      </c>
      <c r="E1994" s="3" t="s">
        <v>31</v>
      </c>
      <c r="F1994" s="3" t="b">
        <v>0</v>
      </c>
      <c r="G1994" s="3" t="s">
        <v>140</v>
      </c>
      <c r="H1994" s="6">
        <v>44949.725787037038</v>
      </c>
      <c r="I1994" s="3" t="b">
        <v>0</v>
      </c>
      <c r="J1994" s="3" t="b">
        <v>0</v>
      </c>
      <c r="K1994" s="3" t="s">
        <v>33</v>
      </c>
      <c r="L1994" s="3" t="s">
        <v>34</v>
      </c>
      <c r="M1994" s="8">
        <v>110000</v>
      </c>
      <c r="N1994" s="11"/>
      <c r="O1994" s="3" t="s">
        <v>3404</v>
      </c>
      <c r="P1994" s="3" t="s">
        <v>3739</v>
      </c>
    </row>
    <row r="1995" spans="1:16" x14ac:dyDescent="0.3">
      <c r="A1995" s="3" t="s">
        <v>27</v>
      </c>
      <c r="B1995" s="3" t="s">
        <v>27</v>
      </c>
      <c r="C1995" s="3" t="s">
        <v>87</v>
      </c>
      <c r="D1995" s="3" t="s">
        <v>76</v>
      </c>
      <c r="E1995" s="3" t="s">
        <v>133</v>
      </c>
      <c r="F1995" s="3" t="b">
        <v>1</v>
      </c>
      <c r="G1995" s="3" t="s">
        <v>140</v>
      </c>
      <c r="H1995" s="6">
        <v>44930.60800925926</v>
      </c>
      <c r="I1995" s="3" t="b">
        <v>0</v>
      </c>
      <c r="J1995" s="3" t="b">
        <v>1</v>
      </c>
      <c r="K1995" s="3" t="s">
        <v>33</v>
      </c>
      <c r="L1995" s="3" t="s">
        <v>34</v>
      </c>
      <c r="M1995" s="8">
        <v>82500</v>
      </c>
      <c r="N1995" s="11"/>
      <c r="O1995" s="3" t="s">
        <v>966</v>
      </c>
      <c r="P1995" s="3" t="s">
        <v>3758</v>
      </c>
    </row>
    <row r="1996" spans="1:16" x14ac:dyDescent="0.3">
      <c r="A1996" s="3" t="s">
        <v>27</v>
      </c>
      <c r="B1996" s="3" t="s">
        <v>219</v>
      </c>
      <c r="C1996" s="3" t="s">
        <v>87</v>
      </c>
      <c r="D1996" s="3" t="s">
        <v>76</v>
      </c>
      <c r="E1996" s="3" t="s">
        <v>31</v>
      </c>
      <c r="F1996" s="3" t="b">
        <v>1</v>
      </c>
      <c r="G1996" s="3" t="s">
        <v>58</v>
      </c>
      <c r="H1996" s="6">
        <v>44953.045949074083</v>
      </c>
      <c r="I1996" s="3" t="b">
        <v>0</v>
      </c>
      <c r="J1996" s="3" t="b">
        <v>1</v>
      </c>
      <c r="K1996" s="3" t="s">
        <v>33</v>
      </c>
      <c r="L1996" s="3" t="s">
        <v>34</v>
      </c>
      <c r="M1996" s="8">
        <v>136500</v>
      </c>
      <c r="N1996" s="11"/>
      <c r="O1996" s="3" t="s">
        <v>3759</v>
      </c>
      <c r="P1996" s="3" t="s">
        <v>3760</v>
      </c>
    </row>
    <row r="1997" spans="1:16" x14ac:dyDescent="0.3">
      <c r="A1997" s="3" t="s">
        <v>27</v>
      </c>
      <c r="B1997" s="3" t="s">
        <v>3761</v>
      </c>
      <c r="C1997" s="3" t="s">
        <v>2039</v>
      </c>
      <c r="D1997" s="3" t="s">
        <v>41</v>
      </c>
      <c r="E1997" s="3" t="s">
        <v>31</v>
      </c>
      <c r="F1997" s="3" t="b">
        <v>0</v>
      </c>
      <c r="G1997" s="3" t="s">
        <v>651</v>
      </c>
      <c r="H1997" s="6">
        <v>44935.384548611109</v>
      </c>
      <c r="I1997" s="3" t="b">
        <v>0</v>
      </c>
      <c r="J1997" s="3" t="b">
        <v>0</v>
      </c>
      <c r="K1997" s="3" t="s">
        <v>651</v>
      </c>
      <c r="L1997" s="3" t="s">
        <v>34</v>
      </c>
      <c r="M1997" s="8">
        <v>89100</v>
      </c>
      <c r="N1997" s="11"/>
      <c r="O1997" s="3" t="s">
        <v>3762</v>
      </c>
      <c r="P1997" s="3" t="s">
        <v>756</v>
      </c>
    </row>
    <row r="1998" spans="1:16" x14ac:dyDescent="0.3">
      <c r="A1998" s="3" t="s">
        <v>27</v>
      </c>
      <c r="B1998" s="3" t="s">
        <v>3769</v>
      </c>
      <c r="C1998" s="3" t="s">
        <v>173</v>
      </c>
      <c r="D1998" s="3" t="s">
        <v>53</v>
      </c>
      <c r="E1998" s="3" t="s">
        <v>31</v>
      </c>
      <c r="F1998" s="3" t="b">
        <v>0</v>
      </c>
      <c r="G1998" s="3" t="s">
        <v>140</v>
      </c>
      <c r="H1998" s="6">
        <v>44932.924097222232</v>
      </c>
      <c r="I1998" s="3" t="b">
        <v>0</v>
      </c>
      <c r="J1998" s="3" t="b">
        <v>1</v>
      </c>
      <c r="K1998" s="3" t="s">
        <v>33</v>
      </c>
      <c r="L1998" s="3" t="s">
        <v>34</v>
      </c>
      <c r="M1998" s="8">
        <v>65000</v>
      </c>
      <c r="N1998" s="11"/>
      <c r="O1998" s="3" t="s">
        <v>3770</v>
      </c>
      <c r="P1998" s="3" t="s">
        <v>3771</v>
      </c>
    </row>
    <row r="1999" spans="1:16" x14ac:dyDescent="0.3">
      <c r="A1999" s="3" t="s">
        <v>27</v>
      </c>
      <c r="B1999" s="3" t="s">
        <v>27</v>
      </c>
      <c r="C1999" s="3" t="s">
        <v>40</v>
      </c>
      <c r="D1999" s="3" t="s">
        <v>41</v>
      </c>
      <c r="E1999" s="3" t="s">
        <v>31</v>
      </c>
      <c r="F1999" s="3" t="b">
        <v>0</v>
      </c>
      <c r="G1999" s="3" t="s">
        <v>42</v>
      </c>
      <c r="H1999" s="6">
        <v>44933.802812499998</v>
      </c>
      <c r="I1999" s="3" t="b">
        <v>0</v>
      </c>
      <c r="J1999" s="3" t="b">
        <v>0</v>
      </c>
      <c r="K1999" s="3" t="s">
        <v>42</v>
      </c>
      <c r="L1999" s="3" t="s">
        <v>34</v>
      </c>
      <c r="M1999" s="8">
        <v>157500</v>
      </c>
      <c r="N1999" s="11"/>
      <c r="O1999" s="3" t="s">
        <v>2137</v>
      </c>
      <c r="P1999" s="3" t="s">
        <v>3784</v>
      </c>
    </row>
    <row r="2000" spans="1:16" x14ac:dyDescent="0.3">
      <c r="A2000" s="3" t="s">
        <v>27</v>
      </c>
      <c r="B2000" s="3" t="s">
        <v>3809</v>
      </c>
      <c r="C2000" s="3" t="s">
        <v>305</v>
      </c>
      <c r="D2000" s="3" t="s">
        <v>76</v>
      </c>
      <c r="E2000" s="3" t="s">
        <v>31</v>
      </c>
      <c r="F2000" s="3" t="b">
        <v>0</v>
      </c>
      <c r="G2000" s="3" t="s">
        <v>32</v>
      </c>
      <c r="H2000" s="6">
        <v>44929.730983796297</v>
      </c>
      <c r="I2000" s="3" t="b">
        <v>0</v>
      </c>
      <c r="J2000" s="3" t="b">
        <v>1</v>
      </c>
      <c r="K2000" s="3" t="s">
        <v>33</v>
      </c>
      <c r="L2000" s="3" t="s">
        <v>34</v>
      </c>
      <c r="M2000" s="8">
        <v>99876.2734375</v>
      </c>
      <c r="N2000" s="11"/>
      <c r="O2000" s="3" t="s">
        <v>3810</v>
      </c>
      <c r="P2000" s="3" t="s">
        <v>3811</v>
      </c>
    </row>
    <row r="2001" spans="1:16" x14ac:dyDescent="0.3">
      <c r="A2001" s="3" t="s">
        <v>27</v>
      </c>
      <c r="B2001" s="3" t="s">
        <v>27</v>
      </c>
      <c r="C2001" s="3" t="s">
        <v>3756</v>
      </c>
      <c r="D2001" s="3" t="s">
        <v>1666</v>
      </c>
      <c r="E2001" s="3" t="s">
        <v>31</v>
      </c>
      <c r="F2001" s="3" t="b">
        <v>0</v>
      </c>
      <c r="G2001" s="3" t="s">
        <v>64</v>
      </c>
      <c r="H2001" s="6">
        <v>44950.627175925933</v>
      </c>
      <c r="I2001" s="3" t="b">
        <v>0</v>
      </c>
      <c r="J2001" s="3" t="b">
        <v>1</v>
      </c>
      <c r="K2001" s="3" t="s">
        <v>33</v>
      </c>
      <c r="L2001" s="3" t="s">
        <v>34</v>
      </c>
      <c r="M2001" s="8">
        <v>130000</v>
      </c>
      <c r="N2001" s="11"/>
      <c r="O2001" s="3" t="s">
        <v>997</v>
      </c>
      <c r="P2001" s="3"/>
    </row>
    <row r="2002" spans="1:16" x14ac:dyDescent="0.3">
      <c r="A2002" s="3" t="s">
        <v>27</v>
      </c>
      <c r="B2002" s="3" t="s">
        <v>27</v>
      </c>
      <c r="C2002" s="3" t="s">
        <v>87</v>
      </c>
      <c r="D2002" s="3" t="s">
        <v>30</v>
      </c>
      <c r="E2002" s="3" t="s">
        <v>31</v>
      </c>
      <c r="F2002" s="3" t="b">
        <v>1</v>
      </c>
      <c r="G2002" s="3" t="s">
        <v>58</v>
      </c>
      <c r="H2002" s="6">
        <v>44943.837002314824</v>
      </c>
      <c r="I2002" s="3" t="b">
        <v>0</v>
      </c>
      <c r="J2002" s="3" t="b">
        <v>1</v>
      </c>
      <c r="K2002" s="3" t="s">
        <v>33</v>
      </c>
      <c r="L2002" s="3" t="s">
        <v>34</v>
      </c>
      <c r="M2002" s="8">
        <v>55000</v>
      </c>
      <c r="N2002" s="11"/>
      <c r="O2002" s="3" t="s">
        <v>3819</v>
      </c>
      <c r="P2002" s="3" t="s">
        <v>756</v>
      </c>
    </row>
    <row r="2003" spans="1:16" x14ac:dyDescent="0.3">
      <c r="A2003" s="3" t="s">
        <v>27</v>
      </c>
      <c r="B2003" s="3" t="s">
        <v>3830</v>
      </c>
      <c r="C2003" s="3" t="s">
        <v>2039</v>
      </c>
      <c r="D2003" s="3" t="s">
        <v>41</v>
      </c>
      <c r="E2003" s="3" t="s">
        <v>31</v>
      </c>
      <c r="F2003" s="3" t="b">
        <v>0</v>
      </c>
      <c r="G2003" s="3" t="s">
        <v>651</v>
      </c>
      <c r="H2003" s="6">
        <v>44953.650775462957</v>
      </c>
      <c r="I2003" s="3" t="b">
        <v>0</v>
      </c>
      <c r="J2003" s="3" t="b">
        <v>0</v>
      </c>
      <c r="K2003" s="3" t="s">
        <v>651</v>
      </c>
      <c r="L2003" s="3" t="s">
        <v>34</v>
      </c>
      <c r="M2003" s="8">
        <v>88128</v>
      </c>
      <c r="N2003" s="11"/>
      <c r="O2003" s="3" t="s">
        <v>3831</v>
      </c>
      <c r="P2003" s="3" t="s">
        <v>38</v>
      </c>
    </row>
    <row r="2004" spans="1:16" x14ac:dyDescent="0.3">
      <c r="A2004" s="3" t="s">
        <v>27</v>
      </c>
      <c r="B2004" s="3" t="s">
        <v>3834</v>
      </c>
      <c r="C2004" s="3" t="s">
        <v>87</v>
      </c>
      <c r="D2004" s="3" t="s">
        <v>263</v>
      </c>
      <c r="E2004" s="3" t="s">
        <v>133</v>
      </c>
      <c r="F2004" s="3" t="b">
        <v>1</v>
      </c>
      <c r="G2004" s="3" t="s">
        <v>84</v>
      </c>
      <c r="H2004" s="6">
        <v>44947.923263888893</v>
      </c>
      <c r="I2004" s="3" t="b">
        <v>0</v>
      </c>
      <c r="J2004" s="3" t="b">
        <v>0</v>
      </c>
      <c r="K2004" s="3" t="s">
        <v>33</v>
      </c>
      <c r="L2004" s="3" t="s">
        <v>48</v>
      </c>
      <c r="M2004" s="8"/>
      <c r="N2004" s="11">
        <v>56.5</v>
      </c>
      <c r="O2004" s="3" t="s">
        <v>264</v>
      </c>
      <c r="P2004" s="3"/>
    </row>
    <row r="2005" spans="1:16" x14ac:dyDescent="0.3">
      <c r="A2005" s="3" t="s">
        <v>27</v>
      </c>
      <c r="B2005" s="3" t="s">
        <v>27</v>
      </c>
      <c r="C2005" s="3" t="s">
        <v>173</v>
      </c>
      <c r="D2005" s="3" t="s">
        <v>30</v>
      </c>
      <c r="E2005" s="3" t="s">
        <v>133</v>
      </c>
      <c r="F2005" s="3" t="b">
        <v>0</v>
      </c>
      <c r="G2005" s="3" t="s">
        <v>140</v>
      </c>
      <c r="H2005" s="6">
        <v>44950.665625000001</v>
      </c>
      <c r="I2005" s="3" t="b">
        <v>0</v>
      </c>
      <c r="J2005" s="3" t="b">
        <v>0</v>
      </c>
      <c r="K2005" s="3" t="s">
        <v>33</v>
      </c>
      <c r="L2005" s="3" t="s">
        <v>48</v>
      </c>
      <c r="M2005" s="8"/>
      <c r="N2005" s="11">
        <v>62.5</v>
      </c>
      <c r="O2005" s="3" t="s">
        <v>3852</v>
      </c>
      <c r="P2005" s="3" t="s">
        <v>3853</v>
      </c>
    </row>
    <row r="2006" spans="1:16" x14ac:dyDescent="0.3">
      <c r="A2006" s="3" t="s">
        <v>27</v>
      </c>
      <c r="B2006" s="3" t="s">
        <v>27</v>
      </c>
      <c r="C2006" s="3" t="s">
        <v>329</v>
      </c>
      <c r="D2006" s="3" t="s">
        <v>370</v>
      </c>
      <c r="E2006" s="3" t="s">
        <v>31</v>
      </c>
      <c r="F2006" s="3" t="b">
        <v>0</v>
      </c>
      <c r="G2006" s="3" t="s">
        <v>64</v>
      </c>
      <c r="H2006" s="6">
        <v>44954.668668981481</v>
      </c>
      <c r="I2006" s="3" t="b">
        <v>0</v>
      </c>
      <c r="J2006" s="3" t="b">
        <v>0</v>
      </c>
      <c r="K2006" s="3" t="s">
        <v>33</v>
      </c>
      <c r="L2006" s="3" t="s">
        <v>34</v>
      </c>
      <c r="M2006" s="8">
        <v>149750</v>
      </c>
      <c r="N2006" s="11"/>
      <c r="O2006" s="3" t="s">
        <v>2250</v>
      </c>
      <c r="P2006" s="3" t="s">
        <v>3854</v>
      </c>
    </row>
    <row r="2007" spans="1:16" x14ac:dyDescent="0.3">
      <c r="A2007" s="3" t="s">
        <v>27</v>
      </c>
      <c r="B2007" s="3" t="s">
        <v>977</v>
      </c>
      <c r="C2007" s="3" t="s">
        <v>1274</v>
      </c>
      <c r="D2007" s="3" t="s">
        <v>30</v>
      </c>
      <c r="E2007" s="3" t="s">
        <v>133</v>
      </c>
      <c r="F2007" s="3" t="b">
        <v>0</v>
      </c>
      <c r="G2007" s="3" t="s">
        <v>88</v>
      </c>
      <c r="H2007" s="6">
        <v>44935.837384259263</v>
      </c>
      <c r="I2007" s="3" t="b">
        <v>0</v>
      </c>
      <c r="J2007" s="3" t="b">
        <v>0</v>
      </c>
      <c r="K2007" s="3" t="s">
        <v>33</v>
      </c>
      <c r="L2007" s="3" t="s">
        <v>34</v>
      </c>
      <c r="M2007" s="8">
        <v>115000</v>
      </c>
      <c r="N2007" s="11"/>
      <c r="O2007" s="3" t="s">
        <v>2388</v>
      </c>
      <c r="P2007" s="3" t="s">
        <v>958</v>
      </c>
    </row>
    <row r="2008" spans="1:16" x14ac:dyDescent="0.3">
      <c r="A2008" s="3" t="s">
        <v>27</v>
      </c>
      <c r="B2008" s="3" t="s">
        <v>27</v>
      </c>
      <c r="C2008" s="3" t="s">
        <v>87</v>
      </c>
      <c r="D2008" s="3" t="s">
        <v>76</v>
      </c>
      <c r="E2008" s="3" t="s">
        <v>133</v>
      </c>
      <c r="F2008" s="3" t="b">
        <v>1</v>
      </c>
      <c r="G2008" s="3" t="s">
        <v>110</v>
      </c>
      <c r="H2008" s="6">
        <v>44943.534155092602</v>
      </c>
      <c r="I2008" s="3" t="b">
        <v>0</v>
      </c>
      <c r="J2008" s="3" t="b">
        <v>0</v>
      </c>
      <c r="K2008" s="3" t="s">
        <v>110</v>
      </c>
      <c r="L2008" s="3" t="s">
        <v>48</v>
      </c>
      <c r="M2008" s="8"/>
      <c r="N2008" s="11">
        <v>50</v>
      </c>
      <c r="O2008" s="3" t="s">
        <v>3885</v>
      </c>
      <c r="P2008" s="3" t="s">
        <v>3886</v>
      </c>
    </row>
    <row r="2009" spans="1:16" x14ac:dyDescent="0.3">
      <c r="A2009" s="3" t="s">
        <v>27</v>
      </c>
      <c r="B2009" s="3" t="s">
        <v>2860</v>
      </c>
      <c r="C2009" s="3" t="s">
        <v>3887</v>
      </c>
      <c r="D2009" s="3" t="s">
        <v>118</v>
      </c>
      <c r="E2009" s="3" t="s">
        <v>31</v>
      </c>
      <c r="F2009" s="3" t="b">
        <v>0</v>
      </c>
      <c r="G2009" s="3" t="s">
        <v>88</v>
      </c>
      <c r="H2009" s="6">
        <v>44928.294814814813</v>
      </c>
      <c r="I2009" s="3" t="b">
        <v>0</v>
      </c>
      <c r="J2009" s="3" t="b">
        <v>1</v>
      </c>
      <c r="K2009" s="3" t="s">
        <v>33</v>
      </c>
      <c r="L2009" s="3" t="s">
        <v>34</v>
      </c>
      <c r="M2009" s="8">
        <v>141500</v>
      </c>
      <c r="N2009" s="11"/>
      <c r="O2009" s="3" t="s">
        <v>3888</v>
      </c>
      <c r="P2009" s="3" t="s">
        <v>3889</v>
      </c>
    </row>
    <row r="2010" spans="1:16" x14ac:dyDescent="0.3">
      <c r="A2010" s="3" t="s">
        <v>27</v>
      </c>
      <c r="B2010" s="3" t="s">
        <v>27</v>
      </c>
      <c r="C2010" s="3" t="s">
        <v>596</v>
      </c>
      <c r="D2010" s="3" t="s">
        <v>41</v>
      </c>
      <c r="E2010" s="3" t="s">
        <v>31</v>
      </c>
      <c r="F2010" s="3" t="b">
        <v>0</v>
      </c>
      <c r="G2010" s="3" t="s">
        <v>597</v>
      </c>
      <c r="H2010" s="6">
        <v>44936.691006944442</v>
      </c>
      <c r="I2010" s="3" t="b">
        <v>0</v>
      </c>
      <c r="J2010" s="3" t="b">
        <v>0</v>
      </c>
      <c r="K2010" s="3" t="s">
        <v>597</v>
      </c>
      <c r="L2010" s="3" t="s">
        <v>34</v>
      </c>
      <c r="M2010" s="8">
        <v>157500</v>
      </c>
      <c r="N2010" s="11"/>
      <c r="O2010" s="3" t="s">
        <v>3890</v>
      </c>
      <c r="P2010" s="3" t="s">
        <v>3891</v>
      </c>
    </row>
    <row r="2011" spans="1:16" x14ac:dyDescent="0.3">
      <c r="A2011" s="3" t="s">
        <v>27</v>
      </c>
      <c r="B2011" s="3" t="s">
        <v>27</v>
      </c>
      <c r="C2011" s="3" t="s">
        <v>402</v>
      </c>
      <c r="D2011" s="3" t="s">
        <v>41</v>
      </c>
      <c r="E2011" s="3" t="s">
        <v>31</v>
      </c>
      <c r="F2011" s="3" t="b">
        <v>0</v>
      </c>
      <c r="G2011" s="3" t="s">
        <v>403</v>
      </c>
      <c r="H2011" s="6">
        <v>44944.731435185182</v>
      </c>
      <c r="I2011" s="3" t="b">
        <v>0</v>
      </c>
      <c r="J2011" s="3" t="b">
        <v>0</v>
      </c>
      <c r="K2011" s="3" t="s">
        <v>403</v>
      </c>
      <c r="L2011" s="3" t="s">
        <v>34</v>
      </c>
      <c r="M2011" s="8">
        <v>157500</v>
      </c>
      <c r="N2011" s="11"/>
      <c r="O2011" s="3" t="s">
        <v>356</v>
      </c>
      <c r="P2011" s="3" t="s">
        <v>3896</v>
      </c>
    </row>
    <row r="2012" spans="1:16" x14ac:dyDescent="0.3">
      <c r="A2012" s="3" t="s">
        <v>27</v>
      </c>
      <c r="B2012" s="3" t="s">
        <v>3900</v>
      </c>
      <c r="C2012" s="3" t="s">
        <v>2451</v>
      </c>
      <c r="D2012" s="3" t="s">
        <v>1013</v>
      </c>
      <c r="E2012" s="3" t="s">
        <v>31</v>
      </c>
      <c r="F2012" s="3" t="b">
        <v>0</v>
      </c>
      <c r="G2012" s="3" t="s">
        <v>140</v>
      </c>
      <c r="H2012" s="6">
        <v>44934.701921296299</v>
      </c>
      <c r="I2012" s="3" t="b">
        <v>0</v>
      </c>
      <c r="J2012" s="3" t="b">
        <v>1</v>
      </c>
      <c r="K2012" s="3" t="s">
        <v>33</v>
      </c>
      <c r="L2012" s="3" t="s">
        <v>34</v>
      </c>
      <c r="M2012" s="8">
        <v>170500</v>
      </c>
      <c r="N2012" s="11"/>
      <c r="O2012" s="3" t="s">
        <v>3901</v>
      </c>
      <c r="P2012" s="3" t="s">
        <v>3902</v>
      </c>
    </row>
    <row r="2013" spans="1:16" x14ac:dyDescent="0.3">
      <c r="A2013" s="3" t="s">
        <v>27</v>
      </c>
      <c r="B2013" s="3" t="s">
        <v>27</v>
      </c>
      <c r="C2013" s="3" t="s">
        <v>3903</v>
      </c>
      <c r="D2013" s="3" t="s">
        <v>93</v>
      </c>
      <c r="E2013" s="3" t="s">
        <v>31</v>
      </c>
      <c r="F2013" s="3" t="b">
        <v>0</v>
      </c>
      <c r="G2013" s="3" t="s">
        <v>32</v>
      </c>
      <c r="H2013" s="6">
        <v>44942.388842592591</v>
      </c>
      <c r="I2013" s="3" t="b">
        <v>0</v>
      </c>
      <c r="J2013" s="3" t="b">
        <v>1</v>
      </c>
      <c r="K2013" s="3" t="s">
        <v>33</v>
      </c>
      <c r="L2013" s="3" t="s">
        <v>34</v>
      </c>
      <c r="M2013" s="8">
        <v>90000</v>
      </c>
      <c r="N2013" s="11"/>
      <c r="O2013" s="3" t="s">
        <v>3904</v>
      </c>
      <c r="P2013" s="3" t="s">
        <v>3905</v>
      </c>
    </row>
    <row r="2014" spans="1:16" x14ac:dyDescent="0.3">
      <c r="A2014" s="3" t="s">
        <v>27</v>
      </c>
      <c r="B2014" s="3" t="s">
        <v>27</v>
      </c>
      <c r="C2014" s="3" t="s">
        <v>87</v>
      </c>
      <c r="D2014" s="3" t="s">
        <v>30</v>
      </c>
      <c r="E2014" s="3" t="s">
        <v>31</v>
      </c>
      <c r="F2014" s="3" t="b">
        <v>1</v>
      </c>
      <c r="G2014" s="3" t="s">
        <v>110</v>
      </c>
      <c r="H2014" s="6">
        <v>44943.909571759257</v>
      </c>
      <c r="I2014" s="3" t="b">
        <v>0</v>
      </c>
      <c r="J2014" s="3" t="b">
        <v>0</v>
      </c>
      <c r="K2014" s="3" t="s">
        <v>110</v>
      </c>
      <c r="L2014" s="3" t="s">
        <v>34</v>
      </c>
      <c r="M2014" s="8">
        <v>100000</v>
      </c>
      <c r="N2014" s="11"/>
      <c r="O2014" s="3" t="s">
        <v>628</v>
      </c>
      <c r="P2014" s="3" t="s">
        <v>347</v>
      </c>
    </row>
    <row r="2015" spans="1:16" x14ac:dyDescent="0.3">
      <c r="A2015" s="3" t="s">
        <v>27</v>
      </c>
      <c r="B2015" s="3" t="s">
        <v>27</v>
      </c>
      <c r="C2015" s="3" t="s">
        <v>413</v>
      </c>
      <c r="D2015" s="3" t="s">
        <v>41</v>
      </c>
      <c r="E2015" s="3" t="s">
        <v>31</v>
      </c>
      <c r="F2015" s="3" t="b">
        <v>0</v>
      </c>
      <c r="G2015" s="3" t="s">
        <v>407</v>
      </c>
      <c r="H2015" s="6">
        <v>44938.90662037037</v>
      </c>
      <c r="I2015" s="3" t="b">
        <v>0</v>
      </c>
      <c r="J2015" s="3" t="b">
        <v>0</v>
      </c>
      <c r="K2015" s="3" t="s">
        <v>407</v>
      </c>
      <c r="L2015" s="3" t="s">
        <v>34</v>
      </c>
      <c r="M2015" s="8">
        <v>87307.5</v>
      </c>
      <c r="N2015" s="11"/>
      <c r="O2015" s="3" t="s">
        <v>3915</v>
      </c>
      <c r="P2015" s="3" t="s">
        <v>347</v>
      </c>
    </row>
    <row r="2016" spans="1:16" x14ac:dyDescent="0.3">
      <c r="A2016" s="3" t="s">
        <v>27</v>
      </c>
      <c r="B2016" s="3" t="s">
        <v>3926</v>
      </c>
      <c r="C2016" s="3" t="s">
        <v>2109</v>
      </c>
      <c r="D2016" s="3" t="s">
        <v>41</v>
      </c>
      <c r="E2016" s="3" t="s">
        <v>31</v>
      </c>
      <c r="F2016" s="3" t="b">
        <v>0</v>
      </c>
      <c r="G2016" s="3" t="s">
        <v>69</v>
      </c>
      <c r="H2016" s="6">
        <v>44946.921851851846</v>
      </c>
      <c r="I2016" s="3" t="b">
        <v>0</v>
      </c>
      <c r="J2016" s="3" t="b">
        <v>0</v>
      </c>
      <c r="K2016" s="3" t="s">
        <v>69</v>
      </c>
      <c r="L2016" s="3" t="s">
        <v>34</v>
      </c>
      <c r="M2016" s="8">
        <v>105650</v>
      </c>
      <c r="N2016" s="11"/>
      <c r="O2016" s="3" t="s">
        <v>3927</v>
      </c>
      <c r="P2016" s="3"/>
    </row>
    <row r="2017" spans="1:16" x14ac:dyDescent="0.3">
      <c r="A2017" s="3" t="s">
        <v>27</v>
      </c>
      <c r="B2017" s="3" t="s">
        <v>519</v>
      </c>
      <c r="C2017" s="3" t="s">
        <v>83</v>
      </c>
      <c r="D2017" s="3" t="s">
        <v>30</v>
      </c>
      <c r="E2017" s="3" t="s">
        <v>31</v>
      </c>
      <c r="F2017" s="3" t="b">
        <v>0</v>
      </c>
      <c r="G2017" s="3" t="s">
        <v>64</v>
      </c>
      <c r="H2017" s="6">
        <v>44930.502569444441</v>
      </c>
      <c r="I2017" s="3" t="b">
        <v>0</v>
      </c>
      <c r="J2017" s="3" t="b">
        <v>1</v>
      </c>
      <c r="K2017" s="3" t="s">
        <v>33</v>
      </c>
      <c r="L2017" s="3" t="s">
        <v>34</v>
      </c>
      <c r="M2017" s="8">
        <v>175000</v>
      </c>
      <c r="N2017" s="11"/>
      <c r="O2017" s="3" t="s">
        <v>507</v>
      </c>
      <c r="P2017" s="3" t="s">
        <v>3930</v>
      </c>
    </row>
    <row r="2018" spans="1:16" x14ac:dyDescent="0.3">
      <c r="A2018" s="3" t="s">
        <v>27</v>
      </c>
      <c r="B2018" s="3" t="s">
        <v>27</v>
      </c>
      <c r="C2018" s="3" t="s">
        <v>1786</v>
      </c>
      <c r="D2018" s="3" t="s">
        <v>307</v>
      </c>
      <c r="E2018" s="3" t="s">
        <v>133</v>
      </c>
      <c r="F2018" s="3" t="b">
        <v>0</v>
      </c>
      <c r="G2018" s="3" t="s">
        <v>84</v>
      </c>
      <c r="H2018" s="6">
        <v>44952.962893518517</v>
      </c>
      <c r="I2018" s="3" t="b">
        <v>0</v>
      </c>
      <c r="J2018" s="3" t="b">
        <v>0</v>
      </c>
      <c r="K2018" s="3" t="s">
        <v>33</v>
      </c>
      <c r="L2018" s="3" t="s">
        <v>48</v>
      </c>
      <c r="M2018" s="8"/>
      <c r="N2018" s="11">
        <v>60</v>
      </c>
      <c r="O2018" s="3" t="s">
        <v>114</v>
      </c>
      <c r="P2018" s="3" t="s">
        <v>1216</v>
      </c>
    </row>
    <row r="2019" spans="1:16" x14ac:dyDescent="0.3">
      <c r="A2019" s="3" t="s">
        <v>27</v>
      </c>
      <c r="B2019" s="3" t="s">
        <v>3947</v>
      </c>
      <c r="C2019" s="3" t="s">
        <v>270</v>
      </c>
      <c r="D2019" s="3" t="s">
        <v>2449</v>
      </c>
      <c r="E2019" s="3" t="s">
        <v>31</v>
      </c>
      <c r="F2019" s="3" t="b">
        <v>0</v>
      </c>
      <c r="G2019" s="3" t="s">
        <v>32</v>
      </c>
      <c r="H2019" s="6">
        <v>44937.62841435185</v>
      </c>
      <c r="I2019" s="3" t="b">
        <v>0</v>
      </c>
      <c r="J2019" s="3" t="b">
        <v>1</v>
      </c>
      <c r="K2019" s="3" t="s">
        <v>33</v>
      </c>
      <c r="L2019" s="3" t="s">
        <v>34</v>
      </c>
      <c r="M2019" s="8">
        <v>223000</v>
      </c>
      <c r="N2019" s="11"/>
      <c r="O2019" s="3" t="s">
        <v>3948</v>
      </c>
      <c r="P2019" s="3" t="s">
        <v>3949</v>
      </c>
    </row>
    <row r="2020" spans="1:16" x14ac:dyDescent="0.3">
      <c r="A2020" s="3" t="s">
        <v>27</v>
      </c>
      <c r="B2020" s="3" t="s">
        <v>3950</v>
      </c>
      <c r="C2020" s="3" t="s">
        <v>417</v>
      </c>
      <c r="D2020" s="3" t="s">
        <v>93</v>
      </c>
      <c r="E2020" s="3" t="s">
        <v>31</v>
      </c>
      <c r="F2020" s="3" t="b">
        <v>0</v>
      </c>
      <c r="G2020" s="3" t="s">
        <v>58</v>
      </c>
      <c r="H2020" s="6">
        <v>44939.254305555558</v>
      </c>
      <c r="I2020" s="3" t="b">
        <v>0</v>
      </c>
      <c r="J2020" s="3" t="b">
        <v>0</v>
      </c>
      <c r="K2020" s="3" t="s">
        <v>33</v>
      </c>
      <c r="L2020" s="3" t="s">
        <v>34</v>
      </c>
      <c r="M2020" s="8">
        <v>90000</v>
      </c>
      <c r="N2020" s="11"/>
      <c r="O2020" s="3" t="s">
        <v>1438</v>
      </c>
      <c r="P2020" s="3" t="s">
        <v>2785</v>
      </c>
    </row>
    <row r="2021" spans="1:16" x14ac:dyDescent="0.3">
      <c r="A2021" s="3" t="s">
        <v>27</v>
      </c>
      <c r="B2021" s="3" t="s">
        <v>977</v>
      </c>
      <c r="C2021" s="3" t="s">
        <v>87</v>
      </c>
      <c r="D2021" s="3" t="s">
        <v>287</v>
      </c>
      <c r="E2021" s="3" t="s">
        <v>31</v>
      </c>
      <c r="F2021" s="3" t="b">
        <v>1</v>
      </c>
      <c r="G2021" s="3" t="s">
        <v>110</v>
      </c>
      <c r="H2021" s="6">
        <v>44940.99077546296</v>
      </c>
      <c r="I2021" s="3" t="b">
        <v>0</v>
      </c>
      <c r="J2021" s="3" t="b">
        <v>0</v>
      </c>
      <c r="K2021" s="3" t="s">
        <v>110</v>
      </c>
      <c r="L2021" s="3" t="s">
        <v>34</v>
      </c>
      <c r="M2021" s="8">
        <v>105138</v>
      </c>
      <c r="N2021" s="11"/>
      <c r="O2021" s="3" t="s">
        <v>1973</v>
      </c>
      <c r="P2021" s="3"/>
    </row>
    <row r="2022" spans="1:16" x14ac:dyDescent="0.3">
      <c r="A2022" s="3" t="s">
        <v>27</v>
      </c>
      <c r="B2022" s="3" t="s">
        <v>27</v>
      </c>
      <c r="C2022" s="3" t="s">
        <v>244</v>
      </c>
      <c r="D2022" s="3" t="s">
        <v>3390</v>
      </c>
      <c r="E2022" s="3" t="s">
        <v>31</v>
      </c>
      <c r="F2022" s="3" t="b">
        <v>0</v>
      </c>
      <c r="G2022" s="3" t="s">
        <v>58</v>
      </c>
      <c r="H2022" s="6">
        <v>44929.981886574067</v>
      </c>
      <c r="I2022" s="3" t="b">
        <v>0</v>
      </c>
      <c r="J2022" s="3" t="b">
        <v>1</v>
      </c>
      <c r="K2022" s="3" t="s">
        <v>33</v>
      </c>
      <c r="L2022" s="3" t="s">
        <v>48</v>
      </c>
      <c r="M2022" s="8"/>
      <c r="N2022" s="11">
        <v>24</v>
      </c>
      <c r="O2022" s="3" t="s">
        <v>3958</v>
      </c>
      <c r="P2022" s="3" t="s">
        <v>3959</v>
      </c>
    </row>
    <row r="2023" spans="1:16" x14ac:dyDescent="0.3">
      <c r="A2023" s="3" t="s">
        <v>27</v>
      </c>
      <c r="B2023" s="3" t="s">
        <v>3960</v>
      </c>
      <c r="C2023" s="3" t="s">
        <v>97</v>
      </c>
      <c r="D2023" s="3" t="s">
        <v>867</v>
      </c>
      <c r="E2023" s="3" t="s">
        <v>31</v>
      </c>
      <c r="F2023" s="3" t="b">
        <v>0</v>
      </c>
      <c r="G2023" s="3" t="s">
        <v>32</v>
      </c>
      <c r="H2023" s="6">
        <v>44956.003055555557</v>
      </c>
      <c r="I2023" s="3" t="b">
        <v>0</v>
      </c>
      <c r="J2023" s="3" t="b">
        <v>0</v>
      </c>
      <c r="K2023" s="3" t="s">
        <v>33</v>
      </c>
      <c r="L2023" s="3" t="s">
        <v>34</v>
      </c>
      <c r="M2023" s="8">
        <v>92500</v>
      </c>
      <c r="N2023" s="11"/>
      <c r="O2023" s="3" t="s">
        <v>3961</v>
      </c>
      <c r="P2023" s="3" t="s">
        <v>3962</v>
      </c>
    </row>
    <row r="2024" spans="1:16" x14ac:dyDescent="0.3">
      <c r="A2024" s="3" t="s">
        <v>27</v>
      </c>
      <c r="B2024" s="3" t="s">
        <v>3963</v>
      </c>
      <c r="C2024" s="3" t="s">
        <v>965</v>
      </c>
      <c r="D2024" s="3" t="s">
        <v>350</v>
      </c>
      <c r="E2024" s="3" t="s">
        <v>31</v>
      </c>
      <c r="F2024" s="3" t="b">
        <v>0</v>
      </c>
      <c r="G2024" s="3" t="s">
        <v>140</v>
      </c>
      <c r="H2024" s="6">
        <v>44938.639097222222</v>
      </c>
      <c r="I2024" s="3" t="b">
        <v>0</v>
      </c>
      <c r="J2024" s="3" t="b">
        <v>0</v>
      </c>
      <c r="K2024" s="3" t="s">
        <v>33</v>
      </c>
      <c r="L2024" s="3" t="s">
        <v>34</v>
      </c>
      <c r="M2024" s="8">
        <v>145000</v>
      </c>
      <c r="N2024" s="11"/>
      <c r="O2024" s="3" t="s">
        <v>175</v>
      </c>
      <c r="P2024" s="3" t="s">
        <v>1947</v>
      </c>
    </row>
    <row r="2025" spans="1:16" x14ac:dyDescent="0.3">
      <c r="A2025" s="3" t="s">
        <v>27</v>
      </c>
      <c r="B2025" s="3" t="s">
        <v>3974</v>
      </c>
      <c r="C2025" s="3" t="s">
        <v>87</v>
      </c>
      <c r="D2025" s="3" t="s">
        <v>30</v>
      </c>
      <c r="E2025" s="3" t="s">
        <v>31</v>
      </c>
      <c r="F2025" s="3" t="b">
        <v>1</v>
      </c>
      <c r="G2025" s="3" t="s">
        <v>58</v>
      </c>
      <c r="H2025" s="6">
        <v>44936.889560185176</v>
      </c>
      <c r="I2025" s="3" t="b">
        <v>0</v>
      </c>
      <c r="J2025" s="3" t="b">
        <v>0</v>
      </c>
      <c r="K2025" s="3" t="s">
        <v>33</v>
      </c>
      <c r="L2025" s="3" t="s">
        <v>34</v>
      </c>
      <c r="M2025" s="8">
        <v>140000</v>
      </c>
      <c r="N2025" s="11"/>
      <c r="O2025" s="3" t="s">
        <v>589</v>
      </c>
      <c r="P2025" s="3" t="s">
        <v>3975</v>
      </c>
    </row>
    <row r="2026" spans="1:16" x14ac:dyDescent="0.3">
      <c r="A2026" s="3" t="s">
        <v>27</v>
      </c>
      <c r="B2026" s="3" t="s">
        <v>3980</v>
      </c>
      <c r="C2026" s="3" t="s">
        <v>2039</v>
      </c>
      <c r="D2026" s="3" t="s">
        <v>41</v>
      </c>
      <c r="E2026" s="3" t="s">
        <v>31</v>
      </c>
      <c r="F2026" s="3" t="b">
        <v>0</v>
      </c>
      <c r="G2026" s="3" t="s">
        <v>651</v>
      </c>
      <c r="H2026" s="6">
        <v>44936.646192129629</v>
      </c>
      <c r="I2026" s="3" t="b">
        <v>0</v>
      </c>
      <c r="J2026" s="3" t="b">
        <v>0</v>
      </c>
      <c r="K2026" s="3" t="s">
        <v>651</v>
      </c>
      <c r="L2026" s="3" t="s">
        <v>34</v>
      </c>
      <c r="M2026" s="8">
        <v>132500</v>
      </c>
      <c r="N2026" s="11"/>
      <c r="O2026" s="3" t="s">
        <v>765</v>
      </c>
      <c r="P2026" s="3" t="s">
        <v>3981</v>
      </c>
    </row>
    <row r="2027" spans="1:16" x14ac:dyDescent="0.3">
      <c r="A2027" s="3" t="s">
        <v>27</v>
      </c>
      <c r="B2027" s="3" t="s">
        <v>27</v>
      </c>
      <c r="C2027" s="3" t="s">
        <v>2039</v>
      </c>
      <c r="D2027" s="3" t="s">
        <v>41</v>
      </c>
      <c r="E2027" s="3" t="s">
        <v>31</v>
      </c>
      <c r="F2027" s="3" t="b">
        <v>0</v>
      </c>
      <c r="G2027" s="3" t="s">
        <v>651</v>
      </c>
      <c r="H2027" s="6">
        <v>44954.234074074076</v>
      </c>
      <c r="I2027" s="3" t="b">
        <v>0</v>
      </c>
      <c r="J2027" s="3" t="b">
        <v>0</v>
      </c>
      <c r="K2027" s="3" t="s">
        <v>651</v>
      </c>
      <c r="L2027" s="3" t="s">
        <v>34</v>
      </c>
      <c r="M2027" s="8">
        <v>88128</v>
      </c>
      <c r="N2027" s="11"/>
      <c r="O2027" s="3" t="s">
        <v>3990</v>
      </c>
      <c r="P2027" s="3" t="s">
        <v>3991</v>
      </c>
    </row>
    <row r="2028" spans="1:16" x14ac:dyDescent="0.3">
      <c r="A2028" s="3" t="s">
        <v>27</v>
      </c>
      <c r="B2028" s="3" t="s">
        <v>3992</v>
      </c>
      <c r="C2028" s="3" t="s">
        <v>945</v>
      </c>
      <c r="D2028" s="3" t="s">
        <v>76</v>
      </c>
      <c r="E2028" s="3" t="s">
        <v>31</v>
      </c>
      <c r="F2028" s="3" t="b">
        <v>0</v>
      </c>
      <c r="G2028" s="3" t="s">
        <v>32</v>
      </c>
      <c r="H2028" s="6">
        <v>44938.379016203697</v>
      </c>
      <c r="I2028" s="3" t="b">
        <v>0</v>
      </c>
      <c r="J2028" s="3" t="b">
        <v>1</v>
      </c>
      <c r="K2028" s="3" t="s">
        <v>33</v>
      </c>
      <c r="L2028" s="3" t="s">
        <v>34</v>
      </c>
      <c r="M2028" s="8">
        <v>110000</v>
      </c>
      <c r="N2028" s="11"/>
      <c r="O2028" s="3" t="s">
        <v>3958</v>
      </c>
      <c r="P2028" s="3" t="s">
        <v>3993</v>
      </c>
    </row>
    <row r="2029" spans="1:16" x14ac:dyDescent="0.3">
      <c r="A2029" s="3" t="s">
        <v>27</v>
      </c>
      <c r="B2029" s="3" t="s">
        <v>4007</v>
      </c>
      <c r="C2029" s="3" t="s">
        <v>329</v>
      </c>
      <c r="D2029" s="3" t="s">
        <v>76</v>
      </c>
      <c r="E2029" s="3" t="s">
        <v>31</v>
      </c>
      <c r="F2029" s="3" t="b">
        <v>0</v>
      </c>
      <c r="G2029" s="3" t="s">
        <v>64</v>
      </c>
      <c r="H2029" s="6">
        <v>44930.585856481477</v>
      </c>
      <c r="I2029" s="3" t="b">
        <v>0</v>
      </c>
      <c r="J2029" s="3" t="b">
        <v>1</v>
      </c>
      <c r="K2029" s="3" t="s">
        <v>33</v>
      </c>
      <c r="L2029" s="3" t="s">
        <v>34</v>
      </c>
      <c r="M2029" s="8">
        <v>92500</v>
      </c>
      <c r="N2029" s="11"/>
      <c r="O2029" s="3" t="s">
        <v>330</v>
      </c>
      <c r="P2029" s="3"/>
    </row>
    <row r="2030" spans="1:16" x14ac:dyDescent="0.3">
      <c r="A2030" s="3" t="s">
        <v>27</v>
      </c>
      <c r="B2030" s="3" t="s">
        <v>4011</v>
      </c>
      <c r="C2030" s="3" t="s">
        <v>4012</v>
      </c>
      <c r="D2030" s="3" t="s">
        <v>41</v>
      </c>
      <c r="E2030" s="3" t="s">
        <v>31</v>
      </c>
      <c r="F2030" s="3" t="b">
        <v>0</v>
      </c>
      <c r="G2030" s="3" t="s">
        <v>42</v>
      </c>
      <c r="H2030" s="6">
        <v>44932.069803240738</v>
      </c>
      <c r="I2030" s="3" t="b">
        <v>0</v>
      </c>
      <c r="J2030" s="3" t="b">
        <v>0</v>
      </c>
      <c r="K2030" s="3" t="s">
        <v>42</v>
      </c>
      <c r="L2030" s="3" t="s">
        <v>34</v>
      </c>
      <c r="M2030" s="8">
        <v>63321.5</v>
      </c>
      <c r="N2030" s="11"/>
      <c r="O2030" s="3" t="s">
        <v>4013</v>
      </c>
      <c r="P2030" s="3" t="s">
        <v>4014</v>
      </c>
    </row>
    <row r="2031" spans="1:16" x14ac:dyDescent="0.3">
      <c r="A2031" s="3" t="s">
        <v>27</v>
      </c>
      <c r="B2031" s="3" t="s">
        <v>4015</v>
      </c>
      <c r="C2031" s="3" t="s">
        <v>903</v>
      </c>
      <c r="D2031" s="3" t="s">
        <v>41</v>
      </c>
      <c r="E2031" s="3" t="s">
        <v>31</v>
      </c>
      <c r="F2031" s="3" t="b">
        <v>0</v>
      </c>
      <c r="G2031" s="3" t="s">
        <v>436</v>
      </c>
      <c r="H2031" s="6">
        <v>44936.477523148147</v>
      </c>
      <c r="I2031" s="3" t="b">
        <v>0</v>
      </c>
      <c r="J2031" s="3" t="b">
        <v>0</v>
      </c>
      <c r="K2031" s="3" t="s">
        <v>436</v>
      </c>
      <c r="L2031" s="3" t="s">
        <v>34</v>
      </c>
      <c r="M2031" s="8">
        <v>157500</v>
      </c>
      <c r="N2031" s="11"/>
      <c r="O2031" s="3" t="s">
        <v>310</v>
      </c>
      <c r="P2031" s="3" t="s">
        <v>4016</v>
      </c>
    </row>
    <row r="2032" spans="1:16" x14ac:dyDescent="0.3">
      <c r="A2032" s="3" t="s">
        <v>27</v>
      </c>
      <c r="B2032" s="3" t="s">
        <v>2469</v>
      </c>
      <c r="C2032" s="3" t="s">
        <v>87</v>
      </c>
      <c r="D2032" s="3" t="s">
        <v>867</v>
      </c>
      <c r="E2032" s="3" t="s">
        <v>31</v>
      </c>
      <c r="F2032" s="3" t="b">
        <v>1</v>
      </c>
      <c r="G2032" s="3" t="s">
        <v>110</v>
      </c>
      <c r="H2032" s="6">
        <v>44950.018773148149</v>
      </c>
      <c r="I2032" s="3" t="b">
        <v>0</v>
      </c>
      <c r="J2032" s="3" t="b">
        <v>0</v>
      </c>
      <c r="K2032" s="3" t="s">
        <v>110</v>
      </c>
      <c r="L2032" s="3" t="s">
        <v>48</v>
      </c>
      <c r="M2032" s="8"/>
      <c r="N2032" s="11">
        <v>34</v>
      </c>
      <c r="O2032" s="3" t="s">
        <v>4017</v>
      </c>
      <c r="P2032" s="3" t="s">
        <v>4018</v>
      </c>
    </row>
    <row r="2033" spans="1:16" x14ac:dyDescent="0.3">
      <c r="A2033" s="3" t="s">
        <v>27</v>
      </c>
      <c r="B2033" s="3" t="s">
        <v>27</v>
      </c>
      <c r="C2033" s="3" t="s">
        <v>87</v>
      </c>
      <c r="D2033" s="3" t="s">
        <v>76</v>
      </c>
      <c r="E2033" s="3" t="s">
        <v>31</v>
      </c>
      <c r="F2033" s="3" t="b">
        <v>1</v>
      </c>
      <c r="G2033" s="3" t="s">
        <v>110</v>
      </c>
      <c r="H2033" s="6">
        <v>44949.893703703703</v>
      </c>
      <c r="I2033" s="3" t="b">
        <v>0</v>
      </c>
      <c r="J2033" s="3" t="b">
        <v>0</v>
      </c>
      <c r="K2033" s="3" t="s">
        <v>110</v>
      </c>
      <c r="L2033" s="3" t="s">
        <v>34</v>
      </c>
      <c r="M2033" s="8">
        <v>65000</v>
      </c>
      <c r="N2033" s="11"/>
      <c r="O2033" s="3" t="s">
        <v>4024</v>
      </c>
      <c r="P2033" s="3" t="s">
        <v>4025</v>
      </c>
    </row>
    <row r="2034" spans="1:16" x14ac:dyDescent="0.3">
      <c r="A2034" s="3" t="s">
        <v>27</v>
      </c>
      <c r="B2034" s="3" t="s">
        <v>674</v>
      </c>
      <c r="C2034" s="3" t="s">
        <v>33</v>
      </c>
      <c r="D2034" s="3" t="s">
        <v>867</v>
      </c>
      <c r="E2034" s="3" t="s">
        <v>31</v>
      </c>
      <c r="F2034" s="3" t="b">
        <v>0</v>
      </c>
      <c r="G2034" s="3" t="s">
        <v>110</v>
      </c>
      <c r="H2034" s="6">
        <v>44955.014675925922</v>
      </c>
      <c r="I2034" s="3" t="b">
        <v>0</v>
      </c>
      <c r="J2034" s="3" t="b">
        <v>0</v>
      </c>
      <c r="K2034" s="3" t="s">
        <v>110</v>
      </c>
      <c r="L2034" s="3" t="s">
        <v>34</v>
      </c>
      <c r="M2034" s="8">
        <v>155000</v>
      </c>
      <c r="N2034" s="11"/>
      <c r="O2034" s="3" t="s">
        <v>665</v>
      </c>
      <c r="P2034" s="3" t="s">
        <v>4031</v>
      </c>
    </row>
    <row r="2035" spans="1:16" x14ac:dyDescent="0.3">
      <c r="A2035" s="3" t="s">
        <v>27</v>
      </c>
      <c r="B2035" s="3" t="s">
        <v>27</v>
      </c>
      <c r="C2035" s="3" t="s">
        <v>83</v>
      </c>
      <c r="D2035" s="3" t="s">
        <v>93</v>
      </c>
      <c r="E2035" s="3" t="s">
        <v>31</v>
      </c>
      <c r="F2035" s="3" t="b">
        <v>0</v>
      </c>
      <c r="G2035" s="3" t="s">
        <v>64</v>
      </c>
      <c r="H2035" s="6">
        <v>44943.294317129628</v>
      </c>
      <c r="I2035" s="3" t="b">
        <v>0</v>
      </c>
      <c r="J2035" s="3" t="b">
        <v>1</v>
      </c>
      <c r="K2035" s="3" t="s">
        <v>33</v>
      </c>
      <c r="L2035" s="3" t="s">
        <v>34</v>
      </c>
      <c r="M2035" s="8">
        <v>125000</v>
      </c>
      <c r="N2035" s="11"/>
      <c r="O2035" s="3" t="s">
        <v>4045</v>
      </c>
      <c r="P2035" s="3" t="s">
        <v>4046</v>
      </c>
    </row>
    <row r="2036" spans="1:16" x14ac:dyDescent="0.3">
      <c r="A2036" s="3" t="s">
        <v>27</v>
      </c>
      <c r="B2036" s="3" t="s">
        <v>4052</v>
      </c>
      <c r="C2036" s="3" t="s">
        <v>4053</v>
      </c>
      <c r="D2036" s="3" t="s">
        <v>1261</v>
      </c>
      <c r="E2036" s="3" t="s">
        <v>31</v>
      </c>
      <c r="F2036" s="3" t="b">
        <v>0</v>
      </c>
      <c r="G2036" s="3" t="s">
        <v>32</v>
      </c>
      <c r="H2036" s="6">
        <v>44942.263854166667</v>
      </c>
      <c r="I2036" s="3" t="b">
        <v>0</v>
      </c>
      <c r="J2036" s="3" t="b">
        <v>1</v>
      </c>
      <c r="K2036" s="3" t="s">
        <v>33</v>
      </c>
      <c r="L2036" s="3" t="s">
        <v>34</v>
      </c>
      <c r="M2036" s="8">
        <v>202000</v>
      </c>
      <c r="N2036" s="11"/>
      <c r="O2036" s="3" t="s">
        <v>4054</v>
      </c>
      <c r="P2036" s="3" t="s">
        <v>4055</v>
      </c>
    </row>
    <row r="2037" spans="1:16" x14ac:dyDescent="0.3">
      <c r="A2037" s="3" t="s">
        <v>27</v>
      </c>
      <c r="B2037" s="3" t="s">
        <v>525</v>
      </c>
      <c r="C2037" s="3" t="s">
        <v>903</v>
      </c>
      <c r="D2037" s="3" t="s">
        <v>41</v>
      </c>
      <c r="E2037" s="3" t="s">
        <v>31</v>
      </c>
      <c r="F2037" s="3" t="b">
        <v>0</v>
      </c>
      <c r="G2037" s="3" t="s">
        <v>436</v>
      </c>
      <c r="H2037" s="6">
        <v>44938.468495370369</v>
      </c>
      <c r="I2037" s="3" t="b">
        <v>0</v>
      </c>
      <c r="J2037" s="3" t="b">
        <v>0</v>
      </c>
      <c r="K2037" s="3" t="s">
        <v>436</v>
      </c>
      <c r="L2037" s="3" t="s">
        <v>34</v>
      </c>
      <c r="M2037" s="8">
        <v>157500</v>
      </c>
      <c r="N2037" s="11"/>
      <c r="O2037" s="3" t="s">
        <v>2695</v>
      </c>
      <c r="P2037" s="3" t="s">
        <v>4058</v>
      </c>
    </row>
    <row r="2038" spans="1:16" x14ac:dyDescent="0.3">
      <c r="A2038" s="3" t="s">
        <v>27</v>
      </c>
      <c r="B2038" s="3" t="s">
        <v>2469</v>
      </c>
      <c r="C2038" s="3" t="s">
        <v>4062</v>
      </c>
      <c r="D2038" s="3" t="s">
        <v>53</v>
      </c>
      <c r="E2038" s="3" t="s">
        <v>1294</v>
      </c>
      <c r="F2038" s="3" t="b">
        <v>0</v>
      </c>
      <c r="G2038" s="3" t="s">
        <v>32</v>
      </c>
      <c r="H2038" s="6">
        <v>44950.878136574072</v>
      </c>
      <c r="I2038" s="3" t="b">
        <v>0</v>
      </c>
      <c r="J2038" s="3" t="b">
        <v>0</v>
      </c>
      <c r="K2038" s="3" t="s">
        <v>33</v>
      </c>
      <c r="L2038" s="3" t="s">
        <v>48</v>
      </c>
      <c r="M2038" s="8"/>
      <c r="N2038" s="11">
        <v>25</v>
      </c>
      <c r="O2038" s="3" t="s">
        <v>4063</v>
      </c>
      <c r="P2038" s="3" t="s">
        <v>932</v>
      </c>
    </row>
    <row r="2039" spans="1:16" x14ac:dyDescent="0.3">
      <c r="A2039" s="3" t="s">
        <v>27</v>
      </c>
      <c r="B2039" s="3" t="s">
        <v>4082</v>
      </c>
      <c r="C2039" s="3" t="s">
        <v>362</v>
      </c>
      <c r="D2039" s="3" t="s">
        <v>93</v>
      </c>
      <c r="E2039" s="3" t="s">
        <v>31</v>
      </c>
      <c r="F2039" s="3" t="b">
        <v>0</v>
      </c>
      <c r="G2039" s="3" t="s">
        <v>140</v>
      </c>
      <c r="H2039" s="6">
        <v>44934.285254629627</v>
      </c>
      <c r="I2039" s="3" t="b">
        <v>0</v>
      </c>
      <c r="J2039" s="3" t="b">
        <v>1</v>
      </c>
      <c r="K2039" s="3" t="s">
        <v>33</v>
      </c>
      <c r="L2039" s="3" t="s">
        <v>34</v>
      </c>
      <c r="M2039" s="8">
        <v>115000</v>
      </c>
      <c r="N2039" s="11"/>
      <c r="O2039" s="3" t="s">
        <v>303</v>
      </c>
      <c r="P2039" s="3" t="s">
        <v>1705</v>
      </c>
    </row>
    <row r="2040" spans="1:16" x14ac:dyDescent="0.3">
      <c r="A2040" s="3" t="s">
        <v>27</v>
      </c>
      <c r="B2040" s="3" t="s">
        <v>3655</v>
      </c>
      <c r="C2040" s="3" t="s">
        <v>223</v>
      </c>
      <c r="D2040" s="3" t="s">
        <v>53</v>
      </c>
      <c r="E2040" s="3" t="s">
        <v>31</v>
      </c>
      <c r="F2040" s="3" t="b">
        <v>0</v>
      </c>
      <c r="G2040" s="3" t="s">
        <v>64</v>
      </c>
      <c r="H2040" s="6">
        <v>44947.505439814813</v>
      </c>
      <c r="I2040" s="3" t="b">
        <v>0</v>
      </c>
      <c r="J2040" s="3" t="b">
        <v>0</v>
      </c>
      <c r="K2040" s="3" t="s">
        <v>33</v>
      </c>
      <c r="L2040" s="3" t="s">
        <v>34</v>
      </c>
      <c r="M2040" s="8">
        <v>143500</v>
      </c>
      <c r="N2040" s="11"/>
      <c r="O2040" s="3" t="s">
        <v>224</v>
      </c>
      <c r="P2040" s="3" t="s">
        <v>979</v>
      </c>
    </row>
    <row r="2041" spans="1:16" x14ac:dyDescent="0.3">
      <c r="A2041" s="3" t="s">
        <v>27</v>
      </c>
      <c r="B2041" s="3" t="s">
        <v>4088</v>
      </c>
      <c r="C2041" s="3" t="s">
        <v>87</v>
      </c>
      <c r="D2041" s="3" t="s">
        <v>30</v>
      </c>
      <c r="E2041" s="3" t="s">
        <v>31</v>
      </c>
      <c r="F2041" s="3" t="b">
        <v>1</v>
      </c>
      <c r="G2041" s="3" t="s">
        <v>110</v>
      </c>
      <c r="H2041" s="6">
        <v>44935.857673611114</v>
      </c>
      <c r="I2041" s="3" t="b">
        <v>0</v>
      </c>
      <c r="J2041" s="3" t="b">
        <v>1</v>
      </c>
      <c r="K2041" s="3" t="s">
        <v>110</v>
      </c>
      <c r="L2041" s="3" t="s">
        <v>34</v>
      </c>
      <c r="M2041" s="8">
        <v>175000</v>
      </c>
      <c r="N2041" s="11"/>
      <c r="O2041" s="3" t="s">
        <v>900</v>
      </c>
      <c r="P2041" s="3"/>
    </row>
    <row r="2042" spans="1:16" x14ac:dyDescent="0.3">
      <c r="A2042" s="3" t="s">
        <v>27</v>
      </c>
      <c r="B2042" s="3" t="s">
        <v>27</v>
      </c>
      <c r="C2042" s="3" t="s">
        <v>4089</v>
      </c>
      <c r="D2042" s="3" t="s">
        <v>76</v>
      </c>
      <c r="E2042" s="3" t="s">
        <v>31</v>
      </c>
      <c r="F2042" s="3" t="b">
        <v>0</v>
      </c>
      <c r="G2042" s="3" t="s">
        <v>140</v>
      </c>
      <c r="H2042" s="6">
        <v>44930.589375000003</v>
      </c>
      <c r="I2042" s="3" t="b">
        <v>0</v>
      </c>
      <c r="J2042" s="3" t="b">
        <v>0</v>
      </c>
      <c r="K2042" s="3" t="s">
        <v>33</v>
      </c>
      <c r="L2042" s="3" t="s">
        <v>34</v>
      </c>
      <c r="M2042" s="8">
        <v>120000.5</v>
      </c>
      <c r="N2042" s="11"/>
      <c r="O2042" s="3" t="s">
        <v>462</v>
      </c>
      <c r="P2042" s="3" t="s">
        <v>463</v>
      </c>
    </row>
    <row r="2043" spans="1:16" x14ac:dyDescent="0.3">
      <c r="A2043" s="3" t="s">
        <v>27</v>
      </c>
      <c r="B2043" s="3" t="s">
        <v>27</v>
      </c>
      <c r="C2043" s="3" t="s">
        <v>2676</v>
      </c>
      <c r="D2043" s="3" t="s">
        <v>41</v>
      </c>
      <c r="E2043" s="3" t="s">
        <v>31</v>
      </c>
      <c r="F2043" s="3" t="b">
        <v>0</v>
      </c>
      <c r="G2043" s="3" t="s">
        <v>2676</v>
      </c>
      <c r="H2043" s="6">
        <v>44951.71502314815</v>
      </c>
      <c r="I2043" s="3" t="b">
        <v>0</v>
      </c>
      <c r="J2043" s="3" t="b">
        <v>0</v>
      </c>
      <c r="K2043" s="3" t="s">
        <v>2676</v>
      </c>
      <c r="L2043" s="3" t="s">
        <v>34</v>
      </c>
      <c r="M2043" s="8">
        <v>64821.5</v>
      </c>
      <c r="N2043" s="11"/>
      <c r="O2043" s="3" t="s">
        <v>2677</v>
      </c>
      <c r="P2043" s="3" t="s">
        <v>979</v>
      </c>
    </row>
    <row r="2044" spans="1:16" x14ac:dyDescent="0.3">
      <c r="A2044" s="3" t="s">
        <v>27</v>
      </c>
      <c r="B2044" s="3" t="s">
        <v>3339</v>
      </c>
      <c r="C2044" s="3" t="s">
        <v>960</v>
      </c>
      <c r="D2044" s="3" t="s">
        <v>41</v>
      </c>
      <c r="E2044" s="3" t="s">
        <v>31</v>
      </c>
      <c r="F2044" s="3" t="b">
        <v>0</v>
      </c>
      <c r="G2044" s="3" t="s">
        <v>961</v>
      </c>
      <c r="H2044" s="6">
        <v>44942.588495370372</v>
      </c>
      <c r="I2044" s="3" t="b">
        <v>0</v>
      </c>
      <c r="J2044" s="3" t="b">
        <v>0</v>
      </c>
      <c r="K2044" s="3" t="s">
        <v>961</v>
      </c>
      <c r="L2044" s="3" t="s">
        <v>34</v>
      </c>
      <c r="M2044" s="8">
        <v>64821.5</v>
      </c>
      <c r="N2044" s="11"/>
      <c r="O2044" s="3" t="s">
        <v>4101</v>
      </c>
      <c r="P2044" s="3" t="s">
        <v>4102</v>
      </c>
    </row>
    <row r="2045" spans="1:16" x14ac:dyDescent="0.3">
      <c r="A2045" s="3" t="s">
        <v>27</v>
      </c>
      <c r="B2045" s="3" t="s">
        <v>2480</v>
      </c>
      <c r="C2045" s="3" t="s">
        <v>4116</v>
      </c>
      <c r="D2045" s="3" t="s">
        <v>1580</v>
      </c>
      <c r="E2045" s="3" t="s">
        <v>31</v>
      </c>
      <c r="F2045" s="3" t="b">
        <v>0</v>
      </c>
      <c r="G2045" s="3" t="s">
        <v>32</v>
      </c>
      <c r="H2045" s="6">
        <v>44935.001932870371</v>
      </c>
      <c r="I2045" s="3" t="b">
        <v>0</v>
      </c>
      <c r="J2045" s="3" t="b">
        <v>0</v>
      </c>
      <c r="K2045" s="3" t="s">
        <v>33</v>
      </c>
      <c r="L2045" s="3" t="s">
        <v>34</v>
      </c>
      <c r="M2045" s="8">
        <v>75000</v>
      </c>
      <c r="N2045" s="11"/>
      <c r="O2045" s="3" t="s">
        <v>4117</v>
      </c>
      <c r="P2045" s="3" t="s">
        <v>4118</v>
      </c>
    </row>
    <row r="2046" spans="1:16" x14ac:dyDescent="0.3">
      <c r="A2046" s="3" t="s">
        <v>27</v>
      </c>
      <c r="B2046" s="3" t="s">
        <v>4123</v>
      </c>
      <c r="C2046" s="3" t="s">
        <v>2830</v>
      </c>
      <c r="D2046" s="3" t="s">
        <v>41</v>
      </c>
      <c r="E2046" s="3" t="s">
        <v>31</v>
      </c>
      <c r="F2046" s="3" t="b">
        <v>0</v>
      </c>
      <c r="G2046" s="3" t="s">
        <v>2831</v>
      </c>
      <c r="H2046" s="6">
        <v>44943.77134259259</v>
      </c>
      <c r="I2046" s="3" t="b">
        <v>0</v>
      </c>
      <c r="J2046" s="3" t="b">
        <v>0</v>
      </c>
      <c r="K2046" s="3" t="s">
        <v>2831</v>
      </c>
      <c r="L2046" s="3" t="s">
        <v>34</v>
      </c>
      <c r="M2046" s="8">
        <v>53416.5</v>
      </c>
      <c r="N2046" s="11"/>
      <c r="O2046" s="3" t="s">
        <v>850</v>
      </c>
      <c r="P2046" s="3" t="s">
        <v>4124</v>
      </c>
    </row>
    <row r="2047" spans="1:16" x14ac:dyDescent="0.3">
      <c r="A2047" s="3" t="s">
        <v>27</v>
      </c>
      <c r="B2047" s="3" t="s">
        <v>4125</v>
      </c>
      <c r="C2047" s="3" t="s">
        <v>29</v>
      </c>
      <c r="D2047" s="3" t="s">
        <v>30</v>
      </c>
      <c r="E2047" s="3" t="s">
        <v>31</v>
      </c>
      <c r="F2047" s="3" t="b">
        <v>0</v>
      </c>
      <c r="G2047" s="3" t="s">
        <v>32</v>
      </c>
      <c r="H2047" s="6">
        <v>44935.167002314818</v>
      </c>
      <c r="I2047" s="3" t="b">
        <v>0</v>
      </c>
      <c r="J2047" s="3" t="b">
        <v>1</v>
      </c>
      <c r="K2047" s="3" t="s">
        <v>33</v>
      </c>
      <c r="L2047" s="3" t="s">
        <v>34</v>
      </c>
      <c r="M2047" s="8">
        <v>234000</v>
      </c>
      <c r="N2047" s="11"/>
      <c r="O2047" s="3" t="s">
        <v>35</v>
      </c>
      <c r="P2047" s="3" t="s">
        <v>4126</v>
      </c>
    </row>
    <row r="2048" spans="1:16" x14ac:dyDescent="0.3">
      <c r="A2048" s="3" t="s">
        <v>27</v>
      </c>
      <c r="B2048" s="3" t="s">
        <v>4129</v>
      </c>
      <c r="C2048" s="3" t="s">
        <v>961</v>
      </c>
      <c r="D2048" s="3" t="s">
        <v>41</v>
      </c>
      <c r="E2048" s="3" t="s">
        <v>31</v>
      </c>
      <c r="F2048" s="3" t="b">
        <v>0</v>
      </c>
      <c r="G2048" s="3" t="s">
        <v>961</v>
      </c>
      <c r="H2048" s="6">
        <v>44943.171782407408</v>
      </c>
      <c r="I2048" s="3" t="b">
        <v>0</v>
      </c>
      <c r="J2048" s="3" t="b">
        <v>0</v>
      </c>
      <c r="K2048" s="3" t="s">
        <v>961</v>
      </c>
      <c r="L2048" s="3" t="s">
        <v>34</v>
      </c>
      <c r="M2048" s="8">
        <v>89100</v>
      </c>
      <c r="N2048" s="11"/>
      <c r="O2048" s="3" t="s">
        <v>4130</v>
      </c>
      <c r="P2048" s="3" t="s">
        <v>2415</v>
      </c>
    </row>
    <row r="2049" spans="1:16" x14ac:dyDescent="0.3">
      <c r="A2049" s="3" t="s">
        <v>27</v>
      </c>
      <c r="B2049" s="3" t="s">
        <v>27</v>
      </c>
      <c r="C2049" s="3" t="s">
        <v>87</v>
      </c>
      <c r="D2049" s="3" t="s">
        <v>30</v>
      </c>
      <c r="E2049" s="3" t="s">
        <v>133</v>
      </c>
      <c r="F2049" s="3" t="b">
        <v>1</v>
      </c>
      <c r="G2049" s="3" t="s">
        <v>58</v>
      </c>
      <c r="H2049" s="6">
        <v>44946.932199074072</v>
      </c>
      <c r="I2049" s="3" t="b">
        <v>0</v>
      </c>
      <c r="J2049" s="3" t="b">
        <v>0</v>
      </c>
      <c r="K2049" s="3" t="s">
        <v>33</v>
      </c>
      <c r="L2049" s="3" t="s">
        <v>48</v>
      </c>
      <c r="M2049" s="8"/>
      <c r="N2049" s="11">
        <v>77.5</v>
      </c>
      <c r="O2049" s="3" t="s">
        <v>134</v>
      </c>
      <c r="P2049" s="3" t="s">
        <v>347</v>
      </c>
    </row>
    <row r="2050" spans="1:16" x14ac:dyDescent="0.3">
      <c r="A2050" s="3" t="s">
        <v>27</v>
      </c>
      <c r="B2050" s="3" t="s">
        <v>4139</v>
      </c>
      <c r="C2050" s="3" t="s">
        <v>87</v>
      </c>
      <c r="D2050" s="3" t="s">
        <v>263</v>
      </c>
      <c r="E2050" s="3" t="s">
        <v>133</v>
      </c>
      <c r="F2050" s="3" t="b">
        <v>1</v>
      </c>
      <c r="G2050" s="3" t="s">
        <v>58</v>
      </c>
      <c r="H2050" s="6">
        <v>44946.265509259261</v>
      </c>
      <c r="I2050" s="3" t="b">
        <v>0</v>
      </c>
      <c r="J2050" s="3" t="b">
        <v>0</v>
      </c>
      <c r="K2050" s="3" t="s">
        <v>33</v>
      </c>
      <c r="L2050" s="3" t="s">
        <v>48</v>
      </c>
      <c r="M2050" s="8"/>
      <c r="N2050" s="11">
        <v>30</v>
      </c>
      <c r="O2050" s="3" t="s">
        <v>264</v>
      </c>
      <c r="P2050" s="3" t="s">
        <v>4140</v>
      </c>
    </row>
    <row r="2051" spans="1:16" x14ac:dyDescent="0.3">
      <c r="A2051" s="3" t="s">
        <v>27</v>
      </c>
      <c r="B2051" s="3" t="s">
        <v>4143</v>
      </c>
      <c r="C2051" s="3" t="s">
        <v>87</v>
      </c>
      <c r="D2051" s="3" t="s">
        <v>76</v>
      </c>
      <c r="E2051" s="3" t="s">
        <v>1294</v>
      </c>
      <c r="F2051" s="3" t="b">
        <v>1</v>
      </c>
      <c r="G2051" s="3" t="s">
        <v>110</v>
      </c>
      <c r="H2051" s="6">
        <v>44949.727152777778</v>
      </c>
      <c r="I2051" s="3" t="b">
        <v>0</v>
      </c>
      <c r="J2051" s="3" t="b">
        <v>0</v>
      </c>
      <c r="K2051" s="3" t="s">
        <v>110</v>
      </c>
      <c r="L2051" s="3" t="s">
        <v>48</v>
      </c>
      <c r="M2051" s="8"/>
      <c r="N2051" s="11">
        <v>29.5</v>
      </c>
      <c r="O2051" s="3" t="s">
        <v>4144</v>
      </c>
      <c r="P2051" s="3" t="s">
        <v>4145</v>
      </c>
    </row>
    <row r="2052" spans="1:16" x14ac:dyDescent="0.3">
      <c r="A2052" s="3" t="s">
        <v>27</v>
      </c>
      <c r="B2052" s="3" t="s">
        <v>2222</v>
      </c>
      <c r="C2052" s="3" t="s">
        <v>447</v>
      </c>
      <c r="D2052" s="3" t="s">
        <v>93</v>
      </c>
      <c r="E2052" s="3" t="s">
        <v>31</v>
      </c>
      <c r="F2052" s="3" t="b">
        <v>0</v>
      </c>
      <c r="G2052" s="3" t="s">
        <v>32</v>
      </c>
      <c r="H2052" s="6">
        <v>44951.294236111113</v>
      </c>
      <c r="I2052" s="3" t="b">
        <v>0</v>
      </c>
      <c r="J2052" s="3" t="b">
        <v>1</v>
      </c>
      <c r="K2052" s="3" t="s">
        <v>33</v>
      </c>
      <c r="L2052" s="3" t="s">
        <v>34</v>
      </c>
      <c r="M2052" s="8">
        <v>150000</v>
      </c>
      <c r="N2052" s="11"/>
      <c r="O2052" s="3" t="s">
        <v>4149</v>
      </c>
      <c r="P2052" s="3" t="s">
        <v>4150</v>
      </c>
    </row>
    <row r="2053" spans="1:16" x14ac:dyDescent="0.3">
      <c r="A2053" s="3" t="s">
        <v>27</v>
      </c>
      <c r="B2053" s="3" t="s">
        <v>27</v>
      </c>
      <c r="C2053" s="3" t="s">
        <v>87</v>
      </c>
      <c r="D2053" s="3" t="s">
        <v>263</v>
      </c>
      <c r="E2053" s="3" t="s">
        <v>133</v>
      </c>
      <c r="F2053" s="3" t="b">
        <v>1</v>
      </c>
      <c r="G2053" s="3" t="s">
        <v>58</v>
      </c>
      <c r="H2053" s="6">
        <v>44947.79787037037</v>
      </c>
      <c r="I2053" s="3" t="b">
        <v>0</v>
      </c>
      <c r="J2053" s="3" t="b">
        <v>0</v>
      </c>
      <c r="K2053" s="3" t="s">
        <v>33</v>
      </c>
      <c r="L2053" s="3" t="s">
        <v>48</v>
      </c>
      <c r="M2053" s="8"/>
      <c r="N2053" s="11">
        <v>85</v>
      </c>
      <c r="O2053" s="3" t="s">
        <v>264</v>
      </c>
      <c r="P2053" s="3" t="s">
        <v>4153</v>
      </c>
    </row>
    <row r="2054" spans="1:16" x14ac:dyDescent="0.3">
      <c r="A2054" s="3" t="s">
        <v>27</v>
      </c>
      <c r="B2054" s="3" t="s">
        <v>4179</v>
      </c>
      <c r="C2054" s="3" t="s">
        <v>164</v>
      </c>
      <c r="D2054" s="3" t="s">
        <v>867</v>
      </c>
      <c r="E2054" s="3" t="s">
        <v>31</v>
      </c>
      <c r="F2054" s="3" t="b">
        <v>0</v>
      </c>
      <c r="G2054" s="3" t="s">
        <v>64</v>
      </c>
      <c r="H2054" s="6">
        <v>44949.002245370371</v>
      </c>
      <c r="I2054" s="3" t="b">
        <v>0</v>
      </c>
      <c r="J2054" s="3" t="b">
        <v>0</v>
      </c>
      <c r="K2054" s="3" t="s">
        <v>33</v>
      </c>
      <c r="L2054" s="3" t="s">
        <v>34</v>
      </c>
      <c r="M2054" s="8">
        <v>107030</v>
      </c>
      <c r="N2054" s="11"/>
      <c r="O2054" s="3" t="s">
        <v>4180</v>
      </c>
      <c r="P2054" s="3" t="s">
        <v>4181</v>
      </c>
    </row>
    <row r="2055" spans="1:16" x14ac:dyDescent="0.3">
      <c r="A2055" s="3" t="s">
        <v>27</v>
      </c>
      <c r="B2055" s="3" t="s">
        <v>4182</v>
      </c>
      <c r="C2055" s="3" t="s">
        <v>40</v>
      </c>
      <c r="D2055" s="3" t="s">
        <v>41</v>
      </c>
      <c r="E2055" s="3" t="s">
        <v>31</v>
      </c>
      <c r="F2055" s="3" t="b">
        <v>0</v>
      </c>
      <c r="G2055" s="3" t="s">
        <v>42</v>
      </c>
      <c r="H2055" s="6">
        <v>44930.578263888892</v>
      </c>
      <c r="I2055" s="3" t="b">
        <v>0</v>
      </c>
      <c r="J2055" s="3" t="b">
        <v>0</v>
      </c>
      <c r="K2055" s="3" t="s">
        <v>42</v>
      </c>
      <c r="L2055" s="3" t="s">
        <v>34</v>
      </c>
      <c r="M2055" s="8">
        <v>56700</v>
      </c>
      <c r="N2055" s="11"/>
      <c r="O2055" s="3" t="s">
        <v>850</v>
      </c>
      <c r="P2055" s="3" t="s">
        <v>4183</v>
      </c>
    </row>
    <row r="2056" spans="1:16" x14ac:dyDescent="0.3">
      <c r="A2056" s="3" t="s">
        <v>27</v>
      </c>
      <c r="B2056" s="3" t="s">
        <v>4184</v>
      </c>
      <c r="C2056" s="3" t="s">
        <v>3661</v>
      </c>
      <c r="D2056" s="3" t="s">
        <v>41</v>
      </c>
      <c r="E2056" s="3" t="s">
        <v>31</v>
      </c>
      <c r="F2056" s="3" t="b">
        <v>0</v>
      </c>
      <c r="G2056" s="3" t="s">
        <v>69</v>
      </c>
      <c r="H2056" s="6">
        <v>44937.391319444447</v>
      </c>
      <c r="I2056" s="3" t="b">
        <v>0</v>
      </c>
      <c r="J2056" s="3" t="b">
        <v>0</v>
      </c>
      <c r="K2056" s="3" t="s">
        <v>69</v>
      </c>
      <c r="L2056" s="3" t="s">
        <v>34</v>
      </c>
      <c r="M2056" s="8">
        <v>89100</v>
      </c>
      <c r="N2056" s="11"/>
      <c r="O2056" s="3" t="s">
        <v>4185</v>
      </c>
      <c r="P2056" s="3" t="s">
        <v>4186</v>
      </c>
    </row>
    <row r="2057" spans="1:16" x14ac:dyDescent="0.3">
      <c r="A2057" s="3" t="s">
        <v>27</v>
      </c>
      <c r="B2057" s="3" t="s">
        <v>519</v>
      </c>
      <c r="C2057" s="3" t="s">
        <v>83</v>
      </c>
      <c r="D2057" s="3" t="s">
        <v>30</v>
      </c>
      <c r="E2057" s="3" t="s">
        <v>31</v>
      </c>
      <c r="F2057" s="3" t="b">
        <v>0</v>
      </c>
      <c r="G2057" s="3" t="s">
        <v>64</v>
      </c>
      <c r="H2057" s="6">
        <v>44936.722060185188</v>
      </c>
      <c r="I2057" s="3" t="b">
        <v>0</v>
      </c>
      <c r="J2057" s="3" t="b">
        <v>0</v>
      </c>
      <c r="K2057" s="3" t="s">
        <v>33</v>
      </c>
      <c r="L2057" s="3" t="s">
        <v>34</v>
      </c>
      <c r="M2057" s="8">
        <v>130000</v>
      </c>
      <c r="N2057" s="11"/>
      <c r="O2057" s="3" t="s">
        <v>4189</v>
      </c>
      <c r="P2057" s="3" t="s">
        <v>4190</v>
      </c>
    </row>
    <row r="2058" spans="1:16" x14ac:dyDescent="0.3">
      <c r="A2058" s="3" t="s">
        <v>27</v>
      </c>
      <c r="B2058" s="3" t="s">
        <v>27</v>
      </c>
      <c r="C2058" s="3" t="s">
        <v>461</v>
      </c>
      <c r="D2058" s="3" t="s">
        <v>76</v>
      </c>
      <c r="E2058" s="3" t="s">
        <v>31</v>
      </c>
      <c r="F2058" s="3" t="b">
        <v>0</v>
      </c>
      <c r="G2058" s="3" t="s">
        <v>140</v>
      </c>
      <c r="H2058" s="6">
        <v>44930.589375000003</v>
      </c>
      <c r="I2058" s="3" t="b">
        <v>0</v>
      </c>
      <c r="J2058" s="3" t="b">
        <v>0</v>
      </c>
      <c r="K2058" s="3" t="s">
        <v>33</v>
      </c>
      <c r="L2058" s="3" t="s">
        <v>34</v>
      </c>
      <c r="M2058" s="8">
        <v>120000.5</v>
      </c>
      <c r="N2058" s="11"/>
      <c r="O2058" s="3" t="s">
        <v>462</v>
      </c>
      <c r="P2058" s="3" t="s">
        <v>463</v>
      </c>
    </row>
    <row r="2059" spans="1:16" x14ac:dyDescent="0.3">
      <c r="A2059" s="3" t="s">
        <v>27</v>
      </c>
      <c r="B2059" s="3" t="s">
        <v>4197</v>
      </c>
      <c r="C2059" s="3" t="s">
        <v>140</v>
      </c>
      <c r="D2059" s="3" t="s">
        <v>188</v>
      </c>
      <c r="E2059" s="3" t="s">
        <v>31</v>
      </c>
      <c r="F2059" s="3" t="b">
        <v>0</v>
      </c>
      <c r="G2059" s="3" t="s">
        <v>140</v>
      </c>
      <c r="H2059" s="6">
        <v>44950.05909722222</v>
      </c>
      <c r="I2059" s="3" t="b">
        <v>0</v>
      </c>
      <c r="J2059" s="3" t="b">
        <v>1</v>
      </c>
      <c r="K2059" s="3" t="s">
        <v>33</v>
      </c>
      <c r="L2059" s="3" t="s">
        <v>34</v>
      </c>
      <c r="M2059" s="8">
        <v>35000</v>
      </c>
      <c r="N2059" s="11"/>
      <c r="O2059" s="3" t="s">
        <v>1021</v>
      </c>
      <c r="P2059" s="3" t="s">
        <v>4198</v>
      </c>
    </row>
    <row r="2060" spans="1:16" x14ac:dyDescent="0.3">
      <c r="A2060" s="3" t="s">
        <v>27</v>
      </c>
      <c r="B2060" s="3" t="s">
        <v>4199</v>
      </c>
      <c r="C2060" s="3" t="s">
        <v>244</v>
      </c>
      <c r="D2060" s="3" t="s">
        <v>30</v>
      </c>
      <c r="E2060" s="3" t="s">
        <v>31</v>
      </c>
      <c r="F2060" s="3" t="b">
        <v>0</v>
      </c>
      <c r="G2060" s="3" t="s">
        <v>110</v>
      </c>
      <c r="H2060" s="6">
        <v>44950.708425925928</v>
      </c>
      <c r="I2060" s="3" t="b">
        <v>0</v>
      </c>
      <c r="J2060" s="3" t="b">
        <v>0</v>
      </c>
      <c r="K2060" s="3" t="s">
        <v>110</v>
      </c>
      <c r="L2060" s="3" t="s">
        <v>34</v>
      </c>
      <c r="M2060" s="8">
        <v>100000</v>
      </c>
      <c r="N2060" s="11"/>
      <c r="O2060" s="3" t="s">
        <v>80</v>
      </c>
      <c r="P2060" s="3" t="s">
        <v>4200</v>
      </c>
    </row>
    <row r="2061" spans="1:16" x14ac:dyDescent="0.3">
      <c r="A2061" s="3" t="s">
        <v>27</v>
      </c>
      <c r="B2061" s="3" t="s">
        <v>27</v>
      </c>
      <c r="C2061" s="3" t="s">
        <v>87</v>
      </c>
      <c r="D2061" s="3" t="s">
        <v>76</v>
      </c>
      <c r="E2061" s="3" t="s">
        <v>31</v>
      </c>
      <c r="F2061" s="3" t="b">
        <v>1</v>
      </c>
      <c r="G2061" s="3" t="s">
        <v>110</v>
      </c>
      <c r="H2061" s="6">
        <v>44951.736851851849</v>
      </c>
      <c r="I2061" s="3" t="b">
        <v>0</v>
      </c>
      <c r="J2061" s="3" t="b">
        <v>1</v>
      </c>
      <c r="K2061" s="3" t="s">
        <v>110</v>
      </c>
      <c r="L2061" s="3" t="s">
        <v>34</v>
      </c>
      <c r="M2061" s="8">
        <v>135000</v>
      </c>
      <c r="N2061" s="11"/>
      <c r="O2061" s="3" t="s">
        <v>4201</v>
      </c>
      <c r="P2061" s="3" t="s">
        <v>4202</v>
      </c>
    </row>
    <row r="2062" spans="1:16" x14ac:dyDescent="0.3">
      <c r="A2062" s="3" t="s">
        <v>27</v>
      </c>
      <c r="B2062" s="3" t="s">
        <v>219</v>
      </c>
      <c r="C2062" s="3" t="s">
        <v>2039</v>
      </c>
      <c r="D2062" s="3" t="s">
        <v>41</v>
      </c>
      <c r="E2062" s="3" t="s">
        <v>31</v>
      </c>
      <c r="F2062" s="3" t="b">
        <v>0</v>
      </c>
      <c r="G2062" s="3" t="s">
        <v>651</v>
      </c>
      <c r="H2062" s="6">
        <v>44942.328981481478</v>
      </c>
      <c r="I2062" s="3" t="b">
        <v>0</v>
      </c>
      <c r="J2062" s="3" t="b">
        <v>0</v>
      </c>
      <c r="K2062" s="3" t="s">
        <v>651</v>
      </c>
      <c r="L2062" s="3" t="s">
        <v>34</v>
      </c>
      <c r="M2062" s="8">
        <v>89100</v>
      </c>
      <c r="N2062" s="11"/>
      <c r="O2062" s="3" t="s">
        <v>4203</v>
      </c>
      <c r="P2062" s="3" t="s">
        <v>4204</v>
      </c>
    </row>
    <row r="2063" spans="1:16" x14ac:dyDescent="0.3">
      <c r="A2063" s="3" t="s">
        <v>27</v>
      </c>
      <c r="B2063" s="3" t="s">
        <v>4205</v>
      </c>
      <c r="C2063" s="3" t="s">
        <v>910</v>
      </c>
      <c r="D2063" s="3" t="s">
        <v>93</v>
      </c>
      <c r="E2063" s="3" t="s">
        <v>31</v>
      </c>
      <c r="F2063" s="3" t="b">
        <v>0</v>
      </c>
      <c r="G2063" s="3" t="s">
        <v>32</v>
      </c>
      <c r="H2063" s="6">
        <v>44950.211192129631</v>
      </c>
      <c r="I2063" s="3" t="b">
        <v>0</v>
      </c>
      <c r="J2063" s="3" t="b">
        <v>1</v>
      </c>
      <c r="K2063" s="3" t="s">
        <v>33</v>
      </c>
      <c r="L2063" s="3" t="s">
        <v>34</v>
      </c>
      <c r="M2063" s="8">
        <v>225000</v>
      </c>
      <c r="N2063" s="11"/>
      <c r="O2063" s="3" t="s">
        <v>4206</v>
      </c>
      <c r="P2063" s="3" t="s">
        <v>1255</v>
      </c>
    </row>
    <row r="2064" spans="1:16" x14ac:dyDescent="0.3">
      <c r="A2064" s="3" t="s">
        <v>27</v>
      </c>
      <c r="B2064" s="3" t="s">
        <v>4214</v>
      </c>
      <c r="C2064" s="3" t="s">
        <v>87</v>
      </c>
      <c r="D2064" s="3" t="s">
        <v>263</v>
      </c>
      <c r="E2064" s="3" t="s">
        <v>133</v>
      </c>
      <c r="F2064" s="3" t="b">
        <v>1</v>
      </c>
      <c r="G2064" s="3" t="s">
        <v>84</v>
      </c>
      <c r="H2064" s="6">
        <v>44955.045266203713</v>
      </c>
      <c r="I2064" s="3" t="b">
        <v>0</v>
      </c>
      <c r="J2064" s="3" t="b">
        <v>0</v>
      </c>
      <c r="K2064" s="3" t="s">
        <v>33</v>
      </c>
      <c r="L2064" s="3" t="s">
        <v>48</v>
      </c>
      <c r="M2064" s="8"/>
      <c r="N2064" s="11">
        <v>38</v>
      </c>
      <c r="O2064" s="3" t="s">
        <v>264</v>
      </c>
      <c r="P2064" s="3"/>
    </row>
    <row r="2065" spans="1:16" x14ac:dyDescent="0.3">
      <c r="A2065" s="3" t="s">
        <v>27</v>
      </c>
      <c r="B2065" s="3" t="s">
        <v>4217</v>
      </c>
      <c r="C2065" s="3" t="s">
        <v>4218</v>
      </c>
      <c r="D2065" s="3" t="s">
        <v>30</v>
      </c>
      <c r="E2065" s="3" t="s">
        <v>31</v>
      </c>
      <c r="F2065" s="3" t="b">
        <v>0</v>
      </c>
      <c r="G2065" s="3" t="s">
        <v>64</v>
      </c>
      <c r="H2065" s="6">
        <v>44931.7106712963</v>
      </c>
      <c r="I2065" s="3" t="b">
        <v>0</v>
      </c>
      <c r="J2065" s="3" t="b">
        <v>0</v>
      </c>
      <c r="K2065" s="3" t="s">
        <v>33</v>
      </c>
      <c r="L2065" s="3" t="s">
        <v>34</v>
      </c>
      <c r="M2065" s="8">
        <v>162500</v>
      </c>
      <c r="N2065" s="11"/>
      <c r="O2065" s="3" t="s">
        <v>4219</v>
      </c>
      <c r="P2065" s="3" t="s">
        <v>4148</v>
      </c>
    </row>
    <row r="2066" spans="1:16" x14ac:dyDescent="0.3">
      <c r="A2066" s="3" t="s">
        <v>27</v>
      </c>
      <c r="B2066" s="3" t="s">
        <v>922</v>
      </c>
      <c r="C2066" s="3" t="s">
        <v>164</v>
      </c>
      <c r="D2066" s="3" t="s">
        <v>2449</v>
      </c>
      <c r="E2066" s="3" t="s">
        <v>31</v>
      </c>
      <c r="F2066" s="3" t="b">
        <v>0</v>
      </c>
      <c r="G2066" s="3" t="s">
        <v>64</v>
      </c>
      <c r="H2066" s="6">
        <v>44943.377569444441</v>
      </c>
      <c r="I2066" s="3" t="b">
        <v>0</v>
      </c>
      <c r="J2066" s="3" t="b">
        <v>1</v>
      </c>
      <c r="K2066" s="3" t="s">
        <v>33</v>
      </c>
      <c r="L2066" s="3" t="s">
        <v>34</v>
      </c>
      <c r="M2066" s="8">
        <v>175000</v>
      </c>
      <c r="N2066" s="11"/>
      <c r="O2066" s="3" t="s">
        <v>465</v>
      </c>
      <c r="P2066" s="3" t="s">
        <v>923</v>
      </c>
    </row>
    <row r="2067" spans="1:16" x14ac:dyDescent="0.3">
      <c r="A2067" s="3" t="s">
        <v>27</v>
      </c>
      <c r="B2067" s="3" t="s">
        <v>4256</v>
      </c>
      <c r="C2067" s="3" t="s">
        <v>87</v>
      </c>
      <c r="D2067" s="3" t="s">
        <v>30</v>
      </c>
      <c r="E2067" s="3" t="s">
        <v>31</v>
      </c>
      <c r="F2067" s="3" t="b">
        <v>1</v>
      </c>
      <c r="G2067" s="3" t="s">
        <v>110</v>
      </c>
      <c r="H2067" s="6">
        <v>44930.539895833332</v>
      </c>
      <c r="I2067" s="3" t="b">
        <v>0</v>
      </c>
      <c r="J2067" s="3" t="b">
        <v>0</v>
      </c>
      <c r="K2067" s="3" t="s">
        <v>110</v>
      </c>
      <c r="L2067" s="3" t="s">
        <v>34</v>
      </c>
      <c r="M2067" s="8">
        <v>155000</v>
      </c>
      <c r="N2067" s="11"/>
      <c r="O2067" s="3" t="s">
        <v>589</v>
      </c>
      <c r="P2067" s="3" t="s">
        <v>777</v>
      </c>
    </row>
    <row r="2068" spans="1:16" x14ac:dyDescent="0.3">
      <c r="A2068" s="3" t="s">
        <v>27</v>
      </c>
      <c r="B2068" s="3" t="s">
        <v>27</v>
      </c>
      <c r="C2068" s="3" t="s">
        <v>447</v>
      </c>
      <c r="D2068" s="3" t="s">
        <v>41</v>
      </c>
      <c r="E2068" s="3" t="s">
        <v>31</v>
      </c>
      <c r="F2068" s="3" t="b">
        <v>0</v>
      </c>
      <c r="G2068" s="3" t="s">
        <v>32</v>
      </c>
      <c r="H2068" s="6">
        <v>44942.55364583333</v>
      </c>
      <c r="I2068" s="3" t="b">
        <v>0</v>
      </c>
      <c r="J2068" s="3" t="b">
        <v>1</v>
      </c>
      <c r="K2068" s="3" t="s">
        <v>33</v>
      </c>
      <c r="L2068" s="3" t="s">
        <v>34</v>
      </c>
      <c r="M2068" s="8">
        <v>183310</v>
      </c>
      <c r="N2068" s="11"/>
      <c r="O2068" s="3" t="s">
        <v>4259</v>
      </c>
      <c r="P2068" s="3" t="s">
        <v>4260</v>
      </c>
    </row>
    <row r="2069" spans="1:16" x14ac:dyDescent="0.3">
      <c r="A2069" s="3" t="s">
        <v>27</v>
      </c>
      <c r="B2069" s="3" t="s">
        <v>4263</v>
      </c>
      <c r="C2069" s="3" t="s">
        <v>3464</v>
      </c>
      <c r="D2069" s="3" t="s">
        <v>41</v>
      </c>
      <c r="E2069" s="3" t="s">
        <v>31</v>
      </c>
      <c r="F2069" s="3" t="b">
        <v>0</v>
      </c>
      <c r="G2069" s="3" t="s">
        <v>797</v>
      </c>
      <c r="H2069" s="6">
        <v>44943.430798611109</v>
      </c>
      <c r="I2069" s="3" t="b">
        <v>1</v>
      </c>
      <c r="J2069" s="3" t="b">
        <v>0</v>
      </c>
      <c r="K2069" s="3" t="s">
        <v>797</v>
      </c>
      <c r="L2069" s="3" t="s">
        <v>34</v>
      </c>
      <c r="M2069" s="8">
        <v>99150</v>
      </c>
      <c r="N2069" s="11"/>
      <c r="O2069" s="3" t="s">
        <v>3461</v>
      </c>
      <c r="P2069" s="3"/>
    </row>
    <row r="2070" spans="1:16" x14ac:dyDescent="0.3">
      <c r="A2070" s="3" t="s">
        <v>27</v>
      </c>
      <c r="B2070" s="3" t="s">
        <v>27</v>
      </c>
      <c r="C2070" s="3" t="s">
        <v>33</v>
      </c>
      <c r="D2070" s="3" t="s">
        <v>30</v>
      </c>
      <c r="E2070" s="3" t="s">
        <v>31</v>
      </c>
      <c r="F2070" s="3" t="b">
        <v>0</v>
      </c>
      <c r="G2070" s="3" t="s">
        <v>58</v>
      </c>
      <c r="H2070" s="6">
        <v>44938.587824074071</v>
      </c>
      <c r="I2070" s="3" t="b">
        <v>0</v>
      </c>
      <c r="J2070" s="3" t="b">
        <v>0</v>
      </c>
      <c r="K2070" s="3" t="s">
        <v>33</v>
      </c>
      <c r="L2070" s="3" t="s">
        <v>34</v>
      </c>
      <c r="M2070" s="8">
        <v>187500</v>
      </c>
      <c r="N2070" s="11"/>
      <c r="O2070" s="3" t="s">
        <v>4264</v>
      </c>
      <c r="P2070" s="3" t="s">
        <v>4265</v>
      </c>
    </row>
    <row r="2071" spans="1:16" x14ac:dyDescent="0.3">
      <c r="A2071" s="3" t="s">
        <v>27</v>
      </c>
      <c r="B2071" s="3" t="s">
        <v>4267</v>
      </c>
      <c r="C2071" s="3" t="s">
        <v>739</v>
      </c>
      <c r="D2071" s="3" t="s">
        <v>41</v>
      </c>
      <c r="E2071" s="3" t="s">
        <v>31</v>
      </c>
      <c r="F2071" s="3" t="b">
        <v>0</v>
      </c>
      <c r="G2071" s="3" t="s">
        <v>740</v>
      </c>
      <c r="H2071" s="6">
        <v>44936.696400462963</v>
      </c>
      <c r="I2071" s="3" t="b">
        <v>0</v>
      </c>
      <c r="J2071" s="3" t="b">
        <v>0</v>
      </c>
      <c r="K2071" s="3" t="s">
        <v>740</v>
      </c>
      <c r="L2071" s="3" t="s">
        <v>34</v>
      </c>
      <c r="M2071" s="8">
        <v>157500</v>
      </c>
      <c r="N2071" s="11"/>
      <c r="O2071" s="3" t="s">
        <v>1140</v>
      </c>
      <c r="P2071" s="3" t="s">
        <v>4268</v>
      </c>
    </row>
    <row r="2072" spans="1:16" x14ac:dyDescent="0.3">
      <c r="A2072" s="3" t="s">
        <v>27</v>
      </c>
      <c r="B2072" s="3" t="s">
        <v>4274</v>
      </c>
      <c r="C2072" s="3" t="s">
        <v>240</v>
      </c>
      <c r="D2072" s="3" t="s">
        <v>126</v>
      </c>
      <c r="E2072" s="3" t="s">
        <v>31</v>
      </c>
      <c r="F2072" s="3" t="b">
        <v>0</v>
      </c>
      <c r="G2072" s="3" t="s">
        <v>64</v>
      </c>
      <c r="H2072" s="6">
        <v>44935.669039351851</v>
      </c>
      <c r="I2072" s="3" t="b">
        <v>0</v>
      </c>
      <c r="J2072" s="3" t="b">
        <v>0</v>
      </c>
      <c r="K2072" s="3" t="s">
        <v>33</v>
      </c>
      <c r="L2072" s="3" t="s">
        <v>34</v>
      </c>
      <c r="M2072" s="8">
        <v>137500</v>
      </c>
      <c r="N2072" s="11"/>
      <c r="O2072" s="3" t="s">
        <v>4275</v>
      </c>
      <c r="P2072" s="3" t="s">
        <v>4276</v>
      </c>
    </row>
    <row r="2073" spans="1:16" x14ac:dyDescent="0.3">
      <c r="A2073" s="3" t="s">
        <v>27</v>
      </c>
      <c r="B2073" s="3" t="s">
        <v>4292</v>
      </c>
      <c r="C2073" s="3" t="s">
        <v>33</v>
      </c>
      <c r="D2073" s="3" t="s">
        <v>237</v>
      </c>
      <c r="E2073" s="3" t="s">
        <v>31</v>
      </c>
      <c r="F2073" s="3" t="b">
        <v>0</v>
      </c>
      <c r="G2073" s="3" t="s">
        <v>58</v>
      </c>
      <c r="H2073" s="6">
        <v>44938.962708333333</v>
      </c>
      <c r="I2073" s="3" t="b">
        <v>0</v>
      </c>
      <c r="J2073" s="3" t="b">
        <v>0</v>
      </c>
      <c r="K2073" s="3" t="s">
        <v>33</v>
      </c>
      <c r="L2073" s="3" t="s">
        <v>48</v>
      </c>
      <c r="M2073" s="8"/>
      <c r="N2073" s="11">
        <v>49.5</v>
      </c>
      <c r="O2073" s="3" t="s">
        <v>4293</v>
      </c>
      <c r="P2073" s="3" t="s">
        <v>4294</v>
      </c>
    </row>
    <row r="2074" spans="1:16" x14ac:dyDescent="0.3">
      <c r="A2074" s="3" t="s">
        <v>27</v>
      </c>
      <c r="B2074" s="3" t="s">
        <v>27</v>
      </c>
      <c r="C2074" s="3" t="s">
        <v>57</v>
      </c>
      <c r="D2074" s="3" t="s">
        <v>41</v>
      </c>
      <c r="E2074" s="3" t="s">
        <v>31</v>
      </c>
      <c r="F2074" s="3" t="b">
        <v>0</v>
      </c>
      <c r="G2074" s="3" t="s">
        <v>58</v>
      </c>
      <c r="H2074" s="6">
        <v>44932.252847222233</v>
      </c>
      <c r="I2074" s="3" t="b">
        <v>0</v>
      </c>
      <c r="J2074" s="3" t="b">
        <v>0</v>
      </c>
      <c r="K2074" s="3" t="s">
        <v>33</v>
      </c>
      <c r="L2074" s="3" t="s">
        <v>34</v>
      </c>
      <c r="M2074" s="8">
        <v>130000</v>
      </c>
      <c r="N2074" s="11"/>
      <c r="O2074" s="3" t="s">
        <v>875</v>
      </c>
      <c r="P2074" s="3" t="s">
        <v>3983</v>
      </c>
    </row>
    <row r="2075" spans="1:16" x14ac:dyDescent="0.3">
      <c r="A2075" s="3" t="s">
        <v>27</v>
      </c>
      <c r="B2075" s="3" t="s">
        <v>525</v>
      </c>
      <c r="C2075" s="3" t="s">
        <v>321</v>
      </c>
      <c r="D2075" s="3" t="s">
        <v>93</v>
      </c>
      <c r="E2075" s="3" t="s">
        <v>31</v>
      </c>
      <c r="F2075" s="3" t="b">
        <v>0</v>
      </c>
      <c r="G2075" s="3" t="s">
        <v>64</v>
      </c>
      <c r="H2075" s="6">
        <v>44928.335069444453</v>
      </c>
      <c r="I2075" s="3" t="b">
        <v>0</v>
      </c>
      <c r="J2075" s="3" t="b">
        <v>1</v>
      </c>
      <c r="K2075" s="3" t="s">
        <v>33</v>
      </c>
      <c r="L2075" s="3" t="s">
        <v>34</v>
      </c>
      <c r="M2075" s="8">
        <v>150000</v>
      </c>
      <c r="N2075" s="11"/>
      <c r="O2075" s="3" t="s">
        <v>4298</v>
      </c>
      <c r="P2075" s="3" t="s">
        <v>979</v>
      </c>
    </row>
    <row r="2076" spans="1:16" x14ac:dyDescent="0.3">
      <c r="A2076" s="3" t="s">
        <v>27</v>
      </c>
      <c r="B2076" s="3" t="s">
        <v>4315</v>
      </c>
      <c r="C2076" s="3" t="s">
        <v>87</v>
      </c>
      <c r="D2076" s="3" t="s">
        <v>1013</v>
      </c>
      <c r="E2076" s="3" t="s">
        <v>31</v>
      </c>
      <c r="F2076" s="3" t="b">
        <v>1</v>
      </c>
      <c r="G2076" s="3" t="s">
        <v>110</v>
      </c>
      <c r="H2076" s="6">
        <v>44944.534097222233</v>
      </c>
      <c r="I2076" s="3" t="b">
        <v>0</v>
      </c>
      <c r="J2076" s="3" t="b">
        <v>1</v>
      </c>
      <c r="K2076" s="3" t="s">
        <v>110</v>
      </c>
      <c r="L2076" s="3" t="s">
        <v>34</v>
      </c>
      <c r="M2076" s="8">
        <v>190000</v>
      </c>
      <c r="N2076" s="11"/>
      <c r="O2076" s="3" t="s">
        <v>521</v>
      </c>
      <c r="P2076" s="3" t="s">
        <v>512</v>
      </c>
    </row>
    <row r="2077" spans="1:16" x14ac:dyDescent="0.3">
      <c r="A2077" s="3" t="s">
        <v>27</v>
      </c>
      <c r="B2077" s="3" t="s">
        <v>27</v>
      </c>
      <c r="C2077" s="3" t="s">
        <v>33</v>
      </c>
      <c r="D2077" s="3" t="s">
        <v>76</v>
      </c>
      <c r="E2077" s="3" t="s">
        <v>31</v>
      </c>
      <c r="F2077" s="3" t="b">
        <v>0</v>
      </c>
      <c r="G2077" s="3" t="s">
        <v>58</v>
      </c>
      <c r="H2077" s="6">
        <v>44946.973703703698</v>
      </c>
      <c r="I2077" s="3" t="b">
        <v>0</v>
      </c>
      <c r="J2077" s="3" t="b">
        <v>0</v>
      </c>
      <c r="K2077" s="3" t="s">
        <v>33</v>
      </c>
      <c r="L2077" s="3" t="s">
        <v>34</v>
      </c>
      <c r="M2077" s="8">
        <v>113500</v>
      </c>
      <c r="N2077" s="11"/>
      <c r="O2077" s="3" t="s">
        <v>1582</v>
      </c>
      <c r="P2077" s="3" t="s">
        <v>1583</v>
      </c>
    </row>
    <row r="2078" spans="1:16" x14ac:dyDescent="0.3">
      <c r="A2078" s="3" t="s">
        <v>27</v>
      </c>
      <c r="B2078" s="3" t="s">
        <v>27</v>
      </c>
      <c r="C2078" s="3" t="s">
        <v>454</v>
      </c>
      <c r="D2078" s="3" t="s">
        <v>41</v>
      </c>
      <c r="E2078" s="3" t="s">
        <v>31</v>
      </c>
      <c r="F2078" s="3" t="b">
        <v>0</v>
      </c>
      <c r="G2078" s="3" t="s">
        <v>455</v>
      </c>
      <c r="H2078" s="6">
        <v>44957.38554398148</v>
      </c>
      <c r="I2078" s="3" t="b">
        <v>0</v>
      </c>
      <c r="J2078" s="3" t="b">
        <v>0</v>
      </c>
      <c r="K2078" s="3" t="s">
        <v>455</v>
      </c>
      <c r="L2078" s="3" t="s">
        <v>34</v>
      </c>
      <c r="M2078" s="8">
        <v>157500</v>
      </c>
      <c r="N2078" s="11"/>
      <c r="O2078" s="3" t="s">
        <v>456</v>
      </c>
      <c r="P2078" s="3" t="s">
        <v>979</v>
      </c>
    </row>
    <row r="2079" spans="1:16" x14ac:dyDescent="0.3">
      <c r="A2079" s="3" t="s">
        <v>27</v>
      </c>
      <c r="B2079" s="3" t="s">
        <v>4344</v>
      </c>
      <c r="C2079" s="3" t="s">
        <v>29</v>
      </c>
      <c r="D2079" s="3" t="s">
        <v>30</v>
      </c>
      <c r="E2079" s="3" t="s">
        <v>31</v>
      </c>
      <c r="F2079" s="3" t="b">
        <v>0</v>
      </c>
      <c r="G2079" s="3" t="s">
        <v>32</v>
      </c>
      <c r="H2079" s="6">
        <v>44937.253587962958</v>
      </c>
      <c r="I2079" s="3" t="b">
        <v>0</v>
      </c>
      <c r="J2079" s="3" t="b">
        <v>1</v>
      </c>
      <c r="K2079" s="3" t="s">
        <v>33</v>
      </c>
      <c r="L2079" s="3" t="s">
        <v>34</v>
      </c>
      <c r="M2079" s="8">
        <v>224500</v>
      </c>
      <c r="N2079" s="11"/>
      <c r="O2079" s="3" t="s">
        <v>35</v>
      </c>
      <c r="P2079" s="3" t="s">
        <v>4345</v>
      </c>
    </row>
    <row r="2080" spans="1:16" x14ac:dyDescent="0.3">
      <c r="A2080" s="3" t="s">
        <v>27</v>
      </c>
      <c r="B2080" s="3" t="s">
        <v>4349</v>
      </c>
      <c r="C2080" s="3" t="s">
        <v>270</v>
      </c>
      <c r="D2080" s="3" t="s">
        <v>1599</v>
      </c>
      <c r="E2080" s="3" t="s">
        <v>31</v>
      </c>
      <c r="F2080" s="3" t="b">
        <v>0</v>
      </c>
      <c r="G2080" s="3" t="s">
        <v>32</v>
      </c>
      <c r="H2080" s="6">
        <v>44937.794942129629</v>
      </c>
      <c r="I2080" s="3" t="b">
        <v>0</v>
      </c>
      <c r="J2080" s="3" t="b">
        <v>1</v>
      </c>
      <c r="K2080" s="3" t="s">
        <v>33</v>
      </c>
      <c r="L2080" s="3" t="s">
        <v>34</v>
      </c>
      <c r="M2080" s="8">
        <v>135000</v>
      </c>
      <c r="N2080" s="11"/>
      <c r="O2080" s="3" t="s">
        <v>4350</v>
      </c>
      <c r="P2080" s="3" t="s">
        <v>4351</v>
      </c>
    </row>
    <row r="2081" spans="1:16" x14ac:dyDescent="0.3">
      <c r="A2081" s="3" t="s">
        <v>27</v>
      </c>
      <c r="B2081" s="3" t="s">
        <v>27</v>
      </c>
      <c r="C2081" s="3" t="s">
        <v>1321</v>
      </c>
      <c r="D2081" s="3" t="s">
        <v>76</v>
      </c>
      <c r="E2081" s="3"/>
      <c r="F2081" s="3" t="b">
        <v>0</v>
      </c>
      <c r="G2081" s="3" t="s">
        <v>32</v>
      </c>
      <c r="H2081" s="6">
        <v>44930.230821759258</v>
      </c>
      <c r="I2081" s="3" t="b">
        <v>0</v>
      </c>
      <c r="J2081" s="3" t="b">
        <v>1</v>
      </c>
      <c r="K2081" s="3" t="s">
        <v>33</v>
      </c>
      <c r="L2081" s="3" t="s">
        <v>34</v>
      </c>
      <c r="M2081" s="8">
        <v>101603</v>
      </c>
      <c r="N2081" s="11"/>
      <c r="O2081" s="3" t="s">
        <v>4352</v>
      </c>
      <c r="P2081" s="3" t="s">
        <v>2123</v>
      </c>
    </row>
    <row r="2082" spans="1:16" x14ac:dyDescent="0.3">
      <c r="A2082" s="3" t="s">
        <v>27</v>
      </c>
      <c r="B2082" s="3" t="s">
        <v>27</v>
      </c>
      <c r="C2082" s="3" t="s">
        <v>2362</v>
      </c>
      <c r="D2082" s="3" t="s">
        <v>76</v>
      </c>
      <c r="E2082" s="3" t="s">
        <v>31</v>
      </c>
      <c r="F2082" s="3" t="b">
        <v>0</v>
      </c>
      <c r="G2082" s="3" t="s">
        <v>140</v>
      </c>
      <c r="H2082" s="6">
        <v>44949.850856481477</v>
      </c>
      <c r="I2082" s="3" t="b">
        <v>0</v>
      </c>
      <c r="J2082" s="3" t="b">
        <v>1</v>
      </c>
      <c r="K2082" s="3" t="s">
        <v>33</v>
      </c>
      <c r="L2082" s="3" t="s">
        <v>34</v>
      </c>
      <c r="M2082" s="8">
        <v>95700</v>
      </c>
      <c r="N2082" s="11"/>
      <c r="O2082" s="3" t="s">
        <v>784</v>
      </c>
      <c r="P2082" s="3" t="s">
        <v>4357</v>
      </c>
    </row>
    <row r="2083" spans="1:16" x14ac:dyDescent="0.3">
      <c r="A2083" s="3" t="s">
        <v>27</v>
      </c>
      <c r="B2083" s="3" t="s">
        <v>27</v>
      </c>
      <c r="C2083" s="3" t="s">
        <v>270</v>
      </c>
      <c r="D2083" s="3" t="s">
        <v>76</v>
      </c>
      <c r="E2083" s="3" t="s">
        <v>31</v>
      </c>
      <c r="F2083" s="3" t="b">
        <v>0</v>
      </c>
      <c r="G2083" s="3" t="s">
        <v>32</v>
      </c>
      <c r="H2083" s="6">
        <v>44937.014050925929</v>
      </c>
      <c r="I2083" s="3" t="b">
        <v>0</v>
      </c>
      <c r="J2083" s="3" t="b">
        <v>1</v>
      </c>
      <c r="K2083" s="3" t="s">
        <v>33</v>
      </c>
      <c r="L2083" s="3" t="s">
        <v>34</v>
      </c>
      <c r="M2083" s="8">
        <v>135000</v>
      </c>
      <c r="N2083" s="11"/>
      <c r="O2083" s="3" t="s">
        <v>4350</v>
      </c>
      <c r="P2083" s="3" t="s">
        <v>4351</v>
      </c>
    </row>
    <row r="2084" spans="1:16" x14ac:dyDescent="0.3">
      <c r="A2084" s="3" t="s">
        <v>27</v>
      </c>
      <c r="B2084" s="3" t="s">
        <v>4373</v>
      </c>
      <c r="C2084" s="3" t="s">
        <v>1911</v>
      </c>
      <c r="D2084" s="3" t="s">
        <v>41</v>
      </c>
      <c r="E2084" s="3" t="s">
        <v>31</v>
      </c>
      <c r="F2084" s="3" t="b">
        <v>0</v>
      </c>
      <c r="G2084" s="3" t="s">
        <v>1911</v>
      </c>
      <c r="H2084" s="6">
        <v>44932.573321759257</v>
      </c>
      <c r="I2084" s="3" t="b">
        <v>0</v>
      </c>
      <c r="J2084" s="3" t="b">
        <v>0</v>
      </c>
      <c r="K2084" s="3" t="s">
        <v>1911</v>
      </c>
      <c r="L2084" s="3" t="s">
        <v>34</v>
      </c>
      <c r="M2084" s="8">
        <v>50400</v>
      </c>
      <c r="N2084" s="11"/>
      <c r="O2084" s="3" t="s">
        <v>356</v>
      </c>
      <c r="P2084" s="3" t="s">
        <v>4374</v>
      </c>
    </row>
    <row r="2085" spans="1:16" x14ac:dyDescent="0.3">
      <c r="A2085" s="3" t="s">
        <v>27</v>
      </c>
      <c r="B2085" s="3" t="s">
        <v>4378</v>
      </c>
      <c r="C2085" s="3" t="s">
        <v>3882</v>
      </c>
      <c r="D2085" s="3" t="s">
        <v>93</v>
      </c>
      <c r="E2085" s="3" t="s">
        <v>31</v>
      </c>
      <c r="F2085" s="3" t="b">
        <v>0</v>
      </c>
      <c r="G2085" s="3" t="s">
        <v>32</v>
      </c>
      <c r="H2085" s="6">
        <v>44930.064155092587</v>
      </c>
      <c r="I2085" s="3" t="b">
        <v>0</v>
      </c>
      <c r="J2085" s="3" t="b">
        <v>1</v>
      </c>
      <c r="K2085" s="3" t="s">
        <v>33</v>
      </c>
      <c r="L2085" s="3" t="s">
        <v>34</v>
      </c>
      <c r="M2085" s="8">
        <v>350000</v>
      </c>
      <c r="N2085" s="11"/>
      <c r="O2085" s="3" t="s">
        <v>4379</v>
      </c>
      <c r="P2085" s="3" t="s">
        <v>4380</v>
      </c>
    </row>
    <row r="2086" spans="1:16" x14ac:dyDescent="0.3">
      <c r="A2086" s="3" t="s">
        <v>27</v>
      </c>
      <c r="B2086" s="3" t="s">
        <v>27</v>
      </c>
      <c r="C2086" s="3" t="s">
        <v>33</v>
      </c>
      <c r="D2086" s="3" t="s">
        <v>30</v>
      </c>
      <c r="E2086" s="3" t="s">
        <v>31</v>
      </c>
      <c r="F2086" s="3" t="b">
        <v>0</v>
      </c>
      <c r="G2086" s="3" t="s">
        <v>84</v>
      </c>
      <c r="H2086" s="6">
        <v>44946.682719907411</v>
      </c>
      <c r="I2086" s="3" t="b">
        <v>0</v>
      </c>
      <c r="J2086" s="3" t="b">
        <v>1</v>
      </c>
      <c r="K2086" s="3" t="s">
        <v>33</v>
      </c>
      <c r="L2086" s="3" t="s">
        <v>48</v>
      </c>
      <c r="M2086" s="8"/>
      <c r="N2086" s="11">
        <v>58</v>
      </c>
      <c r="O2086" s="3" t="s">
        <v>4381</v>
      </c>
      <c r="P2086" s="3" t="s">
        <v>4382</v>
      </c>
    </row>
    <row r="2087" spans="1:16" x14ac:dyDescent="0.3">
      <c r="A2087" s="3" t="s">
        <v>27</v>
      </c>
      <c r="B2087" s="3" t="s">
        <v>4391</v>
      </c>
      <c r="C2087" s="3" t="s">
        <v>87</v>
      </c>
      <c r="D2087" s="3" t="s">
        <v>336</v>
      </c>
      <c r="E2087" s="3" t="s">
        <v>31</v>
      </c>
      <c r="F2087" s="3" t="b">
        <v>1</v>
      </c>
      <c r="G2087" s="3" t="s">
        <v>110</v>
      </c>
      <c r="H2087" s="6">
        <v>44944.45076388889</v>
      </c>
      <c r="I2087" s="3" t="b">
        <v>0</v>
      </c>
      <c r="J2087" s="3" t="b">
        <v>1</v>
      </c>
      <c r="K2087" s="3" t="s">
        <v>110</v>
      </c>
      <c r="L2087" s="3" t="s">
        <v>34</v>
      </c>
      <c r="M2087" s="8">
        <v>135000</v>
      </c>
      <c r="N2087" s="11"/>
      <c r="O2087" s="3" t="s">
        <v>4392</v>
      </c>
      <c r="P2087" s="3" t="s">
        <v>38</v>
      </c>
    </row>
    <row r="2088" spans="1:16" x14ac:dyDescent="0.3">
      <c r="A2088" s="3" t="s">
        <v>27</v>
      </c>
      <c r="B2088" s="3" t="s">
        <v>27</v>
      </c>
      <c r="C2088" s="3" t="s">
        <v>87</v>
      </c>
      <c r="D2088" s="3" t="s">
        <v>188</v>
      </c>
      <c r="E2088" s="3" t="s">
        <v>133</v>
      </c>
      <c r="F2088" s="3" t="b">
        <v>1</v>
      </c>
      <c r="G2088" s="3" t="s">
        <v>32</v>
      </c>
      <c r="H2088" s="6">
        <v>44944.837175925917</v>
      </c>
      <c r="I2088" s="3" t="b">
        <v>0</v>
      </c>
      <c r="J2088" s="3" t="b">
        <v>1</v>
      </c>
      <c r="K2088" s="3" t="s">
        <v>33</v>
      </c>
      <c r="L2088" s="3" t="s">
        <v>48</v>
      </c>
      <c r="M2088" s="8"/>
      <c r="N2088" s="11">
        <v>64</v>
      </c>
      <c r="O2088" s="3" t="s">
        <v>426</v>
      </c>
      <c r="P2088" s="3" t="s">
        <v>4397</v>
      </c>
    </row>
    <row r="2089" spans="1:16" x14ac:dyDescent="0.3">
      <c r="A2089" s="3" t="s">
        <v>27</v>
      </c>
      <c r="B2089" s="3" t="s">
        <v>4406</v>
      </c>
      <c r="C2089" s="3" t="s">
        <v>97</v>
      </c>
      <c r="D2089" s="3" t="s">
        <v>30</v>
      </c>
      <c r="E2089" s="3" t="s">
        <v>31</v>
      </c>
      <c r="F2089" s="3" t="b">
        <v>0</v>
      </c>
      <c r="G2089" s="3" t="s">
        <v>32</v>
      </c>
      <c r="H2089" s="6">
        <v>44937.253564814811</v>
      </c>
      <c r="I2089" s="3" t="b">
        <v>0</v>
      </c>
      <c r="J2089" s="3" t="b">
        <v>1</v>
      </c>
      <c r="K2089" s="3" t="s">
        <v>33</v>
      </c>
      <c r="L2089" s="3" t="s">
        <v>34</v>
      </c>
      <c r="M2089" s="8">
        <v>209955.5</v>
      </c>
      <c r="N2089" s="11"/>
      <c r="O2089" s="3" t="s">
        <v>35</v>
      </c>
      <c r="P2089" s="3" t="s">
        <v>4407</v>
      </c>
    </row>
    <row r="2090" spans="1:16" x14ac:dyDescent="0.3">
      <c r="A2090" s="3" t="s">
        <v>27</v>
      </c>
      <c r="B2090" s="3" t="s">
        <v>4408</v>
      </c>
      <c r="C2090" s="3" t="s">
        <v>33</v>
      </c>
      <c r="D2090" s="3" t="s">
        <v>1113</v>
      </c>
      <c r="E2090" s="3" t="s">
        <v>31</v>
      </c>
      <c r="F2090" s="3" t="b">
        <v>0</v>
      </c>
      <c r="G2090" s="3" t="s">
        <v>110</v>
      </c>
      <c r="H2090" s="6">
        <v>44952.535821759258</v>
      </c>
      <c r="I2090" s="3" t="b">
        <v>0</v>
      </c>
      <c r="J2090" s="3" t="b">
        <v>0</v>
      </c>
      <c r="K2090" s="3" t="s">
        <v>110</v>
      </c>
      <c r="L2090" s="3" t="s">
        <v>34</v>
      </c>
      <c r="M2090" s="8">
        <v>67500</v>
      </c>
      <c r="N2090" s="11"/>
      <c r="O2090" s="3" t="s">
        <v>4409</v>
      </c>
      <c r="P2090" s="3" t="s">
        <v>4410</v>
      </c>
    </row>
    <row r="2091" spans="1:16" x14ac:dyDescent="0.3">
      <c r="A2091" s="3" t="s">
        <v>27</v>
      </c>
      <c r="B2091" s="3" t="s">
        <v>4411</v>
      </c>
      <c r="C2091" s="3" t="s">
        <v>79</v>
      </c>
      <c r="D2091" s="3" t="s">
        <v>296</v>
      </c>
      <c r="E2091" s="3" t="s">
        <v>31</v>
      </c>
      <c r="F2091" s="3" t="b">
        <v>0</v>
      </c>
      <c r="G2091" s="3" t="s">
        <v>110</v>
      </c>
      <c r="H2091" s="6">
        <v>44948.015590277777</v>
      </c>
      <c r="I2091" s="3" t="b">
        <v>0</v>
      </c>
      <c r="J2091" s="3" t="b">
        <v>0</v>
      </c>
      <c r="K2091" s="3" t="s">
        <v>110</v>
      </c>
      <c r="L2091" s="3" t="s">
        <v>48</v>
      </c>
      <c r="M2091" s="8"/>
      <c r="N2091" s="11">
        <v>24</v>
      </c>
      <c r="O2091" s="3" t="s">
        <v>4412</v>
      </c>
      <c r="P2091" s="3" t="s">
        <v>4413</v>
      </c>
    </row>
    <row r="2092" spans="1:16" x14ac:dyDescent="0.3">
      <c r="A2092" s="3" t="s">
        <v>27</v>
      </c>
      <c r="B2092" s="3" t="s">
        <v>4414</v>
      </c>
      <c r="C2092" s="3" t="s">
        <v>362</v>
      </c>
      <c r="D2092" s="3" t="s">
        <v>93</v>
      </c>
      <c r="E2092" s="3" t="s">
        <v>31</v>
      </c>
      <c r="F2092" s="3" t="b">
        <v>0</v>
      </c>
      <c r="G2092" s="3" t="s">
        <v>64</v>
      </c>
      <c r="H2092" s="6">
        <v>44934.293043981481</v>
      </c>
      <c r="I2092" s="3" t="b">
        <v>0</v>
      </c>
      <c r="J2092" s="3" t="b">
        <v>1</v>
      </c>
      <c r="K2092" s="3" t="s">
        <v>33</v>
      </c>
      <c r="L2092" s="3" t="s">
        <v>34</v>
      </c>
      <c r="M2092" s="8">
        <v>115000</v>
      </c>
      <c r="N2092" s="11"/>
      <c r="O2092" s="3" t="s">
        <v>303</v>
      </c>
      <c r="P2092" s="3" t="s">
        <v>1705</v>
      </c>
    </row>
    <row r="2093" spans="1:16" x14ac:dyDescent="0.3">
      <c r="A2093" s="3" t="s">
        <v>27</v>
      </c>
      <c r="B2093" s="3" t="s">
        <v>4418</v>
      </c>
      <c r="C2093" s="3" t="s">
        <v>244</v>
      </c>
      <c r="D2093" s="3" t="s">
        <v>1071</v>
      </c>
      <c r="E2093" s="3" t="s">
        <v>31</v>
      </c>
      <c r="F2093" s="3" t="b">
        <v>0</v>
      </c>
      <c r="G2093" s="3" t="s">
        <v>110</v>
      </c>
      <c r="H2093" s="6">
        <v>44948.265601851846</v>
      </c>
      <c r="I2093" s="3" t="b">
        <v>0</v>
      </c>
      <c r="J2093" s="3" t="b">
        <v>1</v>
      </c>
      <c r="K2093" s="3" t="s">
        <v>110</v>
      </c>
      <c r="L2093" s="3" t="s">
        <v>34</v>
      </c>
      <c r="M2093" s="8">
        <v>136950</v>
      </c>
      <c r="N2093" s="11"/>
      <c r="O2093" s="3" t="s">
        <v>1875</v>
      </c>
      <c r="P2093" s="3" t="s">
        <v>4419</v>
      </c>
    </row>
    <row r="2094" spans="1:16" x14ac:dyDescent="0.3">
      <c r="A2094" s="3" t="s">
        <v>27</v>
      </c>
      <c r="B2094" s="3" t="s">
        <v>2663</v>
      </c>
      <c r="C2094" s="3" t="s">
        <v>4420</v>
      </c>
      <c r="D2094" s="3" t="s">
        <v>4421</v>
      </c>
      <c r="E2094" s="3" t="s">
        <v>31</v>
      </c>
      <c r="F2094" s="3" t="b">
        <v>0</v>
      </c>
      <c r="G2094" s="3" t="s">
        <v>88</v>
      </c>
      <c r="H2094" s="6">
        <v>44929.982627314806</v>
      </c>
      <c r="I2094" s="3" t="b">
        <v>0</v>
      </c>
      <c r="J2094" s="3" t="b">
        <v>1</v>
      </c>
      <c r="K2094" s="3" t="s">
        <v>33</v>
      </c>
      <c r="L2094" s="3" t="s">
        <v>48</v>
      </c>
      <c r="M2094" s="8"/>
      <c r="N2094" s="11">
        <v>24</v>
      </c>
      <c r="O2094" s="3" t="s">
        <v>4422</v>
      </c>
      <c r="P2094" s="3" t="s">
        <v>4423</v>
      </c>
    </row>
    <row r="2095" spans="1:16" x14ac:dyDescent="0.3">
      <c r="A2095" s="3" t="s">
        <v>27</v>
      </c>
      <c r="B2095" s="3" t="s">
        <v>4427</v>
      </c>
      <c r="C2095" s="3" t="s">
        <v>4428</v>
      </c>
      <c r="D2095" s="3" t="s">
        <v>30</v>
      </c>
      <c r="E2095" s="3" t="s">
        <v>31</v>
      </c>
      <c r="F2095" s="3" t="b">
        <v>0</v>
      </c>
      <c r="G2095" s="3" t="s">
        <v>32</v>
      </c>
      <c r="H2095" s="6">
        <v>44950.961886574078</v>
      </c>
      <c r="I2095" s="3" t="b">
        <v>0</v>
      </c>
      <c r="J2095" s="3" t="b">
        <v>1</v>
      </c>
      <c r="K2095" s="3" t="s">
        <v>33</v>
      </c>
      <c r="L2095" s="3" t="s">
        <v>34</v>
      </c>
      <c r="M2095" s="8">
        <v>138000</v>
      </c>
      <c r="N2095" s="11"/>
      <c r="O2095" s="3" t="s">
        <v>1845</v>
      </c>
      <c r="P2095" s="3" t="s">
        <v>4429</v>
      </c>
    </row>
    <row r="2096" spans="1:16" x14ac:dyDescent="0.3">
      <c r="A2096" s="3" t="s">
        <v>27</v>
      </c>
      <c r="B2096" s="3" t="s">
        <v>4433</v>
      </c>
      <c r="C2096" s="3" t="s">
        <v>4434</v>
      </c>
      <c r="D2096" s="3" t="s">
        <v>1071</v>
      </c>
      <c r="E2096" s="3" t="s">
        <v>31</v>
      </c>
      <c r="F2096" s="3" t="b">
        <v>0</v>
      </c>
      <c r="G2096" s="3" t="s">
        <v>110</v>
      </c>
      <c r="H2096" s="6">
        <v>44930.00576388889</v>
      </c>
      <c r="I2096" s="3" t="b">
        <v>0</v>
      </c>
      <c r="J2096" s="3" t="b">
        <v>1</v>
      </c>
      <c r="K2096" s="3" t="s">
        <v>110</v>
      </c>
      <c r="L2096" s="3" t="s">
        <v>34</v>
      </c>
      <c r="M2096" s="8">
        <v>140000</v>
      </c>
      <c r="N2096" s="11"/>
      <c r="O2096" s="3" t="s">
        <v>2933</v>
      </c>
      <c r="P2096" s="3" t="s">
        <v>2934</v>
      </c>
    </row>
    <row r="2097" spans="1:16" x14ac:dyDescent="0.3">
      <c r="A2097" s="3" t="s">
        <v>27</v>
      </c>
      <c r="B2097" s="3" t="s">
        <v>4436</v>
      </c>
      <c r="C2097" s="3" t="s">
        <v>896</v>
      </c>
      <c r="D2097" s="3" t="s">
        <v>41</v>
      </c>
      <c r="E2097" s="3" t="s">
        <v>31</v>
      </c>
      <c r="F2097" s="3" t="b">
        <v>0</v>
      </c>
      <c r="G2097" s="3" t="s">
        <v>897</v>
      </c>
      <c r="H2097" s="6">
        <v>44932.98777777778</v>
      </c>
      <c r="I2097" s="3" t="b">
        <v>0</v>
      </c>
      <c r="J2097" s="3" t="b">
        <v>0</v>
      </c>
      <c r="K2097" s="3" t="s">
        <v>897</v>
      </c>
      <c r="L2097" s="3" t="s">
        <v>34</v>
      </c>
      <c r="M2097" s="8">
        <v>109500</v>
      </c>
      <c r="N2097" s="11"/>
      <c r="O2097" s="3" t="s">
        <v>1921</v>
      </c>
      <c r="P2097" s="3"/>
    </row>
    <row r="2098" spans="1:16" x14ac:dyDescent="0.3">
      <c r="A2098" s="3" t="s">
        <v>27</v>
      </c>
      <c r="B2098" s="3" t="s">
        <v>4441</v>
      </c>
      <c r="C2098" s="3" t="s">
        <v>87</v>
      </c>
      <c r="D2098" s="3" t="s">
        <v>263</v>
      </c>
      <c r="E2098" s="3" t="s">
        <v>133</v>
      </c>
      <c r="F2098" s="3" t="b">
        <v>1</v>
      </c>
      <c r="G2098" s="3" t="s">
        <v>58</v>
      </c>
      <c r="H2098" s="6">
        <v>44949.12841435185</v>
      </c>
      <c r="I2098" s="3" t="b">
        <v>0</v>
      </c>
      <c r="J2098" s="3" t="b">
        <v>0</v>
      </c>
      <c r="K2098" s="3" t="s">
        <v>33</v>
      </c>
      <c r="L2098" s="3" t="s">
        <v>48</v>
      </c>
      <c r="M2098" s="8"/>
      <c r="N2098" s="11">
        <v>47.5</v>
      </c>
      <c r="O2098" s="3" t="s">
        <v>264</v>
      </c>
      <c r="P2098" s="3"/>
    </row>
    <row r="2099" spans="1:16" x14ac:dyDescent="0.3">
      <c r="A2099" s="3" t="s">
        <v>27</v>
      </c>
      <c r="B2099" s="3" t="s">
        <v>4442</v>
      </c>
      <c r="C2099" s="3" t="s">
        <v>87</v>
      </c>
      <c r="D2099" s="3" t="s">
        <v>1013</v>
      </c>
      <c r="E2099" s="3" t="s">
        <v>31</v>
      </c>
      <c r="F2099" s="3" t="b">
        <v>1</v>
      </c>
      <c r="G2099" s="3" t="s">
        <v>32</v>
      </c>
      <c r="H2099" s="6">
        <v>44932.7112037037</v>
      </c>
      <c r="I2099" s="3" t="b">
        <v>0</v>
      </c>
      <c r="J2099" s="3" t="b">
        <v>1</v>
      </c>
      <c r="K2099" s="3" t="s">
        <v>33</v>
      </c>
      <c r="L2099" s="3" t="s">
        <v>34</v>
      </c>
      <c r="M2099" s="8">
        <v>185000</v>
      </c>
      <c r="N2099" s="11"/>
      <c r="O2099" s="3" t="s">
        <v>1009</v>
      </c>
      <c r="P2099" s="3" t="s">
        <v>1010</v>
      </c>
    </row>
    <row r="2100" spans="1:16" x14ac:dyDescent="0.3">
      <c r="A2100" s="3" t="s">
        <v>27</v>
      </c>
      <c r="B2100" s="3" t="s">
        <v>4457</v>
      </c>
      <c r="C2100" s="3" t="s">
        <v>4458</v>
      </c>
      <c r="D2100" s="3" t="s">
        <v>867</v>
      </c>
      <c r="E2100" s="3" t="s">
        <v>31</v>
      </c>
      <c r="F2100" s="3" t="b">
        <v>0</v>
      </c>
      <c r="G2100" s="3" t="s">
        <v>64</v>
      </c>
      <c r="H2100" s="6">
        <v>44948.004918981482</v>
      </c>
      <c r="I2100" s="3" t="b">
        <v>0</v>
      </c>
      <c r="J2100" s="3" t="b">
        <v>0</v>
      </c>
      <c r="K2100" s="3" t="s">
        <v>33</v>
      </c>
      <c r="L2100" s="3" t="s">
        <v>34</v>
      </c>
      <c r="M2100" s="8">
        <v>155000</v>
      </c>
      <c r="N2100" s="11"/>
      <c r="O2100" s="3" t="s">
        <v>4459</v>
      </c>
      <c r="P2100" s="3" t="s">
        <v>4460</v>
      </c>
    </row>
    <row r="2101" spans="1:16" x14ac:dyDescent="0.3">
      <c r="A2101" s="3" t="s">
        <v>27</v>
      </c>
      <c r="B2101" s="3" t="s">
        <v>3052</v>
      </c>
      <c r="C2101" s="3" t="s">
        <v>87</v>
      </c>
      <c r="D2101" s="3" t="s">
        <v>30</v>
      </c>
      <c r="E2101" s="3" t="s">
        <v>133</v>
      </c>
      <c r="F2101" s="3" t="b">
        <v>1</v>
      </c>
      <c r="G2101" s="3" t="s">
        <v>88</v>
      </c>
      <c r="H2101" s="6">
        <v>44938.672500000001</v>
      </c>
      <c r="I2101" s="3" t="b">
        <v>0</v>
      </c>
      <c r="J2101" s="3" t="b">
        <v>0</v>
      </c>
      <c r="K2101" s="3" t="s">
        <v>33</v>
      </c>
      <c r="L2101" s="3" t="s">
        <v>48</v>
      </c>
      <c r="M2101" s="8"/>
      <c r="N2101" s="11">
        <v>50.5</v>
      </c>
      <c r="O2101" s="3" t="s">
        <v>4461</v>
      </c>
      <c r="P2101" s="3" t="s">
        <v>4462</v>
      </c>
    </row>
    <row r="2102" spans="1:16" x14ac:dyDescent="0.3">
      <c r="A2102" s="3" t="s">
        <v>27</v>
      </c>
      <c r="B2102" s="3" t="s">
        <v>4472</v>
      </c>
      <c r="C2102" s="3" t="s">
        <v>1649</v>
      </c>
      <c r="D2102" s="3" t="s">
        <v>827</v>
      </c>
      <c r="E2102" s="3" t="s">
        <v>31</v>
      </c>
      <c r="F2102" s="3" t="b">
        <v>0</v>
      </c>
      <c r="G2102" s="3" t="s">
        <v>140</v>
      </c>
      <c r="H2102" s="6">
        <v>44954.55296296296</v>
      </c>
      <c r="I2102" s="3" t="b">
        <v>0</v>
      </c>
      <c r="J2102" s="3" t="b">
        <v>1</v>
      </c>
      <c r="K2102" s="3" t="s">
        <v>33</v>
      </c>
      <c r="L2102" s="3" t="s">
        <v>34</v>
      </c>
      <c r="M2102" s="8">
        <v>115000</v>
      </c>
      <c r="N2102" s="11"/>
      <c r="O2102" s="3" t="s">
        <v>175</v>
      </c>
      <c r="P2102" s="3" t="s">
        <v>347</v>
      </c>
    </row>
    <row r="2103" spans="1:16" x14ac:dyDescent="0.3">
      <c r="A2103" s="3" t="s">
        <v>27</v>
      </c>
      <c r="B2103" s="3" t="s">
        <v>27</v>
      </c>
      <c r="C2103" s="3" t="s">
        <v>3061</v>
      </c>
      <c r="D2103" s="3" t="s">
        <v>76</v>
      </c>
      <c r="E2103" s="3" t="s">
        <v>31</v>
      </c>
      <c r="F2103" s="3" t="b">
        <v>0</v>
      </c>
      <c r="G2103" s="3" t="s">
        <v>140</v>
      </c>
      <c r="H2103" s="6">
        <v>44944.949652777781</v>
      </c>
      <c r="I2103" s="3" t="b">
        <v>0</v>
      </c>
      <c r="J2103" s="3" t="b">
        <v>1</v>
      </c>
      <c r="K2103" s="3" t="s">
        <v>33</v>
      </c>
      <c r="L2103" s="3" t="s">
        <v>34</v>
      </c>
      <c r="M2103" s="8">
        <v>129326</v>
      </c>
      <c r="N2103" s="11"/>
      <c r="O2103" s="3" t="s">
        <v>4478</v>
      </c>
      <c r="P2103" s="3" t="s">
        <v>4479</v>
      </c>
    </row>
    <row r="2104" spans="1:16" x14ac:dyDescent="0.3">
      <c r="A2104" s="3" t="s">
        <v>27</v>
      </c>
      <c r="B2104" s="3" t="s">
        <v>27</v>
      </c>
      <c r="C2104" s="3" t="s">
        <v>4481</v>
      </c>
      <c r="D2104" s="3" t="s">
        <v>76</v>
      </c>
      <c r="E2104" s="3" t="s">
        <v>31</v>
      </c>
      <c r="F2104" s="3" t="b">
        <v>0</v>
      </c>
      <c r="G2104" s="3" t="s">
        <v>84</v>
      </c>
      <c r="H2104" s="6">
        <v>44936.170127314806</v>
      </c>
      <c r="I2104" s="3" t="b">
        <v>0</v>
      </c>
      <c r="J2104" s="3" t="b">
        <v>1</v>
      </c>
      <c r="K2104" s="3" t="s">
        <v>33</v>
      </c>
      <c r="L2104" s="3" t="s">
        <v>34</v>
      </c>
      <c r="M2104" s="8">
        <v>107789.5</v>
      </c>
      <c r="N2104" s="11"/>
      <c r="O2104" s="3" t="s">
        <v>4482</v>
      </c>
      <c r="P2104" s="3"/>
    </row>
    <row r="2105" spans="1:16" x14ac:dyDescent="0.3">
      <c r="A2105" s="3" t="s">
        <v>27</v>
      </c>
      <c r="B2105" s="3" t="s">
        <v>27</v>
      </c>
      <c r="C2105" s="3" t="s">
        <v>87</v>
      </c>
      <c r="D2105" s="3" t="s">
        <v>188</v>
      </c>
      <c r="E2105" s="3" t="s">
        <v>133</v>
      </c>
      <c r="F2105" s="3" t="b">
        <v>1</v>
      </c>
      <c r="G2105" s="3" t="s">
        <v>32</v>
      </c>
      <c r="H2105" s="6">
        <v>44932.711342592593</v>
      </c>
      <c r="I2105" s="3" t="b">
        <v>0</v>
      </c>
      <c r="J2105" s="3" t="b">
        <v>0</v>
      </c>
      <c r="K2105" s="3" t="s">
        <v>33</v>
      </c>
      <c r="L2105" s="3" t="s">
        <v>48</v>
      </c>
      <c r="M2105" s="8"/>
      <c r="N2105" s="11">
        <v>50</v>
      </c>
      <c r="O2105" s="3" t="s">
        <v>426</v>
      </c>
      <c r="P2105" s="3" t="s">
        <v>4497</v>
      </c>
    </row>
    <row r="2106" spans="1:16" x14ac:dyDescent="0.3">
      <c r="A2106" s="3" t="s">
        <v>27</v>
      </c>
      <c r="B2106" s="3" t="s">
        <v>27</v>
      </c>
      <c r="C2106" s="3" t="s">
        <v>87</v>
      </c>
      <c r="D2106" s="3" t="s">
        <v>53</v>
      </c>
      <c r="E2106" s="3" t="s">
        <v>133</v>
      </c>
      <c r="F2106" s="3" t="b">
        <v>1</v>
      </c>
      <c r="G2106" s="3" t="s">
        <v>32</v>
      </c>
      <c r="H2106" s="6">
        <v>44938.629131944443</v>
      </c>
      <c r="I2106" s="3" t="b">
        <v>0</v>
      </c>
      <c r="J2106" s="3" t="b">
        <v>0</v>
      </c>
      <c r="K2106" s="3" t="s">
        <v>33</v>
      </c>
      <c r="L2106" s="3" t="s">
        <v>48</v>
      </c>
      <c r="M2106" s="8"/>
      <c r="N2106" s="11">
        <v>73</v>
      </c>
      <c r="O2106" s="3" t="s">
        <v>1090</v>
      </c>
      <c r="P2106" s="3" t="s">
        <v>4498</v>
      </c>
    </row>
    <row r="2107" spans="1:16" x14ac:dyDescent="0.3">
      <c r="A2107" s="3" t="s">
        <v>27</v>
      </c>
      <c r="B2107" s="3" t="s">
        <v>4511</v>
      </c>
      <c r="C2107" s="3" t="s">
        <v>1628</v>
      </c>
      <c r="D2107" s="3" t="s">
        <v>1872</v>
      </c>
      <c r="E2107" s="3" t="s">
        <v>31</v>
      </c>
      <c r="F2107" s="3" t="b">
        <v>0</v>
      </c>
      <c r="G2107" s="3" t="s">
        <v>88</v>
      </c>
      <c r="H2107" s="6">
        <v>44954.005555555559</v>
      </c>
      <c r="I2107" s="3" t="b">
        <v>0</v>
      </c>
      <c r="J2107" s="3" t="b">
        <v>1</v>
      </c>
      <c r="K2107" s="3" t="s">
        <v>33</v>
      </c>
      <c r="L2107" s="3" t="s">
        <v>48</v>
      </c>
      <c r="M2107" s="8"/>
      <c r="N2107" s="11">
        <v>24</v>
      </c>
      <c r="O2107" s="3" t="s">
        <v>49</v>
      </c>
      <c r="P2107" s="3" t="s">
        <v>4512</v>
      </c>
    </row>
    <row r="2108" spans="1:16" x14ac:dyDescent="0.3">
      <c r="A2108" s="3" t="s">
        <v>27</v>
      </c>
      <c r="B2108" s="3" t="s">
        <v>27</v>
      </c>
      <c r="C2108" s="3" t="s">
        <v>87</v>
      </c>
      <c r="D2108" s="3" t="s">
        <v>307</v>
      </c>
      <c r="E2108" s="3" t="s">
        <v>31</v>
      </c>
      <c r="F2108" s="3" t="b">
        <v>1</v>
      </c>
      <c r="G2108" s="3" t="s">
        <v>84</v>
      </c>
      <c r="H2108" s="6">
        <v>44936.889756944453</v>
      </c>
      <c r="I2108" s="3" t="b">
        <v>0</v>
      </c>
      <c r="J2108" s="3" t="b">
        <v>1</v>
      </c>
      <c r="K2108" s="3" t="s">
        <v>33</v>
      </c>
      <c r="L2108" s="3" t="s">
        <v>34</v>
      </c>
      <c r="M2108" s="8">
        <v>115000</v>
      </c>
      <c r="N2108" s="11"/>
      <c r="O2108" s="3" t="s">
        <v>114</v>
      </c>
      <c r="P2108" s="3" t="s">
        <v>4523</v>
      </c>
    </row>
    <row r="2109" spans="1:16" x14ac:dyDescent="0.3">
      <c r="A2109" s="3" t="s">
        <v>27</v>
      </c>
      <c r="B2109" s="3" t="s">
        <v>4524</v>
      </c>
      <c r="C2109" s="3" t="s">
        <v>87</v>
      </c>
      <c r="D2109" s="3" t="s">
        <v>263</v>
      </c>
      <c r="E2109" s="3" t="s">
        <v>133</v>
      </c>
      <c r="F2109" s="3" t="b">
        <v>1</v>
      </c>
      <c r="G2109" s="3" t="s">
        <v>58</v>
      </c>
      <c r="H2109" s="6">
        <v>44935.794872685183</v>
      </c>
      <c r="I2109" s="3" t="b">
        <v>0</v>
      </c>
      <c r="J2109" s="3" t="b">
        <v>0</v>
      </c>
      <c r="K2109" s="3" t="s">
        <v>33</v>
      </c>
      <c r="L2109" s="3" t="s">
        <v>48</v>
      </c>
      <c r="M2109" s="8"/>
      <c r="N2109" s="11">
        <v>50</v>
      </c>
      <c r="O2109" s="3" t="s">
        <v>264</v>
      </c>
      <c r="P2109" s="3"/>
    </row>
    <row r="2110" spans="1:16" x14ac:dyDescent="0.3">
      <c r="A2110" s="3" t="s">
        <v>27</v>
      </c>
      <c r="B2110" s="3" t="s">
        <v>3339</v>
      </c>
      <c r="C2110" s="3" t="s">
        <v>4547</v>
      </c>
      <c r="D2110" s="3" t="s">
        <v>41</v>
      </c>
      <c r="E2110" s="3" t="s">
        <v>31</v>
      </c>
      <c r="F2110" s="3" t="b">
        <v>0</v>
      </c>
      <c r="G2110" s="3" t="s">
        <v>4548</v>
      </c>
      <c r="H2110" s="6">
        <v>44950.992106481477</v>
      </c>
      <c r="I2110" s="3" t="b">
        <v>0</v>
      </c>
      <c r="J2110" s="3" t="b">
        <v>0</v>
      </c>
      <c r="K2110" s="3" t="s">
        <v>4548</v>
      </c>
      <c r="L2110" s="3" t="s">
        <v>34</v>
      </c>
      <c r="M2110" s="8">
        <v>64821.5</v>
      </c>
      <c r="N2110" s="11"/>
      <c r="O2110" s="3" t="s">
        <v>4549</v>
      </c>
      <c r="P2110" s="3" t="s">
        <v>4550</v>
      </c>
    </row>
    <row r="2111" spans="1:16" x14ac:dyDescent="0.3">
      <c r="A2111" s="3" t="s">
        <v>27</v>
      </c>
      <c r="B2111" s="3" t="s">
        <v>4554</v>
      </c>
      <c r="C2111" s="3" t="s">
        <v>29</v>
      </c>
      <c r="D2111" s="3" t="s">
        <v>30</v>
      </c>
      <c r="E2111" s="3" t="s">
        <v>31</v>
      </c>
      <c r="F2111" s="3" t="b">
        <v>0</v>
      </c>
      <c r="G2111" s="3" t="s">
        <v>32</v>
      </c>
      <c r="H2111" s="6">
        <v>44928.627013888887</v>
      </c>
      <c r="I2111" s="3" t="b">
        <v>0</v>
      </c>
      <c r="J2111" s="3" t="b">
        <v>1</v>
      </c>
      <c r="K2111" s="3" t="s">
        <v>33</v>
      </c>
      <c r="L2111" s="3" t="s">
        <v>34</v>
      </c>
      <c r="M2111" s="8">
        <v>161955.5</v>
      </c>
      <c r="N2111" s="11"/>
      <c r="O2111" s="3" t="s">
        <v>35</v>
      </c>
      <c r="P2111" s="3" t="s">
        <v>4555</v>
      </c>
    </row>
    <row r="2112" spans="1:16" x14ac:dyDescent="0.3">
      <c r="A2112" s="3" t="s">
        <v>27</v>
      </c>
      <c r="B2112" s="3" t="s">
        <v>525</v>
      </c>
      <c r="C2112" s="3" t="s">
        <v>87</v>
      </c>
      <c r="D2112" s="3" t="s">
        <v>53</v>
      </c>
      <c r="E2112" s="3" t="s">
        <v>31</v>
      </c>
      <c r="F2112" s="3" t="b">
        <v>1</v>
      </c>
      <c r="G2112" s="3" t="s">
        <v>84</v>
      </c>
      <c r="H2112" s="6">
        <v>44945.004884259259</v>
      </c>
      <c r="I2112" s="3" t="b">
        <v>0</v>
      </c>
      <c r="J2112" s="3" t="b">
        <v>0</v>
      </c>
      <c r="K2112" s="3" t="s">
        <v>33</v>
      </c>
      <c r="L2112" s="3" t="s">
        <v>34</v>
      </c>
      <c r="M2112" s="8">
        <v>117500</v>
      </c>
      <c r="N2112" s="11"/>
      <c r="O2112" s="3" t="s">
        <v>4561</v>
      </c>
      <c r="P2112" s="3" t="s">
        <v>1545</v>
      </c>
    </row>
    <row r="2113" spans="1:16" x14ac:dyDescent="0.3">
      <c r="A2113" s="3" t="s">
        <v>27</v>
      </c>
      <c r="B2113" s="3" t="s">
        <v>27</v>
      </c>
      <c r="C2113" s="3" t="s">
        <v>4562</v>
      </c>
      <c r="D2113" s="3" t="s">
        <v>41</v>
      </c>
      <c r="E2113" s="3" t="s">
        <v>31</v>
      </c>
      <c r="F2113" s="3" t="b">
        <v>0</v>
      </c>
      <c r="G2113" s="3" t="s">
        <v>436</v>
      </c>
      <c r="H2113" s="6">
        <v>44951.908101851863</v>
      </c>
      <c r="I2113" s="3" t="b">
        <v>0</v>
      </c>
      <c r="J2113" s="3" t="b">
        <v>0</v>
      </c>
      <c r="K2113" s="3" t="s">
        <v>436</v>
      </c>
      <c r="L2113" s="3" t="s">
        <v>34</v>
      </c>
      <c r="M2113" s="8">
        <v>157500</v>
      </c>
      <c r="N2113" s="11"/>
      <c r="O2113" s="3" t="s">
        <v>4563</v>
      </c>
      <c r="P2113" s="3" t="s">
        <v>4564</v>
      </c>
    </row>
    <row r="2114" spans="1:16" x14ac:dyDescent="0.3">
      <c r="A2114" s="3" t="s">
        <v>27</v>
      </c>
      <c r="B2114" s="3" t="s">
        <v>2265</v>
      </c>
      <c r="C2114" s="3" t="s">
        <v>3882</v>
      </c>
      <c r="D2114" s="3" t="s">
        <v>93</v>
      </c>
      <c r="E2114" s="3" t="s">
        <v>31</v>
      </c>
      <c r="F2114" s="3" t="b">
        <v>0</v>
      </c>
      <c r="G2114" s="3" t="s">
        <v>32</v>
      </c>
      <c r="H2114" s="6">
        <v>44933.169456018521</v>
      </c>
      <c r="I2114" s="3" t="b">
        <v>0</v>
      </c>
      <c r="J2114" s="3" t="b">
        <v>0</v>
      </c>
      <c r="K2114" s="3" t="s">
        <v>33</v>
      </c>
      <c r="L2114" s="3" t="s">
        <v>34</v>
      </c>
      <c r="M2114" s="8">
        <v>200000</v>
      </c>
      <c r="N2114" s="11"/>
      <c r="O2114" s="3" t="s">
        <v>4379</v>
      </c>
      <c r="P2114" s="3" t="s">
        <v>661</v>
      </c>
    </row>
    <row r="2115" spans="1:16" x14ac:dyDescent="0.3">
      <c r="A2115" s="3" t="s">
        <v>27</v>
      </c>
      <c r="B2115" s="3" t="s">
        <v>219</v>
      </c>
      <c r="C2115" s="3" t="s">
        <v>87</v>
      </c>
      <c r="D2115" s="3" t="s">
        <v>76</v>
      </c>
      <c r="E2115" s="3" t="s">
        <v>31</v>
      </c>
      <c r="F2115" s="3" t="b">
        <v>1</v>
      </c>
      <c r="G2115" s="3" t="s">
        <v>32</v>
      </c>
      <c r="H2115" s="6">
        <v>44927.253275462957</v>
      </c>
      <c r="I2115" s="3" t="b">
        <v>0</v>
      </c>
      <c r="J2115" s="3" t="b">
        <v>1</v>
      </c>
      <c r="K2115" s="3" t="s">
        <v>33</v>
      </c>
      <c r="L2115" s="3" t="s">
        <v>34</v>
      </c>
      <c r="M2115" s="8">
        <v>202500</v>
      </c>
      <c r="N2115" s="11"/>
      <c r="O2115" s="3" t="s">
        <v>80</v>
      </c>
      <c r="P2115" s="3" t="s">
        <v>4593</v>
      </c>
    </row>
    <row r="2116" spans="1:16" x14ac:dyDescent="0.3">
      <c r="A2116" s="3" t="s">
        <v>27</v>
      </c>
      <c r="B2116" s="3" t="s">
        <v>4594</v>
      </c>
      <c r="C2116" s="3" t="s">
        <v>33</v>
      </c>
      <c r="D2116" s="3" t="s">
        <v>76</v>
      </c>
      <c r="E2116" s="3" t="s">
        <v>31</v>
      </c>
      <c r="F2116" s="3" t="b">
        <v>0</v>
      </c>
      <c r="G2116" s="3" t="s">
        <v>58</v>
      </c>
      <c r="H2116" s="6">
        <v>44935.836516203701</v>
      </c>
      <c r="I2116" s="3" t="b">
        <v>0</v>
      </c>
      <c r="J2116" s="3" t="b">
        <v>1</v>
      </c>
      <c r="K2116" s="3" t="s">
        <v>33</v>
      </c>
      <c r="L2116" s="3" t="s">
        <v>34</v>
      </c>
      <c r="M2116" s="8">
        <v>94000</v>
      </c>
      <c r="N2116" s="11"/>
      <c r="O2116" s="3" t="s">
        <v>4595</v>
      </c>
      <c r="P2116" s="3" t="s">
        <v>4596</v>
      </c>
    </row>
    <row r="2117" spans="1:16" x14ac:dyDescent="0.3">
      <c r="A2117" s="3" t="s">
        <v>27</v>
      </c>
      <c r="B2117" s="3" t="s">
        <v>4597</v>
      </c>
      <c r="C2117" s="3" t="s">
        <v>903</v>
      </c>
      <c r="D2117" s="3" t="s">
        <v>41</v>
      </c>
      <c r="E2117" s="3" t="s">
        <v>31</v>
      </c>
      <c r="F2117" s="3" t="b">
        <v>0</v>
      </c>
      <c r="G2117" s="3" t="s">
        <v>436</v>
      </c>
      <c r="H2117" s="6">
        <v>44940.508437500001</v>
      </c>
      <c r="I2117" s="3" t="b">
        <v>0</v>
      </c>
      <c r="J2117" s="3" t="b">
        <v>0</v>
      </c>
      <c r="K2117" s="3" t="s">
        <v>436</v>
      </c>
      <c r="L2117" s="3" t="s">
        <v>34</v>
      </c>
      <c r="M2117" s="8">
        <v>157500</v>
      </c>
      <c r="N2117" s="11"/>
      <c r="O2117" s="3" t="s">
        <v>310</v>
      </c>
      <c r="P2117" s="3"/>
    </row>
    <row r="2118" spans="1:16" x14ac:dyDescent="0.3">
      <c r="A2118" s="3" t="s">
        <v>27</v>
      </c>
      <c r="B2118" s="3" t="s">
        <v>4598</v>
      </c>
      <c r="C2118" s="3"/>
      <c r="D2118" s="3" t="s">
        <v>30</v>
      </c>
      <c r="E2118" s="3" t="s">
        <v>31</v>
      </c>
      <c r="F2118" s="3" t="b">
        <v>0</v>
      </c>
      <c r="G2118" s="3" t="s">
        <v>64</v>
      </c>
      <c r="H2118" s="6">
        <v>44945.847129629627</v>
      </c>
      <c r="I2118" s="3" t="b">
        <v>0</v>
      </c>
      <c r="J2118" s="3" t="b">
        <v>0</v>
      </c>
      <c r="K2118" s="3" t="s">
        <v>33</v>
      </c>
      <c r="L2118" s="3" t="s">
        <v>34</v>
      </c>
      <c r="M2118" s="8">
        <v>182500</v>
      </c>
      <c r="N2118" s="11"/>
      <c r="O2118" s="3" t="s">
        <v>4599</v>
      </c>
      <c r="P2118" s="3" t="s">
        <v>347</v>
      </c>
    </row>
    <row r="2119" spans="1:16" x14ac:dyDescent="0.3">
      <c r="A2119" s="3" t="s">
        <v>27</v>
      </c>
      <c r="B2119" s="3" t="s">
        <v>1520</v>
      </c>
      <c r="C2119" s="3" t="s">
        <v>2750</v>
      </c>
      <c r="D2119" s="3" t="s">
        <v>41</v>
      </c>
      <c r="E2119" s="3" t="s">
        <v>31</v>
      </c>
      <c r="F2119" s="3" t="b">
        <v>0</v>
      </c>
      <c r="G2119" s="3" t="s">
        <v>436</v>
      </c>
      <c r="H2119" s="6">
        <v>44949.840752314813</v>
      </c>
      <c r="I2119" s="3" t="b">
        <v>0</v>
      </c>
      <c r="J2119" s="3" t="b">
        <v>0</v>
      </c>
      <c r="K2119" s="3" t="s">
        <v>436</v>
      </c>
      <c r="L2119" s="3" t="s">
        <v>34</v>
      </c>
      <c r="M2119" s="8">
        <v>147500</v>
      </c>
      <c r="N2119" s="11"/>
      <c r="O2119" s="3" t="s">
        <v>2751</v>
      </c>
      <c r="P2119" s="3" t="s">
        <v>4607</v>
      </c>
    </row>
    <row r="2120" spans="1:16" x14ac:dyDescent="0.3">
      <c r="A2120" s="3" t="s">
        <v>27</v>
      </c>
      <c r="B2120" s="3" t="s">
        <v>4608</v>
      </c>
      <c r="C2120" s="3" t="s">
        <v>443</v>
      </c>
      <c r="D2120" s="3" t="s">
        <v>867</v>
      </c>
      <c r="E2120" s="3" t="s">
        <v>31</v>
      </c>
      <c r="F2120" s="3" t="b">
        <v>0</v>
      </c>
      <c r="G2120" s="3" t="s">
        <v>32</v>
      </c>
      <c r="H2120" s="6">
        <v>44956.003067129634</v>
      </c>
      <c r="I2120" s="3" t="b">
        <v>0</v>
      </c>
      <c r="J2120" s="3" t="b">
        <v>0</v>
      </c>
      <c r="K2120" s="3" t="s">
        <v>33</v>
      </c>
      <c r="L2120" s="3" t="s">
        <v>34</v>
      </c>
      <c r="M2120" s="8">
        <v>105130</v>
      </c>
      <c r="N2120" s="11"/>
      <c r="O2120" s="3" t="s">
        <v>2084</v>
      </c>
      <c r="P2120" s="3" t="s">
        <v>4609</v>
      </c>
    </row>
    <row r="2121" spans="1:16" x14ac:dyDescent="0.3">
      <c r="A2121" s="3" t="s">
        <v>27</v>
      </c>
      <c r="B2121" s="3" t="s">
        <v>4610</v>
      </c>
      <c r="C2121" s="3" t="s">
        <v>87</v>
      </c>
      <c r="D2121" s="3" t="s">
        <v>4611</v>
      </c>
      <c r="E2121" s="3" t="s">
        <v>31</v>
      </c>
      <c r="F2121" s="3" t="b">
        <v>1</v>
      </c>
      <c r="G2121" s="3" t="s">
        <v>32</v>
      </c>
      <c r="H2121" s="6">
        <v>44940.336296296293</v>
      </c>
      <c r="I2121" s="3" t="b">
        <v>0</v>
      </c>
      <c r="J2121" s="3" t="b">
        <v>1</v>
      </c>
      <c r="K2121" s="3" t="s">
        <v>33</v>
      </c>
      <c r="L2121" s="3" t="s">
        <v>34</v>
      </c>
      <c r="M2121" s="8">
        <v>110000</v>
      </c>
      <c r="N2121" s="11"/>
      <c r="O2121" s="3" t="s">
        <v>4612</v>
      </c>
      <c r="P2121" s="3" t="s">
        <v>4613</v>
      </c>
    </row>
    <row r="2122" spans="1:16" x14ac:dyDescent="0.3">
      <c r="A2122" s="3" t="s">
        <v>27</v>
      </c>
      <c r="B2122" s="3" t="s">
        <v>4614</v>
      </c>
      <c r="C2122" s="3" t="s">
        <v>33</v>
      </c>
      <c r="D2122" s="3" t="s">
        <v>41</v>
      </c>
      <c r="E2122" s="3" t="s">
        <v>31</v>
      </c>
      <c r="F2122" s="3" t="b">
        <v>0</v>
      </c>
      <c r="G2122" s="3" t="s">
        <v>58</v>
      </c>
      <c r="H2122" s="6">
        <v>44951.919768518521</v>
      </c>
      <c r="I2122" s="3" t="b">
        <v>0</v>
      </c>
      <c r="J2122" s="3" t="b">
        <v>1</v>
      </c>
      <c r="K2122" s="3" t="s">
        <v>33</v>
      </c>
      <c r="L2122" s="3" t="s">
        <v>34</v>
      </c>
      <c r="M2122" s="8">
        <v>190000</v>
      </c>
      <c r="N2122" s="11"/>
      <c r="O2122" s="3" t="s">
        <v>4615</v>
      </c>
      <c r="P2122" s="3" t="s">
        <v>661</v>
      </c>
    </row>
    <row r="2123" spans="1:16" x14ac:dyDescent="0.3">
      <c r="A2123" s="3" t="s">
        <v>27</v>
      </c>
      <c r="B2123" s="3" t="s">
        <v>4620</v>
      </c>
      <c r="C2123" s="3" t="s">
        <v>87</v>
      </c>
      <c r="D2123" s="3" t="s">
        <v>30</v>
      </c>
      <c r="E2123" s="3" t="s">
        <v>133</v>
      </c>
      <c r="F2123" s="3" t="b">
        <v>1</v>
      </c>
      <c r="G2123" s="3" t="s">
        <v>88</v>
      </c>
      <c r="H2123" s="6">
        <v>44951.670729166668</v>
      </c>
      <c r="I2123" s="3" t="b">
        <v>0</v>
      </c>
      <c r="J2123" s="3" t="b">
        <v>0</v>
      </c>
      <c r="K2123" s="3" t="s">
        <v>33</v>
      </c>
      <c r="L2123" s="3" t="s">
        <v>48</v>
      </c>
      <c r="M2123" s="8"/>
      <c r="N2123" s="11">
        <v>75.5</v>
      </c>
      <c r="O2123" s="3" t="s">
        <v>1609</v>
      </c>
      <c r="P2123" s="3" t="s">
        <v>4621</v>
      </c>
    </row>
    <row r="2124" spans="1:16" x14ac:dyDescent="0.3">
      <c r="A2124" s="3" t="s">
        <v>27</v>
      </c>
      <c r="B2124" s="3" t="s">
        <v>4625</v>
      </c>
      <c r="C2124" s="3" t="s">
        <v>87</v>
      </c>
      <c r="D2124" s="3" t="s">
        <v>867</v>
      </c>
      <c r="E2124" s="3" t="s">
        <v>31</v>
      </c>
      <c r="F2124" s="3" t="b">
        <v>1</v>
      </c>
      <c r="G2124" s="3" t="s">
        <v>88</v>
      </c>
      <c r="H2124" s="6">
        <v>44951.004687499997</v>
      </c>
      <c r="I2124" s="3" t="b">
        <v>0</v>
      </c>
      <c r="J2124" s="3" t="b">
        <v>0</v>
      </c>
      <c r="K2124" s="3" t="s">
        <v>33</v>
      </c>
      <c r="L2124" s="3" t="s">
        <v>34</v>
      </c>
      <c r="M2124" s="8">
        <v>136656</v>
      </c>
      <c r="N2124" s="11"/>
      <c r="O2124" s="3" t="s">
        <v>4626</v>
      </c>
      <c r="P2124" s="3" t="s">
        <v>958</v>
      </c>
    </row>
    <row r="2125" spans="1:16" x14ac:dyDescent="0.3">
      <c r="A2125" s="3" t="s">
        <v>27</v>
      </c>
      <c r="B2125" s="3" t="s">
        <v>674</v>
      </c>
      <c r="C2125" s="3" t="s">
        <v>1092</v>
      </c>
      <c r="D2125" s="3" t="s">
        <v>30</v>
      </c>
      <c r="E2125" s="3" t="s">
        <v>31</v>
      </c>
      <c r="F2125" s="3" t="b">
        <v>0</v>
      </c>
      <c r="G2125" s="3" t="s">
        <v>64</v>
      </c>
      <c r="H2125" s="6">
        <v>44937.628078703703</v>
      </c>
      <c r="I2125" s="3" t="b">
        <v>0</v>
      </c>
      <c r="J2125" s="3" t="b">
        <v>0</v>
      </c>
      <c r="K2125" s="3" t="s">
        <v>33</v>
      </c>
      <c r="L2125" s="3" t="s">
        <v>34</v>
      </c>
      <c r="M2125" s="8">
        <v>195000</v>
      </c>
      <c r="N2125" s="11"/>
      <c r="O2125" s="3" t="s">
        <v>4630</v>
      </c>
      <c r="P2125" s="3"/>
    </row>
    <row r="2126" spans="1:16" x14ac:dyDescent="0.3">
      <c r="A2126" s="3" t="s">
        <v>27</v>
      </c>
      <c r="B2126" s="3" t="s">
        <v>4637</v>
      </c>
      <c r="C2126" s="3" t="s">
        <v>305</v>
      </c>
      <c r="D2126" s="3" t="s">
        <v>93</v>
      </c>
      <c r="E2126" s="3" t="s">
        <v>31</v>
      </c>
      <c r="F2126" s="3" t="b">
        <v>0</v>
      </c>
      <c r="G2126" s="3" t="s">
        <v>32</v>
      </c>
      <c r="H2126" s="6">
        <v>44947.464108796303</v>
      </c>
      <c r="I2126" s="3" t="b">
        <v>0</v>
      </c>
      <c r="J2126" s="3" t="b">
        <v>0</v>
      </c>
      <c r="K2126" s="3" t="s">
        <v>33</v>
      </c>
      <c r="L2126" s="3" t="s">
        <v>34</v>
      </c>
      <c r="M2126" s="8">
        <v>150000</v>
      </c>
      <c r="N2126" s="11"/>
      <c r="O2126" s="3" t="s">
        <v>4638</v>
      </c>
      <c r="P2126" s="3"/>
    </row>
    <row r="2127" spans="1:16" x14ac:dyDescent="0.3">
      <c r="A2127" s="3" t="s">
        <v>27</v>
      </c>
      <c r="B2127" s="3" t="s">
        <v>2003</v>
      </c>
      <c r="C2127" s="3" t="s">
        <v>2039</v>
      </c>
      <c r="D2127" s="3" t="s">
        <v>41</v>
      </c>
      <c r="E2127" s="3" t="s">
        <v>31</v>
      </c>
      <c r="F2127" s="3" t="b">
        <v>0</v>
      </c>
      <c r="G2127" s="3" t="s">
        <v>651</v>
      </c>
      <c r="H2127" s="6">
        <v>44928.393599537027</v>
      </c>
      <c r="I2127" s="3" t="b">
        <v>0</v>
      </c>
      <c r="J2127" s="3" t="b">
        <v>0</v>
      </c>
      <c r="K2127" s="3" t="s">
        <v>651</v>
      </c>
      <c r="L2127" s="3" t="s">
        <v>34</v>
      </c>
      <c r="M2127" s="8">
        <v>192000</v>
      </c>
      <c r="N2127" s="11"/>
      <c r="O2127" s="3" t="s">
        <v>3147</v>
      </c>
      <c r="P2127" s="3" t="s">
        <v>4640</v>
      </c>
    </row>
    <row r="2128" spans="1:16" x14ac:dyDescent="0.3">
      <c r="A2128" s="3" t="s">
        <v>27</v>
      </c>
      <c r="B2128" s="3" t="s">
        <v>4658</v>
      </c>
      <c r="C2128" s="3" t="s">
        <v>582</v>
      </c>
      <c r="D2128" s="3" t="s">
        <v>106</v>
      </c>
      <c r="E2128" s="3" t="s">
        <v>31</v>
      </c>
      <c r="F2128" s="3" t="b">
        <v>0</v>
      </c>
      <c r="G2128" s="3" t="s">
        <v>32</v>
      </c>
      <c r="H2128" s="6">
        <v>44934.376782407409</v>
      </c>
      <c r="I2128" s="3" t="b">
        <v>0</v>
      </c>
      <c r="J2128" s="3" t="b">
        <v>1</v>
      </c>
      <c r="K2128" s="3" t="s">
        <v>33</v>
      </c>
      <c r="L2128" s="3" t="s">
        <v>34</v>
      </c>
      <c r="M2128" s="8">
        <v>190877</v>
      </c>
      <c r="N2128" s="11"/>
      <c r="O2128" s="3" t="s">
        <v>4659</v>
      </c>
      <c r="P2128" s="3" t="s">
        <v>4660</v>
      </c>
    </row>
    <row r="2129" spans="1:16" x14ac:dyDescent="0.3">
      <c r="A2129" s="3" t="s">
        <v>27</v>
      </c>
      <c r="B2129" s="3" t="s">
        <v>4665</v>
      </c>
      <c r="C2129" s="3" t="s">
        <v>443</v>
      </c>
      <c r="D2129" s="3" t="s">
        <v>30</v>
      </c>
      <c r="E2129" s="3" t="s">
        <v>31</v>
      </c>
      <c r="F2129" s="3" t="b">
        <v>0</v>
      </c>
      <c r="G2129" s="3" t="s">
        <v>32</v>
      </c>
      <c r="H2129" s="6">
        <v>44943.628217592603</v>
      </c>
      <c r="I2129" s="3" t="b">
        <v>0</v>
      </c>
      <c r="J2129" s="3" t="b">
        <v>1</v>
      </c>
      <c r="K2129" s="3" t="s">
        <v>33</v>
      </c>
      <c r="L2129" s="3" t="s">
        <v>34</v>
      </c>
      <c r="M2129" s="8">
        <v>151500</v>
      </c>
      <c r="N2129" s="11"/>
      <c r="O2129" s="3" t="s">
        <v>4666</v>
      </c>
      <c r="P2129" s="3" t="s">
        <v>661</v>
      </c>
    </row>
    <row r="2130" spans="1:16" x14ac:dyDescent="0.3">
      <c r="A2130" s="3" t="s">
        <v>27</v>
      </c>
      <c r="B2130" s="3" t="s">
        <v>626</v>
      </c>
      <c r="C2130" s="3" t="s">
        <v>2053</v>
      </c>
      <c r="D2130" s="3" t="s">
        <v>30</v>
      </c>
      <c r="E2130" s="3" t="s">
        <v>31</v>
      </c>
      <c r="F2130" s="3" t="b">
        <v>0</v>
      </c>
      <c r="G2130" s="3" t="s">
        <v>84</v>
      </c>
      <c r="H2130" s="6">
        <v>44937.754270833328</v>
      </c>
      <c r="I2130" s="3" t="b">
        <v>0</v>
      </c>
      <c r="J2130" s="3" t="b">
        <v>1</v>
      </c>
      <c r="K2130" s="3" t="s">
        <v>33</v>
      </c>
      <c r="L2130" s="3" t="s">
        <v>34</v>
      </c>
      <c r="M2130" s="8">
        <v>61022</v>
      </c>
      <c r="N2130" s="11"/>
      <c r="O2130" s="3" t="s">
        <v>4684</v>
      </c>
      <c r="P2130" s="3" t="s">
        <v>1950</v>
      </c>
    </row>
    <row r="2131" spans="1:16" x14ac:dyDescent="0.3">
      <c r="A2131" s="3" t="s">
        <v>27</v>
      </c>
      <c r="B2131" s="3" t="s">
        <v>4685</v>
      </c>
      <c r="C2131" s="3" t="s">
        <v>97</v>
      </c>
      <c r="D2131" s="3" t="s">
        <v>3449</v>
      </c>
      <c r="E2131" s="3" t="s">
        <v>31</v>
      </c>
      <c r="F2131" s="3" t="b">
        <v>0</v>
      </c>
      <c r="G2131" s="3" t="s">
        <v>32</v>
      </c>
      <c r="H2131" s="6">
        <v>44929.98101851852</v>
      </c>
      <c r="I2131" s="3" t="b">
        <v>0</v>
      </c>
      <c r="J2131" s="3" t="b">
        <v>0</v>
      </c>
      <c r="K2131" s="3" t="s">
        <v>33</v>
      </c>
      <c r="L2131" s="3" t="s">
        <v>48</v>
      </c>
      <c r="M2131" s="8"/>
      <c r="N2131" s="11">
        <v>24</v>
      </c>
      <c r="O2131" s="3" t="s">
        <v>4686</v>
      </c>
      <c r="P2131" s="3" t="s">
        <v>4687</v>
      </c>
    </row>
    <row r="2132" spans="1:16" x14ac:dyDescent="0.3">
      <c r="A2132" s="3" t="s">
        <v>27</v>
      </c>
      <c r="B2132" s="3" t="s">
        <v>4689</v>
      </c>
      <c r="C2132" s="3" t="s">
        <v>109</v>
      </c>
      <c r="D2132" s="3" t="s">
        <v>4690</v>
      </c>
      <c r="E2132" s="3" t="s">
        <v>31</v>
      </c>
      <c r="F2132" s="3" t="b">
        <v>0</v>
      </c>
      <c r="G2132" s="3" t="s">
        <v>110</v>
      </c>
      <c r="H2132" s="6">
        <v>44951.000173611108</v>
      </c>
      <c r="I2132" s="3" t="b">
        <v>0</v>
      </c>
      <c r="J2132" s="3" t="b">
        <v>1</v>
      </c>
      <c r="K2132" s="3" t="s">
        <v>110</v>
      </c>
      <c r="L2132" s="3" t="s">
        <v>48</v>
      </c>
      <c r="M2132" s="8"/>
      <c r="N2132" s="11">
        <v>24</v>
      </c>
      <c r="O2132" s="3" t="s">
        <v>4691</v>
      </c>
      <c r="P2132" s="3" t="s">
        <v>1434</v>
      </c>
    </row>
    <row r="2133" spans="1:16" x14ac:dyDescent="0.3">
      <c r="A2133" s="3" t="s">
        <v>27</v>
      </c>
      <c r="B2133" s="3" t="s">
        <v>4698</v>
      </c>
      <c r="C2133" s="3" t="s">
        <v>903</v>
      </c>
      <c r="D2133" s="3" t="s">
        <v>41</v>
      </c>
      <c r="E2133" s="3" t="s">
        <v>31</v>
      </c>
      <c r="F2133" s="3" t="b">
        <v>0</v>
      </c>
      <c r="G2133" s="3" t="s">
        <v>436</v>
      </c>
      <c r="H2133" s="6">
        <v>44929.267650462964</v>
      </c>
      <c r="I2133" s="3" t="b">
        <v>0</v>
      </c>
      <c r="J2133" s="3" t="b">
        <v>0</v>
      </c>
      <c r="K2133" s="3" t="s">
        <v>436</v>
      </c>
      <c r="L2133" s="3" t="s">
        <v>34</v>
      </c>
      <c r="M2133" s="8">
        <v>157500</v>
      </c>
      <c r="N2133" s="11"/>
      <c r="O2133" s="3" t="s">
        <v>4699</v>
      </c>
      <c r="P2133" s="3" t="s">
        <v>4700</v>
      </c>
    </row>
    <row r="2134" spans="1:16" x14ac:dyDescent="0.3">
      <c r="A2134" s="3" t="s">
        <v>27</v>
      </c>
      <c r="B2134" s="3" t="s">
        <v>4701</v>
      </c>
      <c r="C2134" s="3" t="s">
        <v>4702</v>
      </c>
      <c r="D2134" s="3" t="s">
        <v>4703</v>
      </c>
      <c r="E2134" s="3" t="s">
        <v>31</v>
      </c>
      <c r="F2134" s="3" t="b">
        <v>0</v>
      </c>
      <c r="G2134" s="3" t="s">
        <v>32</v>
      </c>
      <c r="H2134" s="6">
        <v>44929.981111111112</v>
      </c>
      <c r="I2134" s="3" t="b">
        <v>0</v>
      </c>
      <c r="J2134" s="3" t="b">
        <v>1</v>
      </c>
      <c r="K2134" s="3" t="s">
        <v>33</v>
      </c>
      <c r="L2134" s="3" t="s">
        <v>48</v>
      </c>
      <c r="M2134" s="8"/>
      <c r="N2134" s="11">
        <v>24</v>
      </c>
      <c r="O2134" s="3" t="s">
        <v>4704</v>
      </c>
      <c r="P2134" s="3" t="s">
        <v>4705</v>
      </c>
    </row>
    <row r="2135" spans="1:16" x14ac:dyDescent="0.3">
      <c r="A2135" s="3" t="s">
        <v>27</v>
      </c>
      <c r="B2135" s="3" t="s">
        <v>4706</v>
      </c>
      <c r="C2135" s="3" t="s">
        <v>87</v>
      </c>
      <c r="D2135" s="3" t="s">
        <v>76</v>
      </c>
      <c r="E2135" s="3" t="s">
        <v>31</v>
      </c>
      <c r="F2135" s="3" t="b">
        <v>1</v>
      </c>
      <c r="G2135" s="3" t="s">
        <v>58</v>
      </c>
      <c r="H2135" s="6">
        <v>44956.586504629631</v>
      </c>
      <c r="I2135" s="3" t="b">
        <v>0</v>
      </c>
      <c r="J2135" s="3" t="b">
        <v>1</v>
      </c>
      <c r="K2135" s="3" t="s">
        <v>33</v>
      </c>
      <c r="L2135" s="3" t="s">
        <v>34</v>
      </c>
      <c r="M2135" s="8">
        <v>145000</v>
      </c>
      <c r="N2135" s="11"/>
      <c r="O2135" s="3" t="s">
        <v>4707</v>
      </c>
      <c r="P2135" s="3" t="s">
        <v>4708</v>
      </c>
    </row>
    <row r="2136" spans="1:16" x14ac:dyDescent="0.3">
      <c r="A2136" s="3" t="s">
        <v>27</v>
      </c>
      <c r="B2136" s="3" t="s">
        <v>27</v>
      </c>
      <c r="C2136" s="3" t="s">
        <v>4709</v>
      </c>
      <c r="D2136" s="3" t="s">
        <v>93</v>
      </c>
      <c r="E2136" s="3" t="s">
        <v>31</v>
      </c>
      <c r="F2136" s="3" t="b">
        <v>0</v>
      </c>
      <c r="G2136" s="3" t="s">
        <v>64</v>
      </c>
      <c r="H2136" s="6">
        <v>44944.252627314818</v>
      </c>
      <c r="I2136" s="3" t="b">
        <v>0</v>
      </c>
      <c r="J2136" s="3" t="b">
        <v>1</v>
      </c>
      <c r="K2136" s="3" t="s">
        <v>33</v>
      </c>
      <c r="L2136" s="3" t="s">
        <v>34</v>
      </c>
      <c r="M2136" s="8">
        <v>115000</v>
      </c>
      <c r="N2136" s="11"/>
      <c r="O2136" s="3" t="s">
        <v>1204</v>
      </c>
      <c r="P2136" s="3" t="s">
        <v>3799</v>
      </c>
    </row>
    <row r="2137" spans="1:16" x14ac:dyDescent="0.3">
      <c r="A2137" s="3" t="s">
        <v>27</v>
      </c>
      <c r="B2137" s="3" t="s">
        <v>27</v>
      </c>
      <c r="C2137" s="3" t="s">
        <v>87</v>
      </c>
      <c r="D2137" s="3" t="s">
        <v>867</v>
      </c>
      <c r="E2137" s="3" t="s">
        <v>31</v>
      </c>
      <c r="F2137" s="3" t="b">
        <v>1</v>
      </c>
      <c r="G2137" s="3" t="s">
        <v>64</v>
      </c>
      <c r="H2137" s="6">
        <v>44948.004918981482</v>
      </c>
      <c r="I2137" s="3" t="b">
        <v>0</v>
      </c>
      <c r="J2137" s="3" t="b">
        <v>0</v>
      </c>
      <c r="K2137" s="3" t="s">
        <v>33</v>
      </c>
      <c r="L2137" s="3" t="s">
        <v>34</v>
      </c>
      <c r="M2137" s="8">
        <v>190600</v>
      </c>
      <c r="N2137" s="11"/>
      <c r="O2137" s="3" t="s">
        <v>4715</v>
      </c>
      <c r="P2137" s="3" t="s">
        <v>328</v>
      </c>
    </row>
    <row r="2138" spans="1:16" x14ac:dyDescent="0.3">
      <c r="A2138" s="3" t="s">
        <v>27</v>
      </c>
      <c r="B2138" s="3" t="s">
        <v>4728</v>
      </c>
      <c r="C2138" s="3" t="s">
        <v>455</v>
      </c>
      <c r="D2138" s="3" t="s">
        <v>41</v>
      </c>
      <c r="E2138" s="3" t="s">
        <v>31</v>
      </c>
      <c r="F2138" s="3" t="b">
        <v>0</v>
      </c>
      <c r="G2138" s="3" t="s">
        <v>455</v>
      </c>
      <c r="H2138" s="6">
        <v>44953.333831018521</v>
      </c>
      <c r="I2138" s="3" t="b">
        <v>0</v>
      </c>
      <c r="J2138" s="3" t="b">
        <v>0</v>
      </c>
      <c r="K2138" s="3" t="s">
        <v>455</v>
      </c>
      <c r="L2138" s="3" t="s">
        <v>34</v>
      </c>
      <c r="M2138" s="8">
        <v>192000</v>
      </c>
      <c r="N2138" s="11"/>
      <c r="O2138" s="3" t="s">
        <v>2889</v>
      </c>
      <c r="P2138" s="3" t="s">
        <v>2123</v>
      </c>
    </row>
    <row r="2139" spans="1:16" x14ac:dyDescent="0.3">
      <c r="A2139" s="3" t="s">
        <v>27</v>
      </c>
      <c r="B2139" s="3" t="s">
        <v>257</v>
      </c>
      <c r="C2139" s="3" t="s">
        <v>305</v>
      </c>
      <c r="D2139" s="3" t="s">
        <v>2097</v>
      </c>
      <c r="E2139" s="3" t="s">
        <v>31</v>
      </c>
      <c r="F2139" s="3" t="b">
        <v>0</v>
      </c>
      <c r="G2139" s="3" t="s">
        <v>32</v>
      </c>
      <c r="H2139" s="6">
        <v>44929.981087962973</v>
      </c>
      <c r="I2139" s="3" t="b">
        <v>0</v>
      </c>
      <c r="J2139" s="3" t="b">
        <v>0</v>
      </c>
      <c r="K2139" s="3" t="s">
        <v>33</v>
      </c>
      <c r="L2139" s="3" t="s">
        <v>48</v>
      </c>
      <c r="M2139" s="8"/>
      <c r="N2139" s="11">
        <v>24</v>
      </c>
      <c r="O2139" s="3" t="s">
        <v>657</v>
      </c>
      <c r="P2139" s="3"/>
    </row>
    <row r="2140" spans="1:16" x14ac:dyDescent="0.3">
      <c r="A2140" s="3" t="s">
        <v>27</v>
      </c>
      <c r="B2140" s="3" t="s">
        <v>4745</v>
      </c>
      <c r="C2140" s="3" t="s">
        <v>164</v>
      </c>
      <c r="D2140" s="3" t="s">
        <v>76</v>
      </c>
      <c r="E2140" s="3" t="s">
        <v>133</v>
      </c>
      <c r="F2140" s="3" t="b">
        <v>0</v>
      </c>
      <c r="G2140" s="3" t="s">
        <v>64</v>
      </c>
      <c r="H2140" s="6">
        <v>44944.169224537043</v>
      </c>
      <c r="I2140" s="3" t="b">
        <v>0</v>
      </c>
      <c r="J2140" s="3" t="b">
        <v>1</v>
      </c>
      <c r="K2140" s="3" t="s">
        <v>33</v>
      </c>
      <c r="L2140" s="3" t="s">
        <v>48</v>
      </c>
      <c r="M2140" s="8"/>
      <c r="N2140" s="11">
        <v>68</v>
      </c>
      <c r="O2140" s="3" t="s">
        <v>3383</v>
      </c>
      <c r="P2140" s="3" t="s">
        <v>374</v>
      </c>
    </row>
    <row r="2141" spans="1:16" x14ac:dyDescent="0.3">
      <c r="A2141" s="3" t="s">
        <v>27</v>
      </c>
      <c r="B2141" s="3" t="s">
        <v>219</v>
      </c>
      <c r="C2141" s="3" t="s">
        <v>2039</v>
      </c>
      <c r="D2141" s="3" t="s">
        <v>41</v>
      </c>
      <c r="E2141" s="3" t="s">
        <v>31</v>
      </c>
      <c r="F2141" s="3" t="b">
        <v>0</v>
      </c>
      <c r="G2141" s="3" t="s">
        <v>651</v>
      </c>
      <c r="H2141" s="6">
        <v>44955.343842592592</v>
      </c>
      <c r="I2141" s="3" t="b">
        <v>0</v>
      </c>
      <c r="J2141" s="3" t="b">
        <v>0</v>
      </c>
      <c r="K2141" s="3" t="s">
        <v>651</v>
      </c>
      <c r="L2141" s="3" t="s">
        <v>34</v>
      </c>
      <c r="M2141" s="8">
        <v>152625</v>
      </c>
      <c r="N2141" s="11"/>
      <c r="O2141" s="3" t="s">
        <v>2695</v>
      </c>
      <c r="P2141" s="3" t="s">
        <v>2696</v>
      </c>
    </row>
    <row r="2142" spans="1:16" x14ac:dyDescent="0.3">
      <c r="A2142" s="3" t="s">
        <v>27</v>
      </c>
      <c r="B2142" s="3" t="s">
        <v>4746</v>
      </c>
      <c r="C2142" s="3" t="s">
        <v>1573</v>
      </c>
      <c r="D2142" s="3" t="s">
        <v>76</v>
      </c>
      <c r="E2142" s="3" t="s">
        <v>31</v>
      </c>
      <c r="F2142" s="3" t="b">
        <v>0</v>
      </c>
      <c r="G2142" s="3" t="s">
        <v>32</v>
      </c>
      <c r="H2142" s="6">
        <v>44950.919733796298</v>
      </c>
      <c r="I2142" s="3" t="b">
        <v>0</v>
      </c>
      <c r="J2142" s="3" t="b">
        <v>1</v>
      </c>
      <c r="K2142" s="3" t="s">
        <v>33</v>
      </c>
      <c r="L2142" s="3" t="s">
        <v>34</v>
      </c>
      <c r="M2142" s="8">
        <v>118500</v>
      </c>
      <c r="N2142" s="11"/>
      <c r="O2142" s="3" t="s">
        <v>4747</v>
      </c>
      <c r="P2142" s="3" t="s">
        <v>4748</v>
      </c>
    </row>
    <row r="2143" spans="1:16" x14ac:dyDescent="0.3">
      <c r="A2143" s="3" t="s">
        <v>27</v>
      </c>
      <c r="B2143" s="3" t="s">
        <v>27</v>
      </c>
      <c r="C2143" s="3" t="s">
        <v>2088</v>
      </c>
      <c r="D2143" s="3" t="s">
        <v>287</v>
      </c>
      <c r="E2143" s="3" t="s">
        <v>31</v>
      </c>
      <c r="F2143" s="3" t="b">
        <v>0</v>
      </c>
      <c r="G2143" s="3" t="s">
        <v>110</v>
      </c>
      <c r="H2143" s="6">
        <v>44950.018773148149</v>
      </c>
      <c r="I2143" s="3" t="b">
        <v>0</v>
      </c>
      <c r="J2143" s="3" t="b">
        <v>1</v>
      </c>
      <c r="K2143" s="3" t="s">
        <v>110</v>
      </c>
      <c r="L2143" s="3" t="s">
        <v>34</v>
      </c>
      <c r="M2143" s="8">
        <v>95326</v>
      </c>
      <c r="N2143" s="11"/>
      <c r="O2143" s="3" t="s">
        <v>4754</v>
      </c>
      <c r="P2143" s="3"/>
    </row>
    <row r="2144" spans="1:16" x14ac:dyDescent="0.3">
      <c r="A2144" s="3" t="s">
        <v>27</v>
      </c>
      <c r="B2144" s="3" t="s">
        <v>4755</v>
      </c>
      <c r="C2144" s="3" t="s">
        <v>87</v>
      </c>
      <c r="D2144" s="3" t="s">
        <v>188</v>
      </c>
      <c r="E2144" s="3" t="s">
        <v>31</v>
      </c>
      <c r="F2144" s="3" t="b">
        <v>1</v>
      </c>
      <c r="G2144" s="3" t="s">
        <v>32</v>
      </c>
      <c r="H2144" s="6">
        <v>44935.961145833331</v>
      </c>
      <c r="I2144" s="3" t="b">
        <v>0</v>
      </c>
      <c r="J2144" s="3" t="b">
        <v>0</v>
      </c>
      <c r="K2144" s="3" t="s">
        <v>33</v>
      </c>
      <c r="L2144" s="3" t="s">
        <v>34</v>
      </c>
      <c r="M2144" s="8">
        <v>147500</v>
      </c>
      <c r="N2144" s="11"/>
      <c r="O2144" s="3" t="s">
        <v>426</v>
      </c>
      <c r="P2144" s="3" t="s">
        <v>4756</v>
      </c>
    </row>
    <row r="2145" spans="1:16" x14ac:dyDescent="0.3">
      <c r="A2145" s="3" t="s">
        <v>27</v>
      </c>
      <c r="B2145" s="3" t="s">
        <v>4765</v>
      </c>
      <c r="C2145" s="3" t="s">
        <v>2738</v>
      </c>
      <c r="D2145" s="3" t="s">
        <v>76</v>
      </c>
      <c r="E2145" s="3" t="s">
        <v>31</v>
      </c>
      <c r="F2145" s="3" t="b">
        <v>0</v>
      </c>
      <c r="G2145" s="3" t="s">
        <v>32</v>
      </c>
      <c r="H2145" s="6">
        <v>44951.752418981479</v>
      </c>
      <c r="I2145" s="3" t="b">
        <v>0</v>
      </c>
      <c r="J2145" s="3" t="b">
        <v>0</v>
      </c>
      <c r="K2145" s="3" t="s">
        <v>33</v>
      </c>
      <c r="L2145" s="3" t="s">
        <v>34</v>
      </c>
      <c r="M2145" s="8">
        <v>107800</v>
      </c>
      <c r="N2145" s="11"/>
      <c r="O2145" s="3" t="s">
        <v>4766</v>
      </c>
      <c r="P2145" s="3" t="s">
        <v>4767</v>
      </c>
    </row>
    <row r="2146" spans="1:16" x14ac:dyDescent="0.3">
      <c r="A2146" s="3" t="s">
        <v>27</v>
      </c>
      <c r="B2146" s="3" t="s">
        <v>27</v>
      </c>
      <c r="C2146" s="3" t="s">
        <v>4784</v>
      </c>
      <c r="D2146" s="3" t="s">
        <v>93</v>
      </c>
      <c r="E2146" s="3" t="s">
        <v>31</v>
      </c>
      <c r="F2146" s="3" t="b">
        <v>0</v>
      </c>
      <c r="G2146" s="3" t="s">
        <v>64</v>
      </c>
      <c r="H2146" s="6">
        <v>44939.295324074083</v>
      </c>
      <c r="I2146" s="3" t="b">
        <v>0</v>
      </c>
      <c r="J2146" s="3" t="b">
        <v>0</v>
      </c>
      <c r="K2146" s="3" t="s">
        <v>33</v>
      </c>
      <c r="L2146" s="3" t="s">
        <v>34</v>
      </c>
      <c r="M2146" s="8">
        <v>90000</v>
      </c>
      <c r="N2146" s="11"/>
      <c r="O2146" s="3" t="s">
        <v>4785</v>
      </c>
      <c r="P2146" s="3" t="s">
        <v>695</v>
      </c>
    </row>
    <row r="2147" spans="1:16" x14ac:dyDescent="0.3">
      <c r="A2147" s="3" t="s">
        <v>27</v>
      </c>
      <c r="B2147" s="3" t="s">
        <v>4787</v>
      </c>
      <c r="C2147" s="3" t="s">
        <v>565</v>
      </c>
      <c r="D2147" s="3" t="s">
        <v>950</v>
      </c>
      <c r="E2147" s="3" t="s">
        <v>31</v>
      </c>
      <c r="F2147" s="3" t="b">
        <v>0</v>
      </c>
      <c r="G2147" s="3" t="s">
        <v>88</v>
      </c>
      <c r="H2147" s="6">
        <v>44957.336817129632</v>
      </c>
      <c r="I2147" s="3" t="b">
        <v>0</v>
      </c>
      <c r="J2147" s="3" t="b">
        <v>0</v>
      </c>
      <c r="K2147" s="3" t="s">
        <v>33</v>
      </c>
      <c r="L2147" s="3" t="s">
        <v>34</v>
      </c>
      <c r="M2147" s="8">
        <v>150000</v>
      </c>
      <c r="N2147" s="11"/>
      <c r="O2147" s="3" t="s">
        <v>1334</v>
      </c>
      <c r="P2147" s="3" t="s">
        <v>4788</v>
      </c>
    </row>
    <row r="2148" spans="1:16" x14ac:dyDescent="0.3">
      <c r="A2148" s="3" t="s">
        <v>27</v>
      </c>
      <c r="B2148" s="3" t="s">
        <v>4789</v>
      </c>
      <c r="C2148" s="3" t="s">
        <v>1573</v>
      </c>
      <c r="D2148" s="3" t="s">
        <v>76</v>
      </c>
      <c r="E2148" s="3" t="s">
        <v>31</v>
      </c>
      <c r="F2148" s="3" t="b">
        <v>0</v>
      </c>
      <c r="G2148" s="3" t="s">
        <v>32</v>
      </c>
      <c r="H2148" s="6">
        <v>44931.7109375</v>
      </c>
      <c r="I2148" s="3" t="b">
        <v>0</v>
      </c>
      <c r="J2148" s="3" t="b">
        <v>1</v>
      </c>
      <c r="K2148" s="3" t="s">
        <v>33</v>
      </c>
      <c r="L2148" s="3" t="s">
        <v>34</v>
      </c>
      <c r="M2148" s="8">
        <v>114500</v>
      </c>
      <c r="N2148" s="11"/>
      <c r="O2148" s="3" t="s">
        <v>4747</v>
      </c>
      <c r="P2148" s="3" t="s">
        <v>4790</v>
      </c>
    </row>
    <row r="2149" spans="1:16" x14ac:dyDescent="0.3">
      <c r="A2149" s="3" t="s">
        <v>27</v>
      </c>
      <c r="B2149" s="3" t="s">
        <v>3446</v>
      </c>
      <c r="C2149" s="3" t="s">
        <v>87</v>
      </c>
      <c r="D2149" s="3" t="s">
        <v>76</v>
      </c>
      <c r="E2149" s="3" t="s">
        <v>31</v>
      </c>
      <c r="F2149" s="3" t="b">
        <v>1</v>
      </c>
      <c r="G2149" s="3" t="s">
        <v>64</v>
      </c>
      <c r="H2149" s="6">
        <v>44938.086284722223</v>
      </c>
      <c r="I2149" s="3" t="b">
        <v>0</v>
      </c>
      <c r="J2149" s="3" t="b">
        <v>1</v>
      </c>
      <c r="K2149" s="3" t="s">
        <v>33</v>
      </c>
      <c r="L2149" s="3" t="s">
        <v>34</v>
      </c>
      <c r="M2149" s="8">
        <v>126650</v>
      </c>
      <c r="N2149" s="11"/>
      <c r="O2149" s="3" t="s">
        <v>784</v>
      </c>
      <c r="P2149" s="3" t="s">
        <v>4791</v>
      </c>
    </row>
    <row r="2150" spans="1:16" x14ac:dyDescent="0.3">
      <c r="A2150" s="3" t="s">
        <v>27</v>
      </c>
      <c r="B2150" s="3" t="s">
        <v>4427</v>
      </c>
      <c r="C2150" s="3" t="s">
        <v>33</v>
      </c>
      <c r="D2150" s="3" t="s">
        <v>41</v>
      </c>
      <c r="E2150" s="3" t="s">
        <v>31</v>
      </c>
      <c r="F2150" s="3" t="b">
        <v>0</v>
      </c>
      <c r="G2150" s="3" t="s">
        <v>58</v>
      </c>
      <c r="H2150" s="6">
        <v>44951.544768518521</v>
      </c>
      <c r="I2150" s="3" t="b">
        <v>0</v>
      </c>
      <c r="J2150" s="3" t="b">
        <v>1</v>
      </c>
      <c r="K2150" s="3" t="s">
        <v>33</v>
      </c>
      <c r="L2150" s="3" t="s">
        <v>34</v>
      </c>
      <c r="M2150" s="8">
        <v>157500</v>
      </c>
      <c r="N2150" s="11"/>
      <c r="O2150" s="3" t="s">
        <v>1845</v>
      </c>
      <c r="P2150" s="3" t="s">
        <v>4429</v>
      </c>
    </row>
    <row r="2151" spans="1:16" x14ac:dyDescent="0.3">
      <c r="A2151" s="3" t="s">
        <v>27</v>
      </c>
      <c r="B2151" s="3" t="s">
        <v>4812</v>
      </c>
      <c r="C2151" s="3" t="s">
        <v>435</v>
      </c>
      <c r="D2151" s="3" t="s">
        <v>41</v>
      </c>
      <c r="E2151" s="3" t="s">
        <v>31</v>
      </c>
      <c r="F2151" s="3" t="b">
        <v>0</v>
      </c>
      <c r="G2151" s="3" t="s">
        <v>436</v>
      </c>
      <c r="H2151" s="6">
        <v>44957.507071759261</v>
      </c>
      <c r="I2151" s="3" t="b">
        <v>0</v>
      </c>
      <c r="J2151" s="3" t="b">
        <v>0</v>
      </c>
      <c r="K2151" s="3" t="s">
        <v>436</v>
      </c>
      <c r="L2151" s="3" t="s">
        <v>34</v>
      </c>
      <c r="M2151" s="8">
        <v>93600</v>
      </c>
      <c r="N2151" s="11"/>
      <c r="O2151" s="3" t="s">
        <v>1164</v>
      </c>
      <c r="P2151" s="3"/>
    </row>
    <row r="2152" spans="1:16" x14ac:dyDescent="0.3">
      <c r="A2152" s="3" t="s">
        <v>27</v>
      </c>
      <c r="B2152" s="3" t="s">
        <v>4813</v>
      </c>
      <c r="C2152" s="3" t="s">
        <v>4814</v>
      </c>
      <c r="D2152" s="3" t="s">
        <v>30</v>
      </c>
      <c r="E2152" s="3" t="s">
        <v>133</v>
      </c>
      <c r="F2152" s="3" t="b">
        <v>0</v>
      </c>
      <c r="G2152" s="3" t="s">
        <v>84</v>
      </c>
      <c r="H2152" s="6">
        <v>44957.7112037037</v>
      </c>
      <c r="I2152" s="3" t="b">
        <v>0</v>
      </c>
      <c r="J2152" s="3" t="b">
        <v>0</v>
      </c>
      <c r="K2152" s="3" t="s">
        <v>33</v>
      </c>
      <c r="L2152" s="3" t="s">
        <v>48</v>
      </c>
      <c r="M2152" s="8"/>
      <c r="N2152" s="11">
        <v>60</v>
      </c>
      <c r="O2152" s="3" t="s">
        <v>1833</v>
      </c>
      <c r="P2152" s="3" t="s">
        <v>4815</v>
      </c>
    </row>
    <row r="2153" spans="1:16" x14ac:dyDescent="0.3">
      <c r="A2153" s="3" t="s">
        <v>27</v>
      </c>
      <c r="B2153" s="3" t="s">
        <v>4822</v>
      </c>
      <c r="C2153" s="3" t="s">
        <v>3504</v>
      </c>
      <c r="D2153" s="3" t="s">
        <v>390</v>
      </c>
      <c r="E2153" s="3" t="s">
        <v>31</v>
      </c>
      <c r="F2153" s="3" t="b">
        <v>0</v>
      </c>
      <c r="G2153" s="3" t="s">
        <v>140</v>
      </c>
      <c r="H2153" s="6">
        <v>44938.680671296293</v>
      </c>
      <c r="I2153" s="3" t="b">
        <v>0</v>
      </c>
      <c r="J2153" s="3" t="b">
        <v>1</v>
      </c>
      <c r="K2153" s="3" t="s">
        <v>33</v>
      </c>
      <c r="L2153" s="3" t="s">
        <v>34</v>
      </c>
      <c r="M2153" s="8">
        <v>78300</v>
      </c>
      <c r="N2153" s="11"/>
      <c r="O2153" s="3" t="s">
        <v>665</v>
      </c>
      <c r="P2153" s="3" t="s">
        <v>4823</v>
      </c>
    </row>
    <row r="2154" spans="1:16" x14ac:dyDescent="0.3">
      <c r="A2154" s="3" t="s">
        <v>27</v>
      </c>
      <c r="B2154" s="3" t="s">
        <v>4833</v>
      </c>
      <c r="C2154" s="3" t="s">
        <v>87</v>
      </c>
      <c r="D2154" s="3" t="s">
        <v>263</v>
      </c>
      <c r="E2154" s="3" t="s">
        <v>133</v>
      </c>
      <c r="F2154" s="3" t="b">
        <v>1</v>
      </c>
      <c r="G2154" s="3" t="s">
        <v>58</v>
      </c>
      <c r="H2154" s="6">
        <v>44953.462337962963</v>
      </c>
      <c r="I2154" s="3" t="b">
        <v>0</v>
      </c>
      <c r="J2154" s="3" t="b">
        <v>0</v>
      </c>
      <c r="K2154" s="3" t="s">
        <v>33</v>
      </c>
      <c r="L2154" s="3" t="s">
        <v>48</v>
      </c>
      <c r="M2154" s="8"/>
      <c r="N2154" s="11">
        <v>30</v>
      </c>
      <c r="O2154" s="3" t="s">
        <v>264</v>
      </c>
      <c r="P2154" s="3"/>
    </row>
    <row r="2155" spans="1:16" x14ac:dyDescent="0.3">
      <c r="A2155" s="3" t="s">
        <v>27</v>
      </c>
      <c r="B2155" s="3" t="s">
        <v>792</v>
      </c>
      <c r="C2155" s="3" t="s">
        <v>33</v>
      </c>
      <c r="D2155" s="3" t="s">
        <v>41</v>
      </c>
      <c r="E2155" s="3" t="s">
        <v>31</v>
      </c>
      <c r="F2155" s="3" t="b">
        <v>0</v>
      </c>
      <c r="G2155" s="3" t="s">
        <v>84</v>
      </c>
      <c r="H2155" s="6">
        <v>44952.296226851853</v>
      </c>
      <c r="I2155" s="3" t="b">
        <v>0</v>
      </c>
      <c r="J2155" s="3" t="b">
        <v>1</v>
      </c>
      <c r="K2155" s="3" t="s">
        <v>33</v>
      </c>
      <c r="L2155" s="3" t="s">
        <v>34</v>
      </c>
      <c r="M2155" s="8">
        <v>99150</v>
      </c>
      <c r="N2155" s="11"/>
      <c r="O2155" s="3" t="s">
        <v>1845</v>
      </c>
      <c r="P2155" s="3" t="s">
        <v>4834</v>
      </c>
    </row>
    <row r="2156" spans="1:16" x14ac:dyDescent="0.3">
      <c r="A2156" s="3" t="s">
        <v>27</v>
      </c>
      <c r="B2156" s="3" t="s">
        <v>977</v>
      </c>
      <c r="C2156" s="3" t="s">
        <v>87</v>
      </c>
      <c r="D2156" s="3" t="s">
        <v>76</v>
      </c>
      <c r="E2156" s="3" t="s">
        <v>31</v>
      </c>
      <c r="F2156" s="3" t="b">
        <v>1</v>
      </c>
      <c r="G2156" s="3" t="s">
        <v>84</v>
      </c>
      <c r="H2156" s="6">
        <v>44930.753622685188</v>
      </c>
      <c r="I2156" s="3" t="b">
        <v>0</v>
      </c>
      <c r="J2156" s="3" t="b">
        <v>1</v>
      </c>
      <c r="K2156" s="3" t="s">
        <v>33</v>
      </c>
      <c r="L2156" s="3" t="s">
        <v>34</v>
      </c>
      <c r="M2156" s="8">
        <v>157500</v>
      </c>
      <c r="N2156" s="11"/>
      <c r="O2156" s="3" t="s">
        <v>4840</v>
      </c>
      <c r="P2156" s="3" t="s">
        <v>4841</v>
      </c>
    </row>
    <row r="2157" spans="1:16" x14ac:dyDescent="0.3">
      <c r="A2157" s="3" t="s">
        <v>27</v>
      </c>
      <c r="B2157" s="3" t="s">
        <v>27</v>
      </c>
      <c r="C2157" s="3" t="s">
        <v>2241</v>
      </c>
      <c r="D2157" s="3" t="s">
        <v>30</v>
      </c>
      <c r="E2157" s="3" t="s">
        <v>31</v>
      </c>
      <c r="F2157" s="3" t="b">
        <v>0</v>
      </c>
      <c r="G2157" s="3" t="s">
        <v>64</v>
      </c>
      <c r="H2157" s="6">
        <v>44936.085752314822</v>
      </c>
      <c r="I2157" s="3" t="b">
        <v>0</v>
      </c>
      <c r="J2157" s="3" t="b">
        <v>1</v>
      </c>
      <c r="K2157" s="3" t="s">
        <v>33</v>
      </c>
      <c r="L2157" s="3" t="s">
        <v>48</v>
      </c>
      <c r="M2157" s="8"/>
      <c r="N2157" s="11">
        <v>50</v>
      </c>
      <c r="O2157" s="3" t="s">
        <v>589</v>
      </c>
      <c r="P2157" s="3" t="s">
        <v>4845</v>
      </c>
    </row>
    <row r="2158" spans="1:16" x14ac:dyDescent="0.3">
      <c r="A2158" s="3" t="s">
        <v>27</v>
      </c>
      <c r="B2158" s="3" t="s">
        <v>27</v>
      </c>
      <c r="C2158" s="3" t="s">
        <v>4116</v>
      </c>
      <c r="D2158" s="3" t="s">
        <v>76</v>
      </c>
      <c r="E2158" s="3" t="s">
        <v>31</v>
      </c>
      <c r="F2158" s="3" t="b">
        <v>0</v>
      </c>
      <c r="G2158" s="3" t="s">
        <v>32</v>
      </c>
      <c r="H2158" s="6">
        <v>44957.960601851853</v>
      </c>
      <c r="I2158" s="3" t="b">
        <v>0</v>
      </c>
      <c r="J2158" s="3" t="b">
        <v>1</v>
      </c>
      <c r="K2158" s="3" t="s">
        <v>33</v>
      </c>
      <c r="L2158" s="3" t="s">
        <v>48</v>
      </c>
      <c r="M2158" s="8"/>
      <c r="N2158" s="11">
        <v>67.605003356933594</v>
      </c>
      <c r="O2158" s="3" t="s">
        <v>535</v>
      </c>
      <c r="P2158" s="3" t="s">
        <v>4849</v>
      </c>
    </row>
    <row r="2159" spans="1:16" x14ac:dyDescent="0.3">
      <c r="A2159" s="3" t="s">
        <v>27</v>
      </c>
      <c r="B2159" s="3" t="s">
        <v>4855</v>
      </c>
      <c r="C2159" s="3" t="s">
        <v>40</v>
      </c>
      <c r="D2159" s="3" t="s">
        <v>41</v>
      </c>
      <c r="E2159" s="3" t="s">
        <v>31</v>
      </c>
      <c r="F2159" s="3" t="b">
        <v>0</v>
      </c>
      <c r="G2159" s="3" t="s">
        <v>42</v>
      </c>
      <c r="H2159" s="6">
        <v>44938.761087962957</v>
      </c>
      <c r="I2159" s="3" t="b">
        <v>0</v>
      </c>
      <c r="J2159" s="3" t="b">
        <v>0</v>
      </c>
      <c r="K2159" s="3" t="s">
        <v>42</v>
      </c>
      <c r="L2159" s="3" t="s">
        <v>34</v>
      </c>
      <c r="M2159" s="8">
        <v>72900</v>
      </c>
      <c r="N2159" s="11"/>
      <c r="O2159" s="3" t="s">
        <v>4856</v>
      </c>
      <c r="P2159" s="3" t="s">
        <v>4857</v>
      </c>
    </row>
    <row r="2160" spans="1:16" x14ac:dyDescent="0.3">
      <c r="A2160" s="3" t="s">
        <v>27</v>
      </c>
      <c r="B2160" s="3" t="s">
        <v>4859</v>
      </c>
      <c r="C2160" s="3" t="s">
        <v>4860</v>
      </c>
      <c r="D2160" s="3" t="s">
        <v>287</v>
      </c>
      <c r="E2160" s="3" t="s">
        <v>31</v>
      </c>
      <c r="F2160" s="3" t="b">
        <v>0</v>
      </c>
      <c r="G2160" s="3" t="s">
        <v>84</v>
      </c>
      <c r="H2160" s="6">
        <v>44933.003657407397</v>
      </c>
      <c r="I2160" s="3" t="b">
        <v>0</v>
      </c>
      <c r="J2160" s="3" t="b">
        <v>0</v>
      </c>
      <c r="K2160" s="3" t="s">
        <v>33</v>
      </c>
      <c r="L2160" s="3" t="s">
        <v>34</v>
      </c>
      <c r="M2160" s="8">
        <v>92470</v>
      </c>
      <c r="N2160" s="11"/>
      <c r="O2160" s="3" t="s">
        <v>4861</v>
      </c>
      <c r="P2160" s="3"/>
    </row>
    <row r="2161" spans="1:16" x14ac:dyDescent="0.3">
      <c r="A2161" s="3" t="s">
        <v>27</v>
      </c>
      <c r="B2161" s="3" t="s">
        <v>4862</v>
      </c>
      <c r="C2161" s="3" t="s">
        <v>173</v>
      </c>
      <c r="D2161" s="3" t="s">
        <v>106</v>
      </c>
      <c r="E2161" s="3" t="s">
        <v>31</v>
      </c>
      <c r="F2161" s="3" t="b">
        <v>0</v>
      </c>
      <c r="G2161" s="3" t="s">
        <v>64</v>
      </c>
      <c r="H2161" s="6">
        <v>44941.710335648153</v>
      </c>
      <c r="I2161" s="3" t="b">
        <v>0</v>
      </c>
      <c r="J2161" s="3" t="b">
        <v>0</v>
      </c>
      <c r="K2161" s="3" t="s">
        <v>33</v>
      </c>
      <c r="L2161" s="3" t="s">
        <v>34</v>
      </c>
      <c r="M2161" s="8">
        <v>150500</v>
      </c>
      <c r="N2161" s="11"/>
      <c r="O2161" s="3" t="s">
        <v>4863</v>
      </c>
      <c r="P2161" s="3" t="s">
        <v>3482</v>
      </c>
    </row>
    <row r="2162" spans="1:16" x14ac:dyDescent="0.3">
      <c r="A2162" s="3" t="s">
        <v>27</v>
      </c>
      <c r="B2162" s="3" t="s">
        <v>4871</v>
      </c>
      <c r="C2162" s="3" t="s">
        <v>87</v>
      </c>
      <c r="D2162" s="3" t="s">
        <v>30</v>
      </c>
      <c r="E2162" s="3" t="s">
        <v>31</v>
      </c>
      <c r="F2162" s="3" t="b">
        <v>1</v>
      </c>
      <c r="G2162" s="3" t="s">
        <v>84</v>
      </c>
      <c r="H2162" s="6">
        <v>44955.75403935185</v>
      </c>
      <c r="I2162" s="3" t="b">
        <v>0</v>
      </c>
      <c r="J2162" s="3" t="b">
        <v>0</v>
      </c>
      <c r="K2162" s="3" t="s">
        <v>33</v>
      </c>
      <c r="L2162" s="3" t="s">
        <v>34</v>
      </c>
      <c r="M2162" s="8">
        <v>110000</v>
      </c>
      <c r="N2162" s="11"/>
      <c r="O2162" s="3" t="s">
        <v>4872</v>
      </c>
      <c r="P2162" s="3" t="s">
        <v>4873</v>
      </c>
    </row>
    <row r="2163" spans="1:16" x14ac:dyDescent="0.3">
      <c r="A2163" s="3" t="s">
        <v>27</v>
      </c>
      <c r="B2163" s="3" t="s">
        <v>27</v>
      </c>
      <c r="C2163" s="3" t="s">
        <v>1996</v>
      </c>
      <c r="D2163" s="3" t="s">
        <v>4876</v>
      </c>
      <c r="E2163" s="3" t="s">
        <v>31</v>
      </c>
      <c r="F2163" s="3" t="b">
        <v>0</v>
      </c>
      <c r="G2163" s="3" t="s">
        <v>797</v>
      </c>
      <c r="H2163" s="6">
        <v>44951.830509259264</v>
      </c>
      <c r="I2163" s="3" t="b">
        <v>0</v>
      </c>
      <c r="J2163" s="3" t="b">
        <v>0</v>
      </c>
      <c r="K2163" s="3" t="s">
        <v>797</v>
      </c>
      <c r="L2163" s="3" t="s">
        <v>34</v>
      </c>
      <c r="M2163" s="8">
        <v>100000</v>
      </c>
      <c r="N2163" s="11"/>
      <c r="O2163" s="3" t="s">
        <v>4877</v>
      </c>
      <c r="P2163" s="3" t="s">
        <v>4878</v>
      </c>
    </row>
    <row r="2164" spans="1:16" x14ac:dyDescent="0.3">
      <c r="A2164" s="3" t="s">
        <v>27</v>
      </c>
      <c r="B2164" s="3" t="s">
        <v>4554</v>
      </c>
      <c r="C2164" s="3" t="s">
        <v>270</v>
      </c>
      <c r="D2164" s="3" t="s">
        <v>30</v>
      </c>
      <c r="E2164" s="3" t="s">
        <v>31</v>
      </c>
      <c r="F2164" s="3" t="b">
        <v>0</v>
      </c>
      <c r="G2164" s="3" t="s">
        <v>32</v>
      </c>
      <c r="H2164" s="6">
        <v>44937.253587962958</v>
      </c>
      <c r="I2164" s="3" t="b">
        <v>0</v>
      </c>
      <c r="J2164" s="3" t="b">
        <v>1</v>
      </c>
      <c r="K2164" s="3" t="s">
        <v>33</v>
      </c>
      <c r="L2164" s="3" t="s">
        <v>34</v>
      </c>
      <c r="M2164" s="8">
        <v>158857.5</v>
      </c>
      <c r="N2164" s="11"/>
      <c r="O2164" s="3" t="s">
        <v>35</v>
      </c>
      <c r="P2164" s="3" t="s">
        <v>4555</v>
      </c>
    </row>
    <row r="2165" spans="1:16" x14ac:dyDescent="0.3">
      <c r="A2165" s="3" t="s">
        <v>27</v>
      </c>
      <c r="B2165" s="3" t="s">
        <v>4884</v>
      </c>
      <c r="C2165" s="3" t="s">
        <v>1324</v>
      </c>
      <c r="D2165" s="3" t="s">
        <v>41</v>
      </c>
      <c r="E2165" s="3" t="s">
        <v>31</v>
      </c>
      <c r="F2165" s="3" t="b">
        <v>0</v>
      </c>
      <c r="G2165" s="3" t="s">
        <v>1324</v>
      </c>
      <c r="H2165" s="6">
        <v>44937.071064814823</v>
      </c>
      <c r="I2165" s="3" t="b">
        <v>0</v>
      </c>
      <c r="J2165" s="3" t="b">
        <v>0</v>
      </c>
      <c r="K2165" s="3" t="s">
        <v>1324</v>
      </c>
      <c r="L2165" s="3" t="s">
        <v>34</v>
      </c>
      <c r="M2165" s="8">
        <v>157500</v>
      </c>
      <c r="N2165" s="11"/>
      <c r="O2165" s="3" t="s">
        <v>2209</v>
      </c>
      <c r="P2165" s="3" t="s">
        <v>932</v>
      </c>
    </row>
    <row r="2166" spans="1:16" x14ac:dyDescent="0.3">
      <c r="A2166" s="3" t="s">
        <v>27</v>
      </c>
      <c r="B2166" s="3" t="s">
        <v>4889</v>
      </c>
      <c r="C2166" s="3" t="s">
        <v>620</v>
      </c>
      <c r="D2166" s="3" t="s">
        <v>30</v>
      </c>
      <c r="E2166" s="3" t="s">
        <v>31</v>
      </c>
      <c r="F2166" s="3" t="b">
        <v>0</v>
      </c>
      <c r="G2166" s="3" t="s">
        <v>110</v>
      </c>
      <c r="H2166" s="6">
        <v>44931.829861111109</v>
      </c>
      <c r="I2166" s="3" t="b">
        <v>0</v>
      </c>
      <c r="J2166" s="3" t="b">
        <v>0</v>
      </c>
      <c r="K2166" s="3" t="s">
        <v>110</v>
      </c>
      <c r="L2166" s="3" t="s">
        <v>34</v>
      </c>
      <c r="M2166" s="8">
        <v>105000</v>
      </c>
      <c r="N2166" s="11"/>
      <c r="O2166" s="3" t="s">
        <v>4890</v>
      </c>
      <c r="P2166" s="3" t="s">
        <v>4891</v>
      </c>
    </row>
    <row r="2167" spans="1:16" x14ac:dyDescent="0.3">
      <c r="A2167" s="3" t="s">
        <v>27</v>
      </c>
      <c r="B2167" s="3" t="s">
        <v>27</v>
      </c>
      <c r="C2167" s="3" t="s">
        <v>4892</v>
      </c>
      <c r="D2167" s="3" t="s">
        <v>76</v>
      </c>
      <c r="E2167" s="3" t="s">
        <v>31</v>
      </c>
      <c r="F2167" s="3" t="b">
        <v>0</v>
      </c>
      <c r="G2167" s="3" t="s">
        <v>84</v>
      </c>
      <c r="H2167" s="6">
        <v>44947.506666666668</v>
      </c>
      <c r="I2167" s="3" t="b">
        <v>0</v>
      </c>
      <c r="J2167" s="3" t="b">
        <v>0</v>
      </c>
      <c r="K2167" s="3" t="s">
        <v>33</v>
      </c>
      <c r="L2167" s="3" t="s">
        <v>34</v>
      </c>
      <c r="M2167" s="8">
        <v>88393.5</v>
      </c>
      <c r="N2167" s="11"/>
      <c r="O2167" s="3" t="s">
        <v>4893</v>
      </c>
      <c r="P2167" s="3" t="s">
        <v>4894</v>
      </c>
    </row>
    <row r="2168" spans="1:16" x14ac:dyDescent="0.3">
      <c r="A2168" s="3" t="s">
        <v>27</v>
      </c>
      <c r="B2168" s="3" t="s">
        <v>27</v>
      </c>
      <c r="C2168" s="3" t="s">
        <v>270</v>
      </c>
      <c r="D2168" s="3" t="s">
        <v>53</v>
      </c>
      <c r="E2168" s="3" t="s">
        <v>31</v>
      </c>
      <c r="F2168" s="3" t="b">
        <v>0</v>
      </c>
      <c r="G2168" s="3" t="s">
        <v>32</v>
      </c>
      <c r="H2168" s="6">
        <v>44947.589212962957</v>
      </c>
      <c r="I2168" s="3" t="b">
        <v>0</v>
      </c>
      <c r="J2168" s="3" t="b">
        <v>0</v>
      </c>
      <c r="K2168" s="3" t="s">
        <v>33</v>
      </c>
      <c r="L2168" s="3" t="s">
        <v>34</v>
      </c>
      <c r="M2168" s="8">
        <v>250000</v>
      </c>
      <c r="N2168" s="11"/>
      <c r="O2168" s="3" t="s">
        <v>498</v>
      </c>
      <c r="P2168" s="3" t="s">
        <v>499</v>
      </c>
    </row>
    <row r="2169" spans="1:16" x14ac:dyDescent="0.3">
      <c r="A2169" s="3" t="s">
        <v>27</v>
      </c>
      <c r="B2169" s="3" t="s">
        <v>4901</v>
      </c>
      <c r="C2169" s="3" t="s">
        <v>164</v>
      </c>
      <c r="D2169" s="3" t="s">
        <v>30</v>
      </c>
      <c r="E2169" s="3" t="s">
        <v>31</v>
      </c>
      <c r="F2169" s="3" t="b">
        <v>0</v>
      </c>
      <c r="G2169" s="3" t="s">
        <v>64</v>
      </c>
      <c r="H2169" s="6">
        <v>44936.805243055547</v>
      </c>
      <c r="I2169" s="3" t="b">
        <v>0</v>
      </c>
      <c r="J2169" s="3" t="b">
        <v>1</v>
      </c>
      <c r="K2169" s="3" t="s">
        <v>33</v>
      </c>
      <c r="L2169" s="3" t="s">
        <v>34</v>
      </c>
      <c r="M2169" s="8">
        <v>172500</v>
      </c>
      <c r="N2169" s="11"/>
      <c r="O2169" s="3" t="s">
        <v>158</v>
      </c>
      <c r="P2169" s="3" t="s">
        <v>4902</v>
      </c>
    </row>
    <row r="2170" spans="1:16" x14ac:dyDescent="0.3">
      <c r="A2170" s="3" t="s">
        <v>27</v>
      </c>
      <c r="B2170" s="3" t="s">
        <v>4903</v>
      </c>
      <c r="C2170" s="3" t="s">
        <v>565</v>
      </c>
      <c r="D2170" s="3" t="s">
        <v>566</v>
      </c>
      <c r="E2170" s="3" t="s">
        <v>31</v>
      </c>
      <c r="F2170" s="3" t="b">
        <v>0</v>
      </c>
      <c r="G2170" s="3" t="s">
        <v>88</v>
      </c>
      <c r="H2170" s="6">
        <v>44929.982905092591</v>
      </c>
      <c r="I2170" s="3" t="b">
        <v>0</v>
      </c>
      <c r="J2170" s="3" t="b">
        <v>0</v>
      </c>
      <c r="K2170" s="3" t="s">
        <v>33</v>
      </c>
      <c r="L2170" s="3" t="s">
        <v>48</v>
      </c>
      <c r="M2170" s="8"/>
      <c r="N2170" s="11">
        <v>24</v>
      </c>
      <c r="O2170" s="3" t="s">
        <v>1334</v>
      </c>
      <c r="P2170" s="3" t="s">
        <v>4904</v>
      </c>
    </row>
    <row r="2171" spans="1:16" x14ac:dyDescent="0.3">
      <c r="A2171" s="3" t="s">
        <v>27</v>
      </c>
      <c r="B2171" s="3" t="s">
        <v>4905</v>
      </c>
      <c r="C2171" s="3" t="s">
        <v>75</v>
      </c>
      <c r="D2171" s="3" t="s">
        <v>2465</v>
      </c>
      <c r="E2171" s="3" t="s">
        <v>31</v>
      </c>
      <c r="F2171" s="3" t="b">
        <v>0</v>
      </c>
      <c r="G2171" s="3" t="s">
        <v>84</v>
      </c>
      <c r="H2171" s="6">
        <v>44929.982175925928</v>
      </c>
      <c r="I2171" s="3" t="b">
        <v>0</v>
      </c>
      <c r="J2171" s="3" t="b">
        <v>1</v>
      </c>
      <c r="K2171" s="3" t="s">
        <v>33</v>
      </c>
      <c r="L2171" s="3" t="s">
        <v>48</v>
      </c>
      <c r="M2171" s="8"/>
      <c r="N2171" s="11">
        <v>24</v>
      </c>
      <c r="O2171" s="3" t="s">
        <v>4906</v>
      </c>
      <c r="P2171" s="3" t="s">
        <v>806</v>
      </c>
    </row>
    <row r="2172" spans="1:16" x14ac:dyDescent="0.3">
      <c r="A2172" s="3" t="s">
        <v>27</v>
      </c>
      <c r="B2172" s="3" t="s">
        <v>4909</v>
      </c>
      <c r="C2172" s="3" t="s">
        <v>164</v>
      </c>
      <c r="D2172" s="3" t="s">
        <v>41</v>
      </c>
      <c r="E2172" s="3" t="s">
        <v>31</v>
      </c>
      <c r="F2172" s="3" t="b">
        <v>0</v>
      </c>
      <c r="G2172" s="3" t="s">
        <v>64</v>
      </c>
      <c r="H2172" s="6">
        <v>44949.460613425923</v>
      </c>
      <c r="I2172" s="3" t="b">
        <v>0</v>
      </c>
      <c r="J2172" s="3" t="b">
        <v>1</v>
      </c>
      <c r="K2172" s="3" t="s">
        <v>33</v>
      </c>
      <c r="L2172" s="3" t="s">
        <v>34</v>
      </c>
      <c r="M2172" s="8">
        <v>131867</v>
      </c>
      <c r="N2172" s="11"/>
      <c r="O2172" s="3" t="s">
        <v>4910</v>
      </c>
      <c r="P2172" s="3" t="s">
        <v>4911</v>
      </c>
    </row>
    <row r="2173" spans="1:16" x14ac:dyDescent="0.3">
      <c r="A2173" s="3" t="s">
        <v>27</v>
      </c>
      <c r="B2173" s="3" t="s">
        <v>27</v>
      </c>
      <c r="C2173" s="3" t="s">
        <v>4814</v>
      </c>
      <c r="D2173" s="3" t="s">
        <v>76</v>
      </c>
      <c r="E2173" s="3" t="s">
        <v>31</v>
      </c>
      <c r="F2173" s="3" t="b">
        <v>0</v>
      </c>
      <c r="G2173" s="3" t="s">
        <v>84</v>
      </c>
      <c r="H2173" s="6">
        <v>44935.878495370373</v>
      </c>
      <c r="I2173" s="3" t="b">
        <v>0</v>
      </c>
      <c r="J2173" s="3" t="b">
        <v>0</v>
      </c>
      <c r="K2173" s="3" t="s">
        <v>33</v>
      </c>
      <c r="L2173" s="3" t="s">
        <v>48</v>
      </c>
      <c r="M2173" s="8"/>
      <c r="N2173" s="11">
        <v>56.5</v>
      </c>
      <c r="O2173" s="3" t="s">
        <v>4917</v>
      </c>
      <c r="P2173" s="3" t="s">
        <v>135</v>
      </c>
    </row>
    <row r="2174" spans="1:16" x14ac:dyDescent="0.3">
      <c r="A2174" s="3" t="s">
        <v>27</v>
      </c>
      <c r="B2174" s="3" t="s">
        <v>674</v>
      </c>
      <c r="C2174" s="3" t="s">
        <v>1649</v>
      </c>
      <c r="D2174" s="3" t="s">
        <v>106</v>
      </c>
      <c r="E2174" s="3" t="s">
        <v>31</v>
      </c>
      <c r="F2174" s="3" t="b">
        <v>0</v>
      </c>
      <c r="G2174" s="3" t="s">
        <v>140</v>
      </c>
      <c r="H2174" s="6">
        <v>44954.677731481483</v>
      </c>
      <c r="I2174" s="3" t="b">
        <v>0</v>
      </c>
      <c r="J2174" s="3" t="b">
        <v>0</v>
      </c>
      <c r="K2174" s="3" t="s">
        <v>33</v>
      </c>
      <c r="L2174" s="3" t="s">
        <v>34</v>
      </c>
      <c r="M2174" s="8">
        <v>182000</v>
      </c>
      <c r="N2174" s="11"/>
      <c r="O2174" s="3" t="s">
        <v>2250</v>
      </c>
      <c r="P2174" s="3" t="s">
        <v>675</v>
      </c>
    </row>
    <row r="2175" spans="1:16" x14ac:dyDescent="0.3">
      <c r="A2175" s="3" t="s">
        <v>27</v>
      </c>
      <c r="B2175" s="3" t="s">
        <v>27</v>
      </c>
      <c r="C2175" s="3" t="s">
        <v>435</v>
      </c>
      <c r="D2175" s="3" t="s">
        <v>41</v>
      </c>
      <c r="E2175" s="3" t="s">
        <v>31</v>
      </c>
      <c r="F2175" s="3" t="b">
        <v>0</v>
      </c>
      <c r="G2175" s="3" t="s">
        <v>436</v>
      </c>
      <c r="H2175" s="6">
        <v>44952.301192129627</v>
      </c>
      <c r="I2175" s="3" t="b">
        <v>0</v>
      </c>
      <c r="J2175" s="3" t="b">
        <v>0</v>
      </c>
      <c r="K2175" s="3" t="s">
        <v>436</v>
      </c>
      <c r="L2175" s="3" t="s">
        <v>34</v>
      </c>
      <c r="M2175" s="8">
        <v>157500</v>
      </c>
      <c r="N2175" s="11"/>
      <c r="O2175" s="3" t="s">
        <v>1164</v>
      </c>
      <c r="P2175" s="3" t="s">
        <v>958</v>
      </c>
    </row>
    <row r="2176" spans="1:16" x14ac:dyDescent="0.3">
      <c r="A2176" s="3" t="s">
        <v>27</v>
      </c>
      <c r="B2176" s="3" t="s">
        <v>4932</v>
      </c>
      <c r="C2176" s="3" t="s">
        <v>321</v>
      </c>
      <c r="D2176" s="3" t="s">
        <v>41</v>
      </c>
      <c r="E2176" s="3" t="s">
        <v>31</v>
      </c>
      <c r="F2176" s="3" t="b">
        <v>0</v>
      </c>
      <c r="G2176" s="3" t="s">
        <v>88</v>
      </c>
      <c r="H2176" s="6">
        <v>44951.25409722222</v>
      </c>
      <c r="I2176" s="3" t="b">
        <v>0</v>
      </c>
      <c r="J2176" s="3" t="b">
        <v>1</v>
      </c>
      <c r="K2176" s="3" t="s">
        <v>33</v>
      </c>
      <c r="L2176" s="3" t="s">
        <v>34</v>
      </c>
      <c r="M2176" s="8">
        <v>80850</v>
      </c>
      <c r="N2176" s="11"/>
      <c r="O2176" s="3" t="s">
        <v>4933</v>
      </c>
      <c r="P2176" s="3" t="s">
        <v>695</v>
      </c>
    </row>
    <row r="2177" spans="1:16" x14ac:dyDescent="0.3">
      <c r="A2177" s="3" t="s">
        <v>27</v>
      </c>
      <c r="B2177" s="3" t="s">
        <v>4948</v>
      </c>
      <c r="C2177" s="3" t="s">
        <v>447</v>
      </c>
      <c r="D2177" s="3" t="s">
        <v>1419</v>
      </c>
      <c r="E2177" s="3" t="s">
        <v>31</v>
      </c>
      <c r="F2177" s="3" t="b">
        <v>0</v>
      </c>
      <c r="G2177" s="3" t="s">
        <v>32</v>
      </c>
      <c r="H2177" s="6">
        <v>44954.170208333337</v>
      </c>
      <c r="I2177" s="3" t="b">
        <v>0</v>
      </c>
      <c r="J2177" s="3" t="b">
        <v>1</v>
      </c>
      <c r="K2177" s="3" t="s">
        <v>33</v>
      </c>
      <c r="L2177" s="3" t="s">
        <v>34</v>
      </c>
      <c r="M2177" s="8">
        <v>150000</v>
      </c>
      <c r="N2177" s="11"/>
      <c r="O2177" s="3" t="s">
        <v>4949</v>
      </c>
      <c r="P2177" s="3" t="s">
        <v>932</v>
      </c>
    </row>
    <row r="2178" spans="1:16" x14ac:dyDescent="0.3">
      <c r="A2178" s="3" t="s">
        <v>27</v>
      </c>
      <c r="B2178" s="3" t="s">
        <v>27</v>
      </c>
      <c r="C2178" s="3" t="s">
        <v>4968</v>
      </c>
      <c r="D2178" s="3" t="s">
        <v>30</v>
      </c>
      <c r="E2178" s="3" t="s">
        <v>31</v>
      </c>
      <c r="F2178" s="3" t="b">
        <v>0</v>
      </c>
      <c r="G2178" s="3" t="s">
        <v>64</v>
      </c>
      <c r="H2178" s="6">
        <v>44935.585844907408</v>
      </c>
      <c r="I2178" s="3" t="b">
        <v>0</v>
      </c>
      <c r="J2178" s="3" t="b">
        <v>0</v>
      </c>
      <c r="K2178" s="3" t="s">
        <v>33</v>
      </c>
      <c r="L2178" s="3" t="s">
        <v>34</v>
      </c>
      <c r="M2178" s="8">
        <v>157500</v>
      </c>
      <c r="N2178" s="11"/>
      <c r="O2178" s="3" t="s">
        <v>2242</v>
      </c>
      <c r="P2178" s="3" t="s">
        <v>4969</v>
      </c>
    </row>
    <row r="2179" spans="1:16" x14ac:dyDescent="0.3">
      <c r="A2179" s="3" t="s">
        <v>27</v>
      </c>
      <c r="B2179" s="3" t="s">
        <v>27</v>
      </c>
      <c r="C2179" s="3" t="s">
        <v>520</v>
      </c>
      <c r="D2179" s="3" t="s">
        <v>76</v>
      </c>
      <c r="E2179" s="3" t="s">
        <v>31</v>
      </c>
      <c r="F2179" s="3" t="b">
        <v>0</v>
      </c>
      <c r="G2179" s="3" t="s">
        <v>88</v>
      </c>
      <c r="H2179" s="6">
        <v>44929.857604166667</v>
      </c>
      <c r="I2179" s="3" t="b">
        <v>0</v>
      </c>
      <c r="J2179" s="3" t="b">
        <v>1</v>
      </c>
      <c r="K2179" s="3" t="s">
        <v>33</v>
      </c>
      <c r="L2179" s="3" t="s">
        <v>34</v>
      </c>
      <c r="M2179" s="8">
        <v>120000</v>
      </c>
      <c r="N2179" s="11"/>
      <c r="O2179" s="3" t="s">
        <v>4972</v>
      </c>
      <c r="P2179" s="3"/>
    </row>
    <row r="2180" spans="1:16" x14ac:dyDescent="0.3">
      <c r="A2180" s="3" t="s">
        <v>27</v>
      </c>
      <c r="B2180" s="3" t="s">
        <v>4973</v>
      </c>
      <c r="C2180" s="3" t="s">
        <v>87</v>
      </c>
      <c r="D2180" s="3" t="s">
        <v>4974</v>
      </c>
      <c r="E2180" s="3" t="s">
        <v>31</v>
      </c>
      <c r="F2180" s="3" t="b">
        <v>1</v>
      </c>
      <c r="G2180" s="3" t="s">
        <v>32</v>
      </c>
      <c r="H2180" s="6">
        <v>44946.97314814815</v>
      </c>
      <c r="I2180" s="3" t="b">
        <v>0</v>
      </c>
      <c r="J2180" s="3" t="b">
        <v>0</v>
      </c>
      <c r="K2180" s="3" t="s">
        <v>33</v>
      </c>
      <c r="L2180" s="3" t="s">
        <v>48</v>
      </c>
      <c r="M2180" s="8"/>
      <c r="N2180" s="11">
        <v>58</v>
      </c>
      <c r="O2180" s="3" t="s">
        <v>4975</v>
      </c>
      <c r="P2180" s="3" t="s">
        <v>4976</v>
      </c>
    </row>
    <row r="2181" spans="1:16" x14ac:dyDescent="0.3">
      <c r="A2181" s="3" t="s">
        <v>27</v>
      </c>
      <c r="B2181" s="3" t="s">
        <v>27</v>
      </c>
      <c r="C2181" s="3" t="s">
        <v>29</v>
      </c>
      <c r="D2181" s="3" t="s">
        <v>188</v>
      </c>
      <c r="E2181" s="3" t="s">
        <v>31</v>
      </c>
      <c r="F2181" s="3" t="b">
        <v>0</v>
      </c>
      <c r="G2181" s="3" t="s">
        <v>32</v>
      </c>
      <c r="H2181" s="6">
        <v>44940.544479166667</v>
      </c>
      <c r="I2181" s="3" t="b">
        <v>0</v>
      </c>
      <c r="J2181" s="3" t="b">
        <v>0</v>
      </c>
      <c r="K2181" s="3" t="s">
        <v>33</v>
      </c>
      <c r="L2181" s="3" t="s">
        <v>34</v>
      </c>
      <c r="M2181" s="8">
        <v>145000</v>
      </c>
      <c r="N2181" s="11"/>
      <c r="O2181" s="3" t="s">
        <v>255</v>
      </c>
      <c r="P2181" s="3" t="s">
        <v>3731</v>
      </c>
    </row>
    <row r="2182" spans="1:16" x14ac:dyDescent="0.3">
      <c r="A2182" s="3" t="s">
        <v>27</v>
      </c>
      <c r="B2182" s="3" t="s">
        <v>2480</v>
      </c>
      <c r="C2182" s="3" t="s">
        <v>565</v>
      </c>
      <c r="D2182" s="3" t="s">
        <v>1580</v>
      </c>
      <c r="E2182" s="3" t="s">
        <v>31</v>
      </c>
      <c r="F2182" s="3" t="b">
        <v>0</v>
      </c>
      <c r="G2182" s="3" t="s">
        <v>140</v>
      </c>
      <c r="H2182" s="6">
        <v>44928.9921875</v>
      </c>
      <c r="I2182" s="3" t="b">
        <v>0</v>
      </c>
      <c r="J2182" s="3" t="b">
        <v>0</v>
      </c>
      <c r="K2182" s="3" t="s">
        <v>33</v>
      </c>
      <c r="L2182" s="3" t="s">
        <v>48</v>
      </c>
      <c r="M2182" s="8"/>
      <c r="N2182" s="11">
        <v>55</v>
      </c>
      <c r="O2182" s="3" t="s">
        <v>4977</v>
      </c>
      <c r="P2182" s="3" t="s">
        <v>4978</v>
      </c>
    </row>
    <row r="2183" spans="1:16" x14ac:dyDescent="0.3">
      <c r="A2183" s="3" t="s">
        <v>27</v>
      </c>
      <c r="B2183" s="3" t="s">
        <v>4981</v>
      </c>
      <c r="C2183" s="3" t="s">
        <v>87</v>
      </c>
      <c r="D2183" s="3" t="s">
        <v>30</v>
      </c>
      <c r="E2183" s="3" t="s">
        <v>1294</v>
      </c>
      <c r="F2183" s="3" t="b">
        <v>1</v>
      </c>
      <c r="G2183" s="3" t="s">
        <v>64</v>
      </c>
      <c r="H2183" s="6">
        <v>44942.638333333343</v>
      </c>
      <c r="I2183" s="3" t="b">
        <v>0</v>
      </c>
      <c r="J2183" s="3" t="b">
        <v>0</v>
      </c>
      <c r="K2183" s="3" t="s">
        <v>33</v>
      </c>
      <c r="L2183" s="3" t="s">
        <v>48</v>
      </c>
      <c r="M2183" s="8"/>
      <c r="N2183" s="11">
        <v>20</v>
      </c>
      <c r="O2183" s="3" t="s">
        <v>3590</v>
      </c>
      <c r="P2183" s="3" t="s">
        <v>4982</v>
      </c>
    </row>
    <row r="2184" spans="1:16" x14ac:dyDescent="0.3">
      <c r="A2184" s="3" t="s">
        <v>27</v>
      </c>
      <c r="B2184" s="3" t="s">
        <v>4993</v>
      </c>
      <c r="C2184" s="3" t="s">
        <v>1057</v>
      </c>
      <c r="D2184" s="3" t="s">
        <v>76</v>
      </c>
      <c r="E2184" s="3" t="s">
        <v>31</v>
      </c>
      <c r="F2184" s="3" t="b">
        <v>0</v>
      </c>
      <c r="G2184" s="3" t="s">
        <v>58</v>
      </c>
      <c r="H2184" s="6">
        <v>44939.920949074083</v>
      </c>
      <c r="I2184" s="3" t="b">
        <v>0</v>
      </c>
      <c r="J2184" s="3" t="b">
        <v>1</v>
      </c>
      <c r="K2184" s="3" t="s">
        <v>33</v>
      </c>
      <c r="L2184" s="3" t="s">
        <v>48</v>
      </c>
      <c r="M2184" s="8"/>
      <c r="N2184" s="11">
        <v>20</v>
      </c>
      <c r="O2184" s="3" t="s">
        <v>4994</v>
      </c>
      <c r="P2184" s="3" t="s">
        <v>4995</v>
      </c>
    </row>
    <row r="2185" spans="1:16" x14ac:dyDescent="0.3">
      <c r="A2185" s="3" t="s">
        <v>27</v>
      </c>
      <c r="B2185" s="3" t="s">
        <v>4998</v>
      </c>
      <c r="C2185" s="3" t="s">
        <v>40</v>
      </c>
      <c r="D2185" s="3" t="s">
        <v>41</v>
      </c>
      <c r="E2185" s="3" t="s">
        <v>31</v>
      </c>
      <c r="F2185" s="3" t="b">
        <v>0</v>
      </c>
      <c r="G2185" s="3" t="s">
        <v>42</v>
      </c>
      <c r="H2185" s="6">
        <v>44950.343923611108</v>
      </c>
      <c r="I2185" s="3" t="b">
        <v>0</v>
      </c>
      <c r="J2185" s="3" t="b">
        <v>0</v>
      </c>
      <c r="K2185" s="3" t="s">
        <v>42</v>
      </c>
      <c r="L2185" s="3" t="s">
        <v>34</v>
      </c>
      <c r="M2185" s="8">
        <v>56700</v>
      </c>
      <c r="N2185" s="11"/>
      <c r="O2185" s="3" t="s">
        <v>3953</v>
      </c>
      <c r="P2185" s="3" t="s">
        <v>4999</v>
      </c>
    </row>
    <row r="2186" spans="1:16" x14ac:dyDescent="0.3">
      <c r="A2186" s="3" t="s">
        <v>27</v>
      </c>
      <c r="B2186" s="3" t="s">
        <v>5006</v>
      </c>
      <c r="C2186" s="3" t="s">
        <v>87</v>
      </c>
      <c r="D2186" s="3" t="s">
        <v>1071</v>
      </c>
      <c r="E2186" s="3" t="s">
        <v>31</v>
      </c>
      <c r="F2186" s="3" t="b">
        <v>1</v>
      </c>
      <c r="G2186" s="3" t="s">
        <v>110</v>
      </c>
      <c r="H2186" s="6">
        <v>44948.265555555547</v>
      </c>
      <c r="I2186" s="3" t="b">
        <v>0</v>
      </c>
      <c r="J2186" s="3" t="b">
        <v>1</v>
      </c>
      <c r="K2186" s="3" t="s">
        <v>110</v>
      </c>
      <c r="L2186" s="3" t="s">
        <v>34</v>
      </c>
      <c r="M2186" s="8">
        <v>160000</v>
      </c>
      <c r="N2186" s="11"/>
      <c r="O2186" s="3" t="s">
        <v>5007</v>
      </c>
      <c r="P2186" s="3" t="s">
        <v>5008</v>
      </c>
    </row>
    <row r="2187" spans="1:16" x14ac:dyDescent="0.3">
      <c r="A2187" s="3" t="s">
        <v>27</v>
      </c>
      <c r="B2187" s="3" t="s">
        <v>27</v>
      </c>
      <c r="C2187" s="3" t="s">
        <v>2039</v>
      </c>
      <c r="D2187" s="3" t="s">
        <v>41</v>
      </c>
      <c r="E2187" s="3" t="s">
        <v>31</v>
      </c>
      <c r="F2187" s="3" t="b">
        <v>0</v>
      </c>
      <c r="G2187" s="3" t="s">
        <v>651</v>
      </c>
      <c r="H2187" s="6">
        <v>44931.066550925927</v>
      </c>
      <c r="I2187" s="3" t="b">
        <v>0</v>
      </c>
      <c r="J2187" s="3" t="b">
        <v>0</v>
      </c>
      <c r="K2187" s="3" t="s">
        <v>651</v>
      </c>
      <c r="L2187" s="3" t="s">
        <v>34</v>
      </c>
      <c r="M2187" s="8">
        <v>157500</v>
      </c>
      <c r="N2187" s="11"/>
      <c r="O2187" s="3" t="s">
        <v>5009</v>
      </c>
      <c r="P2187" s="3" t="s">
        <v>5010</v>
      </c>
    </row>
    <row r="2188" spans="1:16" x14ac:dyDescent="0.3">
      <c r="A2188" s="3" t="s">
        <v>27</v>
      </c>
      <c r="B2188" s="3" t="s">
        <v>5019</v>
      </c>
      <c r="C2188" s="3" t="s">
        <v>92</v>
      </c>
      <c r="D2188" s="3" t="s">
        <v>93</v>
      </c>
      <c r="E2188" s="3" t="s">
        <v>31</v>
      </c>
      <c r="F2188" s="3" t="b">
        <v>0</v>
      </c>
      <c r="G2188" s="3" t="s">
        <v>84</v>
      </c>
      <c r="H2188" s="6">
        <v>44932.169953703713</v>
      </c>
      <c r="I2188" s="3" t="b">
        <v>0</v>
      </c>
      <c r="J2188" s="3" t="b">
        <v>1</v>
      </c>
      <c r="K2188" s="3" t="s">
        <v>33</v>
      </c>
      <c r="L2188" s="3" t="s">
        <v>34</v>
      </c>
      <c r="M2188" s="8">
        <v>150000</v>
      </c>
      <c r="N2188" s="11"/>
      <c r="O2188" s="3" t="s">
        <v>2892</v>
      </c>
      <c r="P2188" s="3" t="s">
        <v>5020</v>
      </c>
    </row>
    <row r="2189" spans="1:16" x14ac:dyDescent="0.3">
      <c r="A2189" s="3" t="s">
        <v>27</v>
      </c>
      <c r="B2189" s="3" t="s">
        <v>5021</v>
      </c>
      <c r="C2189" s="3" t="s">
        <v>87</v>
      </c>
      <c r="D2189" s="3" t="s">
        <v>940</v>
      </c>
      <c r="E2189" s="3" t="s">
        <v>31</v>
      </c>
      <c r="F2189" s="3" t="b">
        <v>1</v>
      </c>
      <c r="G2189" s="3" t="s">
        <v>32</v>
      </c>
      <c r="H2189" s="6">
        <v>44950.294710648152</v>
      </c>
      <c r="I2189" s="3" t="b">
        <v>0</v>
      </c>
      <c r="J2189" s="3" t="b">
        <v>1</v>
      </c>
      <c r="K2189" s="3" t="s">
        <v>33</v>
      </c>
      <c r="L2189" s="3" t="s">
        <v>34</v>
      </c>
      <c r="M2189" s="8">
        <v>135720</v>
      </c>
      <c r="N2189" s="11"/>
      <c r="O2189" s="3" t="s">
        <v>1443</v>
      </c>
      <c r="P2189" s="3" t="s">
        <v>2369</v>
      </c>
    </row>
    <row r="2190" spans="1:16" x14ac:dyDescent="0.3">
      <c r="A2190" s="3" t="s">
        <v>27</v>
      </c>
      <c r="B2190" s="3" t="s">
        <v>5036</v>
      </c>
      <c r="C2190" s="3" t="s">
        <v>4116</v>
      </c>
      <c r="D2190" s="3" t="s">
        <v>5037</v>
      </c>
      <c r="E2190" s="3" t="s">
        <v>31</v>
      </c>
      <c r="F2190" s="3" t="b">
        <v>0</v>
      </c>
      <c r="G2190" s="3" t="s">
        <v>32</v>
      </c>
      <c r="H2190" s="6">
        <v>44929.981145833342</v>
      </c>
      <c r="I2190" s="3" t="b">
        <v>0</v>
      </c>
      <c r="J2190" s="3" t="b">
        <v>0</v>
      </c>
      <c r="K2190" s="3" t="s">
        <v>33</v>
      </c>
      <c r="L2190" s="3" t="s">
        <v>48</v>
      </c>
      <c r="M2190" s="8"/>
      <c r="N2190" s="11">
        <v>24</v>
      </c>
      <c r="O2190" s="3" t="s">
        <v>5038</v>
      </c>
      <c r="P2190" s="3" t="s">
        <v>5039</v>
      </c>
    </row>
    <row r="2191" spans="1:16" x14ac:dyDescent="0.3">
      <c r="A2191" s="3" t="s">
        <v>27</v>
      </c>
      <c r="B2191" s="3" t="s">
        <v>5047</v>
      </c>
      <c r="C2191" s="3" t="s">
        <v>87</v>
      </c>
      <c r="D2191" s="3" t="s">
        <v>30</v>
      </c>
      <c r="E2191" s="3" t="s">
        <v>31</v>
      </c>
      <c r="F2191" s="3" t="b">
        <v>1</v>
      </c>
      <c r="G2191" s="3" t="s">
        <v>317</v>
      </c>
      <c r="H2191" s="6">
        <v>44938.944201388891</v>
      </c>
      <c r="I2191" s="3" t="b">
        <v>1</v>
      </c>
      <c r="J2191" s="3" t="b">
        <v>0</v>
      </c>
      <c r="K2191" s="3" t="s">
        <v>317</v>
      </c>
      <c r="L2191" s="3" t="s">
        <v>34</v>
      </c>
      <c r="M2191" s="8">
        <v>205000</v>
      </c>
      <c r="N2191" s="11"/>
      <c r="O2191" s="3" t="s">
        <v>5048</v>
      </c>
      <c r="P2191" s="3" t="s">
        <v>5049</v>
      </c>
    </row>
    <row r="2192" spans="1:16" x14ac:dyDescent="0.3">
      <c r="A2192" s="3" t="s">
        <v>27</v>
      </c>
      <c r="B2192" s="3" t="s">
        <v>5057</v>
      </c>
      <c r="C2192" s="3" t="s">
        <v>5058</v>
      </c>
      <c r="D2192" s="3" t="s">
        <v>5059</v>
      </c>
      <c r="E2192" s="3" t="s">
        <v>31</v>
      </c>
      <c r="F2192" s="3" t="b">
        <v>0</v>
      </c>
      <c r="G2192" s="3" t="s">
        <v>88</v>
      </c>
      <c r="H2192" s="6">
        <v>44929.982893518521</v>
      </c>
      <c r="I2192" s="3" t="b">
        <v>0</v>
      </c>
      <c r="J2192" s="3" t="b">
        <v>0</v>
      </c>
      <c r="K2192" s="3" t="s">
        <v>33</v>
      </c>
      <c r="L2192" s="3" t="s">
        <v>48</v>
      </c>
      <c r="M2192" s="8"/>
      <c r="N2192" s="11">
        <v>24</v>
      </c>
      <c r="O2192" s="3" t="s">
        <v>5060</v>
      </c>
      <c r="P2192" s="3" t="s">
        <v>5061</v>
      </c>
    </row>
    <row r="2193" spans="1:16" x14ac:dyDescent="0.3">
      <c r="A2193" s="3" t="s">
        <v>27</v>
      </c>
      <c r="B2193" s="3" t="s">
        <v>980</v>
      </c>
      <c r="C2193" s="3" t="s">
        <v>87</v>
      </c>
      <c r="D2193" s="3" t="s">
        <v>30</v>
      </c>
      <c r="E2193" s="3" t="s">
        <v>133</v>
      </c>
      <c r="F2193" s="3" t="b">
        <v>1</v>
      </c>
      <c r="G2193" s="3" t="s">
        <v>64</v>
      </c>
      <c r="H2193" s="6">
        <v>44953.836377314823</v>
      </c>
      <c r="I2193" s="3" t="b">
        <v>0</v>
      </c>
      <c r="J2193" s="3" t="b">
        <v>0</v>
      </c>
      <c r="K2193" s="3" t="s">
        <v>33</v>
      </c>
      <c r="L2193" s="3" t="s">
        <v>48</v>
      </c>
      <c r="M2193" s="8"/>
      <c r="N2193" s="11">
        <v>41.5</v>
      </c>
      <c r="O2193" s="3" t="s">
        <v>1796</v>
      </c>
      <c r="P2193" s="3" t="s">
        <v>5075</v>
      </c>
    </row>
    <row r="2194" spans="1:16" x14ac:dyDescent="0.3">
      <c r="A2194" s="3" t="s">
        <v>27</v>
      </c>
      <c r="B2194" s="3" t="s">
        <v>27</v>
      </c>
      <c r="C2194" s="3" t="s">
        <v>3349</v>
      </c>
      <c r="D2194" s="3" t="s">
        <v>53</v>
      </c>
      <c r="E2194" s="3" t="s">
        <v>133</v>
      </c>
      <c r="F2194" s="3" t="b">
        <v>0</v>
      </c>
      <c r="G2194" s="3" t="s">
        <v>64</v>
      </c>
      <c r="H2194" s="6">
        <v>44944.961655092593</v>
      </c>
      <c r="I2194" s="3" t="b">
        <v>0</v>
      </c>
      <c r="J2194" s="3" t="b">
        <v>0</v>
      </c>
      <c r="K2194" s="3" t="s">
        <v>33</v>
      </c>
      <c r="L2194" s="3" t="s">
        <v>48</v>
      </c>
      <c r="M2194" s="8"/>
      <c r="N2194" s="11">
        <v>55</v>
      </c>
      <c r="O2194" s="3" t="s">
        <v>5078</v>
      </c>
      <c r="P2194" s="3" t="s">
        <v>5079</v>
      </c>
    </row>
    <row r="2195" spans="1:16" x14ac:dyDescent="0.3">
      <c r="A2195" s="3" t="s">
        <v>27</v>
      </c>
      <c r="B2195" s="3" t="s">
        <v>100</v>
      </c>
      <c r="C2195" s="3" t="s">
        <v>491</v>
      </c>
      <c r="D2195" s="3" t="s">
        <v>287</v>
      </c>
      <c r="E2195" s="3" t="s">
        <v>31</v>
      </c>
      <c r="F2195" s="3" t="b">
        <v>0</v>
      </c>
      <c r="G2195" s="3" t="s">
        <v>110</v>
      </c>
      <c r="H2195" s="6">
        <v>44931.996412037042</v>
      </c>
      <c r="I2195" s="3" t="b">
        <v>0</v>
      </c>
      <c r="J2195" s="3" t="b">
        <v>1</v>
      </c>
      <c r="K2195" s="3" t="s">
        <v>110</v>
      </c>
      <c r="L2195" s="3" t="s">
        <v>34</v>
      </c>
      <c r="M2195" s="8">
        <v>171430</v>
      </c>
      <c r="N2195" s="11"/>
      <c r="O2195" s="3" t="s">
        <v>5080</v>
      </c>
      <c r="P2195" s="3" t="s">
        <v>347</v>
      </c>
    </row>
    <row r="2196" spans="1:16" x14ac:dyDescent="0.3">
      <c r="A2196" s="3" t="s">
        <v>27</v>
      </c>
      <c r="B2196" s="3" t="s">
        <v>1622</v>
      </c>
      <c r="C2196" s="3" t="s">
        <v>305</v>
      </c>
      <c r="D2196" s="3" t="s">
        <v>76</v>
      </c>
      <c r="E2196" s="3" t="s">
        <v>31</v>
      </c>
      <c r="F2196" s="3" t="b">
        <v>0</v>
      </c>
      <c r="G2196" s="3" t="s">
        <v>32</v>
      </c>
      <c r="H2196" s="6">
        <v>44931.877557870372</v>
      </c>
      <c r="I2196" s="3" t="b">
        <v>0</v>
      </c>
      <c r="J2196" s="3" t="b">
        <v>1</v>
      </c>
      <c r="K2196" s="3" t="s">
        <v>33</v>
      </c>
      <c r="L2196" s="3" t="s">
        <v>34</v>
      </c>
      <c r="M2196" s="8">
        <v>126650</v>
      </c>
      <c r="N2196" s="11"/>
      <c r="O2196" s="3" t="s">
        <v>784</v>
      </c>
      <c r="P2196" s="3" t="s">
        <v>347</v>
      </c>
    </row>
    <row r="2197" spans="1:16" x14ac:dyDescent="0.3">
      <c r="A2197" s="3" t="s">
        <v>27</v>
      </c>
      <c r="B2197" s="3" t="s">
        <v>27</v>
      </c>
      <c r="C2197" s="3" t="s">
        <v>87</v>
      </c>
      <c r="D2197" s="3" t="s">
        <v>30</v>
      </c>
      <c r="E2197" s="3" t="s">
        <v>133</v>
      </c>
      <c r="F2197" s="3" t="b">
        <v>1</v>
      </c>
      <c r="G2197" s="3" t="s">
        <v>58</v>
      </c>
      <c r="H2197" s="6">
        <v>44935.794965277782</v>
      </c>
      <c r="I2197" s="3" t="b">
        <v>0</v>
      </c>
      <c r="J2197" s="3" t="b">
        <v>1</v>
      </c>
      <c r="K2197" s="3" t="s">
        <v>33</v>
      </c>
      <c r="L2197" s="3" t="s">
        <v>34</v>
      </c>
      <c r="M2197" s="8">
        <v>157500</v>
      </c>
      <c r="N2197" s="11"/>
      <c r="O2197" s="3" t="s">
        <v>5084</v>
      </c>
      <c r="P2197" s="3" t="s">
        <v>932</v>
      </c>
    </row>
    <row r="2198" spans="1:16" x14ac:dyDescent="0.3">
      <c r="A2198" s="3" t="s">
        <v>27</v>
      </c>
      <c r="B2198" s="3" t="s">
        <v>27</v>
      </c>
      <c r="C2198" s="3" t="s">
        <v>3349</v>
      </c>
      <c r="D2198" s="3" t="s">
        <v>30</v>
      </c>
      <c r="E2198" s="3" t="s">
        <v>31</v>
      </c>
      <c r="F2198" s="3" t="b">
        <v>0</v>
      </c>
      <c r="G2198" s="3" t="s">
        <v>140</v>
      </c>
      <c r="H2198" s="6">
        <v>44957.606168981481</v>
      </c>
      <c r="I2198" s="3" t="b">
        <v>0</v>
      </c>
      <c r="J2198" s="3" t="b">
        <v>0</v>
      </c>
      <c r="K2198" s="3" t="s">
        <v>33</v>
      </c>
      <c r="L2198" s="3" t="s">
        <v>48</v>
      </c>
      <c r="M2198" s="8"/>
      <c r="N2198" s="11">
        <v>70</v>
      </c>
      <c r="O2198" s="3" t="s">
        <v>589</v>
      </c>
      <c r="P2198" s="3" t="s">
        <v>5089</v>
      </c>
    </row>
    <row r="2199" spans="1:16" x14ac:dyDescent="0.3">
      <c r="A2199" s="3" t="s">
        <v>27</v>
      </c>
      <c r="B2199" s="3" t="s">
        <v>5092</v>
      </c>
      <c r="C2199" s="3" t="s">
        <v>947</v>
      </c>
      <c r="D2199" s="3" t="s">
        <v>76</v>
      </c>
      <c r="E2199" s="3" t="s">
        <v>31</v>
      </c>
      <c r="F2199" s="3" t="b">
        <v>0</v>
      </c>
      <c r="G2199" s="3" t="s">
        <v>64</v>
      </c>
      <c r="H2199" s="6">
        <v>44936.930335648147</v>
      </c>
      <c r="I2199" s="3" t="b">
        <v>0</v>
      </c>
      <c r="J2199" s="3" t="b">
        <v>1</v>
      </c>
      <c r="K2199" s="3" t="s">
        <v>33</v>
      </c>
      <c r="L2199" s="3" t="s">
        <v>34</v>
      </c>
      <c r="M2199" s="8">
        <v>105000</v>
      </c>
      <c r="N2199" s="11"/>
      <c r="O2199" s="3" t="s">
        <v>158</v>
      </c>
      <c r="P2199" s="3" t="s">
        <v>5093</v>
      </c>
    </row>
    <row r="2200" spans="1:16" x14ac:dyDescent="0.3">
      <c r="A2200" s="3" t="s">
        <v>27</v>
      </c>
      <c r="B2200" s="3" t="s">
        <v>27</v>
      </c>
      <c r="C2200" s="3" t="s">
        <v>1524</v>
      </c>
      <c r="D2200" s="3" t="s">
        <v>76</v>
      </c>
      <c r="E2200" s="3" t="s">
        <v>31</v>
      </c>
      <c r="F2200" s="3" t="b">
        <v>0</v>
      </c>
      <c r="G2200" s="3" t="s">
        <v>58</v>
      </c>
      <c r="H2200" s="6">
        <v>44930.586550925917</v>
      </c>
      <c r="I2200" s="3" t="b">
        <v>0</v>
      </c>
      <c r="J2200" s="3" t="b">
        <v>0</v>
      </c>
      <c r="K2200" s="3" t="s">
        <v>33</v>
      </c>
      <c r="L2200" s="3" t="s">
        <v>34</v>
      </c>
      <c r="M2200" s="8">
        <v>120000.5</v>
      </c>
      <c r="N2200" s="11"/>
      <c r="O2200" s="3" t="s">
        <v>462</v>
      </c>
      <c r="P2200" s="3" t="s">
        <v>463</v>
      </c>
    </row>
    <row r="2201" spans="1:16" x14ac:dyDescent="0.3">
      <c r="A2201" s="3" t="s">
        <v>27</v>
      </c>
      <c r="B2201" s="3" t="s">
        <v>27</v>
      </c>
      <c r="C2201" s="3" t="s">
        <v>1083</v>
      </c>
      <c r="D2201" s="3" t="s">
        <v>188</v>
      </c>
      <c r="E2201" s="3" t="s">
        <v>31</v>
      </c>
      <c r="F2201" s="3" t="b">
        <v>0</v>
      </c>
      <c r="G2201" s="3" t="s">
        <v>84</v>
      </c>
      <c r="H2201" s="6">
        <v>44949.961944444447</v>
      </c>
      <c r="I2201" s="3" t="b">
        <v>0</v>
      </c>
      <c r="J2201" s="3" t="b">
        <v>0</v>
      </c>
      <c r="K2201" s="3" t="s">
        <v>33</v>
      </c>
      <c r="L2201" s="3" t="s">
        <v>34</v>
      </c>
      <c r="M2201" s="8">
        <v>70000</v>
      </c>
      <c r="N2201" s="11"/>
      <c r="O2201" s="3" t="s">
        <v>189</v>
      </c>
      <c r="P2201" s="3"/>
    </row>
    <row r="2202" spans="1:16" x14ac:dyDescent="0.3">
      <c r="A2202" s="3" t="s">
        <v>27</v>
      </c>
      <c r="B2202" s="3" t="s">
        <v>3035</v>
      </c>
      <c r="C2202" s="3" t="s">
        <v>87</v>
      </c>
      <c r="D2202" s="3" t="s">
        <v>263</v>
      </c>
      <c r="E2202" s="3" t="s">
        <v>1861</v>
      </c>
      <c r="F2202" s="3" t="b">
        <v>1</v>
      </c>
      <c r="G2202" s="3" t="s">
        <v>110</v>
      </c>
      <c r="H2202" s="6">
        <v>44950.333356481482</v>
      </c>
      <c r="I2202" s="3" t="b">
        <v>0</v>
      </c>
      <c r="J2202" s="3" t="b">
        <v>0</v>
      </c>
      <c r="K2202" s="3" t="s">
        <v>110</v>
      </c>
      <c r="L2202" s="3" t="s">
        <v>48</v>
      </c>
      <c r="M2202" s="8"/>
      <c r="N2202" s="11">
        <v>20.5</v>
      </c>
      <c r="O2202" s="3" t="s">
        <v>264</v>
      </c>
      <c r="P2202" s="3"/>
    </row>
    <row r="2203" spans="1:16" x14ac:dyDescent="0.3">
      <c r="A2203" s="3" t="s">
        <v>27</v>
      </c>
      <c r="B2203" s="3" t="s">
        <v>27</v>
      </c>
      <c r="C2203" s="3" t="s">
        <v>87</v>
      </c>
      <c r="D2203" s="3" t="s">
        <v>263</v>
      </c>
      <c r="E2203" s="3" t="s">
        <v>133</v>
      </c>
      <c r="F2203" s="3" t="b">
        <v>1</v>
      </c>
      <c r="G2203" s="3" t="s">
        <v>84</v>
      </c>
      <c r="H2203" s="6">
        <v>44953.296261574083</v>
      </c>
      <c r="I2203" s="3" t="b">
        <v>0</v>
      </c>
      <c r="J2203" s="3" t="b">
        <v>0</v>
      </c>
      <c r="K2203" s="3" t="s">
        <v>33</v>
      </c>
      <c r="L2203" s="3" t="s">
        <v>48</v>
      </c>
      <c r="M2203" s="8"/>
      <c r="N2203" s="11">
        <v>56.5</v>
      </c>
      <c r="O2203" s="3" t="s">
        <v>264</v>
      </c>
      <c r="P2203" s="3" t="s">
        <v>347</v>
      </c>
    </row>
    <row r="2204" spans="1:16" x14ac:dyDescent="0.3">
      <c r="A2204" s="3" t="s">
        <v>27</v>
      </c>
      <c r="B2204" s="3" t="s">
        <v>27</v>
      </c>
      <c r="C2204" s="3" t="s">
        <v>1573</v>
      </c>
      <c r="D2204" s="3" t="s">
        <v>76</v>
      </c>
      <c r="E2204" s="3" t="s">
        <v>31</v>
      </c>
      <c r="F2204" s="3" t="b">
        <v>0</v>
      </c>
      <c r="G2204" s="3" t="s">
        <v>32</v>
      </c>
      <c r="H2204" s="6">
        <v>44927.253194444442</v>
      </c>
      <c r="I2204" s="3" t="b">
        <v>0</v>
      </c>
      <c r="J2204" s="3" t="b">
        <v>1</v>
      </c>
      <c r="K2204" s="3" t="s">
        <v>33</v>
      </c>
      <c r="L2204" s="3" t="s">
        <v>34</v>
      </c>
      <c r="M2204" s="8">
        <v>125000</v>
      </c>
      <c r="N2204" s="11"/>
      <c r="O2204" s="3" t="s">
        <v>80</v>
      </c>
      <c r="P2204" s="3"/>
    </row>
    <row r="2205" spans="1:16" x14ac:dyDescent="0.3">
      <c r="A2205" s="3" t="s">
        <v>27</v>
      </c>
      <c r="B2205" s="3" t="s">
        <v>27</v>
      </c>
      <c r="C2205" s="3" t="s">
        <v>5113</v>
      </c>
      <c r="D2205" s="3" t="s">
        <v>93</v>
      </c>
      <c r="E2205" s="3" t="s">
        <v>31</v>
      </c>
      <c r="F2205" s="3" t="b">
        <v>0</v>
      </c>
      <c r="G2205" s="3" t="s">
        <v>64</v>
      </c>
      <c r="H2205" s="6">
        <v>44940.377395833333</v>
      </c>
      <c r="I2205" s="3" t="b">
        <v>0</v>
      </c>
      <c r="J2205" s="3" t="b">
        <v>0</v>
      </c>
      <c r="K2205" s="3" t="s">
        <v>33</v>
      </c>
      <c r="L2205" s="3" t="s">
        <v>34</v>
      </c>
      <c r="M2205" s="8">
        <v>150000</v>
      </c>
      <c r="N2205" s="11"/>
      <c r="O2205" s="3" t="s">
        <v>5114</v>
      </c>
      <c r="P2205" s="3" t="s">
        <v>5115</v>
      </c>
    </row>
    <row r="2206" spans="1:16" x14ac:dyDescent="0.3">
      <c r="A2206" s="3" t="s">
        <v>27</v>
      </c>
      <c r="B2206" s="3" t="s">
        <v>5127</v>
      </c>
      <c r="C2206" s="3" t="s">
        <v>97</v>
      </c>
      <c r="D2206" s="3" t="s">
        <v>76</v>
      </c>
      <c r="E2206" s="3" t="s">
        <v>31</v>
      </c>
      <c r="F2206" s="3" t="b">
        <v>0</v>
      </c>
      <c r="G2206" s="3" t="s">
        <v>32</v>
      </c>
      <c r="H2206" s="6">
        <v>44928.08666666667</v>
      </c>
      <c r="I2206" s="3" t="b">
        <v>0</v>
      </c>
      <c r="J2206" s="3" t="b">
        <v>0</v>
      </c>
      <c r="K2206" s="3" t="s">
        <v>33</v>
      </c>
      <c r="L2206" s="3" t="s">
        <v>34</v>
      </c>
      <c r="M2206" s="8">
        <v>210000</v>
      </c>
      <c r="N2206" s="11"/>
      <c r="O2206" s="3" t="s">
        <v>80</v>
      </c>
      <c r="P2206" s="3"/>
    </row>
    <row r="2207" spans="1:16" x14ac:dyDescent="0.3">
      <c r="A2207" s="3" t="s">
        <v>27</v>
      </c>
      <c r="B2207" s="3" t="s">
        <v>525</v>
      </c>
      <c r="C2207" s="3" t="s">
        <v>870</v>
      </c>
      <c r="D2207" s="3" t="s">
        <v>220</v>
      </c>
      <c r="E2207" s="3" t="s">
        <v>31</v>
      </c>
      <c r="F2207" s="3" t="b">
        <v>0</v>
      </c>
      <c r="G2207" s="3" t="s">
        <v>32</v>
      </c>
      <c r="H2207" s="6">
        <v>44942.389074074083</v>
      </c>
      <c r="I2207" s="3" t="b">
        <v>0</v>
      </c>
      <c r="J2207" s="3" t="b">
        <v>1</v>
      </c>
      <c r="K2207" s="3" t="s">
        <v>33</v>
      </c>
      <c r="L2207" s="3" t="s">
        <v>34</v>
      </c>
      <c r="M2207" s="8">
        <v>173550</v>
      </c>
      <c r="N2207" s="11"/>
      <c r="O2207" s="3" t="s">
        <v>5128</v>
      </c>
      <c r="P2207" s="3" t="s">
        <v>5129</v>
      </c>
    </row>
    <row r="2208" spans="1:16" x14ac:dyDescent="0.3">
      <c r="A2208" s="3" t="s">
        <v>27</v>
      </c>
      <c r="B2208" s="3" t="s">
        <v>27</v>
      </c>
      <c r="C2208" s="3"/>
      <c r="D2208" s="3" t="s">
        <v>30</v>
      </c>
      <c r="E2208" s="3" t="s">
        <v>133</v>
      </c>
      <c r="F2208" s="3" t="b">
        <v>0</v>
      </c>
      <c r="G2208" s="3" t="s">
        <v>84</v>
      </c>
      <c r="H2208" s="6">
        <v>44951.793136574073</v>
      </c>
      <c r="I2208" s="3" t="b">
        <v>0</v>
      </c>
      <c r="J2208" s="3" t="b">
        <v>1</v>
      </c>
      <c r="K2208" s="3" t="s">
        <v>33</v>
      </c>
      <c r="L2208" s="3" t="s">
        <v>34</v>
      </c>
      <c r="M2208" s="8">
        <v>130000</v>
      </c>
      <c r="N2208" s="11"/>
      <c r="O2208" s="3" t="s">
        <v>1123</v>
      </c>
      <c r="P2208" s="3" t="s">
        <v>4815</v>
      </c>
    </row>
    <row r="2209" spans="1:16" x14ac:dyDescent="0.3">
      <c r="A2209" s="3" t="s">
        <v>27</v>
      </c>
      <c r="B2209" s="3" t="s">
        <v>2003</v>
      </c>
      <c r="C2209" s="3" t="s">
        <v>33</v>
      </c>
      <c r="D2209" s="3" t="s">
        <v>41</v>
      </c>
      <c r="E2209" s="3" t="s">
        <v>31</v>
      </c>
      <c r="F2209" s="3" t="b">
        <v>0</v>
      </c>
      <c r="G2209" s="3" t="s">
        <v>58</v>
      </c>
      <c r="H2209" s="6">
        <v>44949.503391203703</v>
      </c>
      <c r="I2209" s="3" t="b">
        <v>0</v>
      </c>
      <c r="J2209" s="3" t="b">
        <v>0</v>
      </c>
      <c r="K2209" s="3" t="s">
        <v>33</v>
      </c>
      <c r="L2209" s="3" t="s">
        <v>34</v>
      </c>
      <c r="M2209" s="8">
        <v>207500</v>
      </c>
      <c r="N2209" s="11"/>
      <c r="O2209" s="3" t="s">
        <v>5137</v>
      </c>
      <c r="P2209" s="3" t="s">
        <v>347</v>
      </c>
    </row>
    <row r="2210" spans="1:16" x14ac:dyDescent="0.3">
      <c r="A2210" s="3" t="s">
        <v>27</v>
      </c>
      <c r="B2210" s="3" t="s">
        <v>5142</v>
      </c>
      <c r="C2210" s="3" t="s">
        <v>87</v>
      </c>
      <c r="D2210" s="3" t="s">
        <v>5143</v>
      </c>
      <c r="E2210" s="3" t="s">
        <v>31</v>
      </c>
      <c r="F2210" s="3" t="b">
        <v>1</v>
      </c>
      <c r="G2210" s="3" t="s">
        <v>84</v>
      </c>
      <c r="H2210" s="6">
        <v>44940.711956018517</v>
      </c>
      <c r="I2210" s="3" t="b">
        <v>0</v>
      </c>
      <c r="J2210" s="3" t="b">
        <v>1</v>
      </c>
      <c r="K2210" s="3" t="s">
        <v>33</v>
      </c>
      <c r="L2210" s="3" t="s">
        <v>34</v>
      </c>
      <c r="M2210" s="8">
        <v>110000</v>
      </c>
      <c r="N2210" s="11"/>
      <c r="O2210" s="3" t="s">
        <v>5144</v>
      </c>
      <c r="P2210" s="3" t="s">
        <v>5145</v>
      </c>
    </row>
    <row r="2211" spans="1:16" x14ac:dyDescent="0.3">
      <c r="A2211" s="3" t="s">
        <v>27</v>
      </c>
      <c r="B2211" s="3" t="s">
        <v>27</v>
      </c>
      <c r="C2211" s="3" t="s">
        <v>87</v>
      </c>
      <c r="D2211" s="3" t="s">
        <v>30</v>
      </c>
      <c r="E2211" s="3" t="s">
        <v>133</v>
      </c>
      <c r="F2211" s="3" t="b">
        <v>1</v>
      </c>
      <c r="G2211" s="3" t="s">
        <v>32</v>
      </c>
      <c r="H2211" s="6">
        <v>44944.667974537027</v>
      </c>
      <c r="I2211" s="3" t="b">
        <v>0</v>
      </c>
      <c r="J2211" s="3" t="b">
        <v>1</v>
      </c>
      <c r="K2211" s="3" t="s">
        <v>33</v>
      </c>
      <c r="L2211" s="3" t="s">
        <v>48</v>
      </c>
      <c r="M2211" s="8"/>
      <c r="N2211" s="11">
        <v>77</v>
      </c>
      <c r="O2211" s="3" t="s">
        <v>5151</v>
      </c>
      <c r="P2211" s="3" t="s">
        <v>5152</v>
      </c>
    </row>
    <row r="2212" spans="1:16" x14ac:dyDescent="0.3">
      <c r="A2212" s="3" t="s">
        <v>27</v>
      </c>
      <c r="B2212" s="3" t="s">
        <v>5155</v>
      </c>
      <c r="C2212" s="3" t="s">
        <v>1201</v>
      </c>
      <c r="D2212" s="3" t="s">
        <v>106</v>
      </c>
      <c r="E2212" s="3" t="s">
        <v>31</v>
      </c>
      <c r="F2212" s="3" t="b">
        <v>0</v>
      </c>
      <c r="G2212" s="3" t="s">
        <v>32</v>
      </c>
      <c r="H2212" s="6">
        <v>44932.127557870372</v>
      </c>
      <c r="I2212" s="3" t="b">
        <v>0</v>
      </c>
      <c r="J2212" s="3" t="b">
        <v>1</v>
      </c>
      <c r="K2212" s="3" t="s">
        <v>33</v>
      </c>
      <c r="L2212" s="3" t="s">
        <v>34</v>
      </c>
      <c r="M2212" s="8">
        <v>191000</v>
      </c>
      <c r="N2212" s="11"/>
      <c r="O2212" s="3" t="s">
        <v>665</v>
      </c>
      <c r="P2212" s="3" t="s">
        <v>5156</v>
      </c>
    </row>
    <row r="2213" spans="1:16" x14ac:dyDescent="0.3">
      <c r="A2213" s="3" t="s">
        <v>27</v>
      </c>
      <c r="B2213" s="3" t="s">
        <v>5159</v>
      </c>
      <c r="C2213" s="3" t="s">
        <v>87</v>
      </c>
      <c r="D2213" s="3" t="s">
        <v>263</v>
      </c>
      <c r="E2213" s="3" t="s">
        <v>133</v>
      </c>
      <c r="F2213" s="3" t="b">
        <v>1</v>
      </c>
      <c r="G2213" s="3" t="s">
        <v>58</v>
      </c>
      <c r="H2213" s="6">
        <v>44928.253807870373</v>
      </c>
      <c r="I2213" s="3" t="b">
        <v>0</v>
      </c>
      <c r="J2213" s="3" t="b">
        <v>0</v>
      </c>
      <c r="K2213" s="3" t="s">
        <v>33</v>
      </c>
      <c r="L2213" s="3" t="s">
        <v>48</v>
      </c>
      <c r="M2213" s="8"/>
      <c r="N2213" s="11">
        <v>20</v>
      </c>
      <c r="O2213" s="3" t="s">
        <v>264</v>
      </c>
      <c r="P2213" s="3"/>
    </row>
    <row r="2214" spans="1:16" x14ac:dyDescent="0.3">
      <c r="A2214" s="3" t="s">
        <v>27</v>
      </c>
      <c r="B2214" s="3" t="s">
        <v>5164</v>
      </c>
      <c r="C2214" s="3" t="s">
        <v>164</v>
      </c>
      <c r="D2214" s="3" t="s">
        <v>712</v>
      </c>
      <c r="E2214" s="3" t="s">
        <v>31</v>
      </c>
      <c r="F2214" s="3" t="b">
        <v>0</v>
      </c>
      <c r="G2214" s="3" t="s">
        <v>64</v>
      </c>
      <c r="H2214" s="6">
        <v>44933.668032407397</v>
      </c>
      <c r="I2214" s="3" t="b">
        <v>0</v>
      </c>
      <c r="J2214" s="3" t="b">
        <v>1</v>
      </c>
      <c r="K2214" s="3" t="s">
        <v>33</v>
      </c>
      <c r="L2214" s="3" t="s">
        <v>34</v>
      </c>
      <c r="M2214" s="8">
        <v>157000</v>
      </c>
      <c r="N2214" s="11"/>
      <c r="O2214" s="3" t="s">
        <v>3531</v>
      </c>
      <c r="P2214" s="3" t="s">
        <v>2153</v>
      </c>
    </row>
    <row r="2215" spans="1:16" x14ac:dyDescent="0.3">
      <c r="A2215" s="3" t="s">
        <v>27</v>
      </c>
      <c r="B2215" s="3" t="s">
        <v>5174</v>
      </c>
      <c r="C2215" s="3" t="s">
        <v>2197</v>
      </c>
      <c r="D2215" s="3" t="s">
        <v>41</v>
      </c>
      <c r="E2215" s="3" t="s">
        <v>31</v>
      </c>
      <c r="F2215" s="3" t="b">
        <v>0</v>
      </c>
      <c r="G2215" s="3" t="s">
        <v>1252</v>
      </c>
      <c r="H2215" s="6">
        <v>44956.471736111111</v>
      </c>
      <c r="I2215" s="3" t="b">
        <v>0</v>
      </c>
      <c r="J2215" s="3" t="b">
        <v>0</v>
      </c>
      <c r="K2215" s="3" t="s">
        <v>1252</v>
      </c>
      <c r="L2215" s="3" t="s">
        <v>34</v>
      </c>
      <c r="M2215" s="8">
        <v>157500</v>
      </c>
      <c r="N2215" s="11"/>
      <c r="O2215" s="3" t="s">
        <v>5175</v>
      </c>
      <c r="P2215" s="3" t="s">
        <v>5176</v>
      </c>
    </row>
    <row r="2216" spans="1:16" x14ac:dyDescent="0.3">
      <c r="A2216" s="3" t="s">
        <v>27</v>
      </c>
      <c r="B2216" s="3" t="s">
        <v>5181</v>
      </c>
      <c r="C2216" s="3" t="s">
        <v>800</v>
      </c>
      <c r="D2216" s="3" t="s">
        <v>1013</v>
      </c>
      <c r="E2216" s="3" t="s">
        <v>31</v>
      </c>
      <c r="F2216" s="3" t="b">
        <v>0</v>
      </c>
      <c r="G2216" s="3" t="s">
        <v>110</v>
      </c>
      <c r="H2216" s="6">
        <v>44927.716990740737</v>
      </c>
      <c r="I2216" s="3" t="b">
        <v>0</v>
      </c>
      <c r="J2216" s="3" t="b">
        <v>1</v>
      </c>
      <c r="K2216" s="3" t="s">
        <v>110</v>
      </c>
      <c r="L2216" s="3" t="s">
        <v>34</v>
      </c>
      <c r="M2216" s="8">
        <v>129982</v>
      </c>
      <c r="N2216" s="11"/>
      <c r="O2216" s="3" t="s">
        <v>5182</v>
      </c>
      <c r="P2216" s="3" t="s">
        <v>5183</v>
      </c>
    </row>
    <row r="2217" spans="1:16" x14ac:dyDescent="0.3">
      <c r="A2217" s="3" t="s">
        <v>27</v>
      </c>
      <c r="B2217" s="3" t="s">
        <v>27</v>
      </c>
      <c r="C2217" s="3" t="s">
        <v>87</v>
      </c>
      <c r="D2217" s="3" t="s">
        <v>30</v>
      </c>
      <c r="E2217" s="3" t="s">
        <v>31</v>
      </c>
      <c r="F2217" s="3" t="b">
        <v>1</v>
      </c>
      <c r="G2217" s="3" t="s">
        <v>110</v>
      </c>
      <c r="H2217" s="6">
        <v>44936.668287037042</v>
      </c>
      <c r="I2217" s="3" t="b">
        <v>0</v>
      </c>
      <c r="J2217" s="3" t="b">
        <v>1</v>
      </c>
      <c r="K2217" s="3" t="s">
        <v>110</v>
      </c>
      <c r="L2217" s="3" t="s">
        <v>34</v>
      </c>
      <c r="M2217" s="8">
        <v>140000</v>
      </c>
      <c r="N2217" s="11"/>
      <c r="O2217" s="3" t="s">
        <v>327</v>
      </c>
      <c r="P2217" s="3" t="s">
        <v>932</v>
      </c>
    </row>
    <row r="2218" spans="1:16" x14ac:dyDescent="0.3">
      <c r="A2218" s="3" t="s">
        <v>27</v>
      </c>
      <c r="B2218" s="3" t="s">
        <v>27</v>
      </c>
      <c r="C2218" s="3" t="s">
        <v>1458</v>
      </c>
      <c r="D2218" s="3" t="s">
        <v>93</v>
      </c>
      <c r="E2218" s="3" t="s">
        <v>31</v>
      </c>
      <c r="F2218" s="3" t="b">
        <v>0</v>
      </c>
      <c r="G2218" s="3" t="s">
        <v>32</v>
      </c>
      <c r="H2218" s="6">
        <v>44937.180636574078</v>
      </c>
      <c r="I2218" s="3" t="b">
        <v>0</v>
      </c>
      <c r="J2218" s="3" t="b">
        <v>1</v>
      </c>
      <c r="K2218" s="3" t="s">
        <v>33</v>
      </c>
      <c r="L2218" s="3" t="s">
        <v>34</v>
      </c>
      <c r="M2218" s="8">
        <v>150000</v>
      </c>
      <c r="N2218" s="11"/>
      <c r="O2218" s="3" t="s">
        <v>5193</v>
      </c>
      <c r="P2218" s="3" t="s">
        <v>5194</v>
      </c>
    </row>
    <row r="2219" spans="1:16" x14ac:dyDescent="0.3">
      <c r="A2219" s="3" t="s">
        <v>27</v>
      </c>
      <c r="B2219" s="3" t="s">
        <v>5195</v>
      </c>
      <c r="C2219" s="3" t="s">
        <v>5196</v>
      </c>
      <c r="D2219" s="3" t="s">
        <v>76</v>
      </c>
      <c r="E2219" s="3" t="s">
        <v>31</v>
      </c>
      <c r="F2219" s="3" t="b">
        <v>0</v>
      </c>
      <c r="G2219" s="3" t="s">
        <v>140</v>
      </c>
      <c r="H2219" s="6">
        <v>44945.828344907408</v>
      </c>
      <c r="I2219" s="3" t="b">
        <v>0</v>
      </c>
      <c r="J2219" s="3" t="b">
        <v>1</v>
      </c>
      <c r="K2219" s="3" t="s">
        <v>33</v>
      </c>
      <c r="L2219" s="3" t="s">
        <v>34</v>
      </c>
      <c r="M2219" s="8">
        <v>165000</v>
      </c>
      <c r="N2219" s="11"/>
      <c r="O2219" s="3" t="s">
        <v>5197</v>
      </c>
      <c r="P2219" s="3" t="s">
        <v>1255</v>
      </c>
    </row>
    <row r="2220" spans="1:16" x14ac:dyDescent="0.3">
      <c r="A2220" s="3" t="s">
        <v>27</v>
      </c>
      <c r="B2220" s="3" t="s">
        <v>5198</v>
      </c>
      <c r="C2220" s="3" t="s">
        <v>2241</v>
      </c>
      <c r="D2220" s="3" t="s">
        <v>30</v>
      </c>
      <c r="E2220" s="3" t="s">
        <v>31</v>
      </c>
      <c r="F2220" s="3" t="b">
        <v>0</v>
      </c>
      <c r="G2220" s="3" t="s">
        <v>64</v>
      </c>
      <c r="H2220" s="6">
        <v>44945.80572916667</v>
      </c>
      <c r="I2220" s="3" t="b">
        <v>0</v>
      </c>
      <c r="J2220" s="3" t="b">
        <v>1</v>
      </c>
      <c r="K2220" s="3" t="s">
        <v>33</v>
      </c>
      <c r="L2220" s="3" t="s">
        <v>34</v>
      </c>
      <c r="M2220" s="8">
        <v>122500</v>
      </c>
      <c r="N2220" s="11"/>
      <c r="O2220" s="3" t="s">
        <v>5199</v>
      </c>
      <c r="P2220" s="3" t="s">
        <v>979</v>
      </c>
    </row>
    <row r="2221" spans="1:16" x14ac:dyDescent="0.3">
      <c r="A2221" s="3" t="s">
        <v>27</v>
      </c>
      <c r="B2221" s="3" t="s">
        <v>5215</v>
      </c>
      <c r="C2221" s="3" t="s">
        <v>87</v>
      </c>
      <c r="D2221" s="3" t="s">
        <v>126</v>
      </c>
      <c r="E2221" s="3" t="s">
        <v>31</v>
      </c>
      <c r="F2221" s="3" t="b">
        <v>1</v>
      </c>
      <c r="G2221" s="3" t="s">
        <v>64</v>
      </c>
      <c r="H2221" s="6">
        <v>44932.960833333331</v>
      </c>
      <c r="I2221" s="3" t="b">
        <v>0</v>
      </c>
      <c r="J2221" s="3" t="b">
        <v>0</v>
      </c>
      <c r="K2221" s="3" t="s">
        <v>33</v>
      </c>
      <c r="L2221" s="3" t="s">
        <v>34</v>
      </c>
      <c r="M2221" s="8">
        <v>112500</v>
      </c>
      <c r="N2221" s="11"/>
      <c r="O2221" s="3" t="s">
        <v>5216</v>
      </c>
      <c r="P2221" s="3" t="s">
        <v>5217</v>
      </c>
    </row>
    <row r="2222" spans="1:16" x14ac:dyDescent="0.3">
      <c r="A2222" s="3" t="s">
        <v>27</v>
      </c>
      <c r="B2222" s="3" t="s">
        <v>5221</v>
      </c>
      <c r="C2222" s="3" t="s">
        <v>87</v>
      </c>
      <c r="D2222" s="3" t="s">
        <v>867</v>
      </c>
      <c r="E2222" s="3" t="s">
        <v>31</v>
      </c>
      <c r="F2222" s="3" t="b">
        <v>1</v>
      </c>
      <c r="G2222" s="3" t="s">
        <v>58</v>
      </c>
      <c r="H2222" s="6">
        <v>44949.00340277778</v>
      </c>
      <c r="I2222" s="3" t="b">
        <v>0</v>
      </c>
      <c r="J2222" s="3" t="b">
        <v>1</v>
      </c>
      <c r="K2222" s="3" t="s">
        <v>33</v>
      </c>
      <c r="L2222" s="3" t="s">
        <v>48</v>
      </c>
      <c r="M2222" s="8"/>
      <c r="N2222" s="11">
        <v>46.25</v>
      </c>
      <c r="O2222" s="3" t="s">
        <v>5222</v>
      </c>
      <c r="P2222" s="3" t="s">
        <v>2527</v>
      </c>
    </row>
    <row r="2223" spans="1:16" x14ac:dyDescent="0.3">
      <c r="A2223" s="3" t="s">
        <v>27</v>
      </c>
      <c r="B2223" s="3" t="s">
        <v>5232</v>
      </c>
      <c r="C2223" s="3" t="s">
        <v>87</v>
      </c>
      <c r="D2223" s="3" t="s">
        <v>1013</v>
      </c>
      <c r="E2223" s="3" t="s">
        <v>31</v>
      </c>
      <c r="F2223" s="3" t="b">
        <v>1</v>
      </c>
      <c r="G2223" s="3" t="s">
        <v>58</v>
      </c>
      <c r="H2223" s="6">
        <v>44954.212395833332</v>
      </c>
      <c r="I2223" s="3" t="b">
        <v>0</v>
      </c>
      <c r="J2223" s="3" t="b">
        <v>1</v>
      </c>
      <c r="K2223" s="3" t="s">
        <v>33</v>
      </c>
      <c r="L2223" s="3" t="s">
        <v>34</v>
      </c>
      <c r="M2223" s="8">
        <v>190000</v>
      </c>
      <c r="N2223" s="11"/>
      <c r="O2223" s="3" t="s">
        <v>5233</v>
      </c>
      <c r="P2223" s="3" t="s">
        <v>5234</v>
      </c>
    </row>
    <row r="2224" spans="1:16" x14ac:dyDescent="0.3">
      <c r="A2224" s="3" t="s">
        <v>27</v>
      </c>
      <c r="B2224" s="3" t="s">
        <v>27</v>
      </c>
      <c r="C2224" s="3" t="s">
        <v>87</v>
      </c>
      <c r="D2224" s="3" t="s">
        <v>53</v>
      </c>
      <c r="E2224" s="3" t="s">
        <v>133</v>
      </c>
      <c r="F2224" s="3" t="b">
        <v>1</v>
      </c>
      <c r="G2224" s="3" t="s">
        <v>32</v>
      </c>
      <c r="H2224" s="6">
        <v>44938.003437500003</v>
      </c>
      <c r="I2224" s="3" t="b">
        <v>0</v>
      </c>
      <c r="J2224" s="3" t="b">
        <v>0</v>
      </c>
      <c r="K2224" s="3" t="s">
        <v>33</v>
      </c>
      <c r="L2224" s="3" t="s">
        <v>48</v>
      </c>
      <c r="M2224" s="8"/>
      <c r="N2224" s="11">
        <v>80</v>
      </c>
      <c r="O2224" s="3" t="s">
        <v>5240</v>
      </c>
      <c r="P2224" s="3" t="s">
        <v>1834</v>
      </c>
    </row>
    <row r="2225" spans="1:16" x14ac:dyDescent="0.3">
      <c r="A2225" s="3" t="s">
        <v>27</v>
      </c>
      <c r="B2225" s="3" t="s">
        <v>27</v>
      </c>
      <c r="C2225" s="3" t="s">
        <v>4892</v>
      </c>
      <c r="D2225" s="3" t="s">
        <v>76</v>
      </c>
      <c r="E2225" s="3" t="s">
        <v>31</v>
      </c>
      <c r="F2225" s="3" t="b">
        <v>0</v>
      </c>
      <c r="G2225" s="3" t="s">
        <v>84</v>
      </c>
      <c r="H2225" s="6">
        <v>44950.504270833328</v>
      </c>
      <c r="I2225" s="3" t="b">
        <v>0</v>
      </c>
      <c r="J2225" s="3" t="b">
        <v>1</v>
      </c>
      <c r="K2225" s="3" t="s">
        <v>33</v>
      </c>
      <c r="L2225" s="3" t="s">
        <v>34</v>
      </c>
      <c r="M2225" s="8">
        <v>88393.5</v>
      </c>
      <c r="N2225" s="11"/>
      <c r="O2225" s="3" t="s">
        <v>4893</v>
      </c>
      <c r="P2225" s="3"/>
    </row>
    <row r="2226" spans="1:16" x14ac:dyDescent="0.3">
      <c r="A2226" s="3" t="s">
        <v>27</v>
      </c>
      <c r="B2226" s="3" t="s">
        <v>5242</v>
      </c>
      <c r="C2226" s="3" t="s">
        <v>495</v>
      </c>
      <c r="D2226" s="3" t="s">
        <v>1113</v>
      </c>
      <c r="E2226" s="3" t="s">
        <v>31</v>
      </c>
      <c r="F2226" s="3" t="b">
        <v>0</v>
      </c>
      <c r="G2226" s="3" t="s">
        <v>140</v>
      </c>
      <c r="H2226" s="6">
        <v>44957.939479166656</v>
      </c>
      <c r="I2226" s="3" t="b">
        <v>0</v>
      </c>
      <c r="J2226" s="3" t="b">
        <v>0</v>
      </c>
      <c r="K2226" s="3" t="s">
        <v>33</v>
      </c>
      <c r="L2226" s="3" t="s">
        <v>34</v>
      </c>
      <c r="M2226" s="8">
        <v>110000</v>
      </c>
      <c r="N2226" s="11"/>
      <c r="O2226" s="3" t="s">
        <v>5243</v>
      </c>
      <c r="P2226" s="3" t="s">
        <v>5244</v>
      </c>
    </row>
    <row r="2227" spans="1:16" x14ac:dyDescent="0.3">
      <c r="A2227" s="3" t="s">
        <v>27</v>
      </c>
      <c r="B2227" s="3" t="s">
        <v>27</v>
      </c>
      <c r="C2227" s="3" t="s">
        <v>87</v>
      </c>
      <c r="D2227" s="3" t="s">
        <v>76</v>
      </c>
      <c r="E2227" s="3" t="s">
        <v>133</v>
      </c>
      <c r="F2227" s="3" t="b">
        <v>1</v>
      </c>
      <c r="G2227" s="3" t="s">
        <v>58</v>
      </c>
      <c r="H2227" s="6">
        <v>44932.62840277778</v>
      </c>
      <c r="I2227" s="3" t="b">
        <v>0</v>
      </c>
      <c r="J2227" s="3" t="b">
        <v>0</v>
      </c>
      <c r="K2227" s="3" t="s">
        <v>33</v>
      </c>
      <c r="L2227" s="3" t="s">
        <v>48</v>
      </c>
      <c r="M2227" s="8"/>
      <c r="N2227" s="11">
        <v>72.5</v>
      </c>
      <c r="O2227" s="3" t="s">
        <v>5249</v>
      </c>
      <c r="P2227" s="3" t="s">
        <v>5250</v>
      </c>
    </row>
    <row r="2228" spans="1:16" x14ac:dyDescent="0.3">
      <c r="A2228" s="3" t="s">
        <v>27</v>
      </c>
      <c r="B2228" s="3" t="s">
        <v>5258</v>
      </c>
      <c r="C2228" s="3" t="s">
        <v>164</v>
      </c>
      <c r="D2228" s="3" t="s">
        <v>30</v>
      </c>
      <c r="E2228" s="3" t="s">
        <v>31</v>
      </c>
      <c r="F2228" s="3" t="b">
        <v>0</v>
      </c>
      <c r="G2228" s="3" t="s">
        <v>64</v>
      </c>
      <c r="H2228" s="6">
        <v>44931.585289351853</v>
      </c>
      <c r="I2228" s="3" t="b">
        <v>0</v>
      </c>
      <c r="J2228" s="3" t="b">
        <v>1</v>
      </c>
      <c r="K2228" s="3" t="s">
        <v>33</v>
      </c>
      <c r="L2228" s="3" t="s">
        <v>34</v>
      </c>
      <c r="M2228" s="8">
        <v>85132.5</v>
      </c>
      <c r="N2228" s="11"/>
      <c r="O2228" s="3" t="s">
        <v>3651</v>
      </c>
      <c r="P2228" s="3" t="s">
        <v>841</v>
      </c>
    </row>
    <row r="2229" spans="1:16" x14ac:dyDescent="0.3">
      <c r="A2229" s="3" t="s">
        <v>27</v>
      </c>
      <c r="B2229" s="3" t="s">
        <v>5264</v>
      </c>
      <c r="C2229" s="3" t="s">
        <v>79</v>
      </c>
      <c r="D2229" s="3" t="s">
        <v>76</v>
      </c>
      <c r="E2229" s="3" t="s">
        <v>31</v>
      </c>
      <c r="F2229" s="3" t="b">
        <v>0</v>
      </c>
      <c r="G2229" s="3" t="s">
        <v>110</v>
      </c>
      <c r="H2229" s="6">
        <v>44952.70239583333</v>
      </c>
      <c r="I2229" s="3" t="b">
        <v>0</v>
      </c>
      <c r="J2229" s="3" t="b">
        <v>1</v>
      </c>
      <c r="K2229" s="3" t="s">
        <v>110</v>
      </c>
      <c r="L2229" s="3" t="s">
        <v>34</v>
      </c>
      <c r="M2229" s="8">
        <v>142052</v>
      </c>
      <c r="N2229" s="11"/>
      <c r="O2229" s="3" t="s">
        <v>1530</v>
      </c>
      <c r="P2229" s="3"/>
    </row>
    <row r="2230" spans="1:16" x14ac:dyDescent="0.3">
      <c r="A2230" s="3" t="s">
        <v>27</v>
      </c>
      <c r="B2230" s="3" t="s">
        <v>27</v>
      </c>
      <c r="C2230" s="3" t="s">
        <v>896</v>
      </c>
      <c r="D2230" s="3" t="s">
        <v>41</v>
      </c>
      <c r="E2230" s="3" t="s">
        <v>31</v>
      </c>
      <c r="F2230" s="3" t="b">
        <v>0</v>
      </c>
      <c r="G2230" s="3" t="s">
        <v>897</v>
      </c>
      <c r="H2230" s="6">
        <v>44949.705821759257</v>
      </c>
      <c r="I2230" s="3" t="b">
        <v>0</v>
      </c>
      <c r="J2230" s="3" t="b">
        <v>0</v>
      </c>
      <c r="K2230" s="3" t="s">
        <v>897</v>
      </c>
      <c r="L2230" s="3" t="s">
        <v>34</v>
      </c>
      <c r="M2230" s="8">
        <v>157500</v>
      </c>
      <c r="N2230" s="11"/>
      <c r="O2230" s="3" t="s">
        <v>5274</v>
      </c>
      <c r="P2230" s="3" t="s">
        <v>5275</v>
      </c>
    </row>
    <row r="2231" spans="1:16" x14ac:dyDescent="0.3">
      <c r="A2231" s="3" t="s">
        <v>27</v>
      </c>
      <c r="B2231" s="3" t="s">
        <v>5279</v>
      </c>
      <c r="C2231" s="3" t="s">
        <v>2039</v>
      </c>
      <c r="D2231" s="3" t="s">
        <v>41</v>
      </c>
      <c r="E2231" s="3" t="s">
        <v>31</v>
      </c>
      <c r="F2231" s="3" t="b">
        <v>0</v>
      </c>
      <c r="G2231" s="3" t="s">
        <v>651</v>
      </c>
      <c r="H2231" s="6">
        <v>44935.926134259258</v>
      </c>
      <c r="I2231" s="3" t="b">
        <v>0</v>
      </c>
      <c r="J2231" s="3" t="b">
        <v>0</v>
      </c>
      <c r="K2231" s="3" t="s">
        <v>651</v>
      </c>
      <c r="L2231" s="3" t="s">
        <v>34</v>
      </c>
      <c r="M2231" s="8">
        <v>64821.5</v>
      </c>
      <c r="N2231" s="11"/>
      <c r="O2231" s="3" t="s">
        <v>1077</v>
      </c>
      <c r="P2231" s="3" t="s">
        <v>5280</v>
      </c>
    </row>
    <row r="2232" spans="1:16" x14ac:dyDescent="0.3">
      <c r="A2232" s="3" t="s">
        <v>27</v>
      </c>
      <c r="B2232" s="3" t="s">
        <v>5292</v>
      </c>
      <c r="C2232" s="3" t="s">
        <v>5293</v>
      </c>
      <c r="D2232" s="3" t="s">
        <v>5294</v>
      </c>
      <c r="E2232" s="3" t="s">
        <v>31</v>
      </c>
      <c r="F2232" s="3" t="b">
        <v>0</v>
      </c>
      <c r="G2232" s="3" t="s">
        <v>58</v>
      </c>
      <c r="H2232" s="6">
        <v>44951.711539351847</v>
      </c>
      <c r="I2232" s="3" t="b">
        <v>0</v>
      </c>
      <c r="J2232" s="3" t="b">
        <v>0</v>
      </c>
      <c r="K2232" s="3" t="s">
        <v>33</v>
      </c>
      <c r="L2232" s="3" t="s">
        <v>34</v>
      </c>
      <c r="M2232" s="8">
        <v>145000</v>
      </c>
      <c r="N2232" s="11"/>
      <c r="O2232" s="3" t="s">
        <v>5295</v>
      </c>
      <c r="P2232" s="3" t="s">
        <v>5296</v>
      </c>
    </row>
    <row r="2233" spans="1:16" x14ac:dyDescent="0.3">
      <c r="A2233" s="3" t="s">
        <v>27</v>
      </c>
      <c r="B2233" s="3" t="s">
        <v>5297</v>
      </c>
      <c r="C2233" s="3" t="s">
        <v>87</v>
      </c>
      <c r="D2233" s="3" t="s">
        <v>263</v>
      </c>
      <c r="E2233" s="3" t="s">
        <v>133</v>
      </c>
      <c r="F2233" s="3" t="b">
        <v>1</v>
      </c>
      <c r="G2233" s="3" t="s">
        <v>84</v>
      </c>
      <c r="H2233" s="6">
        <v>44949.170370370368</v>
      </c>
      <c r="I2233" s="3" t="b">
        <v>0</v>
      </c>
      <c r="J2233" s="3" t="b">
        <v>0</v>
      </c>
      <c r="K2233" s="3" t="s">
        <v>33</v>
      </c>
      <c r="L2233" s="3" t="s">
        <v>48</v>
      </c>
      <c r="M2233" s="8"/>
      <c r="N2233" s="11">
        <v>40</v>
      </c>
      <c r="O2233" s="3" t="s">
        <v>264</v>
      </c>
      <c r="P2233" s="3" t="s">
        <v>5298</v>
      </c>
    </row>
    <row r="2234" spans="1:16" x14ac:dyDescent="0.3">
      <c r="A2234" s="3" t="s">
        <v>27</v>
      </c>
      <c r="B2234" s="3" t="s">
        <v>5299</v>
      </c>
      <c r="C2234" s="3" t="s">
        <v>270</v>
      </c>
      <c r="D2234" s="3" t="s">
        <v>76</v>
      </c>
      <c r="E2234" s="3" t="s">
        <v>31</v>
      </c>
      <c r="F2234" s="3" t="b">
        <v>0</v>
      </c>
      <c r="G2234" s="3" t="s">
        <v>32</v>
      </c>
      <c r="H2234" s="6">
        <v>44930.669479166667</v>
      </c>
      <c r="I2234" s="3" t="b">
        <v>0</v>
      </c>
      <c r="J2234" s="3" t="b">
        <v>0</v>
      </c>
      <c r="K2234" s="3" t="s">
        <v>33</v>
      </c>
      <c r="L2234" s="3" t="s">
        <v>48</v>
      </c>
      <c r="M2234" s="8"/>
      <c r="N2234" s="11">
        <v>70</v>
      </c>
      <c r="O2234" s="3" t="s">
        <v>5300</v>
      </c>
      <c r="P2234" s="3" t="s">
        <v>4756</v>
      </c>
    </row>
    <row r="2235" spans="1:16" x14ac:dyDescent="0.3">
      <c r="A2235" s="3" t="s">
        <v>27</v>
      </c>
      <c r="B2235" s="3" t="s">
        <v>2003</v>
      </c>
      <c r="C2235" s="3" t="s">
        <v>87</v>
      </c>
      <c r="D2235" s="3" t="s">
        <v>30</v>
      </c>
      <c r="E2235" s="3" t="s">
        <v>31</v>
      </c>
      <c r="F2235" s="3" t="b">
        <v>1</v>
      </c>
      <c r="G2235" s="3" t="s">
        <v>64</v>
      </c>
      <c r="H2235" s="6">
        <v>44937.586168981477</v>
      </c>
      <c r="I2235" s="3" t="b">
        <v>0</v>
      </c>
      <c r="J2235" s="3" t="b">
        <v>1</v>
      </c>
      <c r="K2235" s="3" t="s">
        <v>33</v>
      </c>
      <c r="L2235" s="3" t="s">
        <v>34</v>
      </c>
      <c r="M2235" s="8">
        <v>195000</v>
      </c>
      <c r="N2235" s="11"/>
      <c r="O2235" s="3" t="s">
        <v>196</v>
      </c>
      <c r="P2235" s="3" t="s">
        <v>841</v>
      </c>
    </row>
    <row r="2236" spans="1:16" x14ac:dyDescent="0.3">
      <c r="A2236" s="3" t="s">
        <v>27</v>
      </c>
      <c r="B2236" s="3" t="s">
        <v>5306</v>
      </c>
      <c r="C2236" s="3" t="s">
        <v>33</v>
      </c>
      <c r="D2236" s="3" t="s">
        <v>30</v>
      </c>
      <c r="E2236" s="3" t="s">
        <v>31</v>
      </c>
      <c r="F2236" s="3" t="b">
        <v>0</v>
      </c>
      <c r="G2236" s="3" t="s">
        <v>110</v>
      </c>
      <c r="H2236" s="6">
        <v>44938.682280092587</v>
      </c>
      <c r="I2236" s="3" t="b">
        <v>0</v>
      </c>
      <c r="J2236" s="3" t="b">
        <v>1</v>
      </c>
      <c r="K2236" s="3" t="s">
        <v>110</v>
      </c>
      <c r="L2236" s="3" t="s">
        <v>34</v>
      </c>
      <c r="M2236" s="8">
        <v>225000</v>
      </c>
      <c r="N2236" s="11"/>
      <c r="O2236" s="3" t="s">
        <v>614</v>
      </c>
      <c r="P2236" s="3"/>
    </row>
    <row r="2237" spans="1:16" x14ac:dyDescent="0.3">
      <c r="A2237" s="3" t="s">
        <v>27</v>
      </c>
      <c r="B2237" s="3" t="s">
        <v>5317</v>
      </c>
      <c r="C2237" s="3" t="s">
        <v>83</v>
      </c>
      <c r="D2237" s="3" t="s">
        <v>76</v>
      </c>
      <c r="E2237" s="3" t="s">
        <v>31</v>
      </c>
      <c r="F2237" s="3" t="b">
        <v>0</v>
      </c>
      <c r="G2237" s="3" t="s">
        <v>64</v>
      </c>
      <c r="H2237" s="6">
        <v>44938.795208333337</v>
      </c>
      <c r="I2237" s="3" t="b">
        <v>1</v>
      </c>
      <c r="J2237" s="3" t="b">
        <v>1</v>
      </c>
      <c r="K2237" s="3" t="s">
        <v>33</v>
      </c>
      <c r="L2237" s="3" t="s">
        <v>34</v>
      </c>
      <c r="M2237" s="8">
        <v>120000</v>
      </c>
      <c r="N2237" s="11"/>
      <c r="O2237" s="3" t="s">
        <v>5318</v>
      </c>
      <c r="P2237" s="3" t="s">
        <v>38</v>
      </c>
    </row>
    <row r="2238" spans="1:16" x14ac:dyDescent="0.3">
      <c r="A2238" s="3" t="s">
        <v>27</v>
      </c>
      <c r="B2238" s="3" t="s">
        <v>27</v>
      </c>
      <c r="C2238" s="3" t="s">
        <v>244</v>
      </c>
      <c r="D2238" s="3" t="s">
        <v>188</v>
      </c>
      <c r="E2238" s="3" t="s">
        <v>31</v>
      </c>
      <c r="F2238" s="3" t="b">
        <v>0</v>
      </c>
      <c r="G2238" s="3" t="s">
        <v>58</v>
      </c>
      <c r="H2238" s="6">
        <v>44957.752604166657</v>
      </c>
      <c r="I2238" s="3" t="b">
        <v>0</v>
      </c>
      <c r="J2238" s="3" t="b">
        <v>1</v>
      </c>
      <c r="K2238" s="3" t="s">
        <v>33</v>
      </c>
      <c r="L2238" s="3" t="s">
        <v>34</v>
      </c>
      <c r="M2238" s="8">
        <v>145000</v>
      </c>
      <c r="N2238" s="11"/>
      <c r="O2238" s="3" t="s">
        <v>5322</v>
      </c>
      <c r="P2238" s="3" t="s">
        <v>932</v>
      </c>
    </row>
    <row r="2239" spans="1:16" x14ac:dyDescent="0.3">
      <c r="A2239" s="3" t="s">
        <v>27</v>
      </c>
      <c r="B2239" s="3" t="s">
        <v>5338</v>
      </c>
      <c r="C2239" s="3" t="s">
        <v>718</v>
      </c>
      <c r="D2239" s="3" t="s">
        <v>719</v>
      </c>
      <c r="E2239" s="3" t="s">
        <v>31</v>
      </c>
      <c r="F2239" s="3" t="b">
        <v>0</v>
      </c>
      <c r="G2239" s="3" t="s">
        <v>58</v>
      </c>
      <c r="H2239" s="6">
        <v>44929.98159722222</v>
      </c>
      <c r="I2239" s="3" t="b">
        <v>0</v>
      </c>
      <c r="J2239" s="3" t="b">
        <v>0</v>
      </c>
      <c r="K2239" s="3" t="s">
        <v>33</v>
      </c>
      <c r="L2239" s="3" t="s">
        <v>48</v>
      </c>
      <c r="M2239" s="8"/>
      <c r="N2239" s="11">
        <v>24</v>
      </c>
      <c r="O2239" s="3" t="s">
        <v>4027</v>
      </c>
      <c r="P2239" s="3" t="s">
        <v>5339</v>
      </c>
    </row>
    <row r="2240" spans="1:16" x14ac:dyDescent="0.3">
      <c r="A2240" s="3" t="s">
        <v>27</v>
      </c>
      <c r="B2240" s="3" t="s">
        <v>27</v>
      </c>
      <c r="C2240" s="3" t="s">
        <v>1908</v>
      </c>
      <c r="D2240" s="3" t="s">
        <v>188</v>
      </c>
      <c r="E2240" s="3" t="s">
        <v>133</v>
      </c>
      <c r="F2240" s="3" t="b">
        <v>0</v>
      </c>
      <c r="G2240" s="3" t="s">
        <v>32</v>
      </c>
      <c r="H2240" s="6">
        <v>44953.795173611114</v>
      </c>
      <c r="I2240" s="3" t="b">
        <v>0</v>
      </c>
      <c r="J2240" s="3" t="b">
        <v>0</v>
      </c>
      <c r="K2240" s="3" t="s">
        <v>33</v>
      </c>
      <c r="L2240" s="3" t="s">
        <v>48</v>
      </c>
      <c r="M2240" s="8"/>
      <c r="N2240" s="11">
        <v>65</v>
      </c>
      <c r="O2240" s="3" t="s">
        <v>5350</v>
      </c>
      <c r="P2240" s="3"/>
    </row>
    <row r="2241" spans="1:16" x14ac:dyDescent="0.3">
      <c r="A2241" s="3" t="s">
        <v>27</v>
      </c>
      <c r="B2241" s="3" t="s">
        <v>5351</v>
      </c>
      <c r="C2241" s="3" t="s">
        <v>3349</v>
      </c>
      <c r="D2241" s="3" t="s">
        <v>5352</v>
      </c>
      <c r="E2241" s="3" t="s">
        <v>31</v>
      </c>
      <c r="F2241" s="3" t="b">
        <v>0</v>
      </c>
      <c r="G2241" s="3" t="s">
        <v>140</v>
      </c>
      <c r="H2241" s="6">
        <v>44949.000937500001</v>
      </c>
      <c r="I2241" s="3" t="b">
        <v>0</v>
      </c>
      <c r="J2241" s="3" t="b">
        <v>0</v>
      </c>
      <c r="K2241" s="3" t="s">
        <v>33</v>
      </c>
      <c r="L2241" s="3" t="s">
        <v>48</v>
      </c>
      <c r="M2241" s="8"/>
      <c r="N2241" s="11">
        <v>24</v>
      </c>
      <c r="O2241" s="3" t="s">
        <v>5353</v>
      </c>
      <c r="P2241" s="3"/>
    </row>
    <row r="2242" spans="1:16" x14ac:dyDescent="0.3">
      <c r="A2242" s="3" t="s">
        <v>27</v>
      </c>
      <c r="B2242" s="3" t="s">
        <v>5354</v>
      </c>
      <c r="C2242" s="3" t="s">
        <v>1368</v>
      </c>
      <c r="D2242" s="3" t="s">
        <v>41</v>
      </c>
      <c r="E2242" s="3" t="s">
        <v>31</v>
      </c>
      <c r="F2242" s="3" t="b">
        <v>0</v>
      </c>
      <c r="G2242" s="3" t="s">
        <v>88</v>
      </c>
      <c r="H2242" s="6">
        <v>44953.380636574067</v>
      </c>
      <c r="I2242" s="3" t="b">
        <v>1</v>
      </c>
      <c r="J2242" s="3" t="b">
        <v>0</v>
      </c>
      <c r="K2242" s="3" t="s">
        <v>33</v>
      </c>
      <c r="L2242" s="3" t="s">
        <v>34</v>
      </c>
      <c r="M2242" s="8">
        <v>90000</v>
      </c>
      <c r="N2242" s="11"/>
      <c r="O2242" s="3" t="s">
        <v>1164</v>
      </c>
      <c r="P2242" s="3" t="s">
        <v>5355</v>
      </c>
    </row>
    <row r="2243" spans="1:16" x14ac:dyDescent="0.3">
      <c r="A2243" s="3" t="s">
        <v>27</v>
      </c>
      <c r="B2243" s="3" t="s">
        <v>5356</v>
      </c>
      <c r="C2243" s="3" t="s">
        <v>87</v>
      </c>
      <c r="D2243" s="3" t="s">
        <v>940</v>
      </c>
      <c r="E2243" s="3" t="s">
        <v>31</v>
      </c>
      <c r="F2243" s="3" t="b">
        <v>1</v>
      </c>
      <c r="G2243" s="3" t="s">
        <v>32</v>
      </c>
      <c r="H2243" s="6">
        <v>44930.794409722221</v>
      </c>
      <c r="I2243" s="3" t="b">
        <v>0</v>
      </c>
      <c r="J2243" s="3" t="b">
        <v>1</v>
      </c>
      <c r="K2243" s="3" t="s">
        <v>33</v>
      </c>
      <c r="L2243" s="3" t="s">
        <v>34</v>
      </c>
      <c r="M2243" s="8">
        <v>235375</v>
      </c>
      <c r="N2243" s="11"/>
      <c r="O2243" s="3" t="s">
        <v>3266</v>
      </c>
      <c r="P2243" s="3" t="s">
        <v>661</v>
      </c>
    </row>
    <row r="2244" spans="1:16" x14ac:dyDescent="0.3">
      <c r="A2244" s="3" t="s">
        <v>27</v>
      </c>
      <c r="B2244" s="3" t="s">
        <v>525</v>
      </c>
      <c r="C2244" s="3" t="s">
        <v>1159</v>
      </c>
      <c r="D2244" s="3" t="s">
        <v>53</v>
      </c>
      <c r="E2244" s="3" t="s">
        <v>31</v>
      </c>
      <c r="F2244" s="3" t="b">
        <v>0</v>
      </c>
      <c r="G2244" s="3" t="s">
        <v>64</v>
      </c>
      <c r="H2244" s="6">
        <v>44956.585694444453</v>
      </c>
      <c r="I2244" s="3" t="b">
        <v>0</v>
      </c>
      <c r="J2244" s="3" t="b">
        <v>0</v>
      </c>
      <c r="K2244" s="3" t="s">
        <v>33</v>
      </c>
      <c r="L2244" s="3" t="s">
        <v>34</v>
      </c>
      <c r="M2244" s="8">
        <v>110000</v>
      </c>
      <c r="N2244" s="11"/>
      <c r="O2244" s="3" t="s">
        <v>1711</v>
      </c>
      <c r="P2244" s="3" t="s">
        <v>1712</v>
      </c>
    </row>
    <row r="2245" spans="1:16" x14ac:dyDescent="0.3">
      <c r="A2245" s="3" t="s">
        <v>27</v>
      </c>
      <c r="B2245" s="3" t="s">
        <v>1801</v>
      </c>
      <c r="C2245" s="3" t="s">
        <v>97</v>
      </c>
      <c r="D2245" s="3" t="s">
        <v>76</v>
      </c>
      <c r="E2245" s="3" t="s">
        <v>1861</v>
      </c>
      <c r="F2245" s="3" t="b">
        <v>0</v>
      </c>
      <c r="G2245" s="3" t="s">
        <v>32</v>
      </c>
      <c r="H2245" s="6">
        <v>44940.419548611113</v>
      </c>
      <c r="I2245" s="3" t="b">
        <v>0</v>
      </c>
      <c r="J2245" s="3" t="b">
        <v>1</v>
      </c>
      <c r="K2245" s="3" t="s">
        <v>33</v>
      </c>
      <c r="L2245" s="3" t="s">
        <v>34</v>
      </c>
      <c r="M2245" s="8">
        <v>114500</v>
      </c>
      <c r="N2245" s="11"/>
      <c r="O2245" s="3" t="s">
        <v>5366</v>
      </c>
      <c r="P2245" s="3" t="s">
        <v>5367</v>
      </c>
    </row>
    <row r="2246" spans="1:16" x14ac:dyDescent="0.3">
      <c r="A2246" s="3" t="s">
        <v>27</v>
      </c>
      <c r="B2246" s="3" t="s">
        <v>5373</v>
      </c>
      <c r="C2246" s="3"/>
      <c r="D2246" s="3" t="s">
        <v>30</v>
      </c>
      <c r="E2246" s="3" t="s">
        <v>31</v>
      </c>
      <c r="F2246" s="3" t="b">
        <v>0</v>
      </c>
      <c r="G2246" s="3" t="s">
        <v>64</v>
      </c>
      <c r="H2246" s="6">
        <v>44942.388333333343</v>
      </c>
      <c r="I2246" s="3" t="b">
        <v>0</v>
      </c>
      <c r="J2246" s="3" t="b">
        <v>1</v>
      </c>
      <c r="K2246" s="3" t="s">
        <v>33</v>
      </c>
      <c r="L2246" s="3" t="s">
        <v>34</v>
      </c>
      <c r="M2246" s="8">
        <v>195000</v>
      </c>
      <c r="N2246" s="11"/>
      <c r="O2246" s="3" t="s">
        <v>5374</v>
      </c>
      <c r="P2246" s="3"/>
    </row>
    <row r="2247" spans="1:16" x14ac:dyDescent="0.3">
      <c r="A2247" s="3" t="s">
        <v>27</v>
      </c>
      <c r="B2247" s="3" t="s">
        <v>257</v>
      </c>
      <c r="C2247" s="3" t="s">
        <v>305</v>
      </c>
      <c r="D2247" s="3" t="s">
        <v>41</v>
      </c>
      <c r="E2247" s="3" t="s">
        <v>31</v>
      </c>
      <c r="F2247" s="3" t="b">
        <v>0</v>
      </c>
      <c r="G2247" s="3" t="s">
        <v>32</v>
      </c>
      <c r="H2247" s="6">
        <v>44931.544166666667</v>
      </c>
      <c r="I2247" s="3" t="b">
        <v>0</v>
      </c>
      <c r="J2247" s="3" t="b">
        <v>1</v>
      </c>
      <c r="K2247" s="3" t="s">
        <v>33</v>
      </c>
      <c r="L2247" s="3" t="s">
        <v>34</v>
      </c>
      <c r="M2247" s="8">
        <v>157500</v>
      </c>
      <c r="N2247" s="11"/>
      <c r="O2247" s="3" t="s">
        <v>2154</v>
      </c>
      <c r="P2247" s="3" t="s">
        <v>5379</v>
      </c>
    </row>
    <row r="2248" spans="1:16" x14ac:dyDescent="0.3">
      <c r="A2248" s="3" t="s">
        <v>27</v>
      </c>
      <c r="B2248" s="3" t="s">
        <v>5382</v>
      </c>
      <c r="C2248" s="3" t="s">
        <v>1270</v>
      </c>
      <c r="D2248" s="3" t="s">
        <v>5383</v>
      </c>
      <c r="E2248" s="3" t="s">
        <v>31</v>
      </c>
      <c r="F2248" s="3" t="b">
        <v>0</v>
      </c>
      <c r="G2248" s="3" t="s">
        <v>88</v>
      </c>
      <c r="H2248" s="6">
        <v>44957.004236111112</v>
      </c>
      <c r="I2248" s="3" t="b">
        <v>0</v>
      </c>
      <c r="J2248" s="3" t="b">
        <v>0</v>
      </c>
      <c r="K2248" s="3" t="s">
        <v>33</v>
      </c>
      <c r="L2248" s="3" t="s">
        <v>34</v>
      </c>
      <c r="M2248" s="8">
        <v>124400</v>
      </c>
      <c r="N2248" s="11"/>
      <c r="O2248" s="3" t="s">
        <v>3014</v>
      </c>
      <c r="P2248" s="3" t="s">
        <v>5384</v>
      </c>
    </row>
    <row r="2249" spans="1:16" x14ac:dyDescent="0.3">
      <c r="A2249" s="3" t="s">
        <v>27</v>
      </c>
      <c r="B2249" s="3" t="s">
        <v>27</v>
      </c>
      <c r="C2249" s="3" t="s">
        <v>87</v>
      </c>
      <c r="D2249" s="3" t="s">
        <v>287</v>
      </c>
      <c r="E2249" s="3" t="s">
        <v>31</v>
      </c>
      <c r="F2249" s="3" t="b">
        <v>1</v>
      </c>
      <c r="G2249" s="3" t="s">
        <v>84</v>
      </c>
      <c r="H2249" s="6">
        <v>44953.004687499997</v>
      </c>
      <c r="I2249" s="3" t="b">
        <v>0</v>
      </c>
      <c r="J2249" s="3" t="b">
        <v>0</v>
      </c>
      <c r="K2249" s="3" t="s">
        <v>33</v>
      </c>
      <c r="L2249" s="3" t="s">
        <v>34</v>
      </c>
      <c r="M2249" s="8">
        <v>110000</v>
      </c>
      <c r="N2249" s="11"/>
      <c r="O2249" s="3" t="s">
        <v>5388</v>
      </c>
      <c r="P2249" s="3" t="s">
        <v>5389</v>
      </c>
    </row>
    <row r="2250" spans="1:16" x14ac:dyDescent="0.3">
      <c r="A2250" s="3" t="s">
        <v>27</v>
      </c>
      <c r="B2250" s="3" t="s">
        <v>977</v>
      </c>
      <c r="C2250" s="3" t="s">
        <v>87</v>
      </c>
      <c r="D2250" s="3" t="s">
        <v>30</v>
      </c>
      <c r="E2250" s="3" t="s">
        <v>31</v>
      </c>
      <c r="F2250" s="3" t="b">
        <v>1</v>
      </c>
      <c r="G2250" s="3" t="s">
        <v>58</v>
      </c>
      <c r="H2250" s="6">
        <v>44946.015439814822</v>
      </c>
      <c r="I2250" s="3" t="b">
        <v>0</v>
      </c>
      <c r="J2250" s="3" t="b">
        <v>0</v>
      </c>
      <c r="K2250" s="3" t="s">
        <v>33</v>
      </c>
      <c r="L2250" s="3" t="s">
        <v>34</v>
      </c>
      <c r="M2250" s="8">
        <v>185000</v>
      </c>
      <c r="N2250" s="11"/>
      <c r="O2250" s="3" t="s">
        <v>344</v>
      </c>
      <c r="P2250" s="3" t="s">
        <v>979</v>
      </c>
    </row>
    <row r="2251" spans="1:16" x14ac:dyDescent="0.3">
      <c r="A2251" s="3" t="s">
        <v>27</v>
      </c>
      <c r="B2251" s="3" t="s">
        <v>5402</v>
      </c>
      <c r="C2251" s="3" t="s">
        <v>40</v>
      </c>
      <c r="D2251" s="3" t="s">
        <v>41</v>
      </c>
      <c r="E2251" s="3" t="s">
        <v>31</v>
      </c>
      <c r="F2251" s="3" t="b">
        <v>0</v>
      </c>
      <c r="G2251" s="3" t="s">
        <v>42</v>
      </c>
      <c r="H2251" s="6">
        <v>44950.927233796298</v>
      </c>
      <c r="I2251" s="3" t="b">
        <v>0</v>
      </c>
      <c r="J2251" s="3" t="b">
        <v>0</v>
      </c>
      <c r="K2251" s="3" t="s">
        <v>42</v>
      </c>
      <c r="L2251" s="3" t="s">
        <v>34</v>
      </c>
      <c r="M2251" s="8">
        <v>56700</v>
      </c>
      <c r="N2251" s="11"/>
      <c r="O2251" s="3" t="s">
        <v>3414</v>
      </c>
      <c r="P2251" s="3" t="s">
        <v>846</v>
      </c>
    </row>
    <row r="2252" spans="1:16" x14ac:dyDescent="0.3">
      <c r="A2252" s="3" t="s">
        <v>27</v>
      </c>
      <c r="B2252" s="3" t="s">
        <v>5419</v>
      </c>
      <c r="C2252" s="3" t="s">
        <v>417</v>
      </c>
      <c r="D2252" s="3" t="s">
        <v>41</v>
      </c>
      <c r="E2252" s="3" t="s">
        <v>31</v>
      </c>
      <c r="F2252" s="3" t="b">
        <v>0</v>
      </c>
      <c r="G2252" s="3" t="s">
        <v>58</v>
      </c>
      <c r="H2252" s="6">
        <v>44951.294699074067</v>
      </c>
      <c r="I2252" s="3" t="b">
        <v>1</v>
      </c>
      <c r="J2252" s="3" t="b">
        <v>0</v>
      </c>
      <c r="K2252" s="3" t="s">
        <v>33</v>
      </c>
      <c r="L2252" s="3" t="s">
        <v>34</v>
      </c>
      <c r="M2252" s="8">
        <v>147500</v>
      </c>
      <c r="N2252" s="11"/>
      <c r="O2252" s="3" t="s">
        <v>4325</v>
      </c>
      <c r="P2252" s="3" t="s">
        <v>374</v>
      </c>
    </row>
    <row r="2253" spans="1:16" x14ac:dyDescent="0.3">
      <c r="A2253" s="3" t="s">
        <v>27</v>
      </c>
      <c r="B2253" s="3" t="s">
        <v>5425</v>
      </c>
      <c r="C2253" s="3" t="s">
        <v>1458</v>
      </c>
      <c r="D2253" s="3" t="s">
        <v>41</v>
      </c>
      <c r="E2253" s="3" t="s">
        <v>31</v>
      </c>
      <c r="F2253" s="3" t="b">
        <v>0</v>
      </c>
      <c r="G2253" s="3" t="s">
        <v>32</v>
      </c>
      <c r="H2253" s="6">
        <v>44951.417349537027</v>
      </c>
      <c r="I2253" s="3" t="b">
        <v>0</v>
      </c>
      <c r="J2253" s="3" t="b">
        <v>0</v>
      </c>
      <c r="K2253" s="3" t="s">
        <v>33</v>
      </c>
      <c r="L2253" s="3" t="s">
        <v>34</v>
      </c>
      <c r="M2253" s="8">
        <v>157500</v>
      </c>
      <c r="N2253" s="11"/>
      <c r="O2253" s="3" t="s">
        <v>5426</v>
      </c>
      <c r="P2253" s="3" t="s">
        <v>5427</v>
      </c>
    </row>
    <row r="2254" spans="1:16" x14ac:dyDescent="0.3">
      <c r="A2254" s="3" t="s">
        <v>27</v>
      </c>
      <c r="B2254" s="3" t="s">
        <v>100</v>
      </c>
      <c r="C2254" s="3" t="s">
        <v>321</v>
      </c>
      <c r="D2254" s="3" t="s">
        <v>1408</v>
      </c>
      <c r="E2254" s="3" t="s">
        <v>31</v>
      </c>
      <c r="F2254" s="3" t="b">
        <v>0</v>
      </c>
      <c r="G2254" s="3" t="s">
        <v>88</v>
      </c>
      <c r="H2254" s="6">
        <v>44929.982905092591</v>
      </c>
      <c r="I2254" s="3" t="b">
        <v>0</v>
      </c>
      <c r="J2254" s="3" t="b">
        <v>0</v>
      </c>
      <c r="K2254" s="3" t="s">
        <v>33</v>
      </c>
      <c r="L2254" s="3" t="s">
        <v>48</v>
      </c>
      <c r="M2254" s="8"/>
      <c r="N2254" s="11">
        <v>24</v>
      </c>
      <c r="O2254" s="3" t="s">
        <v>4338</v>
      </c>
      <c r="P2254" s="3" t="s">
        <v>5435</v>
      </c>
    </row>
    <row r="2255" spans="1:16" x14ac:dyDescent="0.3">
      <c r="A2255" s="3" t="s">
        <v>27</v>
      </c>
      <c r="B2255" s="3" t="s">
        <v>674</v>
      </c>
      <c r="C2255" s="3" t="s">
        <v>447</v>
      </c>
      <c r="D2255" s="3" t="s">
        <v>93</v>
      </c>
      <c r="E2255" s="3" t="s">
        <v>31</v>
      </c>
      <c r="F2255" s="3" t="b">
        <v>0</v>
      </c>
      <c r="G2255" s="3" t="s">
        <v>32</v>
      </c>
      <c r="H2255" s="6">
        <v>44950.503067129634</v>
      </c>
      <c r="I2255" s="3" t="b">
        <v>0</v>
      </c>
      <c r="J2255" s="3" t="b">
        <v>0</v>
      </c>
      <c r="K2255" s="3" t="s">
        <v>33</v>
      </c>
      <c r="L2255" s="3" t="s">
        <v>34</v>
      </c>
      <c r="M2255" s="8">
        <v>125000</v>
      </c>
      <c r="N2255" s="11"/>
      <c r="O2255" s="3" t="s">
        <v>5453</v>
      </c>
      <c r="P2255" s="3" t="s">
        <v>5454</v>
      </c>
    </row>
    <row r="2256" spans="1:16" x14ac:dyDescent="0.3">
      <c r="A2256" s="3" t="s">
        <v>27</v>
      </c>
      <c r="B2256" s="3" t="s">
        <v>5455</v>
      </c>
      <c r="C2256" s="3" t="s">
        <v>1330</v>
      </c>
      <c r="D2256" s="3" t="s">
        <v>41</v>
      </c>
      <c r="E2256" s="3" t="s">
        <v>31</v>
      </c>
      <c r="F2256" s="3" t="b">
        <v>0</v>
      </c>
      <c r="G2256" s="3" t="s">
        <v>32</v>
      </c>
      <c r="H2256" s="6">
        <v>44945.003935185188</v>
      </c>
      <c r="I2256" s="3" t="b">
        <v>0</v>
      </c>
      <c r="J2256" s="3" t="b">
        <v>1</v>
      </c>
      <c r="K2256" s="3" t="s">
        <v>33</v>
      </c>
      <c r="L2256" s="3" t="s">
        <v>34</v>
      </c>
      <c r="M2256" s="8">
        <v>272500</v>
      </c>
      <c r="N2256" s="11"/>
      <c r="O2256" s="3" t="s">
        <v>2633</v>
      </c>
      <c r="P2256" s="3" t="s">
        <v>5456</v>
      </c>
    </row>
    <row r="2257" spans="1:16" x14ac:dyDescent="0.3">
      <c r="A2257" s="3" t="s">
        <v>27</v>
      </c>
      <c r="B2257" s="3" t="s">
        <v>5457</v>
      </c>
      <c r="C2257" s="3" t="s">
        <v>4702</v>
      </c>
      <c r="D2257" s="3" t="s">
        <v>30</v>
      </c>
      <c r="E2257" s="3" t="s">
        <v>31</v>
      </c>
      <c r="F2257" s="3" t="b">
        <v>0</v>
      </c>
      <c r="G2257" s="3" t="s">
        <v>110</v>
      </c>
      <c r="H2257" s="6">
        <v>44956.629780092589</v>
      </c>
      <c r="I2257" s="3" t="b">
        <v>0</v>
      </c>
      <c r="J2257" s="3" t="b">
        <v>1</v>
      </c>
      <c r="K2257" s="3" t="s">
        <v>110</v>
      </c>
      <c r="L2257" s="3" t="s">
        <v>34</v>
      </c>
      <c r="M2257" s="8">
        <v>77200</v>
      </c>
      <c r="N2257" s="11"/>
      <c r="O2257" s="3" t="s">
        <v>5458</v>
      </c>
      <c r="P2257" s="3" t="s">
        <v>958</v>
      </c>
    </row>
    <row r="2258" spans="1:16" x14ac:dyDescent="0.3">
      <c r="A2258" s="3" t="s">
        <v>27</v>
      </c>
      <c r="B2258" s="3" t="s">
        <v>27</v>
      </c>
      <c r="C2258" s="3" t="s">
        <v>75</v>
      </c>
      <c r="D2258" s="3" t="s">
        <v>93</v>
      </c>
      <c r="E2258" s="3" t="s">
        <v>31</v>
      </c>
      <c r="F2258" s="3" t="b">
        <v>0</v>
      </c>
      <c r="G2258" s="3" t="s">
        <v>84</v>
      </c>
      <c r="H2258" s="6">
        <v>44934.335752314822</v>
      </c>
      <c r="I2258" s="3" t="b">
        <v>0</v>
      </c>
      <c r="J2258" s="3" t="b">
        <v>1</v>
      </c>
      <c r="K2258" s="3" t="s">
        <v>33</v>
      </c>
      <c r="L2258" s="3" t="s">
        <v>34</v>
      </c>
      <c r="M2258" s="8">
        <v>90000</v>
      </c>
      <c r="N2258" s="11"/>
      <c r="O2258" s="3" t="s">
        <v>2279</v>
      </c>
      <c r="P2258" s="3" t="s">
        <v>374</v>
      </c>
    </row>
    <row r="2259" spans="1:16" x14ac:dyDescent="0.3">
      <c r="A2259" s="3" t="s">
        <v>27</v>
      </c>
      <c r="B2259" s="3" t="s">
        <v>27</v>
      </c>
      <c r="C2259" s="3" t="s">
        <v>87</v>
      </c>
      <c r="D2259" s="3" t="s">
        <v>30</v>
      </c>
      <c r="E2259" s="3" t="s">
        <v>31</v>
      </c>
      <c r="F2259" s="3" t="b">
        <v>1</v>
      </c>
      <c r="G2259" s="3" t="s">
        <v>84</v>
      </c>
      <c r="H2259" s="6">
        <v>44946.974363425928</v>
      </c>
      <c r="I2259" s="3" t="b">
        <v>0</v>
      </c>
      <c r="J2259" s="3" t="b">
        <v>0</v>
      </c>
      <c r="K2259" s="3" t="s">
        <v>33</v>
      </c>
      <c r="L2259" s="3" t="s">
        <v>34</v>
      </c>
      <c r="M2259" s="8">
        <v>155000</v>
      </c>
      <c r="N2259" s="11"/>
      <c r="O2259" s="3" t="s">
        <v>2734</v>
      </c>
      <c r="P2259" s="3" t="s">
        <v>3198</v>
      </c>
    </row>
    <row r="2260" spans="1:16" x14ac:dyDescent="0.3">
      <c r="A2260" s="3" t="s">
        <v>27</v>
      </c>
      <c r="B2260" s="3" t="s">
        <v>27</v>
      </c>
      <c r="C2260" s="3" t="s">
        <v>1639</v>
      </c>
      <c r="D2260" s="3" t="s">
        <v>1419</v>
      </c>
      <c r="E2260" s="3" t="s">
        <v>31</v>
      </c>
      <c r="F2260" s="3" t="b">
        <v>0</v>
      </c>
      <c r="G2260" s="3" t="s">
        <v>32</v>
      </c>
      <c r="H2260" s="6">
        <v>44948.336365740739</v>
      </c>
      <c r="I2260" s="3" t="b">
        <v>0</v>
      </c>
      <c r="J2260" s="3" t="b">
        <v>1</v>
      </c>
      <c r="K2260" s="3" t="s">
        <v>33</v>
      </c>
      <c r="L2260" s="3" t="s">
        <v>34</v>
      </c>
      <c r="M2260" s="8">
        <v>100900</v>
      </c>
      <c r="N2260" s="11"/>
      <c r="O2260" s="3" t="s">
        <v>665</v>
      </c>
      <c r="P2260" s="3" t="s">
        <v>4126</v>
      </c>
    </row>
    <row r="2261" spans="1:16" x14ac:dyDescent="0.3">
      <c r="A2261" s="3" t="s">
        <v>27</v>
      </c>
      <c r="B2261" s="3" t="s">
        <v>5472</v>
      </c>
      <c r="C2261" s="3" t="s">
        <v>447</v>
      </c>
      <c r="D2261" s="3" t="s">
        <v>93</v>
      </c>
      <c r="E2261" s="3" t="s">
        <v>31</v>
      </c>
      <c r="F2261" s="3" t="b">
        <v>0</v>
      </c>
      <c r="G2261" s="3" t="s">
        <v>32</v>
      </c>
      <c r="H2261" s="6">
        <v>44942.430717592593</v>
      </c>
      <c r="I2261" s="3" t="b">
        <v>0</v>
      </c>
      <c r="J2261" s="3" t="b">
        <v>1</v>
      </c>
      <c r="K2261" s="3" t="s">
        <v>33</v>
      </c>
      <c r="L2261" s="3" t="s">
        <v>34</v>
      </c>
      <c r="M2261" s="8">
        <v>150000</v>
      </c>
      <c r="N2261" s="11"/>
      <c r="O2261" s="3" t="s">
        <v>3316</v>
      </c>
      <c r="P2261" s="3" t="s">
        <v>5473</v>
      </c>
    </row>
    <row r="2262" spans="1:16" x14ac:dyDescent="0.3">
      <c r="A2262" s="3" t="s">
        <v>27</v>
      </c>
      <c r="B2262" s="3" t="s">
        <v>5496</v>
      </c>
      <c r="C2262" s="3" t="s">
        <v>549</v>
      </c>
      <c r="D2262" s="3" t="s">
        <v>188</v>
      </c>
      <c r="E2262" s="3" t="s">
        <v>31</v>
      </c>
      <c r="F2262" s="3" t="b">
        <v>0</v>
      </c>
      <c r="G2262" s="3" t="s">
        <v>140</v>
      </c>
      <c r="H2262" s="6">
        <v>44951.860763888893</v>
      </c>
      <c r="I2262" s="3" t="b">
        <v>0</v>
      </c>
      <c r="J2262" s="3" t="b">
        <v>0</v>
      </c>
      <c r="K2262" s="3" t="s">
        <v>33</v>
      </c>
      <c r="L2262" s="3" t="s">
        <v>34</v>
      </c>
      <c r="M2262" s="8">
        <v>120000</v>
      </c>
      <c r="N2262" s="11"/>
      <c r="O2262" s="3" t="s">
        <v>5497</v>
      </c>
      <c r="P2262" s="3" t="s">
        <v>3292</v>
      </c>
    </row>
    <row r="2263" spans="1:16" x14ac:dyDescent="0.3">
      <c r="A2263" s="3" t="s">
        <v>27</v>
      </c>
      <c r="B2263" s="3" t="s">
        <v>5500</v>
      </c>
      <c r="C2263" s="3" t="s">
        <v>29</v>
      </c>
      <c r="D2263" s="3" t="s">
        <v>30</v>
      </c>
      <c r="E2263" s="3" t="s">
        <v>31</v>
      </c>
      <c r="F2263" s="3" t="b">
        <v>0</v>
      </c>
      <c r="G2263" s="3" t="s">
        <v>32</v>
      </c>
      <c r="H2263" s="6">
        <v>44937.253587962958</v>
      </c>
      <c r="I2263" s="3" t="b">
        <v>0</v>
      </c>
      <c r="J2263" s="3" t="b">
        <v>1</v>
      </c>
      <c r="K2263" s="3" t="s">
        <v>33</v>
      </c>
      <c r="L2263" s="3" t="s">
        <v>34</v>
      </c>
      <c r="M2263" s="8">
        <v>224500</v>
      </c>
      <c r="N2263" s="11"/>
      <c r="O2263" s="3" t="s">
        <v>35</v>
      </c>
      <c r="P2263" s="3" t="s">
        <v>661</v>
      </c>
    </row>
    <row r="2264" spans="1:16" x14ac:dyDescent="0.3">
      <c r="A2264" s="3" t="s">
        <v>27</v>
      </c>
      <c r="B2264" s="3" t="s">
        <v>5507</v>
      </c>
      <c r="C2264" s="3" t="s">
        <v>2343</v>
      </c>
      <c r="D2264" s="3" t="s">
        <v>93</v>
      </c>
      <c r="E2264" s="3" t="s">
        <v>31</v>
      </c>
      <c r="F2264" s="3" t="b">
        <v>0</v>
      </c>
      <c r="G2264" s="3" t="s">
        <v>32</v>
      </c>
      <c r="H2264" s="6">
        <v>44945.306469907409</v>
      </c>
      <c r="I2264" s="3" t="b">
        <v>0</v>
      </c>
      <c r="J2264" s="3" t="b">
        <v>1</v>
      </c>
      <c r="K2264" s="3" t="s">
        <v>33</v>
      </c>
      <c r="L2264" s="3" t="s">
        <v>34</v>
      </c>
      <c r="M2264" s="8">
        <v>150000</v>
      </c>
      <c r="N2264" s="11"/>
      <c r="O2264" s="3" t="s">
        <v>124</v>
      </c>
      <c r="P2264" s="3" t="s">
        <v>347</v>
      </c>
    </row>
    <row r="2265" spans="1:16" x14ac:dyDescent="0.3">
      <c r="A2265" s="3" t="s">
        <v>27</v>
      </c>
      <c r="B2265" s="3" t="s">
        <v>27</v>
      </c>
      <c r="C2265" s="3" t="s">
        <v>821</v>
      </c>
      <c r="D2265" s="3" t="s">
        <v>287</v>
      </c>
      <c r="E2265" s="3" t="s">
        <v>31</v>
      </c>
      <c r="F2265" s="3" t="b">
        <v>0</v>
      </c>
      <c r="G2265" s="3" t="s">
        <v>32</v>
      </c>
      <c r="H2265" s="6">
        <v>44927.00203703704</v>
      </c>
      <c r="I2265" s="3" t="b">
        <v>0</v>
      </c>
      <c r="J2265" s="3" t="b">
        <v>1</v>
      </c>
      <c r="K2265" s="3" t="s">
        <v>33</v>
      </c>
      <c r="L2265" s="3" t="s">
        <v>34</v>
      </c>
      <c r="M2265" s="8">
        <v>110000</v>
      </c>
      <c r="N2265" s="11"/>
      <c r="O2265" s="3" t="s">
        <v>2798</v>
      </c>
      <c r="P2265" s="3" t="s">
        <v>2799</v>
      </c>
    </row>
    <row r="2266" spans="1:16" x14ac:dyDescent="0.3">
      <c r="A2266" s="3" t="s">
        <v>27</v>
      </c>
      <c r="B2266" s="3" t="s">
        <v>5512</v>
      </c>
      <c r="C2266" s="3" t="s">
        <v>3030</v>
      </c>
      <c r="D2266" s="3" t="s">
        <v>3225</v>
      </c>
      <c r="E2266" s="3" t="s">
        <v>31</v>
      </c>
      <c r="F2266" s="3" t="b">
        <v>0</v>
      </c>
      <c r="G2266" s="3" t="s">
        <v>88</v>
      </c>
      <c r="H2266" s="6">
        <v>44929.982708333337</v>
      </c>
      <c r="I2266" s="3" t="b">
        <v>0</v>
      </c>
      <c r="J2266" s="3" t="b">
        <v>0</v>
      </c>
      <c r="K2266" s="3" t="s">
        <v>33</v>
      </c>
      <c r="L2266" s="3" t="s">
        <v>48</v>
      </c>
      <c r="M2266" s="8"/>
      <c r="N2266" s="11">
        <v>24</v>
      </c>
      <c r="O2266" s="3" t="s">
        <v>3933</v>
      </c>
      <c r="P2266" s="3" t="s">
        <v>5513</v>
      </c>
    </row>
    <row r="2267" spans="1:16" x14ac:dyDescent="0.3">
      <c r="A2267" s="3" t="s">
        <v>27</v>
      </c>
      <c r="B2267" s="3" t="s">
        <v>519</v>
      </c>
      <c r="C2267" s="3" t="s">
        <v>33</v>
      </c>
      <c r="D2267" s="3" t="s">
        <v>76</v>
      </c>
      <c r="E2267" s="3" t="s">
        <v>31</v>
      </c>
      <c r="F2267" s="3" t="b">
        <v>0</v>
      </c>
      <c r="G2267" s="3" t="s">
        <v>58</v>
      </c>
      <c r="H2267" s="6">
        <v>44951.669861111113</v>
      </c>
      <c r="I2267" s="3" t="b">
        <v>0</v>
      </c>
      <c r="J2267" s="3" t="b">
        <v>1</v>
      </c>
      <c r="K2267" s="3" t="s">
        <v>33</v>
      </c>
      <c r="L2267" s="3" t="s">
        <v>34</v>
      </c>
      <c r="M2267" s="8">
        <v>128816</v>
      </c>
      <c r="N2267" s="11"/>
      <c r="O2267" s="3" t="s">
        <v>5515</v>
      </c>
      <c r="P2267" s="3" t="s">
        <v>5516</v>
      </c>
    </row>
    <row r="2268" spans="1:16" x14ac:dyDescent="0.3">
      <c r="A2268" s="3" t="s">
        <v>27</v>
      </c>
      <c r="B2268" s="3" t="s">
        <v>5522</v>
      </c>
      <c r="C2268" s="3" t="s">
        <v>5523</v>
      </c>
      <c r="D2268" s="3" t="s">
        <v>41</v>
      </c>
      <c r="E2268" s="3" t="s">
        <v>31</v>
      </c>
      <c r="F2268" s="3" t="b">
        <v>0</v>
      </c>
      <c r="G2268" s="3" t="s">
        <v>2581</v>
      </c>
      <c r="H2268" s="6">
        <v>44936.778078703697</v>
      </c>
      <c r="I2268" s="3" t="b">
        <v>0</v>
      </c>
      <c r="J2268" s="3" t="b">
        <v>0</v>
      </c>
      <c r="K2268" s="3" t="s">
        <v>2581</v>
      </c>
      <c r="L2268" s="3" t="s">
        <v>34</v>
      </c>
      <c r="M2268" s="8">
        <v>64821.5</v>
      </c>
      <c r="N2268" s="11"/>
      <c r="O2268" s="3" t="s">
        <v>765</v>
      </c>
      <c r="P2268" s="3" t="s">
        <v>5524</v>
      </c>
    </row>
    <row r="2269" spans="1:16" x14ac:dyDescent="0.3">
      <c r="A2269" s="3" t="s">
        <v>27</v>
      </c>
      <c r="B2269" s="3" t="s">
        <v>5530</v>
      </c>
      <c r="C2269" s="3" t="s">
        <v>1547</v>
      </c>
      <c r="D2269" s="3" t="s">
        <v>41</v>
      </c>
      <c r="E2269" s="3" t="s">
        <v>31</v>
      </c>
      <c r="F2269" s="3" t="b">
        <v>0</v>
      </c>
      <c r="G2269" s="3" t="s">
        <v>1548</v>
      </c>
      <c r="H2269" s="6">
        <v>44955.156759259262</v>
      </c>
      <c r="I2269" s="3" t="b">
        <v>0</v>
      </c>
      <c r="J2269" s="3" t="b">
        <v>0</v>
      </c>
      <c r="K2269" s="3" t="s">
        <v>1548</v>
      </c>
      <c r="L2269" s="3" t="s">
        <v>34</v>
      </c>
      <c r="M2269" s="8">
        <v>44100</v>
      </c>
      <c r="N2269" s="11"/>
      <c r="O2269" s="3" t="s">
        <v>1549</v>
      </c>
      <c r="P2269" s="3"/>
    </row>
    <row r="2270" spans="1:16" x14ac:dyDescent="0.3">
      <c r="A2270" s="3" t="s">
        <v>27</v>
      </c>
      <c r="B2270" s="3" t="s">
        <v>4637</v>
      </c>
      <c r="C2270" s="3" t="s">
        <v>305</v>
      </c>
      <c r="D2270" s="3" t="s">
        <v>76</v>
      </c>
      <c r="E2270" s="3" t="s">
        <v>31</v>
      </c>
      <c r="F2270" s="3" t="b">
        <v>0</v>
      </c>
      <c r="G2270" s="3" t="s">
        <v>32</v>
      </c>
      <c r="H2270" s="6">
        <v>44930.794479166667</v>
      </c>
      <c r="I2270" s="3" t="b">
        <v>0</v>
      </c>
      <c r="J2270" s="3" t="b">
        <v>0</v>
      </c>
      <c r="K2270" s="3" t="s">
        <v>33</v>
      </c>
      <c r="L2270" s="3" t="s">
        <v>34</v>
      </c>
      <c r="M2270" s="8">
        <v>180560</v>
      </c>
      <c r="N2270" s="11"/>
      <c r="O2270" s="3" t="s">
        <v>5531</v>
      </c>
      <c r="P2270" s="3"/>
    </row>
    <row r="2271" spans="1:16" x14ac:dyDescent="0.3">
      <c r="A2271" s="3" t="s">
        <v>27</v>
      </c>
      <c r="B2271" s="3" t="s">
        <v>5537</v>
      </c>
      <c r="C2271" s="3" t="s">
        <v>565</v>
      </c>
      <c r="D2271" s="3" t="s">
        <v>93</v>
      </c>
      <c r="E2271" s="3" t="s">
        <v>31</v>
      </c>
      <c r="F2271" s="3" t="b">
        <v>0</v>
      </c>
      <c r="G2271" s="3" t="s">
        <v>88</v>
      </c>
      <c r="H2271" s="6">
        <v>44945.433344907397</v>
      </c>
      <c r="I2271" s="3" t="b">
        <v>0</v>
      </c>
      <c r="J2271" s="3" t="b">
        <v>0</v>
      </c>
      <c r="K2271" s="3" t="s">
        <v>33</v>
      </c>
      <c r="L2271" s="3" t="s">
        <v>34</v>
      </c>
      <c r="M2271" s="8">
        <v>175000</v>
      </c>
      <c r="N2271" s="11"/>
      <c r="O2271" s="3" t="s">
        <v>1334</v>
      </c>
      <c r="P2271" s="3" t="s">
        <v>5538</v>
      </c>
    </row>
    <row r="2272" spans="1:16" x14ac:dyDescent="0.3">
      <c r="A2272" s="3" t="s">
        <v>27</v>
      </c>
      <c r="B2272" s="3" t="s">
        <v>27</v>
      </c>
      <c r="C2272" s="3" t="s">
        <v>5539</v>
      </c>
      <c r="D2272" s="3" t="s">
        <v>93</v>
      </c>
      <c r="E2272" s="3" t="s">
        <v>31</v>
      </c>
      <c r="F2272" s="3" t="b">
        <v>0</v>
      </c>
      <c r="G2272" s="3" t="s">
        <v>140</v>
      </c>
      <c r="H2272" s="6">
        <v>44944.282997685194</v>
      </c>
      <c r="I2272" s="3" t="b">
        <v>0</v>
      </c>
      <c r="J2272" s="3" t="b">
        <v>0</v>
      </c>
      <c r="K2272" s="3" t="s">
        <v>33</v>
      </c>
      <c r="L2272" s="3" t="s">
        <v>34</v>
      </c>
      <c r="M2272" s="8">
        <v>90000</v>
      </c>
      <c r="N2272" s="11"/>
      <c r="O2272" s="3" t="s">
        <v>5540</v>
      </c>
      <c r="P2272" s="3" t="s">
        <v>5541</v>
      </c>
    </row>
    <row r="2273" spans="1:16" x14ac:dyDescent="0.3">
      <c r="A2273" s="3" t="s">
        <v>27</v>
      </c>
      <c r="B2273" s="3" t="s">
        <v>27</v>
      </c>
      <c r="C2273" s="3" t="s">
        <v>5545</v>
      </c>
      <c r="D2273" s="3" t="s">
        <v>41</v>
      </c>
      <c r="E2273" s="3" t="s">
        <v>31</v>
      </c>
      <c r="F2273" s="3" t="b">
        <v>0</v>
      </c>
      <c r="G2273" s="3" t="s">
        <v>651</v>
      </c>
      <c r="H2273" s="6">
        <v>44936.354490740741</v>
      </c>
      <c r="I2273" s="3" t="b">
        <v>0</v>
      </c>
      <c r="J2273" s="3" t="b">
        <v>0</v>
      </c>
      <c r="K2273" s="3" t="s">
        <v>651</v>
      </c>
      <c r="L2273" s="3" t="s">
        <v>34</v>
      </c>
      <c r="M2273" s="8">
        <v>87307.5</v>
      </c>
      <c r="N2273" s="11"/>
      <c r="O2273" s="3" t="s">
        <v>5546</v>
      </c>
      <c r="P2273" s="3" t="s">
        <v>5547</v>
      </c>
    </row>
    <row r="2274" spans="1:16" x14ac:dyDescent="0.3">
      <c r="A2274" s="3" t="s">
        <v>27</v>
      </c>
      <c r="B2274" s="3" t="s">
        <v>2480</v>
      </c>
      <c r="C2274" s="3" t="s">
        <v>173</v>
      </c>
      <c r="D2274" s="3" t="s">
        <v>1580</v>
      </c>
      <c r="E2274" s="3" t="s">
        <v>31</v>
      </c>
      <c r="F2274" s="3" t="b">
        <v>0</v>
      </c>
      <c r="G2274" s="3" t="s">
        <v>140</v>
      </c>
      <c r="H2274" s="6">
        <v>44943.991423611107</v>
      </c>
      <c r="I2274" s="3" t="b">
        <v>0</v>
      </c>
      <c r="J2274" s="3" t="b">
        <v>1</v>
      </c>
      <c r="K2274" s="3" t="s">
        <v>33</v>
      </c>
      <c r="L2274" s="3" t="s">
        <v>34</v>
      </c>
      <c r="M2274" s="8">
        <v>72272</v>
      </c>
      <c r="N2274" s="11"/>
      <c r="O2274" s="3" t="s">
        <v>5552</v>
      </c>
      <c r="P2274" s="3"/>
    </row>
    <row r="2275" spans="1:16" x14ac:dyDescent="0.3">
      <c r="A2275" s="3" t="s">
        <v>27</v>
      </c>
      <c r="B2275" s="3" t="s">
        <v>5553</v>
      </c>
      <c r="C2275" s="3" t="s">
        <v>5554</v>
      </c>
      <c r="D2275" s="3" t="s">
        <v>5555</v>
      </c>
      <c r="E2275" s="3" t="s">
        <v>31</v>
      </c>
      <c r="F2275" s="3" t="b">
        <v>0</v>
      </c>
      <c r="G2275" s="3" t="s">
        <v>58</v>
      </c>
      <c r="H2275" s="6">
        <v>44929.981851851851</v>
      </c>
      <c r="I2275" s="3" t="b">
        <v>0</v>
      </c>
      <c r="J2275" s="3" t="b">
        <v>1</v>
      </c>
      <c r="K2275" s="3" t="s">
        <v>33</v>
      </c>
      <c r="L2275" s="3" t="s">
        <v>48</v>
      </c>
      <c r="M2275" s="8"/>
      <c r="N2275" s="11">
        <v>24</v>
      </c>
      <c r="O2275" s="3" t="s">
        <v>5556</v>
      </c>
      <c r="P2275" s="3" t="s">
        <v>5557</v>
      </c>
    </row>
    <row r="2276" spans="1:16" x14ac:dyDescent="0.3">
      <c r="A2276" s="3" t="s">
        <v>27</v>
      </c>
      <c r="B2276" s="3" t="s">
        <v>5559</v>
      </c>
      <c r="C2276" s="3" t="s">
        <v>945</v>
      </c>
      <c r="D2276" s="3" t="s">
        <v>5560</v>
      </c>
      <c r="E2276" s="3" t="s">
        <v>31</v>
      </c>
      <c r="F2276" s="3" t="b">
        <v>0</v>
      </c>
      <c r="G2276" s="3" t="s">
        <v>32</v>
      </c>
      <c r="H2276" s="6">
        <v>44929.98101851852</v>
      </c>
      <c r="I2276" s="3" t="b">
        <v>0</v>
      </c>
      <c r="J2276" s="3" t="b">
        <v>0</v>
      </c>
      <c r="K2276" s="3" t="s">
        <v>33</v>
      </c>
      <c r="L2276" s="3" t="s">
        <v>48</v>
      </c>
      <c r="M2276" s="8"/>
      <c r="N2276" s="11">
        <v>24</v>
      </c>
      <c r="O2276" s="3" t="s">
        <v>5561</v>
      </c>
      <c r="P2276" s="3" t="s">
        <v>5562</v>
      </c>
    </row>
    <row r="2277" spans="1:16" x14ac:dyDescent="0.3">
      <c r="A2277" s="3" t="s">
        <v>27</v>
      </c>
      <c r="B2277" s="3" t="s">
        <v>27</v>
      </c>
      <c r="C2277" s="3" t="s">
        <v>5574</v>
      </c>
      <c r="D2277" s="3" t="s">
        <v>1854</v>
      </c>
      <c r="E2277" s="3" t="s">
        <v>31</v>
      </c>
      <c r="F2277" s="3" t="b">
        <v>0</v>
      </c>
      <c r="G2277" s="3" t="s">
        <v>140</v>
      </c>
      <c r="H2277" s="6">
        <v>44932.67396990741</v>
      </c>
      <c r="I2277" s="3" t="b">
        <v>0</v>
      </c>
      <c r="J2277" s="3" t="b">
        <v>1</v>
      </c>
      <c r="K2277" s="3" t="s">
        <v>33</v>
      </c>
      <c r="L2277" s="3" t="s">
        <v>34</v>
      </c>
      <c r="M2277" s="8">
        <v>135000</v>
      </c>
      <c r="N2277" s="11"/>
      <c r="O2277" s="3" t="s">
        <v>5575</v>
      </c>
      <c r="P2277" s="3" t="s">
        <v>661</v>
      </c>
    </row>
    <row r="2278" spans="1:16" x14ac:dyDescent="0.3">
      <c r="A2278" s="3" t="s">
        <v>27</v>
      </c>
      <c r="B2278" s="3" t="s">
        <v>519</v>
      </c>
      <c r="C2278" s="3" t="s">
        <v>305</v>
      </c>
      <c r="D2278" s="3" t="s">
        <v>30</v>
      </c>
      <c r="E2278" s="3" t="s">
        <v>31</v>
      </c>
      <c r="F2278" s="3" t="b">
        <v>0</v>
      </c>
      <c r="G2278" s="3" t="s">
        <v>32</v>
      </c>
      <c r="H2278" s="6">
        <v>44946.889837962961</v>
      </c>
      <c r="I2278" s="3" t="b">
        <v>0</v>
      </c>
      <c r="J2278" s="3" t="b">
        <v>1</v>
      </c>
      <c r="K2278" s="3" t="s">
        <v>33</v>
      </c>
      <c r="L2278" s="3" t="s">
        <v>34</v>
      </c>
      <c r="M2278" s="8">
        <v>139000</v>
      </c>
      <c r="N2278" s="11"/>
      <c r="O2278" s="3" t="s">
        <v>5576</v>
      </c>
      <c r="P2278" s="3" t="s">
        <v>5577</v>
      </c>
    </row>
    <row r="2279" spans="1:16" x14ac:dyDescent="0.3">
      <c r="A2279" s="3" t="s">
        <v>27</v>
      </c>
      <c r="B2279" s="3" t="s">
        <v>5578</v>
      </c>
      <c r="C2279" s="3" t="s">
        <v>1270</v>
      </c>
      <c r="D2279" s="3" t="s">
        <v>5383</v>
      </c>
      <c r="E2279" s="3" t="s">
        <v>31</v>
      </c>
      <c r="F2279" s="3" t="b">
        <v>0</v>
      </c>
      <c r="G2279" s="3" t="s">
        <v>88</v>
      </c>
      <c r="H2279" s="6">
        <v>44937.265393518523</v>
      </c>
      <c r="I2279" s="3" t="b">
        <v>0</v>
      </c>
      <c r="J2279" s="3" t="b">
        <v>0</v>
      </c>
      <c r="K2279" s="3" t="s">
        <v>33</v>
      </c>
      <c r="L2279" s="3" t="s">
        <v>34</v>
      </c>
      <c r="M2279" s="8">
        <v>136400</v>
      </c>
      <c r="N2279" s="11"/>
      <c r="O2279" s="3" t="s">
        <v>3014</v>
      </c>
      <c r="P2279" s="3" t="s">
        <v>5579</v>
      </c>
    </row>
    <row r="2280" spans="1:16" x14ac:dyDescent="0.3">
      <c r="A2280" s="3" t="s">
        <v>27</v>
      </c>
      <c r="B2280" s="3" t="s">
        <v>3109</v>
      </c>
      <c r="C2280" s="3" t="s">
        <v>83</v>
      </c>
      <c r="D2280" s="3" t="s">
        <v>1419</v>
      </c>
      <c r="E2280" s="3" t="s">
        <v>31</v>
      </c>
      <c r="F2280" s="3" t="b">
        <v>0</v>
      </c>
      <c r="G2280" s="3" t="s">
        <v>64</v>
      </c>
      <c r="H2280" s="6">
        <v>44941.626967592587</v>
      </c>
      <c r="I2280" s="3" t="b">
        <v>0</v>
      </c>
      <c r="J2280" s="3" t="b">
        <v>1</v>
      </c>
      <c r="K2280" s="3" t="s">
        <v>33</v>
      </c>
      <c r="L2280" s="3" t="s">
        <v>34</v>
      </c>
      <c r="M2280" s="8">
        <v>200000</v>
      </c>
      <c r="N2280" s="11"/>
      <c r="O2280" s="3" t="s">
        <v>3042</v>
      </c>
      <c r="P2280" s="3"/>
    </row>
    <row r="2281" spans="1:16" x14ac:dyDescent="0.3">
      <c r="A2281" s="3" t="s">
        <v>27</v>
      </c>
      <c r="B2281" s="3" t="s">
        <v>977</v>
      </c>
      <c r="C2281" s="3" t="s">
        <v>164</v>
      </c>
      <c r="D2281" s="3" t="s">
        <v>30</v>
      </c>
      <c r="E2281" s="3" t="s">
        <v>31</v>
      </c>
      <c r="F2281" s="3" t="b">
        <v>0</v>
      </c>
      <c r="G2281" s="3" t="s">
        <v>64</v>
      </c>
      <c r="H2281" s="6">
        <v>44953.336099537039</v>
      </c>
      <c r="I2281" s="3" t="b">
        <v>0</v>
      </c>
      <c r="J2281" s="3" t="b">
        <v>1</v>
      </c>
      <c r="K2281" s="3" t="s">
        <v>33</v>
      </c>
      <c r="L2281" s="3" t="s">
        <v>34</v>
      </c>
      <c r="M2281" s="8">
        <v>158697</v>
      </c>
      <c r="N2281" s="11"/>
      <c r="O2281" s="3" t="s">
        <v>158</v>
      </c>
      <c r="P2281" s="3" t="s">
        <v>979</v>
      </c>
    </row>
    <row r="2282" spans="1:16" x14ac:dyDescent="0.3">
      <c r="A2282" s="3" t="s">
        <v>27</v>
      </c>
      <c r="B2282" s="3" t="s">
        <v>27</v>
      </c>
      <c r="C2282" s="3" t="s">
        <v>5587</v>
      </c>
      <c r="D2282" s="3" t="s">
        <v>5588</v>
      </c>
      <c r="E2282" s="3" t="s">
        <v>31</v>
      </c>
      <c r="F2282" s="3" t="b">
        <v>0</v>
      </c>
      <c r="G2282" s="3" t="s">
        <v>88</v>
      </c>
      <c r="H2282" s="6">
        <v>44947.018333333333</v>
      </c>
      <c r="I2282" s="3" t="b">
        <v>0</v>
      </c>
      <c r="J2282" s="3" t="b">
        <v>0</v>
      </c>
      <c r="K2282" s="3" t="s">
        <v>33</v>
      </c>
      <c r="L2282" s="3" t="s">
        <v>48</v>
      </c>
      <c r="M2282" s="8"/>
      <c r="N2282" s="11">
        <v>24</v>
      </c>
      <c r="O2282" s="3" t="s">
        <v>1445</v>
      </c>
      <c r="P2282" s="3" t="s">
        <v>5589</v>
      </c>
    </row>
    <row r="2283" spans="1:16" x14ac:dyDescent="0.3">
      <c r="A2283" s="3" t="s">
        <v>27</v>
      </c>
      <c r="B2283" s="3" t="s">
        <v>5595</v>
      </c>
      <c r="C2283" s="3" t="s">
        <v>1908</v>
      </c>
      <c r="D2283" s="3" t="s">
        <v>188</v>
      </c>
      <c r="E2283" s="3" t="s">
        <v>133</v>
      </c>
      <c r="F2283" s="3" t="b">
        <v>0</v>
      </c>
      <c r="G2283" s="3" t="s">
        <v>32</v>
      </c>
      <c r="H2283" s="6">
        <v>44950.711423611108</v>
      </c>
      <c r="I2283" s="3" t="b">
        <v>0</v>
      </c>
      <c r="J2283" s="3" t="b">
        <v>0</v>
      </c>
      <c r="K2283" s="3" t="s">
        <v>33</v>
      </c>
      <c r="L2283" s="3" t="s">
        <v>48</v>
      </c>
      <c r="M2283" s="8"/>
      <c r="N2283" s="11">
        <v>45</v>
      </c>
      <c r="O2283" s="3" t="s">
        <v>5596</v>
      </c>
      <c r="P2283" s="3"/>
    </row>
    <row r="2284" spans="1:16" x14ac:dyDescent="0.3">
      <c r="A2284" s="3" t="s">
        <v>27</v>
      </c>
      <c r="B2284" s="3" t="s">
        <v>2469</v>
      </c>
      <c r="C2284" s="3" t="s">
        <v>83</v>
      </c>
      <c r="D2284" s="3" t="s">
        <v>867</v>
      </c>
      <c r="E2284" s="3" t="s">
        <v>31</v>
      </c>
      <c r="F2284" s="3" t="b">
        <v>0</v>
      </c>
      <c r="G2284" s="3" t="s">
        <v>64</v>
      </c>
      <c r="H2284" s="6">
        <v>44955.00209490741</v>
      </c>
      <c r="I2284" s="3" t="b">
        <v>0</v>
      </c>
      <c r="J2284" s="3" t="b">
        <v>0</v>
      </c>
      <c r="K2284" s="3" t="s">
        <v>33</v>
      </c>
      <c r="L2284" s="3" t="s">
        <v>48</v>
      </c>
      <c r="M2284" s="8"/>
      <c r="N2284" s="11">
        <v>34.5</v>
      </c>
      <c r="O2284" s="3" t="s">
        <v>5597</v>
      </c>
      <c r="P2284" s="3" t="s">
        <v>5598</v>
      </c>
    </row>
    <row r="2285" spans="1:16" x14ac:dyDescent="0.3">
      <c r="A2285" s="3" t="s">
        <v>27</v>
      </c>
      <c r="B2285" s="3" t="s">
        <v>3769</v>
      </c>
      <c r="C2285" s="3" t="s">
        <v>813</v>
      </c>
      <c r="D2285" s="3" t="s">
        <v>188</v>
      </c>
      <c r="E2285" s="3" t="s">
        <v>31</v>
      </c>
      <c r="F2285" s="3" t="b">
        <v>0</v>
      </c>
      <c r="G2285" s="3" t="s">
        <v>64</v>
      </c>
      <c r="H2285" s="6">
        <v>44937.877789351849</v>
      </c>
      <c r="I2285" s="3" t="b">
        <v>0</v>
      </c>
      <c r="J2285" s="3" t="b">
        <v>0</v>
      </c>
      <c r="K2285" s="3" t="s">
        <v>33</v>
      </c>
      <c r="L2285" s="3" t="s">
        <v>34</v>
      </c>
      <c r="M2285" s="8">
        <v>122500</v>
      </c>
      <c r="N2285" s="11"/>
      <c r="O2285" s="3" t="s">
        <v>5605</v>
      </c>
      <c r="P2285" s="3" t="s">
        <v>1641</v>
      </c>
    </row>
    <row r="2286" spans="1:16" x14ac:dyDescent="0.3">
      <c r="A2286" s="3" t="s">
        <v>27</v>
      </c>
      <c r="B2286" s="3" t="s">
        <v>519</v>
      </c>
      <c r="C2286" s="3" t="s">
        <v>565</v>
      </c>
      <c r="D2286" s="3" t="s">
        <v>1113</v>
      </c>
      <c r="E2286" s="3" t="s">
        <v>31</v>
      </c>
      <c r="F2286" s="3" t="b">
        <v>0</v>
      </c>
      <c r="G2286" s="3" t="s">
        <v>88</v>
      </c>
      <c r="H2286" s="6">
        <v>44943.712939814817</v>
      </c>
      <c r="I2286" s="3" t="b">
        <v>0</v>
      </c>
      <c r="J2286" s="3" t="b">
        <v>1</v>
      </c>
      <c r="K2286" s="3" t="s">
        <v>33</v>
      </c>
      <c r="L2286" s="3" t="s">
        <v>34</v>
      </c>
      <c r="M2286" s="8">
        <v>126000</v>
      </c>
      <c r="N2286" s="11"/>
      <c r="O2286" s="3" t="s">
        <v>1693</v>
      </c>
      <c r="P2286" s="3" t="s">
        <v>5606</v>
      </c>
    </row>
    <row r="2287" spans="1:16" x14ac:dyDescent="0.3">
      <c r="A2287" s="3" t="s">
        <v>27</v>
      </c>
      <c r="B2287" s="3" t="s">
        <v>27</v>
      </c>
      <c r="C2287" s="3" t="s">
        <v>5609</v>
      </c>
      <c r="D2287" s="3" t="s">
        <v>30</v>
      </c>
      <c r="E2287" s="3" t="s">
        <v>31</v>
      </c>
      <c r="F2287" s="3" t="b">
        <v>0</v>
      </c>
      <c r="G2287" s="3" t="s">
        <v>84</v>
      </c>
      <c r="H2287" s="6">
        <v>44930.065821759257</v>
      </c>
      <c r="I2287" s="3" t="b">
        <v>0</v>
      </c>
      <c r="J2287" s="3" t="b">
        <v>1</v>
      </c>
      <c r="K2287" s="3" t="s">
        <v>33</v>
      </c>
      <c r="L2287" s="3" t="s">
        <v>34</v>
      </c>
      <c r="M2287" s="8">
        <v>82500</v>
      </c>
      <c r="N2287" s="11"/>
      <c r="O2287" s="3" t="s">
        <v>5610</v>
      </c>
      <c r="P2287" s="3" t="s">
        <v>347</v>
      </c>
    </row>
    <row r="2288" spans="1:16" x14ac:dyDescent="0.3">
      <c r="A2288" s="3" t="s">
        <v>27</v>
      </c>
      <c r="B2288" s="3" t="s">
        <v>5612</v>
      </c>
      <c r="C2288" s="3" t="s">
        <v>565</v>
      </c>
      <c r="D2288" s="3" t="s">
        <v>220</v>
      </c>
      <c r="E2288" s="3" t="s">
        <v>31</v>
      </c>
      <c r="F2288" s="3" t="b">
        <v>0</v>
      </c>
      <c r="G2288" s="3" t="s">
        <v>88</v>
      </c>
      <c r="H2288" s="6">
        <v>44949.046284722222</v>
      </c>
      <c r="I2288" s="3" t="b">
        <v>0</v>
      </c>
      <c r="J2288" s="3" t="b">
        <v>1</v>
      </c>
      <c r="K2288" s="3" t="s">
        <v>33</v>
      </c>
      <c r="L2288" s="3" t="s">
        <v>48</v>
      </c>
      <c r="M2288" s="8"/>
      <c r="N2288" s="11">
        <v>53.5</v>
      </c>
      <c r="O2288" s="3" t="s">
        <v>5613</v>
      </c>
      <c r="P2288" s="3" t="s">
        <v>5614</v>
      </c>
    </row>
    <row r="2289" spans="1:16" x14ac:dyDescent="0.3">
      <c r="A2289" s="3" t="s">
        <v>27</v>
      </c>
      <c r="B2289" s="3" t="s">
        <v>5615</v>
      </c>
      <c r="C2289" s="3" t="s">
        <v>321</v>
      </c>
      <c r="D2289" s="3" t="s">
        <v>1408</v>
      </c>
      <c r="E2289" s="3" t="s">
        <v>31</v>
      </c>
      <c r="F2289" s="3" t="b">
        <v>0</v>
      </c>
      <c r="G2289" s="3" t="s">
        <v>88</v>
      </c>
      <c r="H2289" s="6">
        <v>44929.982974537037</v>
      </c>
      <c r="I2289" s="3" t="b">
        <v>0</v>
      </c>
      <c r="J2289" s="3" t="b">
        <v>0</v>
      </c>
      <c r="K2289" s="3" t="s">
        <v>33</v>
      </c>
      <c r="L2289" s="3" t="s">
        <v>48</v>
      </c>
      <c r="M2289" s="8"/>
      <c r="N2289" s="11">
        <v>24</v>
      </c>
      <c r="O2289" s="3" t="s">
        <v>4338</v>
      </c>
      <c r="P2289" s="3" t="s">
        <v>5616</v>
      </c>
    </row>
    <row r="2290" spans="1:16" x14ac:dyDescent="0.3">
      <c r="A2290" s="3" t="s">
        <v>27</v>
      </c>
      <c r="B2290" s="3" t="s">
        <v>27</v>
      </c>
      <c r="C2290" s="3" t="s">
        <v>5617</v>
      </c>
      <c r="D2290" s="3" t="s">
        <v>30</v>
      </c>
      <c r="E2290" s="3" t="s">
        <v>31</v>
      </c>
      <c r="F2290" s="3" t="b">
        <v>0</v>
      </c>
      <c r="G2290" s="3" t="s">
        <v>84</v>
      </c>
      <c r="H2290" s="6">
        <v>44952.671620370369</v>
      </c>
      <c r="I2290" s="3" t="b">
        <v>0</v>
      </c>
      <c r="J2290" s="3" t="b">
        <v>1</v>
      </c>
      <c r="K2290" s="3" t="s">
        <v>33</v>
      </c>
      <c r="L2290" s="3" t="s">
        <v>34</v>
      </c>
      <c r="M2290" s="8">
        <v>74781</v>
      </c>
      <c r="N2290" s="11"/>
      <c r="O2290" s="3" t="s">
        <v>5618</v>
      </c>
      <c r="P2290" s="3"/>
    </row>
    <row r="2291" spans="1:16" x14ac:dyDescent="0.3">
      <c r="A2291" s="3" t="s">
        <v>27</v>
      </c>
      <c r="B2291" s="3" t="s">
        <v>2927</v>
      </c>
      <c r="C2291" s="3" t="s">
        <v>29</v>
      </c>
      <c r="D2291" s="3" t="s">
        <v>30</v>
      </c>
      <c r="E2291" s="3" t="s">
        <v>31</v>
      </c>
      <c r="F2291" s="3" t="b">
        <v>0</v>
      </c>
      <c r="G2291" s="3" t="s">
        <v>32</v>
      </c>
      <c r="H2291" s="6">
        <v>44937.253564814811</v>
      </c>
      <c r="I2291" s="3" t="b">
        <v>0</v>
      </c>
      <c r="J2291" s="3" t="b">
        <v>1</v>
      </c>
      <c r="K2291" s="3" t="s">
        <v>33</v>
      </c>
      <c r="L2291" s="3" t="s">
        <v>34</v>
      </c>
      <c r="M2291" s="8">
        <v>161955.5</v>
      </c>
      <c r="N2291" s="11"/>
      <c r="O2291" s="3" t="s">
        <v>35</v>
      </c>
      <c r="P2291" s="3" t="s">
        <v>2928</v>
      </c>
    </row>
    <row r="2292" spans="1:16" x14ac:dyDescent="0.3">
      <c r="A2292" s="3" t="s">
        <v>27</v>
      </c>
      <c r="B2292" s="3" t="s">
        <v>5637</v>
      </c>
      <c r="C2292" s="3" t="s">
        <v>5638</v>
      </c>
      <c r="D2292" s="3" t="s">
        <v>93</v>
      </c>
      <c r="E2292" s="3" t="s">
        <v>31</v>
      </c>
      <c r="F2292" s="3" t="b">
        <v>0</v>
      </c>
      <c r="G2292" s="3" t="s">
        <v>64</v>
      </c>
      <c r="H2292" s="6">
        <v>44928.418368055558</v>
      </c>
      <c r="I2292" s="3" t="b">
        <v>0</v>
      </c>
      <c r="J2292" s="3" t="b">
        <v>0</v>
      </c>
      <c r="K2292" s="3" t="s">
        <v>33</v>
      </c>
      <c r="L2292" s="3" t="s">
        <v>34</v>
      </c>
      <c r="M2292" s="8">
        <v>375000</v>
      </c>
      <c r="N2292" s="11"/>
      <c r="O2292" s="3" t="s">
        <v>5639</v>
      </c>
      <c r="P2292" s="3" t="s">
        <v>5640</v>
      </c>
    </row>
    <row r="2293" spans="1:16" x14ac:dyDescent="0.3">
      <c r="A2293" s="3" t="s">
        <v>27</v>
      </c>
      <c r="B2293" s="3" t="s">
        <v>2222</v>
      </c>
      <c r="C2293" s="3" t="s">
        <v>164</v>
      </c>
      <c r="D2293" s="3" t="s">
        <v>93</v>
      </c>
      <c r="E2293" s="3" t="s">
        <v>31</v>
      </c>
      <c r="F2293" s="3" t="b">
        <v>0</v>
      </c>
      <c r="G2293" s="3" t="s">
        <v>64</v>
      </c>
      <c r="H2293" s="6">
        <v>44951.252129629633</v>
      </c>
      <c r="I2293" s="3" t="b">
        <v>0</v>
      </c>
      <c r="J2293" s="3" t="b">
        <v>1</v>
      </c>
      <c r="K2293" s="3" t="s">
        <v>33</v>
      </c>
      <c r="L2293" s="3" t="s">
        <v>34</v>
      </c>
      <c r="M2293" s="8">
        <v>150000</v>
      </c>
      <c r="N2293" s="11"/>
      <c r="O2293" s="3" t="s">
        <v>5641</v>
      </c>
      <c r="P2293" s="3" t="s">
        <v>958</v>
      </c>
    </row>
    <row r="2294" spans="1:16" x14ac:dyDescent="0.3">
      <c r="A2294" s="3" t="s">
        <v>27</v>
      </c>
      <c r="B2294" s="3" t="s">
        <v>5642</v>
      </c>
      <c r="C2294" s="3" t="s">
        <v>87</v>
      </c>
      <c r="D2294" s="3" t="s">
        <v>263</v>
      </c>
      <c r="E2294" s="3" t="s">
        <v>133</v>
      </c>
      <c r="F2294" s="3" t="b">
        <v>1</v>
      </c>
      <c r="G2294" s="3" t="s">
        <v>110</v>
      </c>
      <c r="H2294" s="6">
        <v>44938.640416666669</v>
      </c>
      <c r="I2294" s="3" t="b">
        <v>0</v>
      </c>
      <c r="J2294" s="3" t="b">
        <v>0</v>
      </c>
      <c r="K2294" s="3" t="s">
        <v>110</v>
      </c>
      <c r="L2294" s="3" t="s">
        <v>48</v>
      </c>
      <c r="M2294" s="8"/>
      <c r="N2294" s="11">
        <v>30.5</v>
      </c>
      <c r="O2294" s="3" t="s">
        <v>264</v>
      </c>
      <c r="P2294" s="3"/>
    </row>
    <row r="2295" spans="1:16" x14ac:dyDescent="0.3">
      <c r="A2295" s="3" t="s">
        <v>27</v>
      </c>
      <c r="B2295" s="3" t="s">
        <v>5650</v>
      </c>
      <c r="C2295" s="3" t="s">
        <v>4750</v>
      </c>
      <c r="D2295" s="3" t="s">
        <v>41</v>
      </c>
      <c r="E2295" s="3" t="s">
        <v>31</v>
      </c>
      <c r="F2295" s="3" t="b">
        <v>0</v>
      </c>
      <c r="G2295" s="3" t="s">
        <v>4302</v>
      </c>
      <c r="H2295" s="6">
        <v>44938.107465277782</v>
      </c>
      <c r="I2295" s="3" t="b">
        <v>1</v>
      </c>
      <c r="J2295" s="3" t="b">
        <v>0</v>
      </c>
      <c r="K2295" s="3" t="s">
        <v>4302</v>
      </c>
      <c r="L2295" s="3" t="s">
        <v>34</v>
      </c>
      <c r="M2295" s="8">
        <v>99150</v>
      </c>
      <c r="N2295" s="11"/>
      <c r="O2295" s="3" t="s">
        <v>875</v>
      </c>
      <c r="P2295" s="3" t="s">
        <v>806</v>
      </c>
    </row>
    <row r="2296" spans="1:16" x14ac:dyDescent="0.3">
      <c r="A2296" s="3" t="s">
        <v>27</v>
      </c>
      <c r="B2296" s="3" t="s">
        <v>5651</v>
      </c>
      <c r="C2296" s="3" t="s">
        <v>3617</v>
      </c>
      <c r="D2296" s="3" t="s">
        <v>93</v>
      </c>
      <c r="E2296" s="3" t="s">
        <v>31</v>
      </c>
      <c r="F2296" s="3" t="b">
        <v>0</v>
      </c>
      <c r="G2296" s="3" t="s">
        <v>58</v>
      </c>
      <c r="H2296" s="6">
        <v>44957.460833333331</v>
      </c>
      <c r="I2296" s="3" t="b">
        <v>0</v>
      </c>
      <c r="J2296" s="3" t="b">
        <v>1</v>
      </c>
      <c r="K2296" s="3" t="s">
        <v>33</v>
      </c>
      <c r="L2296" s="3" t="s">
        <v>34</v>
      </c>
      <c r="M2296" s="8">
        <v>115000</v>
      </c>
      <c r="N2296" s="11"/>
      <c r="O2296" s="3" t="s">
        <v>5652</v>
      </c>
      <c r="P2296" s="3" t="s">
        <v>5653</v>
      </c>
    </row>
    <row r="2297" spans="1:16" x14ac:dyDescent="0.3">
      <c r="A2297" s="3" t="s">
        <v>27</v>
      </c>
      <c r="B2297" s="3" t="s">
        <v>27</v>
      </c>
      <c r="C2297" s="3" t="s">
        <v>29</v>
      </c>
      <c r="D2297" s="3" t="s">
        <v>76</v>
      </c>
      <c r="E2297" s="3" t="s">
        <v>133</v>
      </c>
      <c r="F2297" s="3" t="b">
        <v>0</v>
      </c>
      <c r="G2297" s="3" t="s">
        <v>32</v>
      </c>
      <c r="H2297" s="6">
        <v>44939.003865740742</v>
      </c>
      <c r="I2297" s="3" t="b">
        <v>0</v>
      </c>
      <c r="J2297" s="3" t="b">
        <v>0</v>
      </c>
      <c r="K2297" s="3" t="s">
        <v>33</v>
      </c>
      <c r="L2297" s="3" t="s">
        <v>48</v>
      </c>
      <c r="M2297" s="8"/>
      <c r="N2297" s="11">
        <v>75</v>
      </c>
      <c r="O2297" s="3" t="s">
        <v>5657</v>
      </c>
      <c r="P2297" s="3" t="s">
        <v>5658</v>
      </c>
    </row>
    <row r="2298" spans="1:16" x14ac:dyDescent="0.3">
      <c r="A2298" s="3" t="s">
        <v>27</v>
      </c>
      <c r="B2298" s="3" t="s">
        <v>27</v>
      </c>
      <c r="C2298" s="3" t="s">
        <v>270</v>
      </c>
      <c r="D2298" s="3" t="s">
        <v>41</v>
      </c>
      <c r="E2298" s="3" t="s">
        <v>31</v>
      </c>
      <c r="F2298" s="3" t="b">
        <v>0</v>
      </c>
      <c r="G2298" s="3" t="s">
        <v>32</v>
      </c>
      <c r="H2298" s="6">
        <v>44940.836145833331</v>
      </c>
      <c r="I2298" s="3" t="b">
        <v>0</v>
      </c>
      <c r="J2298" s="3" t="b">
        <v>0</v>
      </c>
      <c r="K2298" s="3" t="s">
        <v>33</v>
      </c>
      <c r="L2298" s="3" t="s">
        <v>34</v>
      </c>
      <c r="M2298" s="8">
        <v>250000</v>
      </c>
      <c r="N2298" s="11"/>
      <c r="O2298" s="3" t="s">
        <v>498</v>
      </c>
      <c r="P2298" s="3" t="s">
        <v>5659</v>
      </c>
    </row>
    <row r="2299" spans="1:16" x14ac:dyDescent="0.3">
      <c r="A2299" s="3" t="s">
        <v>27</v>
      </c>
      <c r="B2299" s="3" t="s">
        <v>5663</v>
      </c>
      <c r="C2299" s="3" t="s">
        <v>87</v>
      </c>
      <c r="D2299" s="3" t="s">
        <v>263</v>
      </c>
      <c r="E2299" s="3" t="s">
        <v>133</v>
      </c>
      <c r="F2299" s="3" t="b">
        <v>1</v>
      </c>
      <c r="G2299" s="3" t="s">
        <v>58</v>
      </c>
      <c r="H2299" s="6">
        <v>44936.044849537036</v>
      </c>
      <c r="I2299" s="3" t="b">
        <v>0</v>
      </c>
      <c r="J2299" s="3" t="b">
        <v>0</v>
      </c>
      <c r="K2299" s="3" t="s">
        <v>33</v>
      </c>
      <c r="L2299" s="3" t="s">
        <v>48</v>
      </c>
      <c r="M2299" s="8"/>
      <c r="N2299" s="11">
        <v>30.5</v>
      </c>
      <c r="O2299" s="3" t="s">
        <v>264</v>
      </c>
      <c r="P2299" s="3"/>
    </row>
    <row r="2300" spans="1:16" x14ac:dyDescent="0.3">
      <c r="A2300" s="3" t="s">
        <v>27</v>
      </c>
      <c r="B2300" s="3" t="s">
        <v>5671</v>
      </c>
      <c r="C2300" s="3" t="s">
        <v>97</v>
      </c>
      <c r="D2300" s="3" t="s">
        <v>76</v>
      </c>
      <c r="E2300" s="3" t="s">
        <v>31</v>
      </c>
      <c r="F2300" s="3" t="b">
        <v>0</v>
      </c>
      <c r="G2300" s="3" t="s">
        <v>32</v>
      </c>
      <c r="H2300" s="6">
        <v>44928.835266203707</v>
      </c>
      <c r="I2300" s="3" t="b">
        <v>0</v>
      </c>
      <c r="J2300" s="3" t="b">
        <v>1</v>
      </c>
      <c r="K2300" s="3" t="s">
        <v>33</v>
      </c>
      <c r="L2300" s="3" t="s">
        <v>34</v>
      </c>
      <c r="M2300" s="8">
        <v>184500</v>
      </c>
      <c r="N2300" s="11"/>
      <c r="O2300" s="3" t="s">
        <v>5672</v>
      </c>
      <c r="P2300" s="3" t="s">
        <v>5673</v>
      </c>
    </row>
    <row r="2301" spans="1:16" x14ac:dyDescent="0.3">
      <c r="A2301" s="3" t="s">
        <v>27</v>
      </c>
      <c r="B2301" s="3" t="s">
        <v>27</v>
      </c>
      <c r="C2301" s="3" t="s">
        <v>1628</v>
      </c>
      <c r="D2301" s="3" t="s">
        <v>93</v>
      </c>
      <c r="E2301" s="3" t="s">
        <v>31</v>
      </c>
      <c r="F2301" s="3" t="b">
        <v>0</v>
      </c>
      <c r="G2301" s="3" t="s">
        <v>88</v>
      </c>
      <c r="H2301" s="6">
        <v>44937.463020833333</v>
      </c>
      <c r="I2301" s="3" t="b">
        <v>0</v>
      </c>
      <c r="J2301" s="3" t="b">
        <v>1</v>
      </c>
      <c r="K2301" s="3" t="s">
        <v>33</v>
      </c>
      <c r="L2301" s="3" t="s">
        <v>34</v>
      </c>
      <c r="M2301" s="8">
        <v>90000</v>
      </c>
      <c r="N2301" s="11"/>
      <c r="O2301" s="3" t="s">
        <v>98</v>
      </c>
      <c r="P2301" s="3" t="s">
        <v>5680</v>
      </c>
    </row>
    <row r="2302" spans="1:16" x14ac:dyDescent="0.3">
      <c r="A2302" s="3" t="s">
        <v>27</v>
      </c>
      <c r="B2302" s="3" t="s">
        <v>5683</v>
      </c>
      <c r="C2302" s="3" t="s">
        <v>1488</v>
      </c>
      <c r="D2302" s="3" t="s">
        <v>5684</v>
      </c>
      <c r="E2302" s="3" t="s">
        <v>31</v>
      </c>
      <c r="F2302" s="3" t="b">
        <v>0</v>
      </c>
      <c r="G2302" s="3" t="s">
        <v>84</v>
      </c>
      <c r="H2302" s="6">
        <v>44929.982118055559</v>
      </c>
      <c r="I2302" s="3" t="b">
        <v>0</v>
      </c>
      <c r="J2302" s="3" t="b">
        <v>1</v>
      </c>
      <c r="K2302" s="3" t="s">
        <v>33</v>
      </c>
      <c r="L2302" s="3" t="s">
        <v>48</v>
      </c>
      <c r="M2302" s="8"/>
      <c r="N2302" s="11">
        <v>24</v>
      </c>
      <c r="O2302" s="3" t="s">
        <v>5685</v>
      </c>
      <c r="P2302" s="3" t="s">
        <v>5686</v>
      </c>
    </row>
    <row r="2303" spans="1:16" x14ac:dyDescent="0.3">
      <c r="A2303" s="3" t="s">
        <v>27</v>
      </c>
      <c r="B2303" s="3" t="s">
        <v>5687</v>
      </c>
      <c r="C2303" s="3" t="s">
        <v>5688</v>
      </c>
      <c r="D2303" s="3" t="s">
        <v>1013</v>
      </c>
      <c r="E2303" s="3" t="s">
        <v>31</v>
      </c>
      <c r="F2303" s="3" t="b">
        <v>0</v>
      </c>
      <c r="G2303" s="3" t="s">
        <v>64</v>
      </c>
      <c r="H2303" s="6">
        <v>44938.920289351852</v>
      </c>
      <c r="I2303" s="3" t="b">
        <v>0</v>
      </c>
      <c r="J2303" s="3" t="b">
        <v>1</v>
      </c>
      <c r="K2303" s="3" t="s">
        <v>33</v>
      </c>
      <c r="L2303" s="3" t="s">
        <v>34</v>
      </c>
      <c r="M2303" s="8">
        <v>106150</v>
      </c>
      <c r="N2303" s="11"/>
      <c r="O2303" s="3" t="s">
        <v>5689</v>
      </c>
      <c r="P2303" s="3" t="s">
        <v>1007</v>
      </c>
    </row>
    <row r="2304" spans="1:16" x14ac:dyDescent="0.3">
      <c r="A2304" s="3" t="s">
        <v>27</v>
      </c>
      <c r="B2304" s="3" t="s">
        <v>5692</v>
      </c>
      <c r="C2304" s="3" t="s">
        <v>270</v>
      </c>
      <c r="D2304" s="3" t="s">
        <v>76</v>
      </c>
      <c r="E2304" s="3" t="s">
        <v>31</v>
      </c>
      <c r="F2304" s="3" t="b">
        <v>0</v>
      </c>
      <c r="G2304" s="3" t="s">
        <v>32</v>
      </c>
      <c r="H2304" s="6">
        <v>44930.294456018521</v>
      </c>
      <c r="I2304" s="3" t="b">
        <v>0</v>
      </c>
      <c r="J2304" s="3" t="b">
        <v>0</v>
      </c>
      <c r="K2304" s="3" t="s">
        <v>33</v>
      </c>
      <c r="L2304" s="3" t="s">
        <v>34</v>
      </c>
      <c r="M2304" s="8">
        <v>152580</v>
      </c>
      <c r="N2304" s="11"/>
      <c r="O2304" s="3" t="s">
        <v>5693</v>
      </c>
      <c r="P2304" s="3" t="s">
        <v>5694</v>
      </c>
    </row>
    <row r="2305" spans="1:16" x14ac:dyDescent="0.3">
      <c r="A2305" s="3" t="s">
        <v>27</v>
      </c>
      <c r="B2305" s="3" t="s">
        <v>27</v>
      </c>
      <c r="C2305" s="3" t="s">
        <v>87</v>
      </c>
      <c r="D2305" s="3" t="s">
        <v>76</v>
      </c>
      <c r="E2305" s="3" t="s">
        <v>31</v>
      </c>
      <c r="F2305" s="3" t="b">
        <v>1</v>
      </c>
      <c r="G2305" s="3" t="s">
        <v>64</v>
      </c>
      <c r="H2305" s="6">
        <v>44936.002129629633</v>
      </c>
      <c r="I2305" s="3" t="b">
        <v>0</v>
      </c>
      <c r="J2305" s="3" t="b">
        <v>1</v>
      </c>
      <c r="K2305" s="3" t="s">
        <v>33</v>
      </c>
      <c r="L2305" s="3" t="s">
        <v>34</v>
      </c>
      <c r="M2305" s="8">
        <v>125000</v>
      </c>
      <c r="N2305" s="11"/>
      <c r="O2305" s="3" t="s">
        <v>5695</v>
      </c>
      <c r="P2305" s="3" t="s">
        <v>5696</v>
      </c>
    </row>
    <row r="2306" spans="1:16" x14ac:dyDescent="0.3">
      <c r="A2306" s="3" t="s">
        <v>27</v>
      </c>
      <c r="B2306" s="3" t="s">
        <v>519</v>
      </c>
      <c r="C2306" s="3" t="s">
        <v>164</v>
      </c>
      <c r="D2306" s="3" t="s">
        <v>30</v>
      </c>
      <c r="E2306" s="3" t="s">
        <v>31</v>
      </c>
      <c r="F2306" s="3" t="b">
        <v>0</v>
      </c>
      <c r="G2306" s="3" t="s">
        <v>64</v>
      </c>
      <c r="H2306" s="6">
        <v>44952.336354166669</v>
      </c>
      <c r="I2306" s="3" t="b">
        <v>0</v>
      </c>
      <c r="J2306" s="3" t="b">
        <v>1</v>
      </c>
      <c r="K2306" s="3" t="s">
        <v>33</v>
      </c>
      <c r="L2306" s="3" t="s">
        <v>34</v>
      </c>
      <c r="M2306" s="8">
        <v>172500</v>
      </c>
      <c r="N2306" s="11"/>
      <c r="O2306" s="3" t="s">
        <v>158</v>
      </c>
      <c r="P2306" s="3" t="s">
        <v>1255</v>
      </c>
    </row>
    <row r="2307" spans="1:16" x14ac:dyDescent="0.3">
      <c r="A2307" s="3" t="s">
        <v>27</v>
      </c>
      <c r="B2307" s="3" t="s">
        <v>5706</v>
      </c>
      <c r="C2307" s="3" t="s">
        <v>1547</v>
      </c>
      <c r="D2307" s="3" t="s">
        <v>41</v>
      </c>
      <c r="E2307" s="3" t="s">
        <v>31</v>
      </c>
      <c r="F2307" s="3" t="b">
        <v>0</v>
      </c>
      <c r="G2307" s="3" t="s">
        <v>1548</v>
      </c>
      <c r="H2307" s="6">
        <v>44954.740057870367</v>
      </c>
      <c r="I2307" s="3" t="b">
        <v>0</v>
      </c>
      <c r="J2307" s="3" t="b">
        <v>0</v>
      </c>
      <c r="K2307" s="3" t="s">
        <v>1548</v>
      </c>
      <c r="L2307" s="3" t="s">
        <v>34</v>
      </c>
      <c r="M2307" s="8">
        <v>69300</v>
      </c>
      <c r="N2307" s="11"/>
      <c r="O2307" s="3" t="s">
        <v>1549</v>
      </c>
      <c r="P2307" s="3"/>
    </row>
    <row r="2308" spans="1:16" x14ac:dyDescent="0.3">
      <c r="A2308" s="3" t="s">
        <v>27</v>
      </c>
      <c r="B2308" s="3" t="s">
        <v>27</v>
      </c>
      <c r="C2308" s="3" t="s">
        <v>122</v>
      </c>
      <c r="D2308" s="3" t="s">
        <v>76</v>
      </c>
      <c r="E2308" s="3" t="s">
        <v>31</v>
      </c>
      <c r="F2308" s="3" t="b">
        <v>0</v>
      </c>
      <c r="G2308" s="3" t="s">
        <v>32</v>
      </c>
      <c r="H2308" s="6">
        <v>44931.502500000002</v>
      </c>
      <c r="I2308" s="3" t="b">
        <v>0</v>
      </c>
      <c r="J2308" s="3" t="b">
        <v>1</v>
      </c>
      <c r="K2308" s="3" t="s">
        <v>33</v>
      </c>
      <c r="L2308" s="3" t="s">
        <v>34</v>
      </c>
      <c r="M2308" s="8">
        <v>147000</v>
      </c>
      <c r="N2308" s="11"/>
      <c r="O2308" s="3" t="s">
        <v>124</v>
      </c>
      <c r="P2308" s="3" t="s">
        <v>5707</v>
      </c>
    </row>
    <row r="2309" spans="1:16" x14ac:dyDescent="0.3">
      <c r="A2309" s="3" t="s">
        <v>27</v>
      </c>
      <c r="B2309" s="3" t="s">
        <v>5713</v>
      </c>
      <c r="C2309" s="3" t="s">
        <v>87</v>
      </c>
      <c r="D2309" s="3" t="s">
        <v>287</v>
      </c>
      <c r="E2309" s="3" t="s">
        <v>31</v>
      </c>
      <c r="F2309" s="3" t="b">
        <v>1</v>
      </c>
      <c r="G2309" s="3" t="s">
        <v>88</v>
      </c>
      <c r="H2309" s="6">
        <v>44954.005590277768</v>
      </c>
      <c r="I2309" s="3" t="b">
        <v>0</v>
      </c>
      <c r="J2309" s="3" t="b">
        <v>0</v>
      </c>
      <c r="K2309" s="3" t="s">
        <v>33</v>
      </c>
      <c r="L2309" s="3" t="s">
        <v>48</v>
      </c>
      <c r="M2309" s="8"/>
      <c r="N2309" s="11">
        <v>80</v>
      </c>
      <c r="O2309" s="3" t="s">
        <v>5714</v>
      </c>
      <c r="P2309" s="3" t="s">
        <v>5715</v>
      </c>
    </row>
    <row r="2310" spans="1:16" x14ac:dyDescent="0.3">
      <c r="A2310" s="3" t="s">
        <v>27</v>
      </c>
      <c r="B2310" s="3" t="s">
        <v>27</v>
      </c>
      <c r="C2310" s="3" t="s">
        <v>396</v>
      </c>
      <c r="D2310" s="3" t="s">
        <v>188</v>
      </c>
      <c r="E2310" s="3" t="s">
        <v>31</v>
      </c>
      <c r="F2310" s="3" t="b">
        <v>0</v>
      </c>
      <c r="G2310" s="3" t="s">
        <v>110</v>
      </c>
      <c r="H2310" s="6">
        <v>44940.057129629633</v>
      </c>
      <c r="I2310" s="3" t="b">
        <v>0</v>
      </c>
      <c r="J2310" s="3" t="b">
        <v>0</v>
      </c>
      <c r="K2310" s="3" t="s">
        <v>110</v>
      </c>
      <c r="L2310" s="3" t="s">
        <v>34</v>
      </c>
      <c r="M2310" s="8">
        <v>95000</v>
      </c>
      <c r="N2310" s="11"/>
      <c r="O2310" s="3" t="s">
        <v>114</v>
      </c>
      <c r="P2310" s="3" t="s">
        <v>5717</v>
      </c>
    </row>
    <row r="2311" spans="1:16" x14ac:dyDescent="0.3">
      <c r="A2311" s="3" t="s">
        <v>27</v>
      </c>
      <c r="B2311" s="3" t="s">
        <v>5718</v>
      </c>
      <c r="C2311" s="3" t="s">
        <v>5719</v>
      </c>
      <c r="D2311" s="3" t="s">
        <v>41</v>
      </c>
      <c r="E2311" s="3" t="s">
        <v>31</v>
      </c>
      <c r="F2311" s="3" t="b">
        <v>0</v>
      </c>
      <c r="G2311" s="3" t="s">
        <v>84</v>
      </c>
      <c r="H2311" s="6">
        <v>44937.252326388887</v>
      </c>
      <c r="I2311" s="3" t="b">
        <v>0</v>
      </c>
      <c r="J2311" s="3" t="b">
        <v>1</v>
      </c>
      <c r="K2311" s="3" t="s">
        <v>33</v>
      </c>
      <c r="L2311" s="3" t="s">
        <v>34</v>
      </c>
      <c r="M2311" s="8">
        <v>63000</v>
      </c>
      <c r="N2311" s="11"/>
      <c r="O2311" s="3" t="s">
        <v>5720</v>
      </c>
      <c r="P2311" s="3" t="s">
        <v>5721</v>
      </c>
    </row>
    <row r="2312" spans="1:16" x14ac:dyDescent="0.3">
      <c r="A2312" s="3" t="s">
        <v>27</v>
      </c>
      <c r="B2312" s="3" t="s">
        <v>1642</v>
      </c>
      <c r="C2312" s="3" t="s">
        <v>87</v>
      </c>
      <c r="D2312" s="3" t="s">
        <v>76</v>
      </c>
      <c r="E2312" s="3" t="s">
        <v>133</v>
      </c>
      <c r="F2312" s="3" t="b">
        <v>1</v>
      </c>
      <c r="G2312" s="3" t="s">
        <v>32</v>
      </c>
      <c r="H2312" s="6">
        <v>44939.96230324074</v>
      </c>
      <c r="I2312" s="3" t="b">
        <v>0</v>
      </c>
      <c r="J2312" s="3" t="b">
        <v>0</v>
      </c>
      <c r="K2312" s="3" t="s">
        <v>33</v>
      </c>
      <c r="L2312" s="3" t="s">
        <v>48</v>
      </c>
      <c r="M2312" s="8"/>
      <c r="N2312" s="11">
        <v>62.5</v>
      </c>
      <c r="O2312" s="3" t="s">
        <v>1065</v>
      </c>
      <c r="P2312" s="3" t="s">
        <v>1644</v>
      </c>
    </row>
    <row r="2313" spans="1:16" x14ac:dyDescent="0.3">
      <c r="A2313" s="3" t="s">
        <v>27</v>
      </c>
      <c r="B2313" s="3" t="s">
        <v>5733</v>
      </c>
      <c r="C2313" s="3" t="s">
        <v>173</v>
      </c>
      <c r="D2313" s="3" t="s">
        <v>287</v>
      </c>
      <c r="E2313" s="3" t="s">
        <v>31</v>
      </c>
      <c r="F2313" s="3" t="b">
        <v>0</v>
      </c>
      <c r="G2313" s="3" t="s">
        <v>140</v>
      </c>
      <c r="H2313" s="6">
        <v>44940.989571759259</v>
      </c>
      <c r="I2313" s="3" t="b">
        <v>0</v>
      </c>
      <c r="J2313" s="3" t="b">
        <v>1</v>
      </c>
      <c r="K2313" s="3" t="s">
        <v>33</v>
      </c>
      <c r="L2313" s="3" t="s">
        <v>34</v>
      </c>
      <c r="M2313" s="8">
        <v>93045</v>
      </c>
      <c r="N2313" s="11"/>
      <c r="O2313" s="3" t="s">
        <v>5734</v>
      </c>
      <c r="P2313" s="3" t="s">
        <v>5735</v>
      </c>
    </row>
    <row r="2314" spans="1:16" x14ac:dyDescent="0.3">
      <c r="A2314" s="3" t="s">
        <v>27</v>
      </c>
      <c r="B2314" s="3" t="s">
        <v>5736</v>
      </c>
      <c r="C2314" s="3" t="s">
        <v>1418</v>
      </c>
      <c r="D2314" s="3" t="s">
        <v>106</v>
      </c>
      <c r="E2314" s="3" t="s">
        <v>31</v>
      </c>
      <c r="F2314" s="3" t="b">
        <v>0</v>
      </c>
      <c r="G2314" s="3" t="s">
        <v>32</v>
      </c>
      <c r="H2314" s="6">
        <v>44932.127685185187</v>
      </c>
      <c r="I2314" s="3" t="b">
        <v>0</v>
      </c>
      <c r="J2314" s="3" t="b">
        <v>1</v>
      </c>
      <c r="K2314" s="3" t="s">
        <v>33</v>
      </c>
      <c r="L2314" s="3" t="s">
        <v>34</v>
      </c>
      <c r="M2314" s="8">
        <v>71100</v>
      </c>
      <c r="N2314" s="11"/>
      <c r="O2314" s="3" t="s">
        <v>665</v>
      </c>
      <c r="P2314" s="3" t="s">
        <v>5737</v>
      </c>
    </row>
    <row r="2315" spans="1:16" x14ac:dyDescent="0.3">
      <c r="A2315" s="3" t="s">
        <v>27</v>
      </c>
      <c r="B2315" s="3" t="s">
        <v>4205</v>
      </c>
      <c r="C2315" s="3" t="s">
        <v>910</v>
      </c>
      <c r="D2315" s="3" t="s">
        <v>76</v>
      </c>
      <c r="E2315" s="3" t="s">
        <v>31</v>
      </c>
      <c r="F2315" s="3" t="b">
        <v>0</v>
      </c>
      <c r="G2315" s="3" t="s">
        <v>32</v>
      </c>
      <c r="H2315" s="6">
        <v>44943.711481481478</v>
      </c>
      <c r="I2315" s="3" t="b">
        <v>0</v>
      </c>
      <c r="J2315" s="3" t="b">
        <v>1</v>
      </c>
      <c r="K2315" s="3" t="s">
        <v>33</v>
      </c>
      <c r="L2315" s="3" t="s">
        <v>34</v>
      </c>
      <c r="M2315" s="8">
        <v>207500</v>
      </c>
      <c r="N2315" s="11"/>
      <c r="O2315" s="3" t="s">
        <v>3742</v>
      </c>
      <c r="P2315" s="3" t="s">
        <v>1255</v>
      </c>
    </row>
    <row r="2316" spans="1:16" x14ac:dyDescent="0.3">
      <c r="A2316" s="3" t="s">
        <v>27</v>
      </c>
      <c r="B2316" s="3" t="s">
        <v>27</v>
      </c>
      <c r="C2316" s="3" t="s">
        <v>5747</v>
      </c>
      <c r="D2316" s="3" t="s">
        <v>30</v>
      </c>
      <c r="E2316" s="3" t="s">
        <v>31</v>
      </c>
      <c r="F2316" s="3" t="b">
        <v>0</v>
      </c>
      <c r="G2316" s="3" t="s">
        <v>64</v>
      </c>
      <c r="H2316" s="6">
        <v>44950.002349537041</v>
      </c>
      <c r="I2316" s="3" t="b">
        <v>0</v>
      </c>
      <c r="J2316" s="3" t="b">
        <v>1</v>
      </c>
      <c r="K2316" s="3" t="s">
        <v>33</v>
      </c>
      <c r="L2316" s="3" t="s">
        <v>34</v>
      </c>
      <c r="M2316" s="8">
        <v>125000</v>
      </c>
      <c r="N2316" s="11"/>
      <c r="O2316" s="3" t="s">
        <v>3423</v>
      </c>
      <c r="P2316" s="3" t="s">
        <v>5748</v>
      </c>
    </row>
    <row r="2317" spans="1:16" x14ac:dyDescent="0.3">
      <c r="A2317" s="3" t="s">
        <v>27</v>
      </c>
      <c r="B2317" s="3" t="s">
        <v>5759</v>
      </c>
      <c r="C2317" s="3" t="s">
        <v>87</v>
      </c>
      <c r="D2317" s="3" t="s">
        <v>30</v>
      </c>
      <c r="E2317" s="3" t="s">
        <v>133</v>
      </c>
      <c r="F2317" s="3" t="b">
        <v>1</v>
      </c>
      <c r="G2317" s="3" t="s">
        <v>84</v>
      </c>
      <c r="H2317" s="6">
        <v>44943.752199074072</v>
      </c>
      <c r="I2317" s="3" t="b">
        <v>0</v>
      </c>
      <c r="J2317" s="3" t="b">
        <v>0</v>
      </c>
      <c r="K2317" s="3" t="s">
        <v>33</v>
      </c>
      <c r="L2317" s="3" t="s">
        <v>48</v>
      </c>
      <c r="M2317" s="8"/>
      <c r="N2317" s="11">
        <v>18</v>
      </c>
      <c r="O2317" s="3" t="s">
        <v>3755</v>
      </c>
      <c r="P2317" s="3" t="s">
        <v>5760</v>
      </c>
    </row>
    <row r="2318" spans="1:16" x14ac:dyDescent="0.3">
      <c r="A2318" s="3" t="s">
        <v>27</v>
      </c>
      <c r="B2318" s="3" t="s">
        <v>5761</v>
      </c>
      <c r="C2318" s="3" t="s">
        <v>396</v>
      </c>
      <c r="D2318" s="3" t="s">
        <v>53</v>
      </c>
      <c r="E2318" s="3" t="s">
        <v>31</v>
      </c>
      <c r="F2318" s="3" t="b">
        <v>0</v>
      </c>
      <c r="G2318" s="3" t="s">
        <v>110</v>
      </c>
      <c r="H2318" s="6">
        <v>44938.075879629629</v>
      </c>
      <c r="I2318" s="3" t="b">
        <v>0</v>
      </c>
      <c r="J2318" s="3" t="b">
        <v>0</v>
      </c>
      <c r="K2318" s="3" t="s">
        <v>110</v>
      </c>
      <c r="L2318" s="3" t="s">
        <v>48</v>
      </c>
      <c r="M2318" s="8"/>
      <c r="N2318" s="11">
        <v>59.5</v>
      </c>
      <c r="O2318" s="3" t="s">
        <v>5762</v>
      </c>
      <c r="P2318" s="3" t="s">
        <v>347</v>
      </c>
    </row>
    <row r="2319" spans="1:16" x14ac:dyDescent="0.3">
      <c r="A2319" s="3" t="s">
        <v>27</v>
      </c>
      <c r="B2319" s="3" t="s">
        <v>5770</v>
      </c>
      <c r="C2319" s="3" t="s">
        <v>417</v>
      </c>
      <c r="D2319" s="3" t="s">
        <v>429</v>
      </c>
      <c r="E2319" s="3" t="s">
        <v>31</v>
      </c>
      <c r="F2319" s="3" t="b">
        <v>0</v>
      </c>
      <c r="G2319" s="3" t="s">
        <v>58</v>
      </c>
      <c r="H2319" s="6">
        <v>44953.004259259258</v>
      </c>
      <c r="I2319" s="3" t="b">
        <v>0</v>
      </c>
      <c r="J2319" s="3" t="b">
        <v>1</v>
      </c>
      <c r="K2319" s="3" t="s">
        <v>33</v>
      </c>
      <c r="L2319" s="3" t="s">
        <v>48</v>
      </c>
      <c r="M2319" s="8"/>
      <c r="N2319" s="11">
        <v>24</v>
      </c>
      <c r="O2319" s="3" t="s">
        <v>49</v>
      </c>
      <c r="P2319" s="3" t="s">
        <v>5771</v>
      </c>
    </row>
    <row r="2320" spans="1:16" x14ac:dyDescent="0.3">
      <c r="A2320" s="3" t="s">
        <v>27</v>
      </c>
      <c r="B2320" s="3" t="s">
        <v>3291</v>
      </c>
      <c r="C2320" s="3" t="s">
        <v>549</v>
      </c>
      <c r="D2320" s="3" t="s">
        <v>30</v>
      </c>
      <c r="E2320" s="3" t="s">
        <v>31</v>
      </c>
      <c r="F2320" s="3" t="b">
        <v>0</v>
      </c>
      <c r="G2320" s="3" t="s">
        <v>140</v>
      </c>
      <c r="H2320" s="6">
        <v>44931.833449074067</v>
      </c>
      <c r="I2320" s="3" t="b">
        <v>0</v>
      </c>
      <c r="J2320" s="3" t="b">
        <v>1</v>
      </c>
      <c r="K2320" s="3" t="s">
        <v>33</v>
      </c>
      <c r="L2320" s="3" t="s">
        <v>34</v>
      </c>
      <c r="M2320" s="8">
        <v>123225</v>
      </c>
      <c r="N2320" s="11"/>
      <c r="O2320" s="3" t="s">
        <v>550</v>
      </c>
      <c r="P2320" s="3" t="s">
        <v>3292</v>
      </c>
    </row>
    <row r="2321" spans="1:16" x14ac:dyDescent="0.3">
      <c r="A2321" s="3" t="s">
        <v>27</v>
      </c>
      <c r="B2321" s="3" t="s">
        <v>27</v>
      </c>
      <c r="C2321" s="3" t="s">
        <v>164</v>
      </c>
      <c r="D2321" s="3" t="s">
        <v>53</v>
      </c>
      <c r="E2321" s="3" t="s">
        <v>31</v>
      </c>
      <c r="F2321" s="3" t="b">
        <v>0</v>
      </c>
      <c r="G2321" s="3" t="s">
        <v>64</v>
      </c>
      <c r="H2321" s="6">
        <v>44935.877256944441</v>
      </c>
      <c r="I2321" s="3" t="b">
        <v>0</v>
      </c>
      <c r="J2321" s="3" t="b">
        <v>0</v>
      </c>
      <c r="K2321" s="3" t="s">
        <v>33</v>
      </c>
      <c r="L2321" s="3" t="s">
        <v>34</v>
      </c>
      <c r="M2321" s="8">
        <v>190000</v>
      </c>
      <c r="N2321" s="11"/>
      <c r="O2321" s="3" t="s">
        <v>4264</v>
      </c>
      <c r="P2321" s="3" t="s">
        <v>932</v>
      </c>
    </row>
    <row r="2322" spans="1:16" x14ac:dyDescent="0.3">
      <c r="A2322" s="3" t="s">
        <v>27</v>
      </c>
      <c r="B2322" s="3" t="s">
        <v>5781</v>
      </c>
      <c r="C2322" s="3" t="s">
        <v>270</v>
      </c>
      <c r="D2322" s="3" t="s">
        <v>867</v>
      </c>
      <c r="E2322" s="3" t="s">
        <v>31</v>
      </c>
      <c r="F2322" s="3" t="b">
        <v>0</v>
      </c>
      <c r="G2322" s="3" t="s">
        <v>32</v>
      </c>
      <c r="H2322" s="6">
        <v>44953.003946759258</v>
      </c>
      <c r="I2322" s="3" t="b">
        <v>0</v>
      </c>
      <c r="J2322" s="3" t="b">
        <v>1</v>
      </c>
      <c r="K2322" s="3" t="s">
        <v>33</v>
      </c>
      <c r="L2322" s="3" t="s">
        <v>34</v>
      </c>
      <c r="M2322" s="8">
        <v>270000</v>
      </c>
      <c r="N2322" s="11"/>
      <c r="O2322" s="3" t="s">
        <v>2377</v>
      </c>
      <c r="P2322" s="3" t="s">
        <v>5782</v>
      </c>
    </row>
    <row r="2323" spans="1:16" x14ac:dyDescent="0.3">
      <c r="A2323" s="3" t="s">
        <v>27</v>
      </c>
      <c r="B2323" s="3" t="s">
        <v>27</v>
      </c>
      <c r="C2323" s="3" t="s">
        <v>75</v>
      </c>
      <c r="D2323" s="3" t="s">
        <v>93</v>
      </c>
      <c r="E2323" s="3" t="s">
        <v>31</v>
      </c>
      <c r="F2323" s="3" t="b">
        <v>0</v>
      </c>
      <c r="G2323" s="3" t="s">
        <v>84</v>
      </c>
      <c r="H2323" s="6">
        <v>44951.253379629627</v>
      </c>
      <c r="I2323" s="3" t="b">
        <v>0</v>
      </c>
      <c r="J2323" s="3" t="b">
        <v>0</v>
      </c>
      <c r="K2323" s="3" t="s">
        <v>33</v>
      </c>
      <c r="L2323" s="3" t="s">
        <v>34</v>
      </c>
      <c r="M2323" s="8">
        <v>125000</v>
      </c>
      <c r="N2323" s="11"/>
      <c r="O2323" s="3" t="s">
        <v>5783</v>
      </c>
      <c r="P2323" s="3" t="s">
        <v>4429</v>
      </c>
    </row>
    <row r="2324" spans="1:16" x14ac:dyDescent="0.3">
      <c r="A2324" s="3" t="s">
        <v>27</v>
      </c>
      <c r="B2324" s="3" t="s">
        <v>5800</v>
      </c>
      <c r="C2324" s="3" t="s">
        <v>29</v>
      </c>
      <c r="D2324" s="3" t="s">
        <v>30</v>
      </c>
      <c r="E2324" s="3" t="s">
        <v>31</v>
      </c>
      <c r="F2324" s="3" t="b">
        <v>0</v>
      </c>
      <c r="G2324" s="3" t="s">
        <v>32</v>
      </c>
      <c r="H2324" s="6">
        <v>44937.253564814811</v>
      </c>
      <c r="I2324" s="3" t="b">
        <v>0</v>
      </c>
      <c r="J2324" s="3" t="b">
        <v>1</v>
      </c>
      <c r="K2324" s="3" t="s">
        <v>33</v>
      </c>
      <c r="L2324" s="3" t="s">
        <v>34</v>
      </c>
      <c r="M2324" s="8">
        <v>196800</v>
      </c>
      <c r="N2324" s="11"/>
      <c r="O2324" s="3" t="s">
        <v>35</v>
      </c>
      <c r="P2324" s="3" t="s">
        <v>275</v>
      </c>
    </row>
    <row r="2325" spans="1:16" x14ac:dyDescent="0.3">
      <c r="A2325" s="3" t="s">
        <v>27</v>
      </c>
      <c r="B2325" s="3" t="s">
        <v>5806</v>
      </c>
      <c r="C2325" s="3" t="s">
        <v>5807</v>
      </c>
      <c r="D2325" s="3" t="s">
        <v>237</v>
      </c>
      <c r="E2325" s="3" t="s">
        <v>31</v>
      </c>
      <c r="F2325" s="3" t="b">
        <v>0</v>
      </c>
      <c r="G2325" s="3" t="s">
        <v>64</v>
      </c>
      <c r="H2325" s="6">
        <v>44947.588379629633</v>
      </c>
      <c r="I2325" s="3" t="b">
        <v>0</v>
      </c>
      <c r="J2325" s="3" t="b">
        <v>0</v>
      </c>
      <c r="K2325" s="3" t="s">
        <v>33</v>
      </c>
      <c r="L2325" s="3" t="s">
        <v>48</v>
      </c>
      <c r="M2325" s="8"/>
      <c r="N2325" s="11">
        <v>70</v>
      </c>
      <c r="O2325" s="3" t="s">
        <v>196</v>
      </c>
      <c r="P2325" s="3" t="s">
        <v>5808</v>
      </c>
    </row>
    <row r="2326" spans="1:16" x14ac:dyDescent="0.3">
      <c r="A2326" s="3" t="s">
        <v>27</v>
      </c>
      <c r="B2326" s="3" t="s">
        <v>5809</v>
      </c>
      <c r="C2326" s="3" t="s">
        <v>3492</v>
      </c>
      <c r="D2326" s="3" t="s">
        <v>5810</v>
      </c>
      <c r="E2326" s="3" t="s">
        <v>31</v>
      </c>
      <c r="F2326" s="3" t="b">
        <v>0</v>
      </c>
      <c r="G2326" s="3" t="s">
        <v>84</v>
      </c>
      <c r="H2326" s="6">
        <v>44957.419618055559</v>
      </c>
      <c r="I2326" s="3" t="b">
        <v>0</v>
      </c>
      <c r="J2326" s="3" t="b">
        <v>0</v>
      </c>
      <c r="K2326" s="3" t="s">
        <v>33</v>
      </c>
      <c r="L2326" s="3" t="s">
        <v>34</v>
      </c>
      <c r="M2326" s="8">
        <v>37107.19921875</v>
      </c>
      <c r="N2326" s="11"/>
      <c r="O2326" s="3" t="s">
        <v>5811</v>
      </c>
      <c r="P2326" s="3" t="s">
        <v>5812</v>
      </c>
    </row>
    <row r="2327" spans="1:16" x14ac:dyDescent="0.3">
      <c r="A2327" s="3" t="s">
        <v>27</v>
      </c>
      <c r="B2327" s="3" t="s">
        <v>5817</v>
      </c>
      <c r="C2327" s="3" t="s">
        <v>945</v>
      </c>
      <c r="D2327" s="3" t="s">
        <v>53</v>
      </c>
      <c r="E2327" s="3" t="s">
        <v>31</v>
      </c>
      <c r="F2327" s="3" t="b">
        <v>0</v>
      </c>
      <c r="G2327" s="3" t="s">
        <v>32</v>
      </c>
      <c r="H2327" s="6">
        <v>44946.931516203702</v>
      </c>
      <c r="I2327" s="3" t="b">
        <v>0</v>
      </c>
      <c r="J2327" s="3" t="b">
        <v>0</v>
      </c>
      <c r="K2327" s="3" t="s">
        <v>33</v>
      </c>
      <c r="L2327" s="3" t="s">
        <v>34</v>
      </c>
      <c r="M2327" s="8">
        <v>103529</v>
      </c>
      <c r="N2327" s="11"/>
      <c r="O2327" s="3" t="s">
        <v>5818</v>
      </c>
      <c r="P2327" s="3" t="s">
        <v>5819</v>
      </c>
    </row>
    <row r="2328" spans="1:16" x14ac:dyDescent="0.3">
      <c r="A2328" s="3" t="s">
        <v>27</v>
      </c>
      <c r="B2328" s="3" t="s">
        <v>5820</v>
      </c>
      <c r="C2328" s="3" t="s">
        <v>5821</v>
      </c>
      <c r="D2328" s="3" t="s">
        <v>1580</v>
      </c>
      <c r="E2328" s="3" t="s">
        <v>31</v>
      </c>
      <c r="F2328" s="3" t="b">
        <v>0</v>
      </c>
      <c r="G2328" s="3" t="s">
        <v>88</v>
      </c>
      <c r="H2328" s="6">
        <v>44928.004513888889</v>
      </c>
      <c r="I2328" s="3" t="b">
        <v>0</v>
      </c>
      <c r="J2328" s="3" t="b">
        <v>0</v>
      </c>
      <c r="K2328" s="3" t="s">
        <v>33</v>
      </c>
      <c r="L2328" s="3" t="s">
        <v>34</v>
      </c>
      <c r="M2328" s="8">
        <v>52000</v>
      </c>
      <c r="N2328" s="11"/>
      <c r="O2328" s="3" t="s">
        <v>5822</v>
      </c>
      <c r="P2328" s="3" t="s">
        <v>5823</v>
      </c>
    </row>
    <row r="2329" spans="1:16" x14ac:dyDescent="0.3">
      <c r="A2329" s="3" t="s">
        <v>27</v>
      </c>
      <c r="B2329" s="3" t="s">
        <v>5828</v>
      </c>
      <c r="C2329" s="3" t="s">
        <v>396</v>
      </c>
      <c r="D2329" s="3" t="s">
        <v>1361</v>
      </c>
      <c r="E2329" s="3" t="s">
        <v>31</v>
      </c>
      <c r="F2329" s="3" t="b">
        <v>0</v>
      </c>
      <c r="G2329" s="3" t="s">
        <v>58</v>
      </c>
      <c r="H2329" s="6">
        <v>44929.981574074067</v>
      </c>
      <c r="I2329" s="3" t="b">
        <v>0</v>
      </c>
      <c r="J2329" s="3" t="b">
        <v>0</v>
      </c>
      <c r="K2329" s="3" t="s">
        <v>33</v>
      </c>
      <c r="L2329" s="3" t="s">
        <v>48</v>
      </c>
      <c r="M2329" s="8"/>
      <c r="N2329" s="11">
        <v>24</v>
      </c>
      <c r="O2329" s="3" t="s">
        <v>194</v>
      </c>
      <c r="P2329" s="3" t="s">
        <v>3171</v>
      </c>
    </row>
    <row r="2330" spans="1:16" x14ac:dyDescent="0.3">
      <c r="A2330" s="3" t="s">
        <v>27</v>
      </c>
      <c r="B2330" s="3" t="s">
        <v>27</v>
      </c>
      <c r="C2330" s="3" t="s">
        <v>87</v>
      </c>
      <c r="D2330" s="3" t="s">
        <v>30</v>
      </c>
      <c r="E2330" s="3" t="s">
        <v>133</v>
      </c>
      <c r="F2330" s="3" t="b">
        <v>1</v>
      </c>
      <c r="G2330" s="3" t="s">
        <v>64</v>
      </c>
      <c r="H2330" s="6">
        <v>44943.877881944441</v>
      </c>
      <c r="I2330" s="3" t="b">
        <v>0</v>
      </c>
      <c r="J2330" s="3" t="b">
        <v>0</v>
      </c>
      <c r="K2330" s="3" t="s">
        <v>33</v>
      </c>
      <c r="L2330" s="3" t="s">
        <v>48</v>
      </c>
      <c r="M2330" s="8"/>
      <c r="N2330" s="11">
        <v>60</v>
      </c>
      <c r="O2330" s="3" t="s">
        <v>5408</v>
      </c>
      <c r="P2330" s="3" t="s">
        <v>5829</v>
      </c>
    </row>
    <row r="2331" spans="1:16" x14ac:dyDescent="0.3">
      <c r="A2331" s="3" t="s">
        <v>27</v>
      </c>
      <c r="B2331" s="3" t="s">
        <v>5833</v>
      </c>
      <c r="C2331" s="3" t="s">
        <v>2903</v>
      </c>
      <c r="D2331" s="3" t="s">
        <v>93</v>
      </c>
      <c r="E2331" s="3" t="s">
        <v>31</v>
      </c>
      <c r="F2331" s="3" t="b">
        <v>0</v>
      </c>
      <c r="G2331" s="3" t="s">
        <v>64</v>
      </c>
      <c r="H2331" s="6">
        <v>44938.295381944437</v>
      </c>
      <c r="I2331" s="3" t="b">
        <v>0</v>
      </c>
      <c r="J2331" s="3" t="b">
        <v>1</v>
      </c>
      <c r="K2331" s="3" t="s">
        <v>33</v>
      </c>
      <c r="L2331" s="3" t="s">
        <v>34</v>
      </c>
      <c r="M2331" s="8">
        <v>115000</v>
      </c>
      <c r="N2331" s="11"/>
      <c r="O2331" s="3" t="s">
        <v>784</v>
      </c>
      <c r="P2331" s="3" t="s">
        <v>3447</v>
      </c>
    </row>
    <row r="2332" spans="1:16" x14ac:dyDescent="0.3">
      <c r="A2332" s="3" t="s">
        <v>27</v>
      </c>
      <c r="B2332" s="3" t="s">
        <v>5836</v>
      </c>
      <c r="C2332" s="3" t="s">
        <v>87</v>
      </c>
      <c r="D2332" s="3" t="s">
        <v>263</v>
      </c>
      <c r="E2332" s="3" t="s">
        <v>133</v>
      </c>
      <c r="F2332" s="3" t="b">
        <v>1</v>
      </c>
      <c r="G2332" s="3" t="s">
        <v>110</v>
      </c>
      <c r="H2332" s="6">
        <v>44935.64916666667</v>
      </c>
      <c r="I2332" s="3" t="b">
        <v>0</v>
      </c>
      <c r="J2332" s="3" t="b">
        <v>0</v>
      </c>
      <c r="K2332" s="3" t="s">
        <v>110</v>
      </c>
      <c r="L2332" s="3" t="s">
        <v>48</v>
      </c>
      <c r="M2332" s="8"/>
      <c r="N2332" s="11">
        <v>56.5</v>
      </c>
      <c r="O2332" s="3" t="s">
        <v>264</v>
      </c>
      <c r="P2332" s="3"/>
    </row>
    <row r="2333" spans="1:16" x14ac:dyDescent="0.3">
      <c r="A2333" s="3" t="s">
        <v>27</v>
      </c>
      <c r="B2333" s="3" t="s">
        <v>5838</v>
      </c>
      <c r="C2333" s="3" t="s">
        <v>173</v>
      </c>
      <c r="D2333" s="3" t="s">
        <v>76</v>
      </c>
      <c r="E2333" s="3" t="s">
        <v>31</v>
      </c>
      <c r="F2333" s="3" t="b">
        <v>0</v>
      </c>
      <c r="G2333" s="3" t="s">
        <v>140</v>
      </c>
      <c r="H2333" s="6">
        <v>44928.742222222223</v>
      </c>
      <c r="I2333" s="3" t="b">
        <v>0</v>
      </c>
      <c r="J2333" s="3" t="b">
        <v>1</v>
      </c>
      <c r="K2333" s="3" t="s">
        <v>33</v>
      </c>
      <c r="L2333" s="3" t="s">
        <v>34</v>
      </c>
      <c r="M2333" s="8">
        <v>155000</v>
      </c>
      <c r="N2333" s="11"/>
      <c r="O2333" s="3" t="s">
        <v>5839</v>
      </c>
      <c r="P2333" s="3" t="s">
        <v>932</v>
      </c>
    </row>
    <row r="2334" spans="1:16" x14ac:dyDescent="0.3">
      <c r="A2334" s="3" t="s">
        <v>27</v>
      </c>
      <c r="B2334" s="3" t="s">
        <v>27</v>
      </c>
      <c r="C2334" s="3" t="s">
        <v>4682</v>
      </c>
      <c r="D2334" s="3" t="s">
        <v>93</v>
      </c>
      <c r="E2334" s="3" t="s">
        <v>31</v>
      </c>
      <c r="F2334" s="3" t="b">
        <v>0</v>
      </c>
      <c r="G2334" s="3" t="s">
        <v>32</v>
      </c>
      <c r="H2334" s="6">
        <v>44946.306446759263</v>
      </c>
      <c r="I2334" s="3" t="b">
        <v>0</v>
      </c>
      <c r="J2334" s="3" t="b">
        <v>1</v>
      </c>
      <c r="K2334" s="3" t="s">
        <v>33</v>
      </c>
      <c r="L2334" s="3" t="s">
        <v>34</v>
      </c>
      <c r="M2334" s="8">
        <v>90000</v>
      </c>
      <c r="N2334" s="11"/>
      <c r="O2334" s="3" t="s">
        <v>5840</v>
      </c>
      <c r="P2334" s="3" t="s">
        <v>38</v>
      </c>
    </row>
    <row r="2335" spans="1:16" x14ac:dyDescent="0.3">
      <c r="A2335" s="3" t="s">
        <v>27</v>
      </c>
      <c r="B2335" s="3" t="s">
        <v>5845</v>
      </c>
      <c r="C2335" s="3" t="s">
        <v>87</v>
      </c>
      <c r="D2335" s="3" t="s">
        <v>287</v>
      </c>
      <c r="E2335" s="3" t="s">
        <v>31</v>
      </c>
      <c r="F2335" s="3" t="b">
        <v>1</v>
      </c>
      <c r="G2335" s="3" t="s">
        <v>32</v>
      </c>
      <c r="H2335" s="6">
        <v>44950.002905092602</v>
      </c>
      <c r="I2335" s="3" t="b">
        <v>0</v>
      </c>
      <c r="J2335" s="3" t="b">
        <v>0</v>
      </c>
      <c r="K2335" s="3" t="s">
        <v>33</v>
      </c>
      <c r="L2335" s="3" t="s">
        <v>34</v>
      </c>
      <c r="M2335" s="8">
        <v>78369</v>
      </c>
      <c r="N2335" s="11"/>
      <c r="O2335" s="3" t="s">
        <v>1964</v>
      </c>
      <c r="P2335" s="3"/>
    </row>
    <row r="2336" spans="1:16" x14ac:dyDescent="0.3">
      <c r="A2336" s="3" t="s">
        <v>27</v>
      </c>
      <c r="B2336" s="3" t="s">
        <v>5846</v>
      </c>
      <c r="C2336" s="3" t="s">
        <v>329</v>
      </c>
      <c r="D2336" s="3" t="s">
        <v>188</v>
      </c>
      <c r="E2336" s="3" t="s">
        <v>31</v>
      </c>
      <c r="F2336" s="3" t="b">
        <v>0</v>
      </c>
      <c r="G2336" s="3" t="s">
        <v>84</v>
      </c>
      <c r="H2336" s="6">
        <v>44951.753622685188</v>
      </c>
      <c r="I2336" s="3" t="b">
        <v>0</v>
      </c>
      <c r="J2336" s="3" t="b">
        <v>1</v>
      </c>
      <c r="K2336" s="3" t="s">
        <v>33</v>
      </c>
      <c r="L2336" s="3" t="s">
        <v>34</v>
      </c>
      <c r="M2336" s="8">
        <v>90000</v>
      </c>
      <c r="N2336" s="11"/>
      <c r="O2336" s="3" t="s">
        <v>5847</v>
      </c>
      <c r="P2336" s="3" t="s">
        <v>1141</v>
      </c>
    </row>
    <row r="2337" spans="1:16" x14ac:dyDescent="0.3">
      <c r="A2337" s="3" t="s">
        <v>27</v>
      </c>
      <c r="B2337" s="3" t="s">
        <v>27</v>
      </c>
      <c r="C2337" s="3" t="s">
        <v>3554</v>
      </c>
      <c r="D2337" s="3" t="s">
        <v>93</v>
      </c>
      <c r="E2337" s="3" t="s">
        <v>31</v>
      </c>
      <c r="F2337" s="3" t="b">
        <v>0</v>
      </c>
      <c r="G2337" s="3" t="s">
        <v>64</v>
      </c>
      <c r="H2337" s="6">
        <v>44951.377025462964</v>
      </c>
      <c r="I2337" s="3" t="b">
        <v>0</v>
      </c>
      <c r="J2337" s="3" t="b">
        <v>0</v>
      </c>
      <c r="K2337" s="3" t="s">
        <v>33</v>
      </c>
      <c r="L2337" s="3" t="s">
        <v>34</v>
      </c>
      <c r="M2337" s="8">
        <v>90000</v>
      </c>
      <c r="N2337" s="11"/>
      <c r="O2337" s="3" t="s">
        <v>5848</v>
      </c>
      <c r="P2337" s="3" t="s">
        <v>5849</v>
      </c>
    </row>
    <row r="2338" spans="1:16" x14ac:dyDescent="0.3">
      <c r="A2338" s="3" t="s">
        <v>27</v>
      </c>
      <c r="B2338" s="3" t="s">
        <v>977</v>
      </c>
      <c r="C2338" s="3" t="s">
        <v>57</v>
      </c>
      <c r="D2338" s="3" t="s">
        <v>5852</v>
      </c>
      <c r="E2338" s="3" t="s">
        <v>31</v>
      </c>
      <c r="F2338" s="3" t="b">
        <v>0</v>
      </c>
      <c r="G2338" s="3" t="s">
        <v>110</v>
      </c>
      <c r="H2338" s="6">
        <v>44944.992719907408</v>
      </c>
      <c r="I2338" s="3" t="b">
        <v>0</v>
      </c>
      <c r="J2338" s="3" t="b">
        <v>1</v>
      </c>
      <c r="K2338" s="3" t="s">
        <v>110</v>
      </c>
      <c r="L2338" s="3" t="s">
        <v>48</v>
      </c>
      <c r="M2338" s="8"/>
      <c r="N2338" s="11">
        <v>59.279998779296882</v>
      </c>
      <c r="O2338" s="3" t="s">
        <v>5853</v>
      </c>
      <c r="P2338" s="3" t="s">
        <v>5854</v>
      </c>
    </row>
    <row r="2339" spans="1:16" x14ac:dyDescent="0.3">
      <c r="A2339" s="3" t="s">
        <v>27</v>
      </c>
      <c r="B2339" s="3" t="s">
        <v>5857</v>
      </c>
      <c r="C2339" s="3" t="s">
        <v>5858</v>
      </c>
      <c r="D2339" s="3" t="s">
        <v>93</v>
      </c>
      <c r="E2339" s="3" t="s">
        <v>31</v>
      </c>
      <c r="F2339" s="3" t="b">
        <v>0</v>
      </c>
      <c r="G2339" s="3" t="s">
        <v>32</v>
      </c>
      <c r="H2339" s="6">
        <v>44945.473113425927</v>
      </c>
      <c r="I2339" s="3" t="b">
        <v>0</v>
      </c>
      <c r="J2339" s="3" t="b">
        <v>1</v>
      </c>
      <c r="K2339" s="3" t="s">
        <v>33</v>
      </c>
      <c r="L2339" s="3" t="s">
        <v>34</v>
      </c>
      <c r="M2339" s="8">
        <v>125000</v>
      </c>
      <c r="N2339" s="11"/>
      <c r="O2339" s="3" t="s">
        <v>5859</v>
      </c>
      <c r="P2339" s="3" t="s">
        <v>5860</v>
      </c>
    </row>
    <row r="2340" spans="1:16" x14ac:dyDescent="0.3">
      <c r="A2340" s="3" t="s">
        <v>27</v>
      </c>
      <c r="B2340" s="3" t="s">
        <v>5866</v>
      </c>
      <c r="C2340" s="3" t="s">
        <v>1171</v>
      </c>
      <c r="D2340" s="3" t="s">
        <v>3203</v>
      </c>
      <c r="E2340" s="3" t="s">
        <v>31</v>
      </c>
      <c r="F2340" s="3" t="b">
        <v>0</v>
      </c>
      <c r="G2340" s="3" t="s">
        <v>1171</v>
      </c>
      <c r="H2340" s="6">
        <v>44929.993425925917</v>
      </c>
      <c r="I2340" s="3" t="b">
        <v>0</v>
      </c>
      <c r="J2340" s="3" t="b">
        <v>0</v>
      </c>
      <c r="K2340" s="3" t="s">
        <v>1171</v>
      </c>
      <c r="L2340" s="3" t="s">
        <v>48</v>
      </c>
      <c r="M2340" s="8"/>
      <c r="N2340" s="11">
        <v>20</v>
      </c>
      <c r="O2340" s="3" t="s">
        <v>5867</v>
      </c>
      <c r="P2340" s="3" t="s">
        <v>5620</v>
      </c>
    </row>
    <row r="2341" spans="1:16" x14ac:dyDescent="0.3">
      <c r="A2341" s="3" t="s">
        <v>27</v>
      </c>
      <c r="B2341" s="3" t="s">
        <v>5868</v>
      </c>
      <c r="C2341" s="3" t="s">
        <v>87</v>
      </c>
      <c r="D2341" s="3" t="s">
        <v>76</v>
      </c>
      <c r="E2341" s="3" t="s">
        <v>31</v>
      </c>
      <c r="F2341" s="3" t="b">
        <v>1</v>
      </c>
      <c r="G2341" s="3" t="s">
        <v>140</v>
      </c>
      <c r="H2341" s="6">
        <v>44931.333483796298</v>
      </c>
      <c r="I2341" s="3" t="b">
        <v>0</v>
      </c>
      <c r="J2341" s="3" t="b">
        <v>0</v>
      </c>
      <c r="K2341" s="3" t="s">
        <v>33</v>
      </c>
      <c r="L2341" s="3" t="s">
        <v>34</v>
      </c>
      <c r="M2341" s="8">
        <v>80000</v>
      </c>
      <c r="N2341" s="11"/>
      <c r="O2341" s="3" t="s">
        <v>175</v>
      </c>
      <c r="P2341" s="3" t="s">
        <v>5869</v>
      </c>
    </row>
    <row r="2342" spans="1:16" x14ac:dyDescent="0.3">
      <c r="A2342" s="3" t="s">
        <v>27</v>
      </c>
      <c r="B2342" s="3" t="s">
        <v>27</v>
      </c>
      <c r="C2342" s="3" t="s">
        <v>1649</v>
      </c>
      <c r="D2342" s="3" t="s">
        <v>93</v>
      </c>
      <c r="E2342" s="3" t="s">
        <v>31</v>
      </c>
      <c r="F2342" s="3" t="b">
        <v>0</v>
      </c>
      <c r="G2342" s="3" t="s">
        <v>64</v>
      </c>
      <c r="H2342" s="6">
        <v>44942.388541666667</v>
      </c>
      <c r="I2342" s="3" t="b">
        <v>0</v>
      </c>
      <c r="J2342" s="3" t="b">
        <v>1</v>
      </c>
      <c r="K2342" s="3" t="s">
        <v>33</v>
      </c>
      <c r="L2342" s="3" t="s">
        <v>34</v>
      </c>
      <c r="M2342" s="8">
        <v>90000</v>
      </c>
      <c r="N2342" s="11"/>
      <c r="O2342" s="3" t="s">
        <v>98</v>
      </c>
      <c r="P2342" s="3" t="s">
        <v>5870</v>
      </c>
    </row>
    <row r="2343" spans="1:16" x14ac:dyDescent="0.3">
      <c r="A2343" s="3" t="s">
        <v>27</v>
      </c>
      <c r="B2343" s="3" t="s">
        <v>519</v>
      </c>
      <c r="C2343" s="3" t="s">
        <v>2039</v>
      </c>
      <c r="D2343" s="3" t="s">
        <v>41</v>
      </c>
      <c r="E2343" s="3" t="s">
        <v>31</v>
      </c>
      <c r="F2343" s="3" t="b">
        <v>0</v>
      </c>
      <c r="G2343" s="3" t="s">
        <v>651</v>
      </c>
      <c r="H2343" s="6">
        <v>44942.912326388891</v>
      </c>
      <c r="I2343" s="3" t="b">
        <v>0</v>
      </c>
      <c r="J2343" s="3" t="b">
        <v>0</v>
      </c>
      <c r="K2343" s="3" t="s">
        <v>651</v>
      </c>
      <c r="L2343" s="3" t="s">
        <v>34</v>
      </c>
      <c r="M2343" s="8">
        <v>51068</v>
      </c>
      <c r="N2343" s="11"/>
      <c r="O2343" s="3" t="s">
        <v>5871</v>
      </c>
      <c r="P2343" s="3" t="s">
        <v>5872</v>
      </c>
    </row>
    <row r="2344" spans="1:16" x14ac:dyDescent="0.3">
      <c r="A2344" s="3" t="s">
        <v>27</v>
      </c>
      <c r="B2344" s="3" t="s">
        <v>5873</v>
      </c>
      <c r="C2344" s="3" t="s">
        <v>305</v>
      </c>
      <c r="D2344" s="3" t="s">
        <v>30</v>
      </c>
      <c r="E2344" s="3" t="s">
        <v>31</v>
      </c>
      <c r="F2344" s="3" t="b">
        <v>0</v>
      </c>
      <c r="G2344" s="3" t="s">
        <v>32</v>
      </c>
      <c r="H2344" s="6">
        <v>44943.711597222216</v>
      </c>
      <c r="I2344" s="3" t="b">
        <v>0</v>
      </c>
      <c r="J2344" s="3" t="b">
        <v>0</v>
      </c>
      <c r="K2344" s="3" t="s">
        <v>33</v>
      </c>
      <c r="L2344" s="3" t="s">
        <v>34</v>
      </c>
      <c r="M2344" s="8">
        <v>135000</v>
      </c>
      <c r="N2344" s="11"/>
      <c r="O2344" s="3" t="s">
        <v>5874</v>
      </c>
      <c r="P2344" s="3"/>
    </row>
    <row r="2345" spans="1:16" x14ac:dyDescent="0.3">
      <c r="A2345" s="3" t="s">
        <v>27</v>
      </c>
      <c r="B2345" s="3" t="s">
        <v>5879</v>
      </c>
      <c r="C2345" s="3" t="s">
        <v>3882</v>
      </c>
      <c r="D2345" s="3" t="s">
        <v>76</v>
      </c>
      <c r="E2345" s="3" t="s">
        <v>31</v>
      </c>
      <c r="F2345" s="3" t="b">
        <v>0</v>
      </c>
      <c r="G2345" s="3" t="s">
        <v>32</v>
      </c>
      <c r="H2345" s="6">
        <v>44929.855949074074</v>
      </c>
      <c r="I2345" s="3" t="b">
        <v>0</v>
      </c>
      <c r="J2345" s="3" t="b">
        <v>1</v>
      </c>
      <c r="K2345" s="3" t="s">
        <v>33</v>
      </c>
      <c r="L2345" s="3" t="s">
        <v>34</v>
      </c>
      <c r="M2345" s="8">
        <v>110290</v>
      </c>
      <c r="N2345" s="11"/>
      <c r="O2345" s="3" t="s">
        <v>5880</v>
      </c>
      <c r="P2345" s="3"/>
    </row>
    <row r="2346" spans="1:16" x14ac:dyDescent="0.3">
      <c r="A2346" s="3" t="s">
        <v>27</v>
      </c>
      <c r="B2346" s="3" t="s">
        <v>5884</v>
      </c>
      <c r="C2346" s="3" t="s">
        <v>565</v>
      </c>
      <c r="D2346" s="3" t="s">
        <v>566</v>
      </c>
      <c r="E2346" s="3" t="s">
        <v>31</v>
      </c>
      <c r="F2346" s="3" t="b">
        <v>0</v>
      </c>
      <c r="G2346" s="3" t="s">
        <v>88</v>
      </c>
      <c r="H2346" s="6">
        <v>44929.982847222222</v>
      </c>
      <c r="I2346" s="3" t="b">
        <v>0</v>
      </c>
      <c r="J2346" s="3" t="b">
        <v>0</v>
      </c>
      <c r="K2346" s="3" t="s">
        <v>33</v>
      </c>
      <c r="L2346" s="3" t="s">
        <v>48</v>
      </c>
      <c r="M2346" s="8"/>
      <c r="N2346" s="11">
        <v>24</v>
      </c>
      <c r="O2346" s="3" t="s">
        <v>1334</v>
      </c>
      <c r="P2346" s="3" t="s">
        <v>639</v>
      </c>
    </row>
    <row r="2347" spans="1:16" x14ac:dyDescent="0.3">
      <c r="A2347" s="3" t="s">
        <v>27</v>
      </c>
      <c r="B2347" s="3" t="s">
        <v>519</v>
      </c>
      <c r="C2347" s="3" t="s">
        <v>1236</v>
      </c>
      <c r="D2347" s="3" t="s">
        <v>93</v>
      </c>
      <c r="E2347" s="3" t="s">
        <v>31</v>
      </c>
      <c r="F2347" s="3" t="b">
        <v>0</v>
      </c>
      <c r="G2347" s="3" t="s">
        <v>88</v>
      </c>
      <c r="H2347" s="6">
        <v>44931.295532407406</v>
      </c>
      <c r="I2347" s="3" t="b">
        <v>0</v>
      </c>
      <c r="J2347" s="3" t="b">
        <v>0</v>
      </c>
      <c r="K2347" s="3" t="s">
        <v>33</v>
      </c>
      <c r="L2347" s="3" t="s">
        <v>34</v>
      </c>
      <c r="M2347" s="8">
        <v>125000</v>
      </c>
      <c r="N2347" s="11"/>
      <c r="O2347" s="3" t="s">
        <v>5891</v>
      </c>
      <c r="P2347" s="3" t="s">
        <v>5892</v>
      </c>
    </row>
    <row r="2348" spans="1:16" x14ac:dyDescent="0.3">
      <c r="A2348" s="3" t="s">
        <v>27</v>
      </c>
      <c r="B2348" s="3" t="s">
        <v>27</v>
      </c>
      <c r="C2348" s="3" t="s">
        <v>270</v>
      </c>
      <c r="D2348" s="3" t="s">
        <v>93</v>
      </c>
      <c r="E2348" s="3" t="s">
        <v>31</v>
      </c>
      <c r="F2348" s="3" t="b">
        <v>0</v>
      </c>
      <c r="G2348" s="3" t="s">
        <v>32</v>
      </c>
      <c r="H2348" s="6">
        <v>44939.420613425929</v>
      </c>
      <c r="I2348" s="3" t="b">
        <v>0</v>
      </c>
      <c r="J2348" s="3" t="b">
        <v>1</v>
      </c>
      <c r="K2348" s="3" t="s">
        <v>33</v>
      </c>
      <c r="L2348" s="3" t="s">
        <v>34</v>
      </c>
      <c r="M2348" s="8">
        <v>125000</v>
      </c>
      <c r="N2348" s="11"/>
      <c r="O2348" s="3" t="s">
        <v>4350</v>
      </c>
      <c r="P2348" s="3" t="s">
        <v>4351</v>
      </c>
    </row>
    <row r="2349" spans="1:16" x14ac:dyDescent="0.3">
      <c r="A2349" s="3" t="s">
        <v>27</v>
      </c>
      <c r="B2349" s="3" t="s">
        <v>27</v>
      </c>
      <c r="C2349" s="3" t="s">
        <v>2874</v>
      </c>
      <c r="D2349" s="3" t="s">
        <v>76</v>
      </c>
      <c r="E2349" s="3" t="s">
        <v>31</v>
      </c>
      <c r="F2349" s="3" t="b">
        <v>0</v>
      </c>
      <c r="G2349" s="3" t="s">
        <v>32</v>
      </c>
      <c r="H2349" s="6">
        <v>44929.897546296299</v>
      </c>
      <c r="I2349" s="3" t="b">
        <v>0</v>
      </c>
      <c r="J2349" s="3" t="b">
        <v>1</v>
      </c>
      <c r="K2349" s="3" t="s">
        <v>33</v>
      </c>
      <c r="L2349" s="3" t="s">
        <v>34</v>
      </c>
      <c r="M2349" s="8">
        <v>160000</v>
      </c>
      <c r="N2349" s="11"/>
      <c r="O2349" s="3" t="s">
        <v>80</v>
      </c>
      <c r="P2349" s="3"/>
    </row>
    <row r="2350" spans="1:16" x14ac:dyDescent="0.3">
      <c r="A2350" s="3" t="s">
        <v>27</v>
      </c>
      <c r="B2350" s="3" t="s">
        <v>519</v>
      </c>
      <c r="C2350" s="3" t="s">
        <v>75</v>
      </c>
      <c r="D2350" s="3" t="s">
        <v>151</v>
      </c>
      <c r="E2350" s="3" t="s">
        <v>31</v>
      </c>
      <c r="F2350" s="3" t="b">
        <v>0</v>
      </c>
      <c r="G2350" s="3" t="s">
        <v>84</v>
      </c>
      <c r="H2350" s="6">
        <v>44929.25267361111</v>
      </c>
      <c r="I2350" s="3" t="b">
        <v>0</v>
      </c>
      <c r="J2350" s="3" t="b">
        <v>1</v>
      </c>
      <c r="K2350" s="3" t="s">
        <v>33</v>
      </c>
      <c r="L2350" s="3" t="s">
        <v>34</v>
      </c>
      <c r="M2350" s="8">
        <v>122500</v>
      </c>
      <c r="N2350" s="11"/>
      <c r="O2350" s="3" t="s">
        <v>694</v>
      </c>
      <c r="P2350" s="3" t="s">
        <v>5897</v>
      </c>
    </row>
    <row r="2351" spans="1:16" x14ac:dyDescent="0.3">
      <c r="A2351" s="3" t="s">
        <v>27</v>
      </c>
      <c r="B2351" s="3" t="s">
        <v>27</v>
      </c>
      <c r="C2351" s="3" t="s">
        <v>3840</v>
      </c>
      <c r="D2351" s="3" t="s">
        <v>41</v>
      </c>
      <c r="E2351" s="3" t="s">
        <v>31</v>
      </c>
      <c r="F2351" s="3" t="b">
        <v>0</v>
      </c>
      <c r="G2351" s="3" t="s">
        <v>436</v>
      </c>
      <c r="H2351" s="6">
        <v>44936.977523148147</v>
      </c>
      <c r="I2351" s="3" t="b">
        <v>0</v>
      </c>
      <c r="J2351" s="3" t="b">
        <v>0</v>
      </c>
      <c r="K2351" s="3" t="s">
        <v>436</v>
      </c>
      <c r="L2351" s="3" t="s">
        <v>34</v>
      </c>
      <c r="M2351" s="8">
        <v>87307.5</v>
      </c>
      <c r="N2351" s="11"/>
      <c r="O2351" s="3" t="s">
        <v>5902</v>
      </c>
      <c r="P2351" s="3" t="s">
        <v>5903</v>
      </c>
    </row>
    <row r="2352" spans="1:16" x14ac:dyDescent="0.3">
      <c r="A2352" s="3" t="s">
        <v>27</v>
      </c>
      <c r="B2352" s="3" t="s">
        <v>5909</v>
      </c>
      <c r="C2352" s="3" t="s">
        <v>1786</v>
      </c>
      <c r="D2352" s="3" t="s">
        <v>188</v>
      </c>
      <c r="E2352" s="3" t="s">
        <v>133</v>
      </c>
      <c r="F2352" s="3" t="b">
        <v>0</v>
      </c>
      <c r="G2352" s="3" t="s">
        <v>84</v>
      </c>
      <c r="H2352" s="6">
        <v>44930.962129629632</v>
      </c>
      <c r="I2352" s="3" t="b">
        <v>0</v>
      </c>
      <c r="J2352" s="3" t="b">
        <v>0</v>
      </c>
      <c r="K2352" s="3" t="s">
        <v>33</v>
      </c>
      <c r="L2352" s="3" t="s">
        <v>48</v>
      </c>
      <c r="M2352" s="8"/>
      <c r="N2352" s="11">
        <v>61.5</v>
      </c>
      <c r="O2352" s="3" t="s">
        <v>5910</v>
      </c>
      <c r="P2352" s="3" t="s">
        <v>5911</v>
      </c>
    </row>
    <row r="2353" spans="1:16" x14ac:dyDescent="0.3">
      <c r="A2353" s="3" t="s">
        <v>27</v>
      </c>
      <c r="B2353" s="3" t="s">
        <v>5936</v>
      </c>
      <c r="C2353" s="3" t="s">
        <v>5937</v>
      </c>
      <c r="D2353" s="3" t="s">
        <v>1013</v>
      </c>
      <c r="E2353" s="3" t="s">
        <v>31</v>
      </c>
      <c r="F2353" s="3" t="b">
        <v>0</v>
      </c>
      <c r="G2353" s="3" t="s">
        <v>140</v>
      </c>
      <c r="H2353" s="6">
        <v>44943.741423611107</v>
      </c>
      <c r="I2353" s="3" t="b">
        <v>0</v>
      </c>
      <c r="J2353" s="3" t="b">
        <v>0</v>
      </c>
      <c r="K2353" s="3" t="s">
        <v>33</v>
      </c>
      <c r="L2353" s="3" t="s">
        <v>34</v>
      </c>
      <c r="M2353" s="8">
        <v>164500</v>
      </c>
      <c r="N2353" s="11"/>
      <c r="O2353" s="3" t="s">
        <v>5114</v>
      </c>
      <c r="P2353" s="3" t="s">
        <v>5938</v>
      </c>
    </row>
    <row r="2354" spans="1:16" x14ac:dyDescent="0.3">
      <c r="A2354" s="3" t="s">
        <v>27</v>
      </c>
      <c r="B2354" s="3" t="s">
        <v>5939</v>
      </c>
      <c r="C2354" s="3" t="s">
        <v>97</v>
      </c>
      <c r="D2354" s="3" t="s">
        <v>940</v>
      </c>
      <c r="E2354" s="3" t="s">
        <v>31</v>
      </c>
      <c r="F2354" s="3" t="b">
        <v>0</v>
      </c>
      <c r="G2354" s="3" t="s">
        <v>32</v>
      </c>
      <c r="H2354" s="6">
        <v>44953.295208333337</v>
      </c>
      <c r="I2354" s="3" t="b">
        <v>0</v>
      </c>
      <c r="J2354" s="3" t="b">
        <v>1</v>
      </c>
      <c r="K2354" s="3" t="s">
        <v>33</v>
      </c>
      <c r="L2354" s="3" t="s">
        <v>34</v>
      </c>
      <c r="M2354" s="8">
        <v>152625</v>
      </c>
      <c r="N2354" s="11"/>
      <c r="O2354" s="3" t="s">
        <v>2695</v>
      </c>
      <c r="P2354" s="3" t="s">
        <v>4058</v>
      </c>
    </row>
    <row r="2355" spans="1:16" x14ac:dyDescent="0.3">
      <c r="A2355" s="3" t="s">
        <v>27</v>
      </c>
      <c r="B2355" s="3" t="s">
        <v>27</v>
      </c>
      <c r="C2355" s="3" t="s">
        <v>87</v>
      </c>
      <c r="D2355" s="3" t="s">
        <v>220</v>
      </c>
      <c r="E2355" s="3" t="s">
        <v>31</v>
      </c>
      <c r="F2355" s="3" t="b">
        <v>1</v>
      </c>
      <c r="G2355" s="3" t="s">
        <v>32</v>
      </c>
      <c r="H2355" s="6">
        <v>44949.044571759259</v>
      </c>
      <c r="I2355" s="3" t="b">
        <v>0</v>
      </c>
      <c r="J2355" s="3" t="b">
        <v>1</v>
      </c>
      <c r="K2355" s="3" t="s">
        <v>33</v>
      </c>
      <c r="L2355" s="3" t="s">
        <v>34</v>
      </c>
      <c r="M2355" s="8">
        <v>204500</v>
      </c>
      <c r="N2355" s="11"/>
      <c r="O2355" s="3" t="s">
        <v>1855</v>
      </c>
      <c r="P2355" s="3" t="s">
        <v>1856</v>
      </c>
    </row>
    <row r="2356" spans="1:16" x14ac:dyDescent="0.3">
      <c r="A2356" s="3" t="s">
        <v>27</v>
      </c>
      <c r="B2356" s="3" t="s">
        <v>27</v>
      </c>
      <c r="C2356" s="3" t="s">
        <v>565</v>
      </c>
      <c r="D2356" s="3" t="s">
        <v>566</v>
      </c>
      <c r="E2356" s="3" t="s">
        <v>31</v>
      </c>
      <c r="F2356" s="3" t="b">
        <v>0</v>
      </c>
      <c r="G2356" s="3" t="s">
        <v>84</v>
      </c>
      <c r="H2356" s="6">
        <v>44929.982442129629</v>
      </c>
      <c r="I2356" s="3" t="b">
        <v>0</v>
      </c>
      <c r="J2356" s="3" t="b">
        <v>0</v>
      </c>
      <c r="K2356" s="3" t="s">
        <v>33</v>
      </c>
      <c r="L2356" s="3" t="s">
        <v>48</v>
      </c>
      <c r="M2356" s="8"/>
      <c r="N2356" s="11">
        <v>24</v>
      </c>
      <c r="O2356" s="3" t="s">
        <v>657</v>
      </c>
      <c r="P2356" s="3"/>
    </row>
    <row r="2357" spans="1:16" x14ac:dyDescent="0.3">
      <c r="A2357" s="3" t="s">
        <v>27</v>
      </c>
      <c r="B2357" s="3" t="s">
        <v>27</v>
      </c>
      <c r="C2357" s="3" t="s">
        <v>3588</v>
      </c>
      <c r="D2357" s="3" t="s">
        <v>3589</v>
      </c>
      <c r="E2357" s="3" t="s">
        <v>31</v>
      </c>
      <c r="F2357" s="3" t="b">
        <v>0</v>
      </c>
      <c r="G2357" s="3" t="s">
        <v>88</v>
      </c>
      <c r="H2357" s="6">
        <v>44929.982974537037</v>
      </c>
      <c r="I2357" s="3" t="b">
        <v>0</v>
      </c>
      <c r="J2357" s="3" t="b">
        <v>1</v>
      </c>
      <c r="K2357" s="3" t="s">
        <v>33</v>
      </c>
      <c r="L2357" s="3" t="s">
        <v>48</v>
      </c>
      <c r="M2357" s="8"/>
      <c r="N2357" s="11">
        <v>24</v>
      </c>
      <c r="O2357" s="3" t="s">
        <v>5955</v>
      </c>
      <c r="P2357" s="3" t="s">
        <v>5956</v>
      </c>
    </row>
    <row r="2358" spans="1:16" x14ac:dyDescent="0.3">
      <c r="A2358" s="3" t="s">
        <v>27</v>
      </c>
      <c r="B2358" s="3" t="s">
        <v>5961</v>
      </c>
      <c r="C2358" s="3" t="s">
        <v>1483</v>
      </c>
      <c r="D2358" s="3" t="s">
        <v>93</v>
      </c>
      <c r="E2358" s="3" t="s">
        <v>31</v>
      </c>
      <c r="F2358" s="3" t="b">
        <v>0</v>
      </c>
      <c r="G2358" s="3" t="s">
        <v>32</v>
      </c>
      <c r="H2358" s="6">
        <v>44948.292372685188</v>
      </c>
      <c r="I2358" s="3" t="b">
        <v>0</v>
      </c>
      <c r="J2358" s="3" t="b">
        <v>1</v>
      </c>
      <c r="K2358" s="3" t="s">
        <v>33</v>
      </c>
      <c r="L2358" s="3" t="s">
        <v>34</v>
      </c>
      <c r="M2358" s="8">
        <v>115000</v>
      </c>
      <c r="N2358" s="11"/>
      <c r="O2358" s="3" t="s">
        <v>1484</v>
      </c>
      <c r="P2358" s="3" t="s">
        <v>405</v>
      </c>
    </row>
    <row r="2359" spans="1:16" x14ac:dyDescent="0.3">
      <c r="A2359" s="3" t="s">
        <v>27</v>
      </c>
      <c r="B2359" s="3" t="s">
        <v>5969</v>
      </c>
      <c r="C2359" s="3" t="s">
        <v>314</v>
      </c>
      <c r="D2359" s="3" t="s">
        <v>1013</v>
      </c>
      <c r="E2359" s="3" t="s">
        <v>31</v>
      </c>
      <c r="F2359" s="3" t="b">
        <v>0</v>
      </c>
      <c r="G2359" s="3" t="s">
        <v>140</v>
      </c>
      <c r="H2359" s="6">
        <v>44956.195879629631</v>
      </c>
      <c r="I2359" s="3" t="b">
        <v>0</v>
      </c>
      <c r="J2359" s="3" t="b">
        <v>1</v>
      </c>
      <c r="K2359" s="3" t="s">
        <v>33</v>
      </c>
      <c r="L2359" s="3" t="s">
        <v>34</v>
      </c>
      <c r="M2359" s="8">
        <v>119550</v>
      </c>
      <c r="N2359" s="11"/>
      <c r="O2359" s="3" t="s">
        <v>784</v>
      </c>
      <c r="P2359" s="3" t="s">
        <v>5970</v>
      </c>
    </row>
    <row r="2360" spans="1:16" x14ac:dyDescent="0.3">
      <c r="A2360" s="3" t="s">
        <v>27</v>
      </c>
      <c r="B2360" s="3" t="s">
        <v>5971</v>
      </c>
      <c r="C2360" s="3" t="s">
        <v>5972</v>
      </c>
      <c r="D2360" s="3" t="s">
        <v>350</v>
      </c>
      <c r="E2360" s="3" t="s">
        <v>31</v>
      </c>
      <c r="F2360" s="3" t="b">
        <v>0</v>
      </c>
      <c r="G2360" s="3" t="s">
        <v>140</v>
      </c>
      <c r="H2360" s="6">
        <v>44928.617071759261</v>
      </c>
      <c r="I2360" s="3" t="b">
        <v>0</v>
      </c>
      <c r="J2360" s="3" t="b">
        <v>1</v>
      </c>
      <c r="K2360" s="3" t="s">
        <v>33</v>
      </c>
      <c r="L2360" s="3" t="s">
        <v>34</v>
      </c>
      <c r="M2360" s="8">
        <v>101950</v>
      </c>
      <c r="N2360" s="11"/>
      <c r="O2360" s="3" t="s">
        <v>351</v>
      </c>
      <c r="P2360" s="3" t="s">
        <v>1700</v>
      </c>
    </row>
    <row r="2361" spans="1:16" x14ac:dyDescent="0.3">
      <c r="A2361" s="3" t="s">
        <v>27</v>
      </c>
      <c r="B2361" s="3" t="s">
        <v>980</v>
      </c>
      <c r="C2361" s="3" t="s">
        <v>83</v>
      </c>
      <c r="D2361" s="3" t="s">
        <v>350</v>
      </c>
      <c r="E2361" s="3" t="s">
        <v>31</v>
      </c>
      <c r="F2361" s="3" t="b">
        <v>0</v>
      </c>
      <c r="G2361" s="3" t="s">
        <v>64</v>
      </c>
      <c r="H2361" s="6">
        <v>44928.584953703707</v>
      </c>
      <c r="I2361" s="3" t="b">
        <v>0</v>
      </c>
      <c r="J2361" s="3" t="b">
        <v>1</v>
      </c>
      <c r="K2361" s="3" t="s">
        <v>33</v>
      </c>
      <c r="L2361" s="3" t="s">
        <v>34</v>
      </c>
      <c r="M2361" s="8">
        <v>110000</v>
      </c>
      <c r="N2361" s="11"/>
      <c r="O2361" s="3" t="s">
        <v>196</v>
      </c>
      <c r="P2361" s="3" t="s">
        <v>5979</v>
      </c>
    </row>
    <row r="2362" spans="1:16" x14ac:dyDescent="0.3">
      <c r="A2362" s="3" t="s">
        <v>27</v>
      </c>
      <c r="B2362" s="3" t="s">
        <v>27</v>
      </c>
      <c r="C2362" s="3" t="s">
        <v>5983</v>
      </c>
      <c r="D2362" s="3" t="s">
        <v>76</v>
      </c>
      <c r="E2362" s="3" t="s">
        <v>31</v>
      </c>
      <c r="F2362" s="3" t="b">
        <v>0</v>
      </c>
      <c r="G2362" s="3" t="s">
        <v>64</v>
      </c>
      <c r="H2362" s="6">
        <v>44928.918275462973</v>
      </c>
      <c r="I2362" s="3" t="b">
        <v>0</v>
      </c>
      <c r="J2362" s="3" t="b">
        <v>1</v>
      </c>
      <c r="K2362" s="3" t="s">
        <v>33</v>
      </c>
      <c r="L2362" s="3" t="s">
        <v>34</v>
      </c>
      <c r="M2362" s="8">
        <v>125000</v>
      </c>
      <c r="N2362" s="11"/>
      <c r="O2362" s="3" t="s">
        <v>80</v>
      </c>
      <c r="P2362" s="3" t="s">
        <v>5984</v>
      </c>
    </row>
    <row r="2363" spans="1:16" x14ac:dyDescent="0.3">
      <c r="A2363" s="3" t="s">
        <v>27</v>
      </c>
      <c r="B2363" s="3" t="s">
        <v>5986</v>
      </c>
      <c r="C2363" s="3" t="s">
        <v>75</v>
      </c>
      <c r="D2363" s="3" t="s">
        <v>2465</v>
      </c>
      <c r="E2363" s="3" t="s">
        <v>31</v>
      </c>
      <c r="F2363" s="3" t="b">
        <v>0</v>
      </c>
      <c r="G2363" s="3" t="s">
        <v>84</v>
      </c>
      <c r="H2363" s="6">
        <v>44929.982094907413</v>
      </c>
      <c r="I2363" s="3" t="b">
        <v>0</v>
      </c>
      <c r="J2363" s="3" t="b">
        <v>0</v>
      </c>
      <c r="K2363" s="3" t="s">
        <v>33</v>
      </c>
      <c r="L2363" s="3" t="s">
        <v>48</v>
      </c>
      <c r="M2363" s="8"/>
      <c r="N2363" s="11">
        <v>24</v>
      </c>
      <c r="O2363" s="3" t="s">
        <v>657</v>
      </c>
      <c r="P2363" s="3" t="s">
        <v>439</v>
      </c>
    </row>
    <row r="2364" spans="1:16" x14ac:dyDescent="0.3">
      <c r="A2364" s="3" t="s">
        <v>27</v>
      </c>
      <c r="B2364" s="3" t="s">
        <v>5993</v>
      </c>
      <c r="C2364" s="3" t="s">
        <v>5994</v>
      </c>
      <c r="D2364" s="3" t="s">
        <v>76</v>
      </c>
      <c r="E2364" s="3" t="s">
        <v>1861</v>
      </c>
      <c r="F2364" s="3" t="b">
        <v>0</v>
      </c>
      <c r="G2364" s="3" t="s">
        <v>64</v>
      </c>
      <c r="H2364" s="6">
        <v>44938.795231481483</v>
      </c>
      <c r="I2364" s="3" t="b">
        <v>0</v>
      </c>
      <c r="J2364" s="3" t="b">
        <v>0</v>
      </c>
      <c r="K2364" s="3" t="s">
        <v>33</v>
      </c>
      <c r="L2364" s="3" t="s">
        <v>48</v>
      </c>
      <c r="M2364" s="8"/>
      <c r="N2364" s="11">
        <v>25</v>
      </c>
      <c r="O2364" s="3" t="s">
        <v>5995</v>
      </c>
      <c r="P2364" s="3" t="s">
        <v>5996</v>
      </c>
    </row>
    <row r="2365" spans="1:16" x14ac:dyDescent="0.3">
      <c r="A2365" s="3" t="s">
        <v>27</v>
      </c>
      <c r="B2365" s="3" t="s">
        <v>320</v>
      </c>
      <c r="C2365" s="3" t="s">
        <v>6001</v>
      </c>
      <c r="D2365" s="3" t="s">
        <v>6002</v>
      </c>
      <c r="E2365" s="3" t="s">
        <v>31</v>
      </c>
      <c r="F2365" s="3" t="b">
        <v>0</v>
      </c>
      <c r="G2365" s="3" t="s">
        <v>140</v>
      </c>
      <c r="H2365" s="6">
        <v>44949.000914351847</v>
      </c>
      <c r="I2365" s="3" t="b">
        <v>0</v>
      </c>
      <c r="J2365" s="3" t="b">
        <v>1</v>
      </c>
      <c r="K2365" s="3" t="s">
        <v>33</v>
      </c>
      <c r="L2365" s="3" t="s">
        <v>48</v>
      </c>
      <c r="M2365" s="8"/>
      <c r="N2365" s="11">
        <v>24</v>
      </c>
      <c r="O2365" s="3" t="s">
        <v>170</v>
      </c>
      <c r="P2365" s="3" t="s">
        <v>323</v>
      </c>
    </row>
    <row r="2366" spans="1:16" x14ac:dyDescent="0.3">
      <c r="A2366" s="3" t="s">
        <v>27</v>
      </c>
      <c r="B2366" s="3" t="s">
        <v>6003</v>
      </c>
      <c r="C2366" s="3" t="s">
        <v>33</v>
      </c>
      <c r="D2366" s="3" t="s">
        <v>30</v>
      </c>
      <c r="E2366" s="3" t="s">
        <v>31</v>
      </c>
      <c r="F2366" s="3" t="b">
        <v>0</v>
      </c>
      <c r="G2366" s="3" t="s">
        <v>58</v>
      </c>
      <c r="H2366" s="6">
        <v>44931.62809027778</v>
      </c>
      <c r="I2366" s="3" t="b">
        <v>0</v>
      </c>
      <c r="J2366" s="3" t="b">
        <v>0</v>
      </c>
      <c r="K2366" s="3" t="s">
        <v>33</v>
      </c>
      <c r="L2366" s="3" t="s">
        <v>34</v>
      </c>
      <c r="M2366" s="8">
        <v>100000</v>
      </c>
      <c r="N2366" s="11"/>
      <c r="O2366" s="3" t="s">
        <v>6004</v>
      </c>
      <c r="P2366" s="3" t="s">
        <v>6005</v>
      </c>
    </row>
    <row r="2367" spans="1:16" x14ac:dyDescent="0.3">
      <c r="A2367" s="3" t="s">
        <v>27</v>
      </c>
      <c r="B2367" s="3" t="s">
        <v>2265</v>
      </c>
      <c r="C2367" s="3" t="s">
        <v>305</v>
      </c>
      <c r="D2367" s="3" t="s">
        <v>2097</v>
      </c>
      <c r="E2367" s="3" t="s">
        <v>31</v>
      </c>
      <c r="F2367" s="3" t="b">
        <v>0</v>
      </c>
      <c r="G2367" s="3" t="s">
        <v>32</v>
      </c>
      <c r="H2367" s="6">
        <v>44929.981064814812</v>
      </c>
      <c r="I2367" s="3" t="b">
        <v>0</v>
      </c>
      <c r="J2367" s="3" t="b">
        <v>0</v>
      </c>
      <c r="K2367" s="3" t="s">
        <v>33</v>
      </c>
      <c r="L2367" s="3" t="s">
        <v>48</v>
      </c>
      <c r="M2367" s="8"/>
      <c r="N2367" s="11">
        <v>24</v>
      </c>
      <c r="O2367" s="3" t="s">
        <v>6010</v>
      </c>
      <c r="P2367" s="3" t="s">
        <v>6011</v>
      </c>
    </row>
    <row r="2368" spans="1:16" x14ac:dyDescent="0.3">
      <c r="A2368" s="3" t="s">
        <v>27</v>
      </c>
      <c r="B2368" s="3" t="s">
        <v>6017</v>
      </c>
      <c r="C2368" s="3" t="s">
        <v>945</v>
      </c>
      <c r="D2368" s="3" t="s">
        <v>93</v>
      </c>
      <c r="E2368" s="3" t="s">
        <v>31</v>
      </c>
      <c r="F2368" s="3" t="b">
        <v>0</v>
      </c>
      <c r="G2368" s="3" t="s">
        <v>32</v>
      </c>
      <c r="H2368" s="6">
        <v>44927.33666666667</v>
      </c>
      <c r="I2368" s="3" t="b">
        <v>0</v>
      </c>
      <c r="J2368" s="3" t="b">
        <v>0</v>
      </c>
      <c r="K2368" s="3" t="s">
        <v>33</v>
      </c>
      <c r="L2368" s="3" t="s">
        <v>34</v>
      </c>
      <c r="M2368" s="8">
        <v>175000</v>
      </c>
      <c r="N2368" s="11"/>
      <c r="O2368" s="3" t="s">
        <v>6018</v>
      </c>
      <c r="P2368" s="3" t="s">
        <v>6019</v>
      </c>
    </row>
    <row r="2369" spans="1:16" x14ac:dyDescent="0.3">
      <c r="A2369" s="3" t="s">
        <v>27</v>
      </c>
      <c r="B2369" s="3" t="s">
        <v>674</v>
      </c>
      <c r="C2369" s="3" t="s">
        <v>164</v>
      </c>
      <c r="D2369" s="3" t="s">
        <v>93</v>
      </c>
      <c r="E2369" s="3" t="s">
        <v>31</v>
      </c>
      <c r="F2369" s="3" t="b">
        <v>0</v>
      </c>
      <c r="G2369" s="3" t="s">
        <v>64</v>
      </c>
      <c r="H2369" s="6">
        <v>44937.502743055556</v>
      </c>
      <c r="I2369" s="3" t="b">
        <v>0</v>
      </c>
      <c r="J2369" s="3" t="b">
        <v>0</v>
      </c>
      <c r="K2369" s="3" t="s">
        <v>33</v>
      </c>
      <c r="L2369" s="3" t="s">
        <v>34</v>
      </c>
      <c r="M2369" s="8">
        <v>125000</v>
      </c>
      <c r="N2369" s="11"/>
      <c r="O2369" s="3" t="s">
        <v>889</v>
      </c>
      <c r="P2369" s="3" t="s">
        <v>6027</v>
      </c>
    </row>
    <row r="2370" spans="1:16" x14ac:dyDescent="0.3">
      <c r="A2370" s="3" t="s">
        <v>27</v>
      </c>
      <c r="B2370" s="3" t="s">
        <v>6034</v>
      </c>
      <c r="C2370" s="3" t="s">
        <v>813</v>
      </c>
      <c r="D2370" s="3" t="s">
        <v>76</v>
      </c>
      <c r="E2370" s="3" t="s">
        <v>31</v>
      </c>
      <c r="F2370" s="3" t="b">
        <v>0</v>
      </c>
      <c r="G2370" s="3" t="s">
        <v>64</v>
      </c>
      <c r="H2370" s="6">
        <v>44938.169456018521</v>
      </c>
      <c r="I2370" s="3" t="b">
        <v>0</v>
      </c>
      <c r="J2370" s="3" t="b">
        <v>1</v>
      </c>
      <c r="K2370" s="3" t="s">
        <v>33</v>
      </c>
      <c r="L2370" s="3" t="s">
        <v>34</v>
      </c>
      <c r="M2370" s="8">
        <v>119500</v>
      </c>
      <c r="N2370" s="11"/>
      <c r="O2370" s="3" t="s">
        <v>3515</v>
      </c>
      <c r="P2370" s="3" t="s">
        <v>6035</v>
      </c>
    </row>
    <row r="2371" spans="1:16" x14ac:dyDescent="0.3">
      <c r="A2371" s="3" t="s">
        <v>27</v>
      </c>
      <c r="B2371" s="3" t="s">
        <v>6041</v>
      </c>
      <c r="C2371" s="3" t="s">
        <v>620</v>
      </c>
      <c r="D2371" s="3" t="s">
        <v>93</v>
      </c>
      <c r="E2371" s="3" t="s">
        <v>31</v>
      </c>
      <c r="F2371" s="3" t="b">
        <v>0</v>
      </c>
      <c r="G2371" s="3" t="s">
        <v>58</v>
      </c>
      <c r="H2371" s="6">
        <v>44938.337650462963</v>
      </c>
      <c r="I2371" s="3" t="b">
        <v>0</v>
      </c>
      <c r="J2371" s="3" t="b">
        <v>0</v>
      </c>
      <c r="K2371" s="3" t="s">
        <v>33</v>
      </c>
      <c r="L2371" s="3" t="s">
        <v>34</v>
      </c>
      <c r="M2371" s="8">
        <v>90000</v>
      </c>
      <c r="N2371" s="11"/>
      <c r="O2371" s="3" t="s">
        <v>4187</v>
      </c>
      <c r="P2371" s="3" t="s">
        <v>6042</v>
      </c>
    </row>
    <row r="2372" spans="1:16" x14ac:dyDescent="0.3">
      <c r="A2372" s="3" t="s">
        <v>27</v>
      </c>
      <c r="B2372" s="3" t="s">
        <v>6043</v>
      </c>
      <c r="C2372" s="3" t="s">
        <v>2738</v>
      </c>
      <c r="D2372" s="3" t="s">
        <v>76</v>
      </c>
      <c r="E2372" s="3" t="s">
        <v>31</v>
      </c>
      <c r="F2372" s="3" t="b">
        <v>0</v>
      </c>
      <c r="G2372" s="3" t="s">
        <v>32</v>
      </c>
      <c r="H2372" s="6">
        <v>44953.753541666672</v>
      </c>
      <c r="I2372" s="3" t="b">
        <v>0</v>
      </c>
      <c r="J2372" s="3" t="b">
        <v>0</v>
      </c>
      <c r="K2372" s="3" t="s">
        <v>33</v>
      </c>
      <c r="L2372" s="3" t="s">
        <v>34</v>
      </c>
      <c r="M2372" s="8">
        <v>151650</v>
      </c>
      <c r="N2372" s="11"/>
      <c r="O2372" s="3" t="s">
        <v>4766</v>
      </c>
      <c r="P2372" s="3" t="s">
        <v>6044</v>
      </c>
    </row>
    <row r="2373" spans="1:16" x14ac:dyDescent="0.3">
      <c r="A2373" s="3" t="s">
        <v>27</v>
      </c>
      <c r="B2373" s="3" t="s">
        <v>6052</v>
      </c>
      <c r="C2373" s="3" t="s">
        <v>1573</v>
      </c>
      <c r="D2373" s="3" t="s">
        <v>30</v>
      </c>
      <c r="E2373" s="3" t="s">
        <v>31</v>
      </c>
      <c r="F2373" s="3" t="b">
        <v>0</v>
      </c>
      <c r="G2373" s="3" t="s">
        <v>32</v>
      </c>
      <c r="H2373" s="6">
        <v>44950.461875000001</v>
      </c>
      <c r="I2373" s="3" t="b">
        <v>0</v>
      </c>
      <c r="J2373" s="3" t="b">
        <v>1</v>
      </c>
      <c r="K2373" s="3" t="s">
        <v>33</v>
      </c>
      <c r="L2373" s="3" t="s">
        <v>34</v>
      </c>
      <c r="M2373" s="8">
        <v>125000</v>
      </c>
      <c r="N2373" s="11"/>
      <c r="O2373" s="3" t="s">
        <v>80</v>
      </c>
      <c r="P2373" s="3" t="s">
        <v>2415</v>
      </c>
    </row>
    <row r="2374" spans="1:16" x14ac:dyDescent="0.3">
      <c r="A2374" s="3" t="s">
        <v>27</v>
      </c>
      <c r="B2374" s="3" t="s">
        <v>6056</v>
      </c>
      <c r="C2374" s="3" t="s">
        <v>6057</v>
      </c>
      <c r="D2374" s="3" t="s">
        <v>41</v>
      </c>
      <c r="E2374" s="3" t="s">
        <v>31</v>
      </c>
      <c r="F2374" s="3" t="b">
        <v>0</v>
      </c>
      <c r="G2374" s="3" t="s">
        <v>436</v>
      </c>
      <c r="H2374" s="6">
        <v>44953.009606481479</v>
      </c>
      <c r="I2374" s="3" t="b">
        <v>0</v>
      </c>
      <c r="J2374" s="3" t="b">
        <v>0</v>
      </c>
      <c r="K2374" s="3" t="s">
        <v>436</v>
      </c>
      <c r="L2374" s="3" t="s">
        <v>34</v>
      </c>
      <c r="M2374" s="8">
        <v>88128</v>
      </c>
      <c r="N2374" s="11"/>
      <c r="O2374" s="3" t="s">
        <v>2405</v>
      </c>
      <c r="P2374" s="3"/>
    </row>
    <row r="2375" spans="1:16" x14ac:dyDescent="0.3">
      <c r="A2375" s="3" t="s">
        <v>27</v>
      </c>
      <c r="B2375" s="3" t="s">
        <v>6079</v>
      </c>
      <c r="C2375" s="3" t="s">
        <v>164</v>
      </c>
      <c r="D2375" s="3" t="s">
        <v>76</v>
      </c>
      <c r="E2375" s="3" t="s">
        <v>31</v>
      </c>
      <c r="F2375" s="3" t="b">
        <v>0</v>
      </c>
      <c r="G2375" s="3" t="s">
        <v>64</v>
      </c>
      <c r="H2375" s="6">
        <v>44929.168217592603</v>
      </c>
      <c r="I2375" s="3" t="b">
        <v>0</v>
      </c>
      <c r="J2375" s="3" t="b">
        <v>1</v>
      </c>
      <c r="K2375" s="3" t="s">
        <v>33</v>
      </c>
      <c r="L2375" s="3" t="s">
        <v>34</v>
      </c>
      <c r="M2375" s="8">
        <v>137000</v>
      </c>
      <c r="N2375" s="11"/>
      <c r="O2375" s="3" t="s">
        <v>3515</v>
      </c>
      <c r="P2375" s="3" t="s">
        <v>6080</v>
      </c>
    </row>
    <row r="2376" spans="1:16" x14ac:dyDescent="0.3">
      <c r="A2376" s="3" t="s">
        <v>27</v>
      </c>
      <c r="B2376" s="3" t="s">
        <v>6081</v>
      </c>
      <c r="C2376" s="3" t="s">
        <v>565</v>
      </c>
      <c r="D2376" s="3" t="s">
        <v>566</v>
      </c>
      <c r="E2376" s="3" t="s">
        <v>31</v>
      </c>
      <c r="F2376" s="3" t="b">
        <v>0</v>
      </c>
      <c r="G2376" s="3" t="s">
        <v>88</v>
      </c>
      <c r="H2376" s="6">
        <v>44929.982974537037</v>
      </c>
      <c r="I2376" s="3" t="b">
        <v>0</v>
      </c>
      <c r="J2376" s="3" t="b">
        <v>0</v>
      </c>
      <c r="K2376" s="3" t="s">
        <v>33</v>
      </c>
      <c r="L2376" s="3" t="s">
        <v>48</v>
      </c>
      <c r="M2376" s="8"/>
      <c r="N2376" s="11">
        <v>24</v>
      </c>
      <c r="O2376" s="3" t="s">
        <v>6082</v>
      </c>
      <c r="P2376" s="3"/>
    </row>
    <row r="2377" spans="1:16" x14ac:dyDescent="0.3">
      <c r="A2377" s="3" t="s">
        <v>27</v>
      </c>
      <c r="B2377" s="3" t="s">
        <v>27</v>
      </c>
      <c r="C2377" s="3" t="s">
        <v>965</v>
      </c>
      <c r="D2377" s="3" t="s">
        <v>76</v>
      </c>
      <c r="E2377" s="3" t="s">
        <v>31</v>
      </c>
      <c r="F2377" s="3" t="b">
        <v>0</v>
      </c>
      <c r="G2377" s="3" t="s">
        <v>140</v>
      </c>
      <c r="H2377" s="6">
        <v>44937.324652777781</v>
      </c>
      <c r="I2377" s="3" t="b">
        <v>0</v>
      </c>
      <c r="J2377" s="3" t="b">
        <v>0</v>
      </c>
      <c r="K2377" s="3" t="s">
        <v>33</v>
      </c>
      <c r="L2377" s="3" t="s">
        <v>34</v>
      </c>
      <c r="M2377" s="8">
        <v>145000</v>
      </c>
      <c r="N2377" s="11"/>
      <c r="O2377" s="3" t="s">
        <v>175</v>
      </c>
      <c r="P2377" s="3" t="s">
        <v>1947</v>
      </c>
    </row>
    <row r="2378" spans="1:16" x14ac:dyDescent="0.3">
      <c r="A2378" s="3" t="s">
        <v>27</v>
      </c>
      <c r="B2378" s="3" t="s">
        <v>2003</v>
      </c>
      <c r="C2378" s="3" t="s">
        <v>447</v>
      </c>
      <c r="D2378" s="3" t="s">
        <v>76</v>
      </c>
      <c r="E2378" s="3" t="s">
        <v>31</v>
      </c>
      <c r="F2378" s="3" t="b">
        <v>0</v>
      </c>
      <c r="G2378" s="3" t="s">
        <v>32</v>
      </c>
      <c r="H2378" s="6">
        <v>44940.045671296299</v>
      </c>
      <c r="I2378" s="3" t="b">
        <v>0</v>
      </c>
      <c r="J2378" s="3" t="b">
        <v>1</v>
      </c>
      <c r="K2378" s="3" t="s">
        <v>33</v>
      </c>
      <c r="L2378" s="3" t="s">
        <v>34</v>
      </c>
      <c r="M2378" s="8">
        <v>308500</v>
      </c>
      <c r="N2378" s="11"/>
      <c r="O2378" s="3" t="s">
        <v>1855</v>
      </c>
      <c r="P2378" s="3" t="s">
        <v>1856</v>
      </c>
    </row>
    <row r="2379" spans="1:16" x14ac:dyDescent="0.3">
      <c r="A2379" s="3" t="s">
        <v>27</v>
      </c>
      <c r="B2379" s="3" t="s">
        <v>6095</v>
      </c>
      <c r="C2379" s="3" t="s">
        <v>164</v>
      </c>
      <c r="D2379" s="3" t="s">
        <v>53</v>
      </c>
      <c r="E2379" s="3" t="s">
        <v>31</v>
      </c>
      <c r="F2379" s="3" t="b">
        <v>0</v>
      </c>
      <c r="G2379" s="3" t="s">
        <v>64</v>
      </c>
      <c r="H2379" s="6">
        <v>44947.629652777781</v>
      </c>
      <c r="I2379" s="3" t="b">
        <v>0</v>
      </c>
      <c r="J2379" s="3" t="b">
        <v>0</v>
      </c>
      <c r="K2379" s="3" t="s">
        <v>33</v>
      </c>
      <c r="L2379" s="3" t="s">
        <v>48</v>
      </c>
      <c r="M2379" s="8"/>
      <c r="N2379" s="11">
        <v>35</v>
      </c>
      <c r="O2379" s="3" t="s">
        <v>6096</v>
      </c>
      <c r="P2379" s="3" t="s">
        <v>6097</v>
      </c>
    </row>
    <row r="2380" spans="1:16" x14ac:dyDescent="0.3">
      <c r="A2380" s="3" t="s">
        <v>27</v>
      </c>
      <c r="B2380" s="3" t="s">
        <v>6098</v>
      </c>
      <c r="C2380" s="3" t="s">
        <v>33</v>
      </c>
      <c r="D2380" s="3" t="s">
        <v>41</v>
      </c>
      <c r="E2380" s="3" t="s">
        <v>31</v>
      </c>
      <c r="F2380" s="3" t="b">
        <v>0</v>
      </c>
      <c r="G2380" s="3" t="s">
        <v>110</v>
      </c>
      <c r="H2380" s="6">
        <v>44937.292893518519</v>
      </c>
      <c r="I2380" s="3" t="b">
        <v>0</v>
      </c>
      <c r="J2380" s="3" t="b">
        <v>1</v>
      </c>
      <c r="K2380" s="3" t="s">
        <v>110</v>
      </c>
      <c r="L2380" s="3" t="s">
        <v>34</v>
      </c>
      <c r="M2380" s="8">
        <v>87307.5</v>
      </c>
      <c r="N2380" s="11"/>
      <c r="O2380" s="3" t="s">
        <v>465</v>
      </c>
      <c r="P2380" s="3" t="s">
        <v>6099</v>
      </c>
    </row>
    <row r="2381" spans="1:16" x14ac:dyDescent="0.3">
      <c r="A2381" s="3" t="s">
        <v>27</v>
      </c>
      <c r="B2381" s="3" t="s">
        <v>6102</v>
      </c>
      <c r="C2381" s="3" t="s">
        <v>270</v>
      </c>
      <c r="D2381" s="3" t="s">
        <v>6103</v>
      </c>
      <c r="E2381" s="3" t="s">
        <v>31</v>
      </c>
      <c r="F2381" s="3" t="b">
        <v>0</v>
      </c>
      <c r="G2381" s="3" t="s">
        <v>32</v>
      </c>
      <c r="H2381" s="6">
        <v>44947.125972222217</v>
      </c>
      <c r="I2381" s="3" t="b">
        <v>0</v>
      </c>
      <c r="J2381" s="3" t="b">
        <v>0</v>
      </c>
      <c r="K2381" s="3" t="s">
        <v>33</v>
      </c>
      <c r="L2381" s="3" t="s">
        <v>34</v>
      </c>
      <c r="M2381" s="8">
        <v>112996</v>
      </c>
      <c r="N2381" s="11"/>
      <c r="O2381" s="3" t="s">
        <v>2979</v>
      </c>
      <c r="P2381" s="3" t="s">
        <v>3636</v>
      </c>
    </row>
    <row r="2382" spans="1:16" x14ac:dyDescent="0.3">
      <c r="A2382" s="3" t="s">
        <v>27</v>
      </c>
      <c r="B2382" s="3" t="s">
        <v>6104</v>
      </c>
      <c r="C2382" s="3" t="s">
        <v>362</v>
      </c>
      <c r="D2382" s="3" t="s">
        <v>93</v>
      </c>
      <c r="E2382" s="3" t="s">
        <v>31</v>
      </c>
      <c r="F2382" s="3" t="b">
        <v>0</v>
      </c>
      <c r="G2382" s="3" t="s">
        <v>140</v>
      </c>
      <c r="H2382" s="6">
        <v>44939.306203703702</v>
      </c>
      <c r="I2382" s="3" t="b">
        <v>0</v>
      </c>
      <c r="J2382" s="3" t="b">
        <v>1</v>
      </c>
      <c r="K2382" s="3" t="s">
        <v>33</v>
      </c>
      <c r="L2382" s="3" t="s">
        <v>34</v>
      </c>
      <c r="M2382" s="8">
        <v>90000</v>
      </c>
      <c r="N2382" s="11"/>
      <c r="O2382" s="3" t="s">
        <v>784</v>
      </c>
      <c r="P2382" s="3" t="s">
        <v>6105</v>
      </c>
    </row>
    <row r="2383" spans="1:16" x14ac:dyDescent="0.3">
      <c r="A2383" s="3" t="s">
        <v>27</v>
      </c>
      <c r="B2383" s="3" t="s">
        <v>6106</v>
      </c>
      <c r="C2383" s="3" t="s">
        <v>396</v>
      </c>
      <c r="D2383" s="3" t="s">
        <v>1361</v>
      </c>
      <c r="E2383" s="3" t="s">
        <v>31</v>
      </c>
      <c r="F2383" s="3" t="b">
        <v>0</v>
      </c>
      <c r="G2383" s="3" t="s">
        <v>58</v>
      </c>
      <c r="H2383" s="6">
        <v>44929.981574074067</v>
      </c>
      <c r="I2383" s="3" t="b">
        <v>0</v>
      </c>
      <c r="J2383" s="3" t="b">
        <v>1</v>
      </c>
      <c r="K2383" s="3" t="s">
        <v>33</v>
      </c>
      <c r="L2383" s="3" t="s">
        <v>48</v>
      </c>
      <c r="M2383" s="8"/>
      <c r="N2383" s="11">
        <v>24</v>
      </c>
      <c r="O2383" s="3" t="s">
        <v>6107</v>
      </c>
      <c r="P2383" s="3" t="s">
        <v>6108</v>
      </c>
    </row>
    <row r="2384" spans="1:16" x14ac:dyDescent="0.3">
      <c r="A2384" s="3" t="s">
        <v>27</v>
      </c>
      <c r="B2384" s="3" t="s">
        <v>219</v>
      </c>
      <c r="C2384" s="3" t="s">
        <v>565</v>
      </c>
      <c r="D2384" s="3" t="s">
        <v>93</v>
      </c>
      <c r="E2384" s="3" t="s">
        <v>31</v>
      </c>
      <c r="F2384" s="3" t="b">
        <v>0</v>
      </c>
      <c r="G2384" s="3" t="s">
        <v>84</v>
      </c>
      <c r="H2384" s="6">
        <v>44933.294247685182</v>
      </c>
      <c r="I2384" s="3" t="b">
        <v>0</v>
      </c>
      <c r="J2384" s="3" t="b">
        <v>1</v>
      </c>
      <c r="K2384" s="3" t="s">
        <v>33</v>
      </c>
      <c r="L2384" s="3" t="s">
        <v>34</v>
      </c>
      <c r="M2384" s="8">
        <v>150000</v>
      </c>
      <c r="N2384" s="11"/>
      <c r="O2384" s="3" t="s">
        <v>4206</v>
      </c>
      <c r="P2384" s="3" t="s">
        <v>2153</v>
      </c>
    </row>
    <row r="2385" spans="1:16" x14ac:dyDescent="0.3">
      <c r="A2385" s="3" t="s">
        <v>27</v>
      </c>
      <c r="B2385" s="3" t="s">
        <v>6127</v>
      </c>
      <c r="C2385" s="3" t="s">
        <v>549</v>
      </c>
      <c r="D2385" s="3" t="s">
        <v>53</v>
      </c>
      <c r="E2385" s="3" t="s">
        <v>31</v>
      </c>
      <c r="F2385" s="3" t="b">
        <v>0</v>
      </c>
      <c r="G2385" s="3" t="s">
        <v>64</v>
      </c>
      <c r="H2385" s="6">
        <v>44947.422175925924</v>
      </c>
      <c r="I2385" s="3" t="b">
        <v>0</v>
      </c>
      <c r="J2385" s="3" t="b">
        <v>0</v>
      </c>
      <c r="K2385" s="3" t="s">
        <v>33</v>
      </c>
      <c r="L2385" s="3" t="s">
        <v>34</v>
      </c>
      <c r="M2385" s="8">
        <v>180000</v>
      </c>
      <c r="N2385" s="11"/>
      <c r="O2385" s="3" t="s">
        <v>6128</v>
      </c>
      <c r="P2385" s="3" t="s">
        <v>679</v>
      </c>
    </row>
    <row r="2386" spans="1:16" x14ac:dyDescent="0.3">
      <c r="A2386" s="3" t="s">
        <v>27</v>
      </c>
      <c r="B2386" s="3" t="s">
        <v>6129</v>
      </c>
      <c r="C2386" s="3" t="s">
        <v>87</v>
      </c>
      <c r="D2386" s="3" t="s">
        <v>287</v>
      </c>
      <c r="E2386" s="3" t="s">
        <v>31</v>
      </c>
      <c r="F2386" s="3" t="b">
        <v>1</v>
      </c>
      <c r="G2386" s="3" t="s">
        <v>32</v>
      </c>
      <c r="H2386" s="6">
        <v>44941.002962962957</v>
      </c>
      <c r="I2386" s="3" t="b">
        <v>0</v>
      </c>
      <c r="J2386" s="3" t="b">
        <v>0</v>
      </c>
      <c r="K2386" s="3" t="s">
        <v>33</v>
      </c>
      <c r="L2386" s="3" t="s">
        <v>34</v>
      </c>
      <c r="M2386" s="8">
        <v>73079</v>
      </c>
      <c r="N2386" s="11"/>
      <c r="O2386" s="3" t="s">
        <v>6130</v>
      </c>
      <c r="P2386" s="3"/>
    </row>
    <row r="2387" spans="1:16" x14ac:dyDescent="0.3">
      <c r="A2387" s="3" t="s">
        <v>27</v>
      </c>
      <c r="B2387" s="3" t="s">
        <v>27</v>
      </c>
      <c r="C2387" s="3" t="s">
        <v>2039</v>
      </c>
      <c r="D2387" s="3" t="s">
        <v>41</v>
      </c>
      <c r="E2387" s="3" t="s">
        <v>31</v>
      </c>
      <c r="F2387" s="3" t="b">
        <v>0</v>
      </c>
      <c r="G2387" s="3" t="s">
        <v>651</v>
      </c>
      <c r="H2387" s="6">
        <v>44947.028333333343</v>
      </c>
      <c r="I2387" s="3" t="b">
        <v>0</v>
      </c>
      <c r="J2387" s="3" t="b">
        <v>0</v>
      </c>
      <c r="K2387" s="3" t="s">
        <v>651</v>
      </c>
      <c r="L2387" s="3" t="s">
        <v>34</v>
      </c>
      <c r="M2387" s="8">
        <v>88128</v>
      </c>
      <c r="N2387" s="11"/>
      <c r="O2387" s="3" t="s">
        <v>6131</v>
      </c>
      <c r="P2387" s="3" t="s">
        <v>6132</v>
      </c>
    </row>
    <row r="2388" spans="1:16" x14ac:dyDescent="0.3">
      <c r="A2388" s="3" t="s">
        <v>27</v>
      </c>
      <c r="B2388" s="3" t="s">
        <v>27</v>
      </c>
      <c r="C2388" s="3" t="s">
        <v>75</v>
      </c>
      <c r="D2388" s="3" t="s">
        <v>41</v>
      </c>
      <c r="E2388" s="3" t="s">
        <v>31</v>
      </c>
      <c r="F2388" s="3" t="b">
        <v>0</v>
      </c>
      <c r="G2388" s="3" t="s">
        <v>84</v>
      </c>
      <c r="H2388" s="6">
        <v>44928.961006944453</v>
      </c>
      <c r="I2388" s="3" t="b">
        <v>0</v>
      </c>
      <c r="J2388" s="3" t="b">
        <v>0</v>
      </c>
      <c r="K2388" s="3" t="s">
        <v>33</v>
      </c>
      <c r="L2388" s="3" t="s">
        <v>34</v>
      </c>
      <c r="M2388" s="8">
        <v>157500</v>
      </c>
      <c r="N2388" s="11"/>
      <c r="O2388" s="3" t="s">
        <v>2279</v>
      </c>
      <c r="P2388" s="3" t="s">
        <v>374</v>
      </c>
    </row>
    <row r="2389" spans="1:16" x14ac:dyDescent="0.3">
      <c r="A2389" s="3" t="s">
        <v>27</v>
      </c>
      <c r="B2389" s="3" t="s">
        <v>6145</v>
      </c>
      <c r="C2389" s="3" t="s">
        <v>903</v>
      </c>
      <c r="D2389" s="3" t="s">
        <v>41</v>
      </c>
      <c r="E2389" s="3" t="s">
        <v>31</v>
      </c>
      <c r="F2389" s="3" t="b">
        <v>0</v>
      </c>
      <c r="G2389" s="3" t="s">
        <v>436</v>
      </c>
      <c r="H2389" s="6">
        <v>44951.908194444448</v>
      </c>
      <c r="I2389" s="3" t="b">
        <v>0</v>
      </c>
      <c r="J2389" s="3" t="b">
        <v>0</v>
      </c>
      <c r="K2389" s="3" t="s">
        <v>436</v>
      </c>
      <c r="L2389" s="3" t="s">
        <v>34</v>
      </c>
      <c r="M2389" s="8">
        <v>93600</v>
      </c>
      <c r="N2389" s="11"/>
      <c r="O2389" s="3" t="s">
        <v>356</v>
      </c>
      <c r="P2389" s="3" t="s">
        <v>6146</v>
      </c>
    </row>
    <row r="2390" spans="1:16" x14ac:dyDescent="0.3">
      <c r="A2390" s="3" t="s">
        <v>27</v>
      </c>
      <c r="B2390" s="3" t="s">
        <v>27</v>
      </c>
      <c r="C2390" s="3" t="s">
        <v>109</v>
      </c>
      <c r="D2390" s="3" t="s">
        <v>188</v>
      </c>
      <c r="E2390" s="3" t="s">
        <v>31</v>
      </c>
      <c r="F2390" s="3" t="b">
        <v>0</v>
      </c>
      <c r="G2390" s="3" t="s">
        <v>110</v>
      </c>
      <c r="H2390" s="6">
        <v>44952.619062500002</v>
      </c>
      <c r="I2390" s="3" t="b">
        <v>0</v>
      </c>
      <c r="J2390" s="3" t="b">
        <v>0</v>
      </c>
      <c r="K2390" s="3" t="s">
        <v>110</v>
      </c>
      <c r="L2390" s="3" t="s">
        <v>34</v>
      </c>
      <c r="M2390" s="8">
        <v>90000</v>
      </c>
      <c r="N2390" s="11"/>
      <c r="O2390" s="3" t="s">
        <v>1817</v>
      </c>
      <c r="P2390" s="3" t="s">
        <v>374</v>
      </c>
    </row>
    <row r="2391" spans="1:16" x14ac:dyDescent="0.3">
      <c r="A2391" s="3" t="s">
        <v>27</v>
      </c>
      <c r="B2391" s="3" t="s">
        <v>4855</v>
      </c>
      <c r="C2391" s="3" t="s">
        <v>620</v>
      </c>
      <c r="D2391" s="3" t="s">
        <v>93</v>
      </c>
      <c r="E2391" s="3" t="s">
        <v>31</v>
      </c>
      <c r="F2391" s="3" t="b">
        <v>0</v>
      </c>
      <c r="G2391" s="3" t="s">
        <v>58</v>
      </c>
      <c r="H2391" s="6">
        <v>44947.41978009259</v>
      </c>
      <c r="I2391" s="3" t="b">
        <v>0</v>
      </c>
      <c r="J2391" s="3" t="b">
        <v>1</v>
      </c>
      <c r="K2391" s="3" t="s">
        <v>33</v>
      </c>
      <c r="L2391" s="3" t="s">
        <v>34</v>
      </c>
      <c r="M2391" s="8">
        <v>90000</v>
      </c>
      <c r="N2391" s="11"/>
      <c r="O2391" s="3" t="s">
        <v>6160</v>
      </c>
      <c r="P2391" s="3" t="s">
        <v>6161</v>
      </c>
    </row>
    <row r="2392" spans="1:16" x14ac:dyDescent="0.3">
      <c r="A2392" s="3" t="s">
        <v>27</v>
      </c>
      <c r="B2392" s="3" t="s">
        <v>6163</v>
      </c>
      <c r="C2392" s="3" t="s">
        <v>2224</v>
      </c>
      <c r="D2392" s="3" t="s">
        <v>6164</v>
      </c>
      <c r="E2392" s="3" t="s">
        <v>31</v>
      </c>
      <c r="F2392" s="3" t="b">
        <v>0</v>
      </c>
      <c r="G2392" s="3" t="s">
        <v>88</v>
      </c>
      <c r="H2392" s="6">
        <v>44929.982893518521</v>
      </c>
      <c r="I2392" s="3" t="b">
        <v>0</v>
      </c>
      <c r="J2392" s="3" t="b">
        <v>1</v>
      </c>
      <c r="K2392" s="3" t="s">
        <v>33</v>
      </c>
      <c r="L2392" s="3" t="s">
        <v>48</v>
      </c>
      <c r="M2392" s="8"/>
      <c r="N2392" s="11">
        <v>24</v>
      </c>
      <c r="O2392" s="3" t="s">
        <v>6165</v>
      </c>
      <c r="P2392" s="3" t="s">
        <v>6166</v>
      </c>
    </row>
    <row r="2393" spans="1:16" x14ac:dyDescent="0.3">
      <c r="A2393" s="3" t="s">
        <v>27</v>
      </c>
      <c r="B2393" s="3" t="s">
        <v>6170</v>
      </c>
      <c r="C2393" s="3" t="s">
        <v>549</v>
      </c>
      <c r="D2393" s="3" t="s">
        <v>76</v>
      </c>
      <c r="E2393" s="3" t="s">
        <v>31</v>
      </c>
      <c r="F2393" s="3" t="b">
        <v>0</v>
      </c>
      <c r="G2393" s="3" t="s">
        <v>64</v>
      </c>
      <c r="H2393" s="6">
        <v>44950.835821759261</v>
      </c>
      <c r="I2393" s="3" t="b">
        <v>0</v>
      </c>
      <c r="J2393" s="3" t="b">
        <v>1</v>
      </c>
      <c r="K2393" s="3" t="s">
        <v>33</v>
      </c>
      <c r="L2393" s="3" t="s">
        <v>34</v>
      </c>
      <c r="M2393" s="8">
        <v>95700</v>
      </c>
      <c r="N2393" s="11"/>
      <c r="O2393" s="3" t="s">
        <v>784</v>
      </c>
      <c r="P2393" s="3" t="s">
        <v>6171</v>
      </c>
    </row>
    <row r="2394" spans="1:16" x14ac:dyDescent="0.3">
      <c r="A2394" s="3" t="s">
        <v>27</v>
      </c>
      <c r="B2394" s="3" t="s">
        <v>6017</v>
      </c>
      <c r="C2394" s="3" t="s">
        <v>164</v>
      </c>
      <c r="D2394" s="3" t="s">
        <v>106</v>
      </c>
      <c r="E2394" s="3" t="s">
        <v>31</v>
      </c>
      <c r="F2394" s="3" t="b">
        <v>0</v>
      </c>
      <c r="G2394" s="3" t="s">
        <v>64</v>
      </c>
      <c r="H2394" s="6">
        <v>44949.168888888889</v>
      </c>
      <c r="I2394" s="3" t="b">
        <v>0</v>
      </c>
      <c r="J2394" s="3" t="b">
        <v>1</v>
      </c>
      <c r="K2394" s="3" t="s">
        <v>33</v>
      </c>
      <c r="L2394" s="3" t="s">
        <v>34</v>
      </c>
      <c r="M2394" s="8">
        <v>162500</v>
      </c>
      <c r="N2394" s="11"/>
      <c r="O2394" s="3" t="s">
        <v>6201</v>
      </c>
      <c r="P2394" s="3" t="s">
        <v>6202</v>
      </c>
    </row>
    <row r="2395" spans="1:16" x14ac:dyDescent="0.3">
      <c r="A2395" s="3" t="s">
        <v>27</v>
      </c>
      <c r="B2395" s="3" t="s">
        <v>6203</v>
      </c>
      <c r="C2395" s="3" t="s">
        <v>447</v>
      </c>
      <c r="D2395" s="3" t="s">
        <v>867</v>
      </c>
      <c r="E2395" s="3" t="s">
        <v>31</v>
      </c>
      <c r="F2395" s="3" t="b">
        <v>0</v>
      </c>
      <c r="G2395" s="3" t="s">
        <v>32</v>
      </c>
      <c r="H2395" s="6">
        <v>44950.002905092602</v>
      </c>
      <c r="I2395" s="3" t="b">
        <v>0</v>
      </c>
      <c r="J2395" s="3" t="b">
        <v>0</v>
      </c>
      <c r="K2395" s="3" t="s">
        <v>33</v>
      </c>
      <c r="L2395" s="3" t="s">
        <v>48</v>
      </c>
      <c r="M2395" s="8"/>
      <c r="N2395" s="11">
        <v>45.5</v>
      </c>
      <c r="O2395" s="3" t="s">
        <v>6204</v>
      </c>
      <c r="P2395" s="3" t="s">
        <v>6205</v>
      </c>
    </row>
    <row r="2396" spans="1:16" x14ac:dyDescent="0.3">
      <c r="A2396" s="3" t="s">
        <v>27</v>
      </c>
      <c r="B2396" s="3" t="s">
        <v>6208</v>
      </c>
      <c r="C2396" s="3" t="s">
        <v>29</v>
      </c>
      <c r="D2396" s="3" t="s">
        <v>76</v>
      </c>
      <c r="E2396" s="3" t="s">
        <v>133</v>
      </c>
      <c r="F2396" s="3" t="b">
        <v>0</v>
      </c>
      <c r="G2396" s="3" t="s">
        <v>32</v>
      </c>
      <c r="H2396" s="6">
        <v>44945.848113425927</v>
      </c>
      <c r="I2396" s="3" t="b">
        <v>0</v>
      </c>
      <c r="J2396" s="3" t="b">
        <v>0</v>
      </c>
      <c r="K2396" s="3" t="s">
        <v>33</v>
      </c>
      <c r="L2396" s="3" t="s">
        <v>48</v>
      </c>
      <c r="M2396" s="8"/>
      <c r="N2396" s="11">
        <v>52.404998779296882</v>
      </c>
      <c r="O2396" s="3" t="s">
        <v>6209</v>
      </c>
      <c r="P2396" s="3" t="s">
        <v>2228</v>
      </c>
    </row>
    <row r="2397" spans="1:16" x14ac:dyDescent="0.3">
      <c r="A2397" s="3" t="s">
        <v>27</v>
      </c>
      <c r="B2397" s="3" t="s">
        <v>6210</v>
      </c>
      <c r="C2397" s="3" t="s">
        <v>1963</v>
      </c>
      <c r="D2397" s="3" t="s">
        <v>6211</v>
      </c>
      <c r="E2397" s="3" t="s">
        <v>31</v>
      </c>
      <c r="F2397" s="3" t="b">
        <v>0</v>
      </c>
      <c r="G2397" s="3" t="s">
        <v>140</v>
      </c>
      <c r="H2397" s="6">
        <v>44950.017500000002</v>
      </c>
      <c r="I2397" s="3" t="b">
        <v>0</v>
      </c>
      <c r="J2397" s="3" t="b">
        <v>0</v>
      </c>
      <c r="K2397" s="3" t="s">
        <v>33</v>
      </c>
      <c r="L2397" s="3" t="s">
        <v>34</v>
      </c>
      <c r="M2397" s="8">
        <v>149946.5</v>
      </c>
      <c r="N2397" s="11"/>
      <c r="O2397" s="3" t="s">
        <v>6212</v>
      </c>
      <c r="P2397" s="3"/>
    </row>
    <row r="2398" spans="1:16" x14ac:dyDescent="0.3">
      <c r="A2398" s="3" t="s">
        <v>27</v>
      </c>
      <c r="B2398" s="3" t="s">
        <v>2860</v>
      </c>
      <c r="C2398" s="3" t="s">
        <v>87</v>
      </c>
      <c r="D2398" s="3" t="s">
        <v>1013</v>
      </c>
      <c r="E2398" s="3" t="s">
        <v>31</v>
      </c>
      <c r="F2398" s="3" t="b">
        <v>1</v>
      </c>
      <c r="G2398" s="3" t="s">
        <v>84</v>
      </c>
      <c r="H2398" s="6">
        <v>44951.503472222219</v>
      </c>
      <c r="I2398" s="3" t="b">
        <v>0</v>
      </c>
      <c r="J2398" s="3" t="b">
        <v>1</v>
      </c>
      <c r="K2398" s="3" t="s">
        <v>33</v>
      </c>
      <c r="L2398" s="3" t="s">
        <v>34</v>
      </c>
      <c r="M2398" s="8">
        <v>150000</v>
      </c>
      <c r="N2398" s="11"/>
      <c r="O2398" s="3" t="s">
        <v>5182</v>
      </c>
      <c r="P2398" s="3" t="s">
        <v>6215</v>
      </c>
    </row>
    <row r="2399" spans="1:16" x14ac:dyDescent="0.3">
      <c r="A2399" s="3" t="s">
        <v>27</v>
      </c>
      <c r="B2399" s="3" t="s">
        <v>6216</v>
      </c>
      <c r="C2399" s="3" t="s">
        <v>164</v>
      </c>
      <c r="D2399" s="3" t="s">
        <v>93</v>
      </c>
      <c r="E2399" s="3" t="s">
        <v>31</v>
      </c>
      <c r="F2399" s="3" t="b">
        <v>0</v>
      </c>
      <c r="G2399" s="3" t="s">
        <v>64</v>
      </c>
      <c r="H2399" s="6">
        <v>44935.167858796303</v>
      </c>
      <c r="I2399" s="3" t="b">
        <v>0</v>
      </c>
      <c r="J2399" s="3" t="b">
        <v>0</v>
      </c>
      <c r="K2399" s="3" t="s">
        <v>33</v>
      </c>
      <c r="L2399" s="3" t="s">
        <v>34</v>
      </c>
      <c r="M2399" s="8">
        <v>125000</v>
      </c>
      <c r="N2399" s="11"/>
      <c r="O2399" s="3" t="s">
        <v>6217</v>
      </c>
      <c r="P2399" s="3" t="s">
        <v>6218</v>
      </c>
    </row>
    <row r="2400" spans="1:16" x14ac:dyDescent="0.3">
      <c r="A2400" s="3" t="s">
        <v>27</v>
      </c>
      <c r="B2400" s="3" t="s">
        <v>27</v>
      </c>
      <c r="C2400" s="3" t="s">
        <v>314</v>
      </c>
      <c r="D2400" s="3" t="s">
        <v>93</v>
      </c>
      <c r="E2400" s="3" t="s">
        <v>31</v>
      </c>
      <c r="F2400" s="3" t="b">
        <v>0</v>
      </c>
      <c r="G2400" s="3" t="s">
        <v>140</v>
      </c>
      <c r="H2400" s="6">
        <v>44934.32707175926</v>
      </c>
      <c r="I2400" s="3" t="b">
        <v>0</v>
      </c>
      <c r="J2400" s="3" t="b">
        <v>1</v>
      </c>
      <c r="K2400" s="3" t="s">
        <v>33</v>
      </c>
      <c r="L2400" s="3" t="s">
        <v>34</v>
      </c>
      <c r="M2400" s="8">
        <v>150000</v>
      </c>
      <c r="N2400" s="11"/>
      <c r="O2400" s="3" t="s">
        <v>303</v>
      </c>
      <c r="P2400" s="3" t="s">
        <v>6226</v>
      </c>
    </row>
    <row r="2401" spans="1:16" x14ac:dyDescent="0.3">
      <c r="A2401" s="3" t="s">
        <v>27</v>
      </c>
      <c r="B2401" s="3" t="s">
        <v>6263</v>
      </c>
      <c r="C2401" s="3" t="s">
        <v>270</v>
      </c>
      <c r="D2401" s="3" t="s">
        <v>53</v>
      </c>
      <c r="E2401" s="3" t="s">
        <v>31</v>
      </c>
      <c r="F2401" s="3" t="b">
        <v>0</v>
      </c>
      <c r="G2401" s="3" t="s">
        <v>32</v>
      </c>
      <c r="H2401" s="6">
        <v>44939.712314814817</v>
      </c>
      <c r="I2401" s="3" t="b">
        <v>0</v>
      </c>
      <c r="J2401" s="3" t="b">
        <v>1</v>
      </c>
      <c r="K2401" s="3" t="s">
        <v>33</v>
      </c>
      <c r="L2401" s="3" t="s">
        <v>48</v>
      </c>
      <c r="M2401" s="8"/>
      <c r="N2401" s="11">
        <v>53.709999084472663</v>
      </c>
      <c r="O2401" s="3" t="s">
        <v>6264</v>
      </c>
      <c r="P2401" s="3" t="s">
        <v>6265</v>
      </c>
    </row>
    <row r="2402" spans="1:16" x14ac:dyDescent="0.3">
      <c r="A2402" s="3" t="s">
        <v>27</v>
      </c>
      <c r="B2402" s="3" t="s">
        <v>27</v>
      </c>
      <c r="C2402" s="3" t="s">
        <v>2336</v>
      </c>
      <c r="D2402" s="3" t="s">
        <v>41</v>
      </c>
      <c r="E2402" s="3" t="s">
        <v>31</v>
      </c>
      <c r="F2402" s="3" t="b">
        <v>0</v>
      </c>
      <c r="G2402" s="3" t="s">
        <v>597</v>
      </c>
      <c r="H2402" s="6">
        <v>44936.815983796303</v>
      </c>
      <c r="I2402" s="3" t="b">
        <v>0</v>
      </c>
      <c r="J2402" s="3" t="b">
        <v>0</v>
      </c>
      <c r="K2402" s="3" t="s">
        <v>597</v>
      </c>
      <c r="L2402" s="3" t="s">
        <v>34</v>
      </c>
      <c r="M2402" s="8">
        <v>157500</v>
      </c>
      <c r="N2402" s="11"/>
      <c r="O2402" s="3" t="s">
        <v>5219</v>
      </c>
      <c r="P2402" s="3" t="s">
        <v>6275</v>
      </c>
    </row>
    <row r="2403" spans="1:16" x14ac:dyDescent="0.3">
      <c r="A2403" s="3" t="s">
        <v>27</v>
      </c>
      <c r="B2403" s="3" t="s">
        <v>674</v>
      </c>
      <c r="C2403" s="3" t="s">
        <v>305</v>
      </c>
      <c r="D2403" s="3" t="s">
        <v>93</v>
      </c>
      <c r="E2403" s="3" t="s">
        <v>31</v>
      </c>
      <c r="F2403" s="3" t="b">
        <v>0</v>
      </c>
      <c r="G2403" s="3" t="s">
        <v>32</v>
      </c>
      <c r="H2403" s="6">
        <v>44956.336053240739</v>
      </c>
      <c r="I2403" s="3" t="b">
        <v>0</v>
      </c>
      <c r="J2403" s="3" t="b">
        <v>1</v>
      </c>
      <c r="K2403" s="3" t="s">
        <v>33</v>
      </c>
      <c r="L2403" s="3" t="s">
        <v>34</v>
      </c>
      <c r="M2403" s="8">
        <v>150000</v>
      </c>
      <c r="N2403" s="11"/>
      <c r="O2403" s="3" t="s">
        <v>303</v>
      </c>
      <c r="P2403" s="3" t="s">
        <v>675</v>
      </c>
    </row>
    <row r="2404" spans="1:16" x14ac:dyDescent="0.3">
      <c r="A2404" s="3" t="s">
        <v>27</v>
      </c>
      <c r="B2404" s="3" t="s">
        <v>6276</v>
      </c>
      <c r="C2404" s="3" t="s">
        <v>443</v>
      </c>
      <c r="D2404" s="3" t="s">
        <v>940</v>
      </c>
      <c r="E2404" s="3" t="s">
        <v>31</v>
      </c>
      <c r="F2404" s="3" t="b">
        <v>0</v>
      </c>
      <c r="G2404" s="3" t="s">
        <v>32</v>
      </c>
      <c r="H2404" s="6">
        <v>44952.295358796298</v>
      </c>
      <c r="I2404" s="3" t="b">
        <v>0</v>
      </c>
      <c r="J2404" s="3" t="b">
        <v>1</v>
      </c>
      <c r="K2404" s="3" t="s">
        <v>33</v>
      </c>
      <c r="L2404" s="3" t="s">
        <v>34</v>
      </c>
      <c r="M2404" s="8">
        <v>277500</v>
      </c>
      <c r="N2404" s="11"/>
      <c r="O2404" s="3" t="s">
        <v>2377</v>
      </c>
      <c r="P2404" s="3" t="s">
        <v>5782</v>
      </c>
    </row>
    <row r="2405" spans="1:16" x14ac:dyDescent="0.3">
      <c r="A2405" s="3" t="s">
        <v>27</v>
      </c>
      <c r="B2405" s="3" t="s">
        <v>6278</v>
      </c>
      <c r="C2405" s="3" t="s">
        <v>6279</v>
      </c>
      <c r="D2405" s="3" t="s">
        <v>287</v>
      </c>
      <c r="E2405" s="3" t="s">
        <v>31</v>
      </c>
      <c r="F2405" s="3" t="b">
        <v>0</v>
      </c>
      <c r="G2405" s="3" t="s">
        <v>84</v>
      </c>
      <c r="H2405" s="6">
        <v>44927.014687499999</v>
      </c>
      <c r="I2405" s="3" t="b">
        <v>0</v>
      </c>
      <c r="J2405" s="3" t="b">
        <v>0</v>
      </c>
      <c r="K2405" s="3" t="s">
        <v>33</v>
      </c>
      <c r="L2405" s="3" t="s">
        <v>34</v>
      </c>
      <c r="M2405" s="8">
        <v>120531</v>
      </c>
      <c r="N2405" s="11"/>
      <c r="O2405" s="3" t="s">
        <v>6280</v>
      </c>
      <c r="P2405" s="3" t="s">
        <v>6281</v>
      </c>
    </row>
    <row r="2406" spans="1:16" x14ac:dyDescent="0.3">
      <c r="A2406" s="3" t="s">
        <v>27</v>
      </c>
      <c r="B2406" s="3" t="s">
        <v>27</v>
      </c>
      <c r="C2406" s="3" t="s">
        <v>173</v>
      </c>
      <c r="D2406" s="3" t="s">
        <v>76</v>
      </c>
      <c r="E2406" s="3" t="s">
        <v>31</v>
      </c>
      <c r="F2406" s="3" t="b">
        <v>0</v>
      </c>
      <c r="G2406" s="3" t="s">
        <v>140</v>
      </c>
      <c r="H2406" s="6">
        <v>44944.074571759258</v>
      </c>
      <c r="I2406" s="3" t="b">
        <v>0</v>
      </c>
      <c r="J2406" s="3" t="b">
        <v>0</v>
      </c>
      <c r="K2406" s="3" t="s">
        <v>33</v>
      </c>
      <c r="L2406" s="3" t="s">
        <v>34</v>
      </c>
      <c r="M2406" s="8">
        <v>92058</v>
      </c>
      <c r="N2406" s="11"/>
      <c r="O2406" s="3" t="s">
        <v>6287</v>
      </c>
      <c r="P2406" s="3"/>
    </row>
    <row r="2407" spans="1:16" x14ac:dyDescent="0.3">
      <c r="A2407" s="3" t="s">
        <v>27</v>
      </c>
      <c r="B2407" s="3" t="s">
        <v>27</v>
      </c>
      <c r="C2407" s="3" t="s">
        <v>813</v>
      </c>
      <c r="D2407" s="3" t="s">
        <v>76</v>
      </c>
      <c r="E2407" s="3" t="s">
        <v>31</v>
      </c>
      <c r="F2407" s="3" t="b">
        <v>0</v>
      </c>
      <c r="G2407" s="3" t="s">
        <v>64</v>
      </c>
      <c r="H2407" s="6">
        <v>44936.763495370367</v>
      </c>
      <c r="I2407" s="3" t="b">
        <v>0</v>
      </c>
      <c r="J2407" s="3" t="b">
        <v>0</v>
      </c>
      <c r="K2407" s="3" t="s">
        <v>33</v>
      </c>
      <c r="L2407" s="3" t="s">
        <v>34</v>
      </c>
      <c r="M2407" s="8">
        <v>110000</v>
      </c>
      <c r="N2407" s="11"/>
      <c r="O2407" s="3" t="s">
        <v>5318</v>
      </c>
      <c r="P2407" s="3" t="s">
        <v>6288</v>
      </c>
    </row>
    <row r="2408" spans="1:16" x14ac:dyDescent="0.3">
      <c r="A2408" s="3" t="s">
        <v>27</v>
      </c>
      <c r="B2408" s="3" t="s">
        <v>2098</v>
      </c>
      <c r="C2408" s="3" t="s">
        <v>244</v>
      </c>
      <c r="D2408" s="3" t="s">
        <v>3390</v>
      </c>
      <c r="E2408" s="3" t="s">
        <v>31</v>
      </c>
      <c r="F2408" s="3" t="b">
        <v>0</v>
      </c>
      <c r="G2408" s="3" t="s">
        <v>110</v>
      </c>
      <c r="H2408" s="6">
        <v>44953.979224537034</v>
      </c>
      <c r="I2408" s="3" t="b">
        <v>0</v>
      </c>
      <c r="J2408" s="3" t="b">
        <v>0</v>
      </c>
      <c r="K2408" s="3" t="s">
        <v>110</v>
      </c>
      <c r="L2408" s="3" t="s">
        <v>48</v>
      </c>
      <c r="M2408" s="8"/>
      <c r="N2408" s="11">
        <v>24</v>
      </c>
      <c r="O2408" s="3" t="s">
        <v>1875</v>
      </c>
      <c r="P2408" s="3" t="s">
        <v>2100</v>
      </c>
    </row>
    <row r="2409" spans="1:16" x14ac:dyDescent="0.3">
      <c r="A2409" s="3" t="s">
        <v>27</v>
      </c>
      <c r="B2409" s="3" t="s">
        <v>6309</v>
      </c>
      <c r="C2409" s="3" t="s">
        <v>2750</v>
      </c>
      <c r="D2409" s="3" t="s">
        <v>41</v>
      </c>
      <c r="E2409" s="3" t="s">
        <v>31</v>
      </c>
      <c r="F2409" s="3" t="b">
        <v>0</v>
      </c>
      <c r="G2409" s="3" t="s">
        <v>436</v>
      </c>
      <c r="H2409" s="6">
        <v>44932.435416666667</v>
      </c>
      <c r="I2409" s="3" t="b">
        <v>0</v>
      </c>
      <c r="J2409" s="3" t="b">
        <v>0</v>
      </c>
      <c r="K2409" s="3" t="s">
        <v>436</v>
      </c>
      <c r="L2409" s="3" t="s">
        <v>34</v>
      </c>
      <c r="M2409" s="8">
        <v>79200</v>
      </c>
      <c r="N2409" s="11"/>
      <c r="O2409" s="3" t="s">
        <v>1472</v>
      </c>
      <c r="P2409" s="3" t="s">
        <v>6310</v>
      </c>
    </row>
    <row r="2410" spans="1:16" x14ac:dyDescent="0.3">
      <c r="A2410" s="3" t="s">
        <v>27</v>
      </c>
      <c r="B2410" s="3" t="s">
        <v>519</v>
      </c>
      <c r="C2410" s="3" t="s">
        <v>3492</v>
      </c>
      <c r="D2410" s="3" t="s">
        <v>30</v>
      </c>
      <c r="E2410" s="3" t="s">
        <v>133</v>
      </c>
      <c r="F2410" s="3" t="b">
        <v>0</v>
      </c>
      <c r="G2410" s="3" t="s">
        <v>84</v>
      </c>
      <c r="H2410" s="6">
        <v>44944.588472222233</v>
      </c>
      <c r="I2410" s="3" t="b">
        <v>0</v>
      </c>
      <c r="J2410" s="3" t="b">
        <v>0</v>
      </c>
      <c r="K2410" s="3" t="s">
        <v>33</v>
      </c>
      <c r="L2410" s="3" t="s">
        <v>48</v>
      </c>
      <c r="M2410" s="8"/>
      <c r="N2410" s="11">
        <v>67.5</v>
      </c>
      <c r="O2410" s="3" t="s">
        <v>589</v>
      </c>
      <c r="P2410" s="3" t="s">
        <v>6321</v>
      </c>
    </row>
    <row r="2411" spans="1:16" x14ac:dyDescent="0.3">
      <c r="A2411" s="3" t="s">
        <v>27</v>
      </c>
      <c r="B2411" s="3" t="s">
        <v>6322</v>
      </c>
      <c r="C2411" s="3" t="s">
        <v>565</v>
      </c>
      <c r="D2411" s="3" t="s">
        <v>566</v>
      </c>
      <c r="E2411" s="3" t="s">
        <v>31</v>
      </c>
      <c r="F2411" s="3" t="b">
        <v>0</v>
      </c>
      <c r="G2411" s="3" t="s">
        <v>88</v>
      </c>
      <c r="H2411" s="6">
        <v>44929.982974537037</v>
      </c>
      <c r="I2411" s="3" t="b">
        <v>0</v>
      </c>
      <c r="J2411" s="3" t="b">
        <v>0</v>
      </c>
      <c r="K2411" s="3" t="s">
        <v>33</v>
      </c>
      <c r="L2411" s="3" t="s">
        <v>48</v>
      </c>
      <c r="M2411" s="8"/>
      <c r="N2411" s="11">
        <v>24</v>
      </c>
      <c r="O2411" s="3" t="s">
        <v>657</v>
      </c>
      <c r="P2411" s="3" t="s">
        <v>405</v>
      </c>
    </row>
    <row r="2412" spans="1:16" x14ac:dyDescent="0.3">
      <c r="A2412" s="3" t="s">
        <v>27</v>
      </c>
      <c r="B2412" s="3" t="s">
        <v>27</v>
      </c>
      <c r="C2412" s="3" t="s">
        <v>87</v>
      </c>
      <c r="D2412" s="3" t="s">
        <v>30</v>
      </c>
      <c r="E2412" s="3" t="s">
        <v>31</v>
      </c>
      <c r="F2412" s="3" t="b">
        <v>1</v>
      </c>
      <c r="G2412" s="3" t="s">
        <v>64</v>
      </c>
      <c r="H2412" s="6">
        <v>44937.878055555557</v>
      </c>
      <c r="I2412" s="3" t="b">
        <v>0</v>
      </c>
      <c r="J2412" s="3" t="b">
        <v>1</v>
      </c>
      <c r="K2412" s="3" t="s">
        <v>33</v>
      </c>
      <c r="L2412" s="3" t="s">
        <v>48</v>
      </c>
      <c r="M2412" s="8"/>
      <c r="N2412" s="11">
        <v>41</v>
      </c>
      <c r="O2412" s="3" t="s">
        <v>6323</v>
      </c>
      <c r="P2412" s="3" t="s">
        <v>6324</v>
      </c>
    </row>
    <row r="2413" spans="1:16" x14ac:dyDescent="0.3">
      <c r="A2413" s="3" t="s">
        <v>27</v>
      </c>
      <c r="B2413" s="3" t="s">
        <v>6325</v>
      </c>
      <c r="C2413" s="3" t="s">
        <v>4041</v>
      </c>
      <c r="D2413" s="3" t="s">
        <v>41</v>
      </c>
      <c r="E2413" s="3" t="s">
        <v>31</v>
      </c>
      <c r="F2413" s="3" t="b">
        <v>0</v>
      </c>
      <c r="G2413" s="3" t="s">
        <v>1548</v>
      </c>
      <c r="H2413" s="6">
        <v>44957.142152777778</v>
      </c>
      <c r="I2413" s="3" t="b">
        <v>0</v>
      </c>
      <c r="J2413" s="3" t="b">
        <v>0</v>
      </c>
      <c r="K2413" s="3" t="s">
        <v>1548</v>
      </c>
      <c r="L2413" s="3" t="s">
        <v>34</v>
      </c>
      <c r="M2413" s="8">
        <v>69300</v>
      </c>
      <c r="N2413" s="11"/>
      <c r="O2413" s="3" t="s">
        <v>6326</v>
      </c>
      <c r="P2413" s="3" t="s">
        <v>38</v>
      </c>
    </row>
    <row r="2414" spans="1:16" x14ac:dyDescent="0.3">
      <c r="A2414" s="3" t="s">
        <v>27</v>
      </c>
      <c r="B2414" s="3" t="s">
        <v>27</v>
      </c>
      <c r="C2414" s="3" t="s">
        <v>173</v>
      </c>
      <c r="D2414" s="3" t="s">
        <v>188</v>
      </c>
      <c r="E2414" s="3" t="s">
        <v>31</v>
      </c>
      <c r="F2414" s="3" t="b">
        <v>0</v>
      </c>
      <c r="G2414" s="3" t="s">
        <v>64</v>
      </c>
      <c r="H2414" s="6">
        <v>44952.043692129628</v>
      </c>
      <c r="I2414" s="3" t="b">
        <v>0</v>
      </c>
      <c r="J2414" s="3" t="b">
        <v>0</v>
      </c>
      <c r="K2414" s="3" t="s">
        <v>33</v>
      </c>
      <c r="L2414" s="3" t="s">
        <v>34</v>
      </c>
      <c r="M2414" s="8">
        <v>150000</v>
      </c>
      <c r="N2414" s="11"/>
      <c r="O2414" s="3" t="s">
        <v>255</v>
      </c>
      <c r="P2414" s="3" t="s">
        <v>1922</v>
      </c>
    </row>
    <row r="2415" spans="1:16" x14ac:dyDescent="0.3">
      <c r="A2415" s="3" t="s">
        <v>27</v>
      </c>
      <c r="B2415" s="3" t="s">
        <v>6344</v>
      </c>
      <c r="C2415" s="3" t="s">
        <v>87</v>
      </c>
      <c r="D2415" s="3" t="s">
        <v>1013</v>
      </c>
      <c r="E2415" s="3" t="s">
        <v>31</v>
      </c>
      <c r="F2415" s="3" t="b">
        <v>1</v>
      </c>
      <c r="G2415" s="3" t="s">
        <v>84</v>
      </c>
      <c r="H2415" s="6">
        <v>44954.295266203713</v>
      </c>
      <c r="I2415" s="3" t="b">
        <v>0</v>
      </c>
      <c r="J2415" s="3" t="b">
        <v>1</v>
      </c>
      <c r="K2415" s="3" t="s">
        <v>33</v>
      </c>
      <c r="L2415" s="3" t="s">
        <v>34</v>
      </c>
      <c r="M2415" s="8">
        <v>142500</v>
      </c>
      <c r="N2415" s="11"/>
      <c r="O2415" s="3" t="s">
        <v>6345</v>
      </c>
      <c r="P2415" s="3" t="s">
        <v>6346</v>
      </c>
    </row>
    <row r="2416" spans="1:16" x14ac:dyDescent="0.3">
      <c r="A2416" s="3" t="s">
        <v>27</v>
      </c>
      <c r="B2416" s="3" t="s">
        <v>27</v>
      </c>
      <c r="C2416" s="3" t="s">
        <v>447</v>
      </c>
      <c r="D2416" s="3" t="s">
        <v>53</v>
      </c>
      <c r="E2416" s="3" t="s">
        <v>31</v>
      </c>
      <c r="F2416" s="3" t="b">
        <v>0</v>
      </c>
      <c r="G2416" s="3" t="s">
        <v>32</v>
      </c>
      <c r="H2416" s="6">
        <v>44938.920624999999</v>
      </c>
      <c r="I2416" s="3" t="b">
        <v>0</v>
      </c>
      <c r="J2416" s="3" t="b">
        <v>1</v>
      </c>
      <c r="K2416" s="3" t="s">
        <v>33</v>
      </c>
      <c r="L2416" s="3" t="s">
        <v>34</v>
      </c>
      <c r="M2416" s="8">
        <v>183310</v>
      </c>
      <c r="N2416" s="11"/>
      <c r="O2416" s="3" t="s">
        <v>4259</v>
      </c>
      <c r="P2416" s="3" t="s">
        <v>4260</v>
      </c>
    </row>
    <row r="2417" spans="1:16" x14ac:dyDescent="0.3">
      <c r="A2417" s="3" t="s">
        <v>27</v>
      </c>
      <c r="B2417" s="3" t="s">
        <v>2797</v>
      </c>
      <c r="C2417" s="3" t="s">
        <v>821</v>
      </c>
      <c r="D2417" s="3" t="s">
        <v>30</v>
      </c>
      <c r="E2417" s="3" t="s">
        <v>31</v>
      </c>
      <c r="F2417" s="3" t="b">
        <v>0</v>
      </c>
      <c r="G2417" s="3" t="s">
        <v>32</v>
      </c>
      <c r="H2417" s="6">
        <v>44938.876099537039</v>
      </c>
      <c r="I2417" s="3" t="b">
        <v>0</v>
      </c>
      <c r="J2417" s="3" t="b">
        <v>1</v>
      </c>
      <c r="K2417" s="3" t="s">
        <v>33</v>
      </c>
      <c r="L2417" s="3" t="s">
        <v>34</v>
      </c>
      <c r="M2417" s="8">
        <v>110000</v>
      </c>
      <c r="N2417" s="11"/>
      <c r="O2417" s="3" t="s">
        <v>2798</v>
      </c>
      <c r="P2417" s="3" t="s">
        <v>2799</v>
      </c>
    </row>
    <row r="2418" spans="1:16" x14ac:dyDescent="0.3">
      <c r="A2418" s="3" t="s">
        <v>27</v>
      </c>
      <c r="B2418" s="3" t="s">
        <v>27</v>
      </c>
      <c r="C2418" s="3" t="s">
        <v>6347</v>
      </c>
      <c r="D2418" s="3" t="s">
        <v>1643</v>
      </c>
      <c r="E2418" s="3" t="s">
        <v>31</v>
      </c>
      <c r="F2418" s="3" t="b">
        <v>0</v>
      </c>
      <c r="G2418" s="3" t="s">
        <v>32</v>
      </c>
      <c r="H2418" s="6">
        <v>44954.003472222219</v>
      </c>
      <c r="I2418" s="3" t="b">
        <v>0</v>
      </c>
      <c r="J2418" s="3" t="b">
        <v>0</v>
      </c>
      <c r="K2418" s="3" t="s">
        <v>33</v>
      </c>
      <c r="L2418" s="3" t="s">
        <v>48</v>
      </c>
      <c r="M2418" s="8"/>
      <c r="N2418" s="11">
        <v>62.5</v>
      </c>
      <c r="O2418" s="3" t="s">
        <v>1065</v>
      </c>
      <c r="P2418" s="3" t="s">
        <v>6348</v>
      </c>
    </row>
    <row r="2419" spans="1:16" x14ac:dyDescent="0.3">
      <c r="A2419" s="3" t="s">
        <v>27</v>
      </c>
      <c r="B2419" s="3" t="s">
        <v>27</v>
      </c>
      <c r="C2419" s="3" t="s">
        <v>821</v>
      </c>
      <c r="D2419" s="3" t="s">
        <v>41</v>
      </c>
      <c r="E2419" s="3" t="s">
        <v>31</v>
      </c>
      <c r="F2419" s="3" t="b">
        <v>0</v>
      </c>
      <c r="G2419" s="3" t="s">
        <v>32</v>
      </c>
      <c r="H2419" s="6">
        <v>44929.125347222223</v>
      </c>
      <c r="I2419" s="3" t="b">
        <v>0</v>
      </c>
      <c r="J2419" s="3" t="b">
        <v>0</v>
      </c>
      <c r="K2419" s="3" t="s">
        <v>33</v>
      </c>
      <c r="L2419" s="3" t="s">
        <v>34</v>
      </c>
      <c r="M2419" s="8">
        <v>110000</v>
      </c>
      <c r="N2419" s="11"/>
      <c r="O2419" s="3" t="s">
        <v>2798</v>
      </c>
      <c r="P2419" s="3" t="s">
        <v>2799</v>
      </c>
    </row>
    <row r="2420" spans="1:16" x14ac:dyDescent="0.3">
      <c r="A2420" s="3" t="s">
        <v>27</v>
      </c>
      <c r="B2420" s="3" t="s">
        <v>27</v>
      </c>
      <c r="C2420" s="3" t="s">
        <v>33</v>
      </c>
      <c r="D2420" s="3" t="s">
        <v>30</v>
      </c>
      <c r="E2420" s="3" t="s">
        <v>31</v>
      </c>
      <c r="F2420" s="3" t="b">
        <v>0</v>
      </c>
      <c r="G2420" s="3" t="s">
        <v>110</v>
      </c>
      <c r="H2420" s="6">
        <v>44946.738506944443</v>
      </c>
      <c r="I2420" s="3" t="b">
        <v>0</v>
      </c>
      <c r="J2420" s="3" t="b">
        <v>1</v>
      </c>
      <c r="K2420" s="3" t="s">
        <v>110</v>
      </c>
      <c r="L2420" s="3" t="s">
        <v>34</v>
      </c>
      <c r="M2420" s="8">
        <v>150000</v>
      </c>
      <c r="N2420" s="11"/>
      <c r="O2420" s="3" t="s">
        <v>6363</v>
      </c>
      <c r="P2420" s="3" t="s">
        <v>6364</v>
      </c>
    </row>
    <row r="2421" spans="1:16" x14ac:dyDescent="0.3">
      <c r="A2421" s="3" t="s">
        <v>27</v>
      </c>
      <c r="B2421" s="3" t="s">
        <v>257</v>
      </c>
      <c r="C2421" s="3" t="s">
        <v>75</v>
      </c>
      <c r="D2421" s="3" t="s">
        <v>93</v>
      </c>
      <c r="E2421" s="3" t="s">
        <v>31</v>
      </c>
      <c r="F2421" s="3" t="b">
        <v>0</v>
      </c>
      <c r="G2421" s="3" t="s">
        <v>84</v>
      </c>
      <c r="H2421" s="6">
        <v>44929.12767361111</v>
      </c>
      <c r="I2421" s="3" t="b">
        <v>0</v>
      </c>
      <c r="J2421" s="3" t="b">
        <v>1</v>
      </c>
      <c r="K2421" s="3" t="s">
        <v>33</v>
      </c>
      <c r="L2421" s="3" t="s">
        <v>34</v>
      </c>
      <c r="M2421" s="8">
        <v>90000</v>
      </c>
      <c r="N2421" s="11"/>
      <c r="O2421" s="3" t="s">
        <v>6367</v>
      </c>
      <c r="P2421" s="3" t="s">
        <v>661</v>
      </c>
    </row>
    <row r="2422" spans="1:16" x14ac:dyDescent="0.3">
      <c r="A2422" s="3" t="s">
        <v>27</v>
      </c>
      <c r="B2422" s="3" t="s">
        <v>6372</v>
      </c>
      <c r="C2422" s="3" t="s">
        <v>593</v>
      </c>
      <c r="D2422" s="3" t="s">
        <v>41</v>
      </c>
      <c r="E2422" s="3" t="s">
        <v>31</v>
      </c>
      <c r="F2422" s="3" t="b">
        <v>0</v>
      </c>
      <c r="G2422" s="3" t="s">
        <v>436</v>
      </c>
      <c r="H2422" s="6">
        <v>44935.341793981483</v>
      </c>
      <c r="I2422" s="3" t="b">
        <v>0</v>
      </c>
      <c r="J2422" s="3" t="b">
        <v>0</v>
      </c>
      <c r="K2422" s="3" t="s">
        <v>436</v>
      </c>
      <c r="L2422" s="3" t="s">
        <v>34</v>
      </c>
      <c r="M2422" s="8">
        <v>79200</v>
      </c>
      <c r="N2422" s="11"/>
      <c r="O2422" s="3" t="s">
        <v>6373</v>
      </c>
      <c r="P2422" s="3" t="s">
        <v>6374</v>
      </c>
    </row>
    <row r="2423" spans="1:16" x14ac:dyDescent="0.3">
      <c r="A2423" s="3" t="s">
        <v>27</v>
      </c>
      <c r="B2423" s="3" t="s">
        <v>6386</v>
      </c>
      <c r="C2423" s="3" t="s">
        <v>258</v>
      </c>
      <c r="D2423" s="3" t="s">
        <v>1253</v>
      </c>
      <c r="E2423" s="3" t="s">
        <v>31</v>
      </c>
      <c r="F2423" s="3" t="b">
        <v>0</v>
      </c>
      <c r="G2423" s="3" t="s">
        <v>32</v>
      </c>
      <c r="H2423" s="6">
        <v>44936.003078703703</v>
      </c>
      <c r="I2423" s="3" t="b">
        <v>0</v>
      </c>
      <c r="J2423" s="3" t="b">
        <v>0</v>
      </c>
      <c r="K2423" s="3" t="s">
        <v>33</v>
      </c>
      <c r="L2423" s="3" t="s">
        <v>48</v>
      </c>
      <c r="M2423" s="8"/>
      <c r="N2423" s="11">
        <v>20</v>
      </c>
      <c r="O2423" s="3" t="s">
        <v>6387</v>
      </c>
      <c r="P2423" s="3"/>
    </row>
    <row r="2424" spans="1:16" x14ac:dyDescent="0.3">
      <c r="A2424" s="3" t="s">
        <v>198</v>
      </c>
      <c r="B2424" s="3" t="s">
        <v>199</v>
      </c>
      <c r="C2424" s="3" t="s">
        <v>200</v>
      </c>
      <c r="D2424" s="3" t="s">
        <v>41</v>
      </c>
      <c r="E2424" s="3" t="s">
        <v>31</v>
      </c>
      <c r="F2424" s="3" t="b">
        <v>0</v>
      </c>
      <c r="G2424" s="3" t="s">
        <v>201</v>
      </c>
      <c r="H2424" s="6">
        <v>44945.192858796298</v>
      </c>
      <c r="I2424" s="3" t="b">
        <v>0</v>
      </c>
      <c r="J2424" s="3" t="b">
        <v>0</v>
      </c>
      <c r="K2424" s="3" t="s">
        <v>201</v>
      </c>
      <c r="L2424" s="3" t="s">
        <v>34</v>
      </c>
      <c r="M2424" s="8">
        <v>104668</v>
      </c>
      <c r="N2424" s="11"/>
      <c r="O2424" s="3" t="s">
        <v>202</v>
      </c>
      <c r="P2424" s="3" t="s">
        <v>203</v>
      </c>
    </row>
    <row r="2425" spans="1:16" x14ac:dyDescent="0.3">
      <c r="A2425" s="3" t="s">
        <v>198</v>
      </c>
      <c r="B2425" s="3" t="s">
        <v>211</v>
      </c>
      <c r="C2425" s="3" t="s">
        <v>212</v>
      </c>
      <c r="D2425" s="3" t="s">
        <v>41</v>
      </c>
      <c r="E2425" s="3" t="s">
        <v>31</v>
      </c>
      <c r="F2425" s="3" t="b">
        <v>0</v>
      </c>
      <c r="G2425" s="3" t="s">
        <v>213</v>
      </c>
      <c r="H2425" s="6">
        <v>44935.885138888887</v>
      </c>
      <c r="I2425" s="3" t="b">
        <v>0</v>
      </c>
      <c r="J2425" s="3" t="b">
        <v>0</v>
      </c>
      <c r="K2425" s="3" t="s">
        <v>213</v>
      </c>
      <c r="L2425" s="3" t="s">
        <v>34</v>
      </c>
      <c r="M2425" s="8">
        <v>94342.5</v>
      </c>
      <c r="N2425" s="11"/>
      <c r="O2425" s="3" t="s">
        <v>214</v>
      </c>
      <c r="P2425" s="3" t="s">
        <v>215</v>
      </c>
    </row>
    <row r="2426" spans="1:16" x14ac:dyDescent="0.3">
      <c r="A2426" s="3" t="s">
        <v>198</v>
      </c>
      <c r="B2426" s="3" t="s">
        <v>198</v>
      </c>
      <c r="C2426" s="3" t="s">
        <v>406</v>
      </c>
      <c r="D2426" s="3" t="s">
        <v>41</v>
      </c>
      <c r="E2426" s="3" t="s">
        <v>31</v>
      </c>
      <c r="F2426" s="3" t="b">
        <v>0</v>
      </c>
      <c r="G2426" s="3" t="s">
        <v>407</v>
      </c>
      <c r="H2426" s="6">
        <v>44944.683935185189</v>
      </c>
      <c r="I2426" s="3" t="b">
        <v>0</v>
      </c>
      <c r="J2426" s="3" t="b">
        <v>0</v>
      </c>
      <c r="K2426" s="3" t="s">
        <v>407</v>
      </c>
      <c r="L2426" s="3" t="s">
        <v>34</v>
      </c>
      <c r="M2426" s="8">
        <v>104668</v>
      </c>
      <c r="N2426" s="11"/>
      <c r="O2426" s="3" t="s">
        <v>408</v>
      </c>
      <c r="P2426" s="3" t="s">
        <v>409</v>
      </c>
    </row>
    <row r="2427" spans="1:16" x14ac:dyDescent="0.3">
      <c r="A2427" s="3" t="s">
        <v>198</v>
      </c>
      <c r="B2427" s="3" t="s">
        <v>464</v>
      </c>
      <c r="C2427" s="3" t="s">
        <v>33</v>
      </c>
      <c r="D2427" s="3" t="s">
        <v>41</v>
      </c>
      <c r="E2427" s="3" t="s">
        <v>31</v>
      </c>
      <c r="F2427" s="3" t="b">
        <v>0</v>
      </c>
      <c r="G2427" s="3" t="s">
        <v>110</v>
      </c>
      <c r="H2427" s="6">
        <v>44932.378981481481</v>
      </c>
      <c r="I2427" s="3" t="b">
        <v>0</v>
      </c>
      <c r="J2427" s="3" t="b">
        <v>1</v>
      </c>
      <c r="K2427" s="3" t="s">
        <v>110</v>
      </c>
      <c r="L2427" s="3" t="s">
        <v>34</v>
      </c>
      <c r="M2427" s="8">
        <v>166000</v>
      </c>
      <c r="N2427" s="11"/>
      <c r="O2427" s="3" t="s">
        <v>465</v>
      </c>
      <c r="P2427" s="3" t="s">
        <v>466</v>
      </c>
    </row>
    <row r="2428" spans="1:16" x14ac:dyDescent="0.3">
      <c r="A2428" s="3" t="s">
        <v>198</v>
      </c>
      <c r="B2428" s="3" t="s">
        <v>198</v>
      </c>
      <c r="C2428" s="3" t="s">
        <v>739</v>
      </c>
      <c r="D2428" s="3" t="s">
        <v>41</v>
      </c>
      <c r="E2428" s="3" t="s">
        <v>31</v>
      </c>
      <c r="F2428" s="3" t="b">
        <v>0</v>
      </c>
      <c r="G2428" s="3" t="s">
        <v>740</v>
      </c>
      <c r="H2428" s="6">
        <v>44953.144525462973</v>
      </c>
      <c r="I2428" s="3" t="b">
        <v>0</v>
      </c>
      <c r="J2428" s="3" t="b">
        <v>0</v>
      </c>
      <c r="K2428" s="3" t="s">
        <v>740</v>
      </c>
      <c r="L2428" s="3" t="s">
        <v>34</v>
      </c>
      <c r="M2428" s="8">
        <v>166000</v>
      </c>
      <c r="N2428" s="11"/>
      <c r="O2428" s="3" t="s">
        <v>741</v>
      </c>
      <c r="P2428" s="3" t="s">
        <v>742</v>
      </c>
    </row>
    <row r="2429" spans="1:16" x14ac:dyDescent="0.3">
      <c r="A2429" s="3" t="s">
        <v>198</v>
      </c>
      <c r="B2429" s="3" t="s">
        <v>781</v>
      </c>
      <c r="C2429" s="3" t="s">
        <v>597</v>
      </c>
      <c r="D2429" s="3" t="s">
        <v>41</v>
      </c>
      <c r="E2429" s="3" t="s">
        <v>31</v>
      </c>
      <c r="F2429" s="3" t="b">
        <v>0</v>
      </c>
      <c r="G2429" s="3" t="s">
        <v>597</v>
      </c>
      <c r="H2429" s="6">
        <v>44957.677754629629</v>
      </c>
      <c r="I2429" s="3" t="b">
        <v>0</v>
      </c>
      <c r="J2429" s="3" t="b">
        <v>0</v>
      </c>
      <c r="K2429" s="3" t="s">
        <v>597</v>
      </c>
      <c r="L2429" s="3" t="s">
        <v>34</v>
      </c>
      <c r="M2429" s="8">
        <v>89100</v>
      </c>
      <c r="N2429" s="11"/>
      <c r="O2429" s="3" t="s">
        <v>782</v>
      </c>
      <c r="P2429" s="3" t="s">
        <v>783</v>
      </c>
    </row>
    <row r="2430" spans="1:16" x14ac:dyDescent="0.3">
      <c r="A2430" s="3" t="s">
        <v>198</v>
      </c>
      <c r="B2430" s="3" t="s">
        <v>198</v>
      </c>
      <c r="C2430" s="3" t="s">
        <v>835</v>
      </c>
      <c r="D2430" s="3" t="s">
        <v>41</v>
      </c>
      <c r="E2430" s="3" t="s">
        <v>31</v>
      </c>
      <c r="F2430" s="3" t="b">
        <v>0</v>
      </c>
      <c r="G2430" s="3" t="s">
        <v>836</v>
      </c>
      <c r="H2430" s="6">
        <v>44955.090474537043</v>
      </c>
      <c r="I2430" s="3" t="b">
        <v>0</v>
      </c>
      <c r="J2430" s="3" t="b">
        <v>0</v>
      </c>
      <c r="K2430" s="3" t="s">
        <v>836</v>
      </c>
      <c r="L2430" s="3" t="s">
        <v>34</v>
      </c>
      <c r="M2430" s="8">
        <v>166000</v>
      </c>
      <c r="N2430" s="11"/>
      <c r="O2430" s="3" t="s">
        <v>837</v>
      </c>
      <c r="P2430" s="3" t="s">
        <v>838</v>
      </c>
    </row>
    <row r="2431" spans="1:16" x14ac:dyDescent="0.3">
      <c r="A2431" s="3" t="s">
        <v>198</v>
      </c>
      <c r="B2431" s="3" t="s">
        <v>905</v>
      </c>
      <c r="C2431" s="3" t="s">
        <v>906</v>
      </c>
      <c r="D2431" s="3" t="s">
        <v>41</v>
      </c>
      <c r="E2431" s="3" t="s">
        <v>31</v>
      </c>
      <c r="F2431" s="3" t="b">
        <v>0</v>
      </c>
      <c r="G2431" s="3" t="s">
        <v>42</v>
      </c>
      <c r="H2431" s="6">
        <v>44943.260231481479</v>
      </c>
      <c r="I2431" s="3" t="b">
        <v>0</v>
      </c>
      <c r="J2431" s="3" t="b">
        <v>0</v>
      </c>
      <c r="K2431" s="3" t="s">
        <v>42</v>
      </c>
      <c r="L2431" s="3" t="s">
        <v>34</v>
      </c>
      <c r="M2431" s="8">
        <v>106830</v>
      </c>
      <c r="N2431" s="11"/>
      <c r="O2431" s="3" t="s">
        <v>907</v>
      </c>
      <c r="P2431" s="3" t="s">
        <v>908</v>
      </c>
    </row>
    <row r="2432" spans="1:16" x14ac:dyDescent="0.3">
      <c r="A2432" s="3" t="s">
        <v>198</v>
      </c>
      <c r="B2432" s="3" t="s">
        <v>953</v>
      </c>
      <c r="C2432" s="3" t="s">
        <v>305</v>
      </c>
      <c r="D2432" s="3" t="s">
        <v>41</v>
      </c>
      <c r="E2432" s="3" t="s">
        <v>31</v>
      </c>
      <c r="F2432" s="3" t="b">
        <v>0</v>
      </c>
      <c r="G2432" s="3" t="s">
        <v>32</v>
      </c>
      <c r="H2432" s="6">
        <v>44936.0862037037</v>
      </c>
      <c r="I2432" s="3" t="b">
        <v>0</v>
      </c>
      <c r="J2432" s="3" t="b">
        <v>1</v>
      </c>
      <c r="K2432" s="3" t="s">
        <v>33</v>
      </c>
      <c r="L2432" s="3" t="s">
        <v>34</v>
      </c>
      <c r="M2432" s="8">
        <v>150000</v>
      </c>
      <c r="N2432" s="11"/>
      <c r="O2432" s="3" t="s">
        <v>954</v>
      </c>
      <c r="P2432" s="3" t="s">
        <v>955</v>
      </c>
    </row>
    <row r="2433" spans="1:16" x14ac:dyDescent="0.3">
      <c r="A2433" s="3" t="s">
        <v>198</v>
      </c>
      <c r="B2433" s="3" t="s">
        <v>1139</v>
      </c>
      <c r="C2433" s="3" t="s">
        <v>739</v>
      </c>
      <c r="D2433" s="3" t="s">
        <v>41</v>
      </c>
      <c r="E2433" s="3" t="s">
        <v>31</v>
      </c>
      <c r="F2433" s="3" t="b">
        <v>0</v>
      </c>
      <c r="G2433" s="3" t="s">
        <v>740</v>
      </c>
      <c r="H2433" s="6">
        <v>44936.488333333327</v>
      </c>
      <c r="I2433" s="3" t="b">
        <v>0</v>
      </c>
      <c r="J2433" s="3" t="b">
        <v>0</v>
      </c>
      <c r="K2433" s="3" t="s">
        <v>740</v>
      </c>
      <c r="L2433" s="3" t="s">
        <v>34</v>
      </c>
      <c r="M2433" s="8">
        <v>166000</v>
      </c>
      <c r="N2433" s="11"/>
      <c r="O2433" s="3" t="s">
        <v>1140</v>
      </c>
      <c r="P2433" s="3" t="s">
        <v>1141</v>
      </c>
    </row>
    <row r="2434" spans="1:16" x14ac:dyDescent="0.3">
      <c r="A2434" s="3" t="s">
        <v>198</v>
      </c>
      <c r="B2434" s="3" t="s">
        <v>1176</v>
      </c>
      <c r="C2434" s="3" t="s">
        <v>317</v>
      </c>
      <c r="D2434" s="3" t="s">
        <v>41</v>
      </c>
      <c r="E2434" s="3" t="s">
        <v>31</v>
      </c>
      <c r="F2434" s="3" t="b">
        <v>0</v>
      </c>
      <c r="G2434" s="3" t="s">
        <v>317</v>
      </c>
      <c r="H2434" s="6">
        <v>44946.832916666674</v>
      </c>
      <c r="I2434" s="3" t="b">
        <v>0</v>
      </c>
      <c r="J2434" s="3" t="b">
        <v>0</v>
      </c>
      <c r="K2434" s="3" t="s">
        <v>317</v>
      </c>
      <c r="L2434" s="3" t="s">
        <v>34</v>
      </c>
      <c r="M2434" s="8">
        <v>99150</v>
      </c>
      <c r="N2434" s="11"/>
      <c r="O2434" s="3" t="s">
        <v>1177</v>
      </c>
      <c r="P2434" s="3" t="s">
        <v>1178</v>
      </c>
    </row>
    <row r="2435" spans="1:16" x14ac:dyDescent="0.3">
      <c r="A2435" s="3" t="s">
        <v>198</v>
      </c>
      <c r="B2435" s="3" t="s">
        <v>464</v>
      </c>
      <c r="C2435" s="3" t="s">
        <v>504</v>
      </c>
      <c r="D2435" s="3" t="s">
        <v>41</v>
      </c>
      <c r="E2435" s="3" t="s">
        <v>31</v>
      </c>
      <c r="F2435" s="3" t="b">
        <v>0</v>
      </c>
      <c r="G2435" s="3" t="s">
        <v>505</v>
      </c>
      <c r="H2435" s="6">
        <v>44946.754328703697</v>
      </c>
      <c r="I2435" s="3" t="b">
        <v>0</v>
      </c>
      <c r="J2435" s="3" t="b">
        <v>0</v>
      </c>
      <c r="K2435" s="3" t="s">
        <v>505</v>
      </c>
      <c r="L2435" s="3" t="s">
        <v>34</v>
      </c>
      <c r="M2435" s="8">
        <v>166000</v>
      </c>
      <c r="N2435" s="11"/>
      <c r="O2435" s="3" t="s">
        <v>1222</v>
      </c>
      <c r="P2435" s="3" t="s">
        <v>1223</v>
      </c>
    </row>
    <row r="2436" spans="1:16" x14ac:dyDescent="0.3">
      <c r="A2436" s="3" t="s">
        <v>198</v>
      </c>
      <c r="B2436" s="3" t="s">
        <v>1314</v>
      </c>
      <c r="C2436" s="3" t="s">
        <v>603</v>
      </c>
      <c r="D2436" s="3" t="s">
        <v>41</v>
      </c>
      <c r="E2436" s="3" t="s">
        <v>31</v>
      </c>
      <c r="F2436" s="3" t="b">
        <v>0</v>
      </c>
      <c r="G2436" s="3" t="s">
        <v>69</v>
      </c>
      <c r="H2436" s="6">
        <v>44946.797673611109</v>
      </c>
      <c r="I2436" s="3" t="b">
        <v>0</v>
      </c>
      <c r="J2436" s="3" t="b">
        <v>0</v>
      </c>
      <c r="K2436" s="3" t="s">
        <v>69</v>
      </c>
      <c r="L2436" s="3" t="s">
        <v>34</v>
      </c>
      <c r="M2436" s="8">
        <v>89100</v>
      </c>
      <c r="N2436" s="11"/>
      <c r="O2436" s="3" t="s">
        <v>1315</v>
      </c>
      <c r="P2436" s="3" t="s">
        <v>1316</v>
      </c>
    </row>
    <row r="2437" spans="1:16" x14ac:dyDescent="0.3">
      <c r="A2437" s="3" t="s">
        <v>198</v>
      </c>
      <c r="B2437" s="3" t="s">
        <v>1765</v>
      </c>
      <c r="C2437" s="3" t="s">
        <v>87</v>
      </c>
      <c r="D2437" s="3" t="s">
        <v>263</v>
      </c>
      <c r="E2437" s="3" t="s">
        <v>133</v>
      </c>
      <c r="F2437" s="3" t="b">
        <v>1</v>
      </c>
      <c r="G2437" s="3" t="s">
        <v>110</v>
      </c>
      <c r="H2437" s="6">
        <v>44937.784224537027</v>
      </c>
      <c r="I2437" s="3" t="b">
        <v>0</v>
      </c>
      <c r="J2437" s="3" t="b">
        <v>0</v>
      </c>
      <c r="K2437" s="3" t="s">
        <v>110</v>
      </c>
      <c r="L2437" s="3" t="s">
        <v>48</v>
      </c>
      <c r="M2437" s="8"/>
      <c r="N2437" s="11">
        <v>85</v>
      </c>
      <c r="O2437" s="3" t="s">
        <v>264</v>
      </c>
      <c r="P2437" s="3" t="s">
        <v>1766</v>
      </c>
    </row>
    <row r="2438" spans="1:16" x14ac:dyDescent="0.3">
      <c r="A2438" s="3" t="s">
        <v>198</v>
      </c>
      <c r="B2438" s="3" t="s">
        <v>1910</v>
      </c>
      <c r="C2438" s="3" t="s">
        <v>1911</v>
      </c>
      <c r="D2438" s="3" t="s">
        <v>41</v>
      </c>
      <c r="E2438" s="3" t="s">
        <v>31</v>
      </c>
      <c r="F2438" s="3" t="b">
        <v>0</v>
      </c>
      <c r="G2438" s="3" t="s">
        <v>1911</v>
      </c>
      <c r="H2438" s="6">
        <v>44936.104895833327</v>
      </c>
      <c r="I2438" s="3" t="b">
        <v>0</v>
      </c>
      <c r="J2438" s="3" t="b">
        <v>0</v>
      </c>
      <c r="K2438" s="3" t="s">
        <v>1911</v>
      </c>
      <c r="L2438" s="3" t="s">
        <v>34</v>
      </c>
      <c r="M2438" s="8">
        <v>50400</v>
      </c>
      <c r="N2438" s="11"/>
      <c r="O2438" s="3" t="s">
        <v>356</v>
      </c>
      <c r="P2438" s="3" t="s">
        <v>1912</v>
      </c>
    </row>
    <row r="2439" spans="1:16" x14ac:dyDescent="0.3">
      <c r="A2439" s="3" t="s">
        <v>198</v>
      </c>
      <c r="B2439" s="3" t="s">
        <v>1951</v>
      </c>
      <c r="C2439" s="3" t="s">
        <v>381</v>
      </c>
      <c r="D2439" s="3" t="s">
        <v>41</v>
      </c>
      <c r="E2439" s="3" t="s">
        <v>31</v>
      </c>
      <c r="F2439" s="3" t="b">
        <v>0</v>
      </c>
      <c r="G2439" s="3" t="s">
        <v>381</v>
      </c>
      <c r="H2439" s="6">
        <v>44946.812071759261</v>
      </c>
      <c r="I2439" s="3" t="b">
        <v>0</v>
      </c>
      <c r="J2439" s="3" t="b">
        <v>0</v>
      </c>
      <c r="K2439" s="3" t="s">
        <v>381</v>
      </c>
      <c r="L2439" s="3" t="s">
        <v>34</v>
      </c>
      <c r="M2439" s="8">
        <v>166000</v>
      </c>
      <c r="N2439" s="11"/>
      <c r="O2439" s="3" t="s">
        <v>1952</v>
      </c>
      <c r="P2439" s="3" t="s">
        <v>1953</v>
      </c>
    </row>
    <row r="2440" spans="1:16" x14ac:dyDescent="0.3">
      <c r="A2440" s="3" t="s">
        <v>198</v>
      </c>
      <c r="B2440" s="3" t="s">
        <v>2085</v>
      </c>
      <c r="C2440" s="3" t="s">
        <v>960</v>
      </c>
      <c r="D2440" s="3" t="s">
        <v>41</v>
      </c>
      <c r="E2440" s="3" t="s">
        <v>31</v>
      </c>
      <c r="F2440" s="3" t="b">
        <v>0</v>
      </c>
      <c r="G2440" s="3" t="s">
        <v>961</v>
      </c>
      <c r="H2440" s="6">
        <v>44931.662476851852</v>
      </c>
      <c r="I2440" s="3" t="b">
        <v>0</v>
      </c>
      <c r="J2440" s="3" t="b">
        <v>0</v>
      </c>
      <c r="K2440" s="3" t="s">
        <v>961</v>
      </c>
      <c r="L2440" s="3" t="s">
        <v>34</v>
      </c>
      <c r="M2440" s="8">
        <v>72900</v>
      </c>
      <c r="N2440" s="11"/>
      <c r="O2440" s="3" t="s">
        <v>2086</v>
      </c>
      <c r="P2440" s="3" t="s">
        <v>2087</v>
      </c>
    </row>
    <row r="2441" spans="1:16" x14ac:dyDescent="0.3">
      <c r="A2441" s="3" t="s">
        <v>198</v>
      </c>
      <c r="B2441" s="3" t="s">
        <v>2101</v>
      </c>
      <c r="C2441" s="3" t="s">
        <v>87</v>
      </c>
      <c r="D2441" s="3" t="s">
        <v>30</v>
      </c>
      <c r="E2441" s="3" t="s">
        <v>31</v>
      </c>
      <c r="F2441" s="3" t="b">
        <v>1</v>
      </c>
      <c r="G2441" s="3" t="s">
        <v>317</v>
      </c>
      <c r="H2441" s="6">
        <v>44949.760462962957</v>
      </c>
      <c r="I2441" s="3" t="b">
        <v>0</v>
      </c>
      <c r="J2441" s="3" t="b">
        <v>0</v>
      </c>
      <c r="K2441" s="3" t="s">
        <v>317</v>
      </c>
      <c r="L2441" s="3" t="s">
        <v>34</v>
      </c>
      <c r="M2441" s="8">
        <v>250000</v>
      </c>
      <c r="N2441" s="11"/>
      <c r="O2441" s="3" t="s">
        <v>2102</v>
      </c>
      <c r="P2441" s="3" t="s">
        <v>2103</v>
      </c>
    </row>
    <row r="2442" spans="1:16" x14ac:dyDescent="0.3">
      <c r="A2442" s="3" t="s">
        <v>198</v>
      </c>
      <c r="B2442" s="3" t="s">
        <v>2136</v>
      </c>
      <c r="C2442" s="3" t="s">
        <v>1547</v>
      </c>
      <c r="D2442" s="3" t="s">
        <v>41</v>
      </c>
      <c r="E2442" s="3" t="s">
        <v>31</v>
      </c>
      <c r="F2442" s="3" t="b">
        <v>0</v>
      </c>
      <c r="G2442" s="3" t="s">
        <v>1548</v>
      </c>
      <c r="H2442" s="6">
        <v>44952.251840277779</v>
      </c>
      <c r="I2442" s="3" t="b">
        <v>0</v>
      </c>
      <c r="J2442" s="3" t="b">
        <v>0</v>
      </c>
      <c r="K2442" s="3" t="s">
        <v>1548</v>
      </c>
      <c r="L2442" s="3" t="s">
        <v>34</v>
      </c>
      <c r="M2442" s="8">
        <v>44100</v>
      </c>
      <c r="N2442" s="11"/>
      <c r="O2442" s="3" t="s">
        <v>1549</v>
      </c>
      <c r="P2442" s="3"/>
    </row>
    <row r="2443" spans="1:16" x14ac:dyDescent="0.3">
      <c r="A2443" s="3" t="s">
        <v>198</v>
      </c>
      <c r="B2443" s="3" t="s">
        <v>2204</v>
      </c>
      <c r="C2443" s="3" t="s">
        <v>896</v>
      </c>
      <c r="D2443" s="3" t="s">
        <v>41</v>
      </c>
      <c r="E2443" s="3" t="s">
        <v>31</v>
      </c>
      <c r="F2443" s="3" t="b">
        <v>0</v>
      </c>
      <c r="G2443" s="3" t="s">
        <v>897</v>
      </c>
      <c r="H2443" s="6">
        <v>44951.077743055554</v>
      </c>
      <c r="I2443" s="3" t="b">
        <v>0</v>
      </c>
      <c r="J2443" s="3" t="b">
        <v>0</v>
      </c>
      <c r="K2443" s="3" t="s">
        <v>897</v>
      </c>
      <c r="L2443" s="3" t="s">
        <v>34</v>
      </c>
      <c r="M2443" s="8">
        <v>166000</v>
      </c>
      <c r="N2443" s="11"/>
      <c r="O2443" s="3" t="s">
        <v>1336</v>
      </c>
      <c r="P2443" s="3" t="s">
        <v>2205</v>
      </c>
    </row>
    <row r="2444" spans="1:16" x14ac:dyDescent="0.3">
      <c r="A2444" s="3" t="s">
        <v>198</v>
      </c>
      <c r="B2444" s="3" t="s">
        <v>2440</v>
      </c>
      <c r="C2444" s="3" t="s">
        <v>903</v>
      </c>
      <c r="D2444" s="3" t="s">
        <v>41</v>
      </c>
      <c r="E2444" s="3" t="s">
        <v>31</v>
      </c>
      <c r="F2444" s="3" t="b">
        <v>0</v>
      </c>
      <c r="G2444" s="3" t="s">
        <v>436</v>
      </c>
      <c r="H2444" s="6">
        <v>44933.185474537036</v>
      </c>
      <c r="I2444" s="3" t="b">
        <v>0</v>
      </c>
      <c r="J2444" s="3" t="b">
        <v>0</v>
      </c>
      <c r="K2444" s="3" t="s">
        <v>436</v>
      </c>
      <c r="L2444" s="3" t="s">
        <v>34</v>
      </c>
      <c r="M2444" s="8">
        <v>93600</v>
      </c>
      <c r="N2444" s="11"/>
      <c r="O2444" s="3" t="s">
        <v>2441</v>
      </c>
      <c r="P2444" s="3" t="s">
        <v>2442</v>
      </c>
    </row>
    <row r="2445" spans="1:16" x14ac:dyDescent="0.3">
      <c r="A2445" s="3" t="s">
        <v>198</v>
      </c>
      <c r="B2445" s="3" t="s">
        <v>2477</v>
      </c>
      <c r="C2445" s="3" t="s">
        <v>29</v>
      </c>
      <c r="D2445" s="3" t="s">
        <v>41</v>
      </c>
      <c r="E2445" s="3" t="s">
        <v>31</v>
      </c>
      <c r="F2445" s="3" t="b">
        <v>0</v>
      </c>
      <c r="G2445" s="3" t="s">
        <v>32</v>
      </c>
      <c r="H2445" s="6">
        <v>44938.587291666663</v>
      </c>
      <c r="I2445" s="3" t="b">
        <v>0</v>
      </c>
      <c r="J2445" s="3" t="b">
        <v>0</v>
      </c>
      <c r="K2445" s="3" t="s">
        <v>33</v>
      </c>
      <c r="L2445" s="3" t="s">
        <v>34</v>
      </c>
      <c r="M2445" s="8">
        <v>99150</v>
      </c>
      <c r="N2445" s="11"/>
      <c r="O2445" s="3" t="s">
        <v>2478</v>
      </c>
      <c r="P2445" s="3" t="s">
        <v>2479</v>
      </c>
    </row>
    <row r="2446" spans="1:16" x14ac:dyDescent="0.3">
      <c r="A2446" s="3" t="s">
        <v>198</v>
      </c>
      <c r="B2446" s="3" t="s">
        <v>2528</v>
      </c>
      <c r="C2446" s="3" t="s">
        <v>2529</v>
      </c>
      <c r="D2446" s="3" t="s">
        <v>41</v>
      </c>
      <c r="E2446" s="3" t="s">
        <v>31</v>
      </c>
      <c r="F2446" s="3" t="b">
        <v>0</v>
      </c>
      <c r="G2446" s="3" t="s">
        <v>84</v>
      </c>
      <c r="H2446" s="6">
        <v>44947.506504629629</v>
      </c>
      <c r="I2446" s="3" t="b">
        <v>0</v>
      </c>
      <c r="J2446" s="3" t="b">
        <v>0</v>
      </c>
      <c r="K2446" s="3" t="s">
        <v>33</v>
      </c>
      <c r="L2446" s="3" t="s">
        <v>34</v>
      </c>
      <c r="M2446" s="8">
        <v>89100</v>
      </c>
      <c r="N2446" s="11"/>
      <c r="O2446" s="3" t="s">
        <v>1164</v>
      </c>
      <c r="P2446" s="3" t="s">
        <v>2530</v>
      </c>
    </row>
    <row r="2447" spans="1:16" x14ac:dyDescent="0.3">
      <c r="A2447" s="3" t="s">
        <v>198</v>
      </c>
      <c r="B2447" s="3" t="s">
        <v>198</v>
      </c>
      <c r="C2447" s="3" t="s">
        <v>317</v>
      </c>
      <c r="D2447" s="3" t="s">
        <v>41</v>
      </c>
      <c r="E2447" s="3" t="s">
        <v>31</v>
      </c>
      <c r="F2447" s="3" t="b">
        <v>0</v>
      </c>
      <c r="G2447" s="3" t="s">
        <v>317</v>
      </c>
      <c r="H2447" s="6">
        <v>44956.59578703704</v>
      </c>
      <c r="I2447" s="3" t="b">
        <v>0</v>
      </c>
      <c r="J2447" s="3" t="b">
        <v>0</v>
      </c>
      <c r="K2447" s="3" t="s">
        <v>317</v>
      </c>
      <c r="L2447" s="3" t="s">
        <v>34</v>
      </c>
      <c r="M2447" s="8">
        <v>166000</v>
      </c>
      <c r="N2447" s="11"/>
      <c r="O2447" s="3" t="s">
        <v>2633</v>
      </c>
      <c r="P2447" s="3" t="s">
        <v>2634</v>
      </c>
    </row>
    <row r="2448" spans="1:16" x14ac:dyDescent="0.3">
      <c r="A2448" s="3" t="s">
        <v>198</v>
      </c>
      <c r="B2448" s="3" t="s">
        <v>2708</v>
      </c>
      <c r="C2448" s="3" t="s">
        <v>447</v>
      </c>
      <c r="D2448" s="3" t="s">
        <v>41</v>
      </c>
      <c r="E2448" s="3" t="s">
        <v>31</v>
      </c>
      <c r="F2448" s="3" t="b">
        <v>0</v>
      </c>
      <c r="G2448" s="3" t="s">
        <v>32</v>
      </c>
      <c r="H2448" s="6">
        <v>44957.501956018517</v>
      </c>
      <c r="I2448" s="3" t="b">
        <v>0</v>
      </c>
      <c r="J2448" s="3" t="b">
        <v>1</v>
      </c>
      <c r="K2448" s="3" t="s">
        <v>33</v>
      </c>
      <c r="L2448" s="3" t="s">
        <v>34</v>
      </c>
      <c r="M2448" s="8">
        <v>285000</v>
      </c>
      <c r="N2448" s="11"/>
      <c r="O2448" s="3" t="s">
        <v>2709</v>
      </c>
      <c r="P2448" s="3"/>
    </row>
    <row r="2449" spans="1:16" x14ac:dyDescent="0.3">
      <c r="A2449" s="3" t="s">
        <v>198</v>
      </c>
      <c r="B2449" s="3" t="s">
        <v>2757</v>
      </c>
      <c r="C2449" s="3" t="s">
        <v>2758</v>
      </c>
      <c r="D2449" s="3" t="s">
        <v>41</v>
      </c>
      <c r="E2449" s="3" t="s">
        <v>31</v>
      </c>
      <c r="F2449" s="3" t="b">
        <v>0</v>
      </c>
      <c r="G2449" s="3" t="s">
        <v>2521</v>
      </c>
      <c r="H2449" s="6">
        <v>44947.250069444453</v>
      </c>
      <c r="I2449" s="3" t="b">
        <v>0</v>
      </c>
      <c r="J2449" s="3" t="b">
        <v>0</v>
      </c>
      <c r="K2449" s="3" t="s">
        <v>2521</v>
      </c>
      <c r="L2449" s="3" t="s">
        <v>34</v>
      </c>
      <c r="M2449" s="8">
        <v>89100</v>
      </c>
      <c r="N2449" s="11"/>
      <c r="O2449" s="3" t="s">
        <v>2759</v>
      </c>
      <c r="P2449" s="3" t="s">
        <v>2760</v>
      </c>
    </row>
    <row r="2450" spans="1:16" x14ac:dyDescent="0.3">
      <c r="A2450" s="3" t="s">
        <v>198</v>
      </c>
      <c r="B2450" s="3" t="s">
        <v>2793</v>
      </c>
      <c r="C2450" s="3" t="s">
        <v>87</v>
      </c>
      <c r="D2450" s="3" t="s">
        <v>263</v>
      </c>
      <c r="E2450" s="3" t="s">
        <v>133</v>
      </c>
      <c r="F2450" s="3" t="b">
        <v>1</v>
      </c>
      <c r="G2450" s="3" t="s">
        <v>58</v>
      </c>
      <c r="H2450" s="6">
        <v>44943.237476851849</v>
      </c>
      <c r="I2450" s="3" t="b">
        <v>0</v>
      </c>
      <c r="J2450" s="3" t="b">
        <v>0</v>
      </c>
      <c r="K2450" s="3" t="s">
        <v>33</v>
      </c>
      <c r="L2450" s="3" t="s">
        <v>48</v>
      </c>
      <c r="M2450" s="8"/>
      <c r="N2450" s="11">
        <v>52.5</v>
      </c>
      <c r="O2450" s="3" t="s">
        <v>264</v>
      </c>
      <c r="P2450" s="3"/>
    </row>
    <row r="2451" spans="1:16" x14ac:dyDescent="0.3">
      <c r="A2451" s="3" t="s">
        <v>198</v>
      </c>
      <c r="B2451" s="3" t="s">
        <v>1765</v>
      </c>
      <c r="C2451" s="3" t="s">
        <v>87</v>
      </c>
      <c r="D2451" s="3" t="s">
        <v>263</v>
      </c>
      <c r="E2451" s="3" t="s">
        <v>133</v>
      </c>
      <c r="F2451" s="3" t="b">
        <v>1</v>
      </c>
      <c r="G2451" s="3" t="s">
        <v>84</v>
      </c>
      <c r="H2451" s="6">
        <v>44942.696261574078</v>
      </c>
      <c r="I2451" s="3" t="b">
        <v>0</v>
      </c>
      <c r="J2451" s="3" t="b">
        <v>0</v>
      </c>
      <c r="K2451" s="3" t="s">
        <v>33</v>
      </c>
      <c r="L2451" s="3" t="s">
        <v>48</v>
      </c>
      <c r="M2451" s="8"/>
      <c r="N2451" s="11">
        <v>85</v>
      </c>
      <c r="O2451" s="3" t="s">
        <v>264</v>
      </c>
      <c r="P2451" s="3" t="s">
        <v>1766</v>
      </c>
    </row>
    <row r="2452" spans="1:16" x14ac:dyDescent="0.3">
      <c r="A2452" s="3" t="s">
        <v>198</v>
      </c>
      <c r="B2452" s="3" t="s">
        <v>2912</v>
      </c>
      <c r="C2452" s="3" t="s">
        <v>40</v>
      </c>
      <c r="D2452" s="3" t="s">
        <v>41</v>
      </c>
      <c r="E2452" s="3" t="s">
        <v>31</v>
      </c>
      <c r="F2452" s="3" t="b">
        <v>0</v>
      </c>
      <c r="G2452" s="3" t="s">
        <v>42</v>
      </c>
      <c r="H2452" s="6">
        <v>44943.201944444438</v>
      </c>
      <c r="I2452" s="3" t="b">
        <v>0</v>
      </c>
      <c r="J2452" s="3" t="b">
        <v>0</v>
      </c>
      <c r="K2452" s="3" t="s">
        <v>42</v>
      </c>
      <c r="L2452" s="3" t="s">
        <v>34</v>
      </c>
      <c r="M2452" s="8">
        <v>89100</v>
      </c>
      <c r="N2452" s="11"/>
      <c r="O2452" s="3" t="s">
        <v>2913</v>
      </c>
      <c r="P2452" s="3" t="s">
        <v>2914</v>
      </c>
    </row>
    <row r="2453" spans="1:16" x14ac:dyDescent="0.3">
      <c r="A2453" s="3" t="s">
        <v>198</v>
      </c>
      <c r="B2453" s="3" t="s">
        <v>3107</v>
      </c>
      <c r="C2453" s="3" t="s">
        <v>69</v>
      </c>
      <c r="D2453" s="3" t="s">
        <v>41</v>
      </c>
      <c r="E2453" s="3" t="s">
        <v>31</v>
      </c>
      <c r="F2453" s="3" t="b">
        <v>0</v>
      </c>
      <c r="G2453" s="3" t="s">
        <v>69</v>
      </c>
      <c r="H2453" s="6">
        <v>44937.932997685188</v>
      </c>
      <c r="I2453" s="3" t="b">
        <v>0</v>
      </c>
      <c r="J2453" s="3" t="b">
        <v>0</v>
      </c>
      <c r="K2453" s="3" t="s">
        <v>69</v>
      </c>
      <c r="L2453" s="3" t="s">
        <v>34</v>
      </c>
      <c r="M2453" s="8">
        <v>166000</v>
      </c>
      <c r="N2453" s="11"/>
      <c r="O2453" s="3" t="s">
        <v>3108</v>
      </c>
      <c r="P2453" s="3" t="s">
        <v>2914</v>
      </c>
    </row>
    <row r="2454" spans="1:16" x14ac:dyDescent="0.3">
      <c r="A2454" s="3" t="s">
        <v>198</v>
      </c>
      <c r="B2454" s="3" t="s">
        <v>3178</v>
      </c>
      <c r="C2454" s="3" t="s">
        <v>603</v>
      </c>
      <c r="D2454" s="3" t="s">
        <v>41</v>
      </c>
      <c r="E2454" s="3" t="s">
        <v>31</v>
      </c>
      <c r="F2454" s="3" t="b">
        <v>0</v>
      </c>
      <c r="G2454" s="3" t="s">
        <v>69</v>
      </c>
      <c r="H2454" s="6">
        <v>44948.55431712963</v>
      </c>
      <c r="I2454" s="3" t="b">
        <v>0</v>
      </c>
      <c r="J2454" s="3" t="b">
        <v>0</v>
      </c>
      <c r="K2454" s="3" t="s">
        <v>69</v>
      </c>
      <c r="L2454" s="3" t="s">
        <v>34</v>
      </c>
      <c r="M2454" s="8">
        <v>185500</v>
      </c>
      <c r="N2454" s="11"/>
      <c r="O2454" s="3" t="s">
        <v>3179</v>
      </c>
      <c r="P2454" s="3" t="s">
        <v>347</v>
      </c>
    </row>
    <row r="2455" spans="1:16" x14ac:dyDescent="0.3">
      <c r="A2455" s="3" t="s">
        <v>198</v>
      </c>
      <c r="B2455" s="3" t="s">
        <v>3230</v>
      </c>
      <c r="C2455" s="3" t="s">
        <v>903</v>
      </c>
      <c r="D2455" s="3" t="s">
        <v>41</v>
      </c>
      <c r="E2455" s="3" t="s">
        <v>31</v>
      </c>
      <c r="F2455" s="3" t="b">
        <v>0</v>
      </c>
      <c r="G2455" s="3" t="s">
        <v>436</v>
      </c>
      <c r="H2455" s="6">
        <v>44938.30195601852</v>
      </c>
      <c r="I2455" s="3" t="b">
        <v>0</v>
      </c>
      <c r="J2455" s="3" t="b">
        <v>0</v>
      </c>
      <c r="K2455" s="3" t="s">
        <v>436</v>
      </c>
      <c r="L2455" s="3" t="s">
        <v>34</v>
      </c>
      <c r="M2455" s="8">
        <v>79200</v>
      </c>
      <c r="N2455" s="11"/>
      <c r="O2455" s="3" t="s">
        <v>2983</v>
      </c>
      <c r="P2455" s="3"/>
    </row>
    <row r="2456" spans="1:16" x14ac:dyDescent="0.3">
      <c r="A2456" s="3" t="s">
        <v>198</v>
      </c>
      <c r="B2456" s="3" t="s">
        <v>3273</v>
      </c>
      <c r="C2456" s="3" t="s">
        <v>739</v>
      </c>
      <c r="D2456" s="3" t="s">
        <v>41</v>
      </c>
      <c r="E2456" s="3" t="s">
        <v>31</v>
      </c>
      <c r="F2456" s="3" t="b">
        <v>0</v>
      </c>
      <c r="G2456" s="3" t="s">
        <v>740</v>
      </c>
      <c r="H2456" s="6">
        <v>44930.736030092587</v>
      </c>
      <c r="I2456" s="3" t="b">
        <v>0</v>
      </c>
      <c r="J2456" s="3" t="b">
        <v>0</v>
      </c>
      <c r="K2456" s="3" t="s">
        <v>740</v>
      </c>
      <c r="L2456" s="3" t="s">
        <v>34</v>
      </c>
      <c r="M2456" s="8">
        <v>69000</v>
      </c>
      <c r="N2456" s="11"/>
      <c r="O2456" s="3" t="s">
        <v>850</v>
      </c>
      <c r="P2456" s="3" t="s">
        <v>3274</v>
      </c>
    </row>
    <row r="2457" spans="1:16" x14ac:dyDescent="0.3">
      <c r="A2457" s="3" t="s">
        <v>198</v>
      </c>
      <c r="B2457" s="3" t="s">
        <v>3551</v>
      </c>
      <c r="C2457" s="3" t="s">
        <v>29</v>
      </c>
      <c r="D2457" s="3" t="s">
        <v>41</v>
      </c>
      <c r="E2457" s="3" t="s">
        <v>31</v>
      </c>
      <c r="F2457" s="3" t="b">
        <v>0</v>
      </c>
      <c r="G2457" s="3" t="s">
        <v>32</v>
      </c>
      <c r="H2457" s="6">
        <v>44939.042557870373</v>
      </c>
      <c r="I2457" s="3" t="b">
        <v>0</v>
      </c>
      <c r="J2457" s="3" t="b">
        <v>0</v>
      </c>
      <c r="K2457" s="3" t="s">
        <v>33</v>
      </c>
      <c r="L2457" s="3" t="s">
        <v>34</v>
      </c>
      <c r="M2457" s="8">
        <v>99150</v>
      </c>
      <c r="N2457" s="11"/>
      <c r="O2457" s="3" t="s">
        <v>2478</v>
      </c>
      <c r="P2457" s="3" t="s">
        <v>3552</v>
      </c>
    </row>
    <row r="2458" spans="1:16" x14ac:dyDescent="0.3">
      <c r="A2458" s="3" t="s">
        <v>198</v>
      </c>
      <c r="B2458" s="3" t="s">
        <v>198</v>
      </c>
      <c r="C2458" s="3" t="s">
        <v>40</v>
      </c>
      <c r="D2458" s="3" t="s">
        <v>41</v>
      </c>
      <c r="E2458" s="3" t="s">
        <v>31</v>
      </c>
      <c r="F2458" s="3" t="b">
        <v>0</v>
      </c>
      <c r="G2458" s="3" t="s">
        <v>42</v>
      </c>
      <c r="H2458" s="6">
        <v>44949.967002314806</v>
      </c>
      <c r="I2458" s="3" t="b">
        <v>0</v>
      </c>
      <c r="J2458" s="3" t="b">
        <v>0</v>
      </c>
      <c r="K2458" s="3" t="s">
        <v>42</v>
      </c>
      <c r="L2458" s="3" t="s">
        <v>34</v>
      </c>
      <c r="M2458" s="8">
        <v>166000</v>
      </c>
      <c r="N2458" s="11"/>
      <c r="O2458" s="3" t="s">
        <v>3631</v>
      </c>
      <c r="P2458" s="3" t="s">
        <v>3632</v>
      </c>
    </row>
    <row r="2459" spans="1:16" x14ac:dyDescent="0.3">
      <c r="A2459" s="3" t="s">
        <v>198</v>
      </c>
      <c r="B2459" s="3" t="s">
        <v>3789</v>
      </c>
      <c r="C2459" s="3" t="s">
        <v>1458</v>
      </c>
      <c r="D2459" s="3" t="s">
        <v>41</v>
      </c>
      <c r="E2459" s="3" t="s">
        <v>31</v>
      </c>
      <c r="F2459" s="3" t="b">
        <v>0</v>
      </c>
      <c r="G2459" s="3" t="s">
        <v>32</v>
      </c>
      <c r="H2459" s="6">
        <v>44951.711099537039</v>
      </c>
      <c r="I2459" s="3" t="b">
        <v>0</v>
      </c>
      <c r="J2459" s="3" t="b">
        <v>1</v>
      </c>
      <c r="K2459" s="3" t="s">
        <v>33</v>
      </c>
      <c r="L2459" s="3" t="s">
        <v>34</v>
      </c>
      <c r="M2459" s="8">
        <v>166000</v>
      </c>
      <c r="N2459" s="11"/>
      <c r="O2459" s="3" t="s">
        <v>1823</v>
      </c>
      <c r="P2459" s="3" t="s">
        <v>3790</v>
      </c>
    </row>
    <row r="2460" spans="1:16" x14ac:dyDescent="0.3">
      <c r="A2460" s="3" t="s">
        <v>198</v>
      </c>
      <c r="B2460" s="3" t="s">
        <v>3861</v>
      </c>
      <c r="C2460" s="3" t="s">
        <v>317</v>
      </c>
      <c r="D2460" s="3" t="s">
        <v>41</v>
      </c>
      <c r="E2460" s="3" t="s">
        <v>31</v>
      </c>
      <c r="F2460" s="3" t="b">
        <v>0</v>
      </c>
      <c r="G2460" s="3" t="s">
        <v>317</v>
      </c>
      <c r="H2460" s="6">
        <v>44952.388715277782</v>
      </c>
      <c r="I2460" s="3" t="b">
        <v>0</v>
      </c>
      <c r="J2460" s="3" t="b">
        <v>0</v>
      </c>
      <c r="K2460" s="3" t="s">
        <v>317</v>
      </c>
      <c r="L2460" s="3" t="s">
        <v>34</v>
      </c>
      <c r="M2460" s="8">
        <v>166000</v>
      </c>
      <c r="N2460" s="11"/>
      <c r="O2460" s="3" t="s">
        <v>3862</v>
      </c>
      <c r="P2460" s="3" t="s">
        <v>3863</v>
      </c>
    </row>
    <row r="2461" spans="1:16" x14ac:dyDescent="0.3">
      <c r="A2461" s="3" t="s">
        <v>198</v>
      </c>
      <c r="B2461" s="3" t="s">
        <v>3924</v>
      </c>
      <c r="C2461" s="3" t="s">
        <v>1045</v>
      </c>
      <c r="D2461" s="3" t="s">
        <v>41</v>
      </c>
      <c r="E2461" s="3" t="s">
        <v>31</v>
      </c>
      <c r="F2461" s="3" t="b">
        <v>0</v>
      </c>
      <c r="G2461" s="3" t="s">
        <v>1046</v>
      </c>
      <c r="H2461" s="6">
        <v>44931.290543981479</v>
      </c>
      <c r="I2461" s="3" t="b">
        <v>0</v>
      </c>
      <c r="J2461" s="3" t="b">
        <v>0</v>
      </c>
      <c r="K2461" s="3" t="s">
        <v>1046</v>
      </c>
      <c r="L2461" s="3" t="s">
        <v>34</v>
      </c>
      <c r="M2461" s="8">
        <v>89100</v>
      </c>
      <c r="N2461" s="11"/>
      <c r="O2461" s="3" t="s">
        <v>356</v>
      </c>
      <c r="P2461" s="3" t="s">
        <v>3925</v>
      </c>
    </row>
    <row r="2462" spans="1:16" x14ac:dyDescent="0.3">
      <c r="A2462" s="3" t="s">
        <v>198</v>
      </c>
      <c r="B2462" s="3" t="s">
        <v>198</v>
      </c>
      <c r="C2462" s="3" t="s">
        <v>79</v>
      </c>
      <c r="D2462" s="3" t="s">
        <v>30</v>
      </c>
      <c r="E2462" s="3" t="s">
        <v>31</v>
      </c>
      <c r="F2462" s="3" t="b">
        <v>0</v>
      </c>
      <c r="G2462" s="3" t="s">
        <v>58</v>
      </c>
      <c r="H2462" s="6">
        <v>44949.795046296298</v>
      </c>
      <c r="I2462" s="3" t="b">
        <v>0</v>
      </c>
      <c r="J2462" s="3" t="b">
        <v>0</v>
      </c>
      <c r="K2462" s="3" t="s">
        <v>33</v>
      </c>
      <c r="L2462" s="3" t="s">
        <v>34</v>
      </c>
      <c r="M2462" s="8">
        <v>165000</v>
      </c>
      <c r="N2462" s="11"/>
      <c r="O2462" s="3" t="s">
        <v>284</v>
      </c>
      <c r="P2462" s="3" t="s">
        <v>3946</v>
      </c>
    </row>
    <row r="2463" spans="1:16" x14ac:dyDescent="0.3">
      <c r="A2463" s="3" t="s">
        <v>198</v>
      </c>
      <c r="B2463" s="3" t="s">
        <v>3982</v>
      </c>
      <c r="C2463" s="3" t="s">
        <v>57</v>
      </c>
      <c r="D2463" s="3" t="s">
        <v>41</v>
      </c>
      <c r="E2463" s="3" t="s">
        <v>31</v>
      </c>
      <c r="F2463" s="3" t="b">
        <v>0</v>
      </c>
      <c r="G2463" s="3" t="s">
        <v>58</v>
      </c>
      <c r="H2463" s="6">
        <v>44931.917754629627</v>
      </c>
      <c r="I2463" s="3" t="b">
        <v>0</v>
      </c>
      <c r="J2463" s="3" t="b">
        <v>0</v>
      </c>
      <c r="K2463" s="3" t="s">
        <v>33</v>
      </c>
      <c r="L2463" s="3" t="s">
        <v>34</v>
      </c>
      <c r="M2463" s="8">
        <v>130000</v>
      </c>
      <c r="N2463" s="11"/>
      <c r="O2463" s="3" t="s">
        <v>875</v>
      </c>
      <c r="P2463" s="3" t="s">
        <v>3983</v>
      </c>
    </row>
    <row r="2464" spans="1:16" x14ac:dyDescent="0.3">
      <c r="A2464" s="3" t="s">
        <v>198</v>
      </c>
      <c r="B2464" s="3" t="s">
        <v>4001</v>
      </c>
      <c r="C2464" s="3" t="s">
        <v>164</v>
      </c>
      <c r="D2464" s="3" t="s">
        <v>712</v>
      </c>
      <c r="E2464" s="3" t="s">
        <v>31</v>
      </c>
      <c r="F2464" s="3" t="b">
        <v>0</v>
      </c>
      <c r="G2464" s="3" t="s">
        <v>64</v>
      </c>
      <c r="H2464" s="6">
        <v>44932.668981481482</v>
      </c>
      <c r="I2464" s="3" t="b">
        <v>0</v>
      </c>
      <c r="J2464" s="3" t="b">
        <v>1</v>
      </c>
      <c r="K2464" s="3" t="s">
        <v>33</v>
      </c>
      <c r="L2464" s="3" t="s">
        <v>34</v>
      </c>
      <c r="M2464" s="8">
        <v>228000</v>
      </c>
      <c r="N2464" s="11"/>
      <c r="O2464" s="3" t="s">
        <v>4002</v>
      </c>
      <c r="P2464" s="3" t="s">
        <v>4003</v>
      </c>
    </row>
    <row r="2465" spans="1:16" x14ac:dyDescent="0.3">
      <c r="A2465" s="3" t="s">
        <v>198</v>
      </c>
      <c r="B2465" s="3" t="s">
        <v>4043</v>
      </c>
      <c r="C2465" s="3" t="s">
        <v>800</v>
      </c>
      <c r="D2465" s="3" t="s">
        <v>950</v>
      </c>
      <c r="E2465" s="3" t="s">
        <v>31</v>
      </c>
      <c r="F2465" s="3" t="b">
        <v>0</v>
      </c>
      <c r="G2465" s="3" t="s">
        <v>110</v>
      </c>
      <c r="H2465" s="6">
        <v>44935.773888888893</v>
      </c>
      <c r="I2465" s="3" t="b">
        <v>0</v>
      </c>
      <c r="J2465" s="3" t="b">
        <v>0</v>
      </c>
      <c r="K2465" s="3" t="s">
        <v>110</v>
      </c>
      <c r="L2465" s="3" t="s">
        <v>34</v>
      </c>
      <c r="M2465" s="8">
        <v>151950</v>
      </c>
      <c r="N2465" s="11"/>
      <c r="O2465" s="3" t="s">
        <v>119</v>
      </c>
      <c r="P2465" s="3" t="s">
        <v>4044</v>
      </c>
    </row>
    <row r="2466" spans="1:16" x14ac:dyDescent="0.3">
      <c r="A2466" s="3" t="s">
        <v>198</v>
      </c>
      <c r="B2466" s="3" t="s">
        <v>4141</v>
      </c>
      <c r="C2466" s="3" t="s">
        <v>597</v>
      </c>
      <c r="D2466" s="3" t="s">
        <v>41</v>
      </c>
      <c r="E2466" s="3" t="s">
        <v>31</v>
      </c>
      <c r="F2466" s="3" t="b">
        <v>0</v>
      </c>
      <c r="G2466" s="3" t="s">
        <v>597</v>
      </c>
      <c r="H2466" s="6">
        <v>44953.417581018519</v>
      </c>
      <c r="I2466" s="3" t="b">
        <v>0</v>
      </c>
      <c r="J2466" s="3" t="b">
        <v>0</v>
      </c>
      <c r="K2466" s="3" t="s">
        <v>597</v>
      </c>
      <c r="L2466" s="3" t="s">
        <v>34</v>
      </c>
      <c r="M2466" s="8">
        <v>185500</v>
      </c>
      <c r="N2466" s="11"/>
      <c r="O2466" s="3" t="s">
        <v>2315</v>
      </c>
      <c r="P2466" s="3" t="s">
        <v>4142</v>
      </c>
    </row>
    <row r="2467" spans="1:16" x14ac:dyDescent="0.3">
      <c r="A2467" s="3" t="s">
        <v>198</v>
      </c>
      <c r="B2467" s="3" t="s">
        <v>4313</v>
      </c>
      <c r="C2467" s="3" t="s">
        <v>403</v>
      </c>
      <c r="D2467" s="3" t="s">
        <v>41</v>
      </c>
      <c r="E2467" s="3" t="s">
        <v>31</v>
      </c>
      <c r="F2467" s="3" t="b">
        <v>0</v>
      </c>
      <c r="G2467" s="3" t="s">
        <v>403</v>
      </c>
      <c r="H2467" s="6">
        <v>44953.594560185193</v>
      </c>
      <c r="I2467" s="3" t="b">
        <v>0</v>
      </c>
      <c r="J2467" s="3" t="b">
        <v>0</v>
      </c>
      <c r="K2467" s="3" t="s">
        <v>403</v>
      </c>
      <c r="L2467" s="3" t="s">
        <v>34</v>
      </c>
      <c r="M2467" s="8">
        <v>185500</v>
      </c>
      <c r="N2467" s="11"/>
      <c r="O2467" s="3" t="s">
        <v>2315</v>
      </c>
      <c r="P2467" s="3" t="s">
        <v>4314</v>
      </c>
    </row>
    <row r="2468" spans="1:16" x14ac:dyDescent="0.3">
      <c r="A2468" s="3" t="s">
        <v>198</v>
      </c>
      <c r="B2468" s="3" t="s">
        <v>4355</v>
      </c>
      <c r="C2468" s="3" t="s">
        <v>2109</v>
      </c>
      <c r="D2468" s="3" t="s">
        <v>41</v>
      </c>
      <c r="E2468" s="3" t="s">
        <v>31</v>
      </c>
      <c r="F2468" s="3" t="b">
        <v>0</v>
      </c>
      <c r="G2468" s="3" t="s">
        <v>69</v>
      </c>
      <c r="H2468" s="6">
        <v>44954.973275462973</v>
      </c>
      <c r="I2468" s="3" t="b">
        <v>0</v>
      </c>
      <c r="J2468" s="3" t="b">
        <v>0</v>
      </c>
      <c r="K2468" s="3" t="s">
        <v>69</v>
      </c>
      <c r="L2468" s="3" t="s">
        <v>34</v>
      </c>
      <c r="M2468" s="8">
        <v>44418.5</v>
      </c>
      <c r="N2468" s="11"/>
      <c r="O2468" s="3" t="s">
        <v>1880</v>
      </c>
      <c r="P2468" s="3" t="s">
        <v>4356</v>
      </c>
    </row>
    <row r="2469" spans="1:16" x14ac:dyDescent="0.3">
      <c r="A2469" s="3" t="s">
        <v>198</v>
      </c>
      <c r="B2469" s="3" t="s">
        <v>4367</v>
      </c>
      <c r="C2469" s="3" t="s">
        <v>305</v>
      </c>
      <c r="D2469" s="3" t="s">
        <v>41</v>
      </c>
      <c r="E2469" s="3" t="s">
        <v>31</v>
      </c>
      <c r="F2469" s="3" t="b">
        <v>0</v>
      </c>
      <c r="G2469" s="3" t="s">
        <v>32</v>
      </c>
      <c r="H2469" s="6">
        <v>44930.586145833331</v>
      </c>
      <c r="I2469" s="3" t="b">
        <v>0</v>
      </c>
      <c r="J2469" s="3" t="b">
        <v>1</v>
      </c>
      <c r="K2469" s="3" t="s">
        <v>33</v>
      </c>
      <c r="L2469" s="3" t="s">
        <v>34</v>
      </c>
      <c r="M2469" s="8">
        <v>44408.5</v>
      </c>
      <c r="N2469" s="11"/>
      <c r="O2469" s="3" t="s">
        <v>4368</v>
      </c>
      <c r="P2469" s="3" t="s">
        <v>4369</v>
      </c>
    </row>
    <row r="2470" spans="1:16" x14ac:dyDescent="0.3">
      <c r="A2470" s="3" t="s">
        <v>198</v>
      </c>
      <c r="B2470" s="3" t="s">
        <v>4485</v>
      </c>
      <c r="C2470" s="3" t="s">
        <v>2109</v>
      </c>
      <c r="D2470" s="3" t="s">
        <v>41</v>
      </c>
      <c r="E2470" s="3" t="s">
        <v>31</v>
      </c>
      <c r="F2470" s="3" t="b">
        <v>0</v>
      </c>
      <c r="G2470" s="3" t="s">
        <v>69</v>
      </c>
      <c r="H2470" s="6">
        <v>44954.431863425933</v>
      </c>
      <c r="I2470" s="3" t="b">
        <v>0</v>
      </c>
      <c r="J2470" s="3" t="b">
        <v>0</v>
      </c>
      <c r="K2470" s="3" t="s">
        <v>69</v>
      </c>
      <c r="L2470" s="3" t="s">
        <v>34</v>
      </c>
      <c r="M2470" s="8">
        <v>89100</v>
      </c>
      <c r="N2470" s="11"/>
      <c r="O2470" s="3" t="s">
        <v>356</v>
      </c>
      <c r="P2470" s="3" t="s">
        <v>4486</v>
      </c>
    </row>
    <row r="2471" spans="1:16" x14ac:dyDescent="0.3">
      <c r="A2471" s="3" t="s">
        <v>198</v>
      </c>
      <c r="B2471" s="3" t="s">
        <v>198</v>
      </c>
      <c r="C2471" s="3" t="s">
        <v>435</v>
      </c>
      <c r="D2471" s="3" t="s">
        <v>41</v>
      </c>
      <c r="E2471" s="3" t="s">
        <v>31</v>
      </c>
      <c r="F2471" s="3" t="b">
        <v>0</v>
      </c>
      <c r="G2471" s="3" t="s">
        <v>436</v>
      </c>
      <c r="H2471" s="6">
        <v>44936.091620370367</v>
      </c>
      <c r="I2471" s="3" t="b">
        <v>0</v>
      </c>
      <c r="J2471" s="3" t="b">
        <v>0</v>
      </c>
      <c r="K2471" s="3" t="s">
        <v>436</v>
      </c>
      <c r="L2471" s="3" t="s">
        <v>34</v>
      </c>
      <c r="M2471" s="8">
        <v>166000</v>
      </c>
      <c r="N2471" s="11"/>
      <c r="O2471" s="3" t="s">
        <v>1746</v>
      </c>
      <c r="P2471" s="3" t="s">
        <v>3003</v>
      </c>
    </row>
    <row r="2472" spans="1:16" x14ac:dyDescent="0.3">
      <c r="A2472" s="3" t="s">
        <v>198</v>
      </c>
      <c r="B2472" s="3" t="s">
        <v>4667</v>
      </c>
      <c r="C2472" s="3" t="s">
        <v>33</v>
      </c>
      <c r="D2472" s="3" t="s">
        <v>41</v>
      </c>
      <c r="E2472" s="3" t="s">
        <v>31</v>
      </c>
      <c r="F2472" s="3" t="b">
        <v>0</v>
      </c>
      <c r="G2472" s="3" t="s">
        <v>58</v>
      </c>
      <c r="H2472" s="6">
        <v>44945.807210648149</v>
      </c>
      <c r="I2472" s="3" t="b">
        <v>0</v>
      </c>
      <c r="J2472" s="3" t="b">
        <v>0</v>
      </c>
      <c r="K2472" s="3" t="s">
        <v>33</v>
      </c>
      <c r="L2472" s="3" t="s">
        <v>34</v>
      </c>
      <c r="M2472" s="8">
        <v>172500</v>
      </c>
      <c r="N2472" s="11"/>
      <c r="O2472" s="3" t="s">
        <v>4668</v>
      </c>
      <c r="P2472" s="3" t="s">
        <v>4669</v>
      </c>
    </row>
    <row r="2473" spans="1:16" x14ac:dyDescent="0.3">
      <c r="A2473" s="3" t="s">
        <v>198</v>
      </c>
      <c r="B2473" s="3" t="s">
        <v>4681</v>
      </c>
      <c r="C2473" s="3" t="s">
        <v>4682</v>
      </c>
      <c r="D2473" s="3" t="s">
        <v>41</v>
      </c>
      <c r="E2473" s="3" t="s">
        <v>31</v>
      </c>
      <c r="F2473" s="3" t="b">
        <v>0</v>
      </c>
      <c r="G2473" s="3" t="s">
        <v>32</v>
      </c>
      <c r="H2473" s="6">
        <v>44942.513877314806</v>
      </c>
      <c r="I2473" s="3" t="b">
        <v>0</v>
      </c>
      <c r="J2473" s="3" t="b">
        <v>0</v>
      </c>
      <c r="K2473" s="3" t="s">
        <v>33</v>
      </c>
      <c r="L2473" s="3" t="s">
        <v>34</v>
      </c>
      <c r="M2473" s="8">
        <v>80850</v>
      </c>
      <c r="N2473" s="11"/>
      <c r="O2473" s="3" t="s">
        <v>4683</v>
      </c>
      <c r="P2473" s="3" t="s">
        <v>3930</v>
      </c>
    </row>
    <row r="2474" spans="1:16" x14ac:dyDescent="0.3">
      <c r="A2474" s="3" t="s">
        <v>198</v>
      </c>
      <c r="B2474" s="3" t="s">
        <v>4775</v>
      </c>
      <c r="C2474" s="3" t="s">
        <v>1324</v>
      </c>
      <c r="D2474" s="3" t="s">
        <v>41</v>
      </c>
      <c r="E2474" s="3" t="s">
        <v>31</v>
      </c>
      <c r="F2474" s="3" t="b">
        <v>0</v>
      </c>
      <c r="G2474" s="3" t="s">
        <v>1324</v>
      </c>
      <c r="H2474" s="6">
        <v>44956.309178240743</v>
      </c>
      <c r="I2474" s="3" t="b">
        <v>0</v>
      </c>
      <c r="J2474" s="3" t="b">
        <v>0</v>
      </c>
      <c r="K2474" s="3" t="s">
        <v>1324</v>
      </c>
      <c r="L2474" s="3" t="s">
        <v>34</v>
      </c>
      <c r="M2474" s="8">
        <v>79200</v>
      </c>
      <c r="N2474" s="11"/>
      <c r="O2474" s="3" t="s">
        <v>1342</v>
      </c>
      <c r="P2474" s="3" t="s">
        <v>1343</v>
      </c>
    </row>
    <row r="2475" spans="1:16" x14ac:dyDescent="0.3">
      <c r="A2475" s="3" t="s">
        <v>198</v>
      </c>
      <c r="B2475" s="3" t="s">
        <v>464</v>
      </c>
      <c r="C2475" s="3" t="s">
        <v>2830</v>
      </c>
      <c r="D2475" s="3" t="s">
        <v>41</v>
      </c>
      <c r="E2475" s="3" t="s">
        <v>31</v>
      </c>
      <c r="F2475" s="3" t="b">
        <v>0</v>
      </c>
      <c r="G2475" s="3" t="s">
        <v>2831</v>
      </c>
      <c r="H2475" s="6">
        <v>44952.087395833332</v>
      </c>
      <c r="I2475" s="3" t="b">
        <v>0</v>
      </c>
      <c r="J2475" s="3" t="b">
        <v>0</v>
      </c>
      <c r="K2475" s="3" t="s">
        <v>2831</v>
      </c>
      <c r="L2475" s="3" t="s">
        <v>34</v>
      </c>
      <c r="M2475" s="8">
        <v>166000</v>
      </c>
      <c r="N2475" s="11"/>
      <c r="O2475" s="3" t="s">
        <v>4203</v>
      </c>
      <c r="P2475" s="3" t="s">
        <v>4795</v>
      </c>
    </row>
    <row r="2476" spans="1:16" x14ac:dyDescent="0.3">
      <c r="A2476" s="3" t="s">
        <v>198</v>
      </c>
      <c r="B2476" s="3" t="s">
        <v>4882</v>
      </c>
      <c r="C2476" s="3" t="s">
        <v>603</v>
      </c>
      <c r="D2476" s="3" t="s">
        <v>41</v>
      </c>
      <c r="E2476" s="3" t="s">
        <v>31</v>
      </c>
      <c r="F2476" s="3" t="b">
        <v>0</v>
      </c>
      <c r="G2476" s="3" t="s">
        <v>69</v>
      </c>
      <c r="H2476" s="6">
        <v>44929.993009259262</v>
      </c>
      <c r="I2476" s="3" t="b">
        <v>0</v>
      </c>
      <c r="J2476" s="3" t="b">
        <v>0</v>
      </c>
      <c r="K2476" s="3" t="s">
        <v>69</v>
      </c>
      <c r="L2476" s="3" t="s">
        <v>34</v>
      </c>
      <c r="M2476" s="8">
        <v>89100</v>
      </c>
      <c r="N2476" s="11"/>
      <c r="O2476" s="3" t="s">
        <v>4334</v>
      </c>
      <c r="P2476" s="3" t="s">
        <v>4883</v>
      </c>
    </row>
    <row r="2477" spans="1:16" x14ac:dyDescent="0.3">
      <c r="A2477" s="3" t="s">
        <v>198</v>
      </c>
      <c r="B2477" s="3" t="s">
        <v>4930</v>
      </c>
      <c r="C2477" s="3" t="s">
        <v>42</v>
      </c>
      <c r="D2477" s="3" t="s">
        <v>41</v>
      </c>
      <c r="E2477" s="3" t="s">
        <v>31</v>
      </c>
      <c r="F2477" s="3" t="b">
        <v>0</v>
      </c>
      <c r="G2477" s="3" t="s">
        <v>42</v>
      </c>
      <c r="H2477" s="6">
        <v>44942.701550925929</v>
      </c>
      <c r="I2477" s="3" t="b">
        <v>0</v>
      </c>
      <c r="J2477" s="3" t="b">
        <v>0</v>
      </c>
      <c r="K2477" s="3" t="s">
        <v>42</v>
      </c>
      <c r="L2477" s="3" t="s">
        <v>34</v>
      </c>
      <c r="M2477" s="8">
        <v>56700</v>
      </c>
      <c r="N2477" s="11"/>
      <c r="O2477" s="3" t="s">
        <v>4931</v>
      </c>
      <c r="P2477" s="3" t="s">
        <v>347</v>
      </c>
    </row>
    <row r="2478" spans="1:16" x14ac:dyDescent="0.3">
      <c r="A2478" s="3" t="s">
        <v>198</v>
      </c>
      <c r="B2478" s="3" t="s">
        <v>4938</v>
      </c>
      <c r="C2478" s="3" t="s">
        <v>903</v>
      </c>
      <c r="D2478" s="3" t="s">
        <v>41</v>
      </c>
      <c r="E2478" s="3" t="s">
        <v>31</v>
      </c>
      <c r="F2478" s="3" t="b">
        <v>0</v>
      </c>
      <c r="G2478" s="3" t="s">
        <v>436</v>
      </c>
      <c r="H2478" s="6">
        <v>44930.773877314823</v>
      </c>
      <c r="I2478" s="3" t="b">
        <v>0</v>
      </c>
      <c r="J2478" s="3" t="b">
        <v>0</v>
      </c>
      <c r="K2478" s="3" t="s">
        <v>436</v>
      </c>
      <c r="L2478" s="3" t="s">
        <v>34</v>
      </c>
      <c r="M2478" s="8">
        <v>79200</v>
      </c>
      <c r="N2478" s="11"/>
      <c r="O2478" s="3" t="s">
        <v>356</v>
      </c>
      <c r="P2478" s="3" t="s">
        <v>4939</v>
      </c>
    </row>
    <row r="2479" spans="1:16" x14ac:dyDescent="0.3">
      <c r="A2479" s="3" t="s">
        <v>198</v>
      </c>
      <c r="B2479" s="3" t="s">
        <v>4956</v>
      </c>
      <c r="C2479" s="3" t="s">
        <v>739</v>
      </c>
      <c r="D2479" s="3" t="s">
        <v>41</v>
      </c>
      <c r="E2479" s="3" t="s">
        <v>133</v>
      </c>
      <c r="F2479" s="3" t="b">
        <v>0</v>
      </c>
      <c r="G2479" s="3" t="s">
        <v>740</v>
      </c>
      <c r="H2479" s="6">
        <v>44937.894976851851</v>
      </c>
      <c r="I2479" s="3" t="b">
        <v>0</v>
      </c>
      <c r="J2479" s="3" t="b">
        <v>0</v>
      </c>
      <c r="K2479" s="3" t="s">
        <v>740</v>
      </c>
      <c r="L2479" s="3" t="s">
        <v>34</v>
      </c>
      <c r="M2479" s="8">
        <v>156500</v>
      </c>
      <c r="N2479" s="11"/>
      <c r="O2479" s="3" t="s">
        <v>4957</v>
      </c>
      <c r="P2479" s="3" t="s">
        <v>4958</v>
      </c>
    </row>
    <row r="2480" spans="1:16" x14ac:dyDescent="0.3">
      <c r="A2480" s="3" t="s">
        <v>198</v>
      </c>
      <c r="B2480" s="3" t="s">
        <v>5094</v>
      </c>
      <c r="C2480" s="3" t="s">
        <v>960</v>
      </c>
      <c r="D2480" s="3" t="s">
        <v>41</v>
      </c>
      <c r="E2480" s="3" t="s">
        <v>31</v>
      </c>
      <c r="F2480" s="3" t="b">
        <v>0</v>
      </c>
      <c r="G2480" s="3" t="s">
        <v>961</v>
      </c>
      <c r="H2480" s="6">
        <v>44953.18849537037</v>
      </c>
      <c r="I2480" s="3" t="b">
        <v>0</v>
      </c>
      <c r="J2480" s="3" t="b">
        <v>0</v>
      </c>
      <c r="K2480" s="3" t="s">
        <v>961</v>
      </c>
      <c r="L2480" s="3" t="s">
        <v>34</v>
      </c>
      <c r="M2480" s="8">
        <v>166000</v>
      </c>
      <c r="N2480" s="11"/>
      <c r="O2480" s="3" t="s">
        <v>5095</v>
      </c>
      <c r="P2480" s="3" t="s">
        <v>5096</v>
      </c>
    </row>
    <row r="2481" spans="1:16" x14ac:dyDescent="0.3">
      <c r="A2481" s="3" t="s">
        <v>198</v>
      </c>
      <c r="B2481" s="3" t="s">
        <v>5097</v>
      </c>
      <c r="C2481" s="3" t="s">
        <v>1669</v>
      </c>
      <c r="D2481" s="3" t="s">
        <v>41</v>
      </c>
      <c r="E2481" s="3" t="s">
        <v>31</v>
      </c>
      <c r="F2481" s="3" t="b">
        <v>0</v>
      </c>
      <c r="G2481" s="3" t="s">
        <v>436</v>
      </c>
      <c r="H2481" s="6">
        <v>44953.13453703704</v>
      </c>
      <c r="I2481" s="3" t="b">
        <v>0</v>
      </c>
      <c r="J2481" s="3" t="b">
        <v>0</v>
      </c>
      <c r="K2481" s="3" t="s">
        <v>436</v>
      </c>
      <c r="L2481" s="3" t="s">
        <v>34</v>
      </c>
      <c r="M2481" s="8">
        <v>72000</v>
      </c>
      <c r="N2481" s="11"/>
      <c r="O2481" s="3" t="s">
        <v>5098</v>
      </c>
      <c r="P2481" s="3" t="s">
        <v>756</v>
      </c>
    </row>
    <row r="2482" spans="1:16" x14ac:dyDescent="0.3">
      <c r="A2482" s="3" t="s">
        <v>198</v>
      </c>
      <c r="B2482" s="3" t="s">
        <v>5149</v>
      </c>
      <c r="C2482" s="3" t="s">
        <v>406</v>
      </c>
      <c r="D2482" s="3" t="s">
        <v>41</v>
      </c>
      <c r="E2482" s="3" t="s">
        <v>31</v>
      </c>
      <c r="F2482" s="3" t="b">
        <v>0</v>
      </c>
      <c r="G2482" s="3" t="s">
        <v>407</v>
      </c>
      <c r="H2482" s="6">
        <v>44938.490266203713</v>
      </c>
      <c r="I2482" s="3" t="b">
        <v>0</v>
      </c>
      <c r="J2482" s="3" t="b">
        <v>0</v>
      </c>
      <c r="K2482" s="3" t="s">
        <v>407</v>
      </c>
      <c r="L2482" s="3" t="s">
        <v>34</v>
      </c>
      <c r="M2482" s="8">
        <v>56700</v>
      </c>
      <c r="N2482" s="11"/>
      <c r="O2482" s="3" t="s">
        <v>408</v>
      </c>
      <c r="P2482" s="3" t="s">
        <v>5150</v>
      </c>
    </row>
    <row r="2483" spans="1:16" x14ac:dyDescent="0.3">
      <c r="A2483" s="3" t="s">
        <v>198</v>
      </c>
      <c r="B2483" s="3" t="s">
        <v>5218</v>
      </c>
      <c r="C2483" s="3" t="s">
        <v>2336</v>
      </c>
      <c r="D2483" s="3" t="s">
        <v>41</v>
      </c>
      <c r="E2483" s="3" t="s">
        <v>31</v>
      </c>
      <c r="F2483" s="3" t="b">
        <v>0</v>
      </c>
      <c r="G2483" s="3" t="s">
        <v>597</v>
      </c>
      <c r="H2483" s="6">
        <v>44937.721226851849</v>
      </c>
      <c r="I2483" s="3" t="b">
        <v>0</v>
      </c>
      <c r="J2483" s="3" t="b">
        <v>0</v>
      </c>
      <c r="K2483" s="3" t="s">
        <v>597</v>
      </c>
      <c r="L2483" s="3" t="s">
        <v>34</v>
      </c>
      <c r="M2483" s="8">
        <v>166000</v>
      </c>
      <c r="N2483" s="11"/>
      <c r="O2483" s="3" t="s">
        <v>5219</v>
      </c>
      <c r="P2483" s="3" t="s">
        <v>5220</v>
      </c>
    </row>
    <row r="2484" spans="1:16" x14ac:dyDescent="0.3">
      <c r="A2484" s="3" t="s">
        <v>198</v>
      </c>
      <c r="B2484" s="3" t="s">
        <v>5307</v>
      </c>
      <c r="C2484" s="3" t="s">
        <v>435</v>
      </c>
      <c r="D2484" s="3" t="s">
        <v>41</v>
      </c>
      <c r="E2484" s="3" t="s">
        <v>31</v>
      </c>
      <c r="F2484" s="3" t="b">
        <v>0</v>
      </c>
      <c r="G2484" s="3" t="s">
        <v>436</v>
      </c>
      <c r="H2484" s="6">
        <v>44935.508310185192</v>
      </c>
      <c r="I2484" s="3" t="b">
        <v>0</v>
      </c>
      <c r="J2484" s="3" t="b">
        <v>0</v>
      </c>
      <c r="K2484" s="3" t="s">
        <v>436</v>
      </c>
      <c r="L2484" s="3" t="s">
        <v>34</v>
      </c>
      <c r="M2484" s="8">
        <v>79200</v>
      </c>
      <c r="N2484" s="11"/>
      <c r="O2484" s="3" t="s">
        <v>1746</v>
      </c>
      <c r="P2484" s="3" t="s">
        <v>5308</v>
      </c>
    </row>
    <row r="2485" spans="1:16" x14ac:dyDescent="0.3">
      <c r="A2485" s="3" t="s">
        <v>198</v>
      </c>
      <c r="B2485" s="3" t="s">
        <v>4141</v>
      </c>
      <c r="C2485" s="3" t="s">
        <v>903</v>
      </c>
      <c r="D2485" s="3" t="s">
        <v>41</v>
      </c>
      <c r="E2485" s="3" t="s">
        <v>31</v>
      </c>
      <c r="F2485" s="3" t="b">
        <v>0</v>
      </c>
      <c r="G2485" s="3" t="s">
        <v>436</v>
      </c>
      <c r="H2485" s="6">
        <v>44931.689259259263</v>
      </c>
      <c r="I2485" s="3" t="b">
        <v>0</v>
      </c>
      <c r="J2485" s="3" t="b">
        <v>0</v>
      </c>
      <c r="K2485" s="3" t="s">
        <v>436</v>
      </c>
      <c r="L2485" s="3" t="s">
        <v>34</v>
      </c>
      <c r="M2485" s="8">
        <v>185500</v>
      </c>
      <c r="N2485" s="11"/>
      <c r="O2485" s="3" t="s">
        <v>5409</v>
      </c>
      <c r="P2485" s="3" t="s">
        <v>5410</v>
      </c>
    </row>
    <row r="2486" spans="1:16" x14ac:dyDescent="0.3">
      <c r="A2486" s="3" t="s">
        <v>198</v>
      </c>
      <c r="B2486" s="3" t="s">
        <v>5488</v>
      </c>
      <c r="C2486" s="3" t="s">
        <v>1458</v>
      </c>
      <c r="D2486" s="3" t="s">
        <v>41</v>
      </c>
      <c r="E2486" s="3" t="s">
        <v>31</v>
      </c>
      <c r="F2486" s="3" t="b">
        <v>0</v>
      </c>
      <c r="G2486" s="3" t="s">
        <v>32</v>
      </c>
      <c r="H2486" s="6">
        <v>44952.503750000003</v>
      </c>
      <c r="I2486" s="3" t="b">
        <v>0</v>
      </c>
      <c r="J2486" s="3" t="b">
        <v>1</v>
      </c>
      <c r="K2486" s="3" t="s">
        <v>33</v>
      </c>
      <c r="L2486" s="3" t="s">
        <v>34</v>
      </c>
      <c r="M2486" s="8">
        <v>99150</v>
      </c>
      <c r="N2486" s="11"/>
      <c r="O2486" s="3" t="s">
        <v>1823</v>
      </c>
      <c r="P2486" s="3" t="s">
        <v>756</v>
      </c>
    </row>
    <row r="2487" spans="1:16" x14ac:dyDescent="0.3">
      <c r="A2487" s="3" t="s">
        <v>198</v>
      </c>
      <c r="B2487" s="3" t="s">
        <v>3178</v>
      </c>
      <c r="C2487" s="3" t="s">
        <v>603</v>
      </c>
      <c r="D2487" s="3" t="s">
        <v>41</v>
      </c>
      <c r="E2487" s="3" t="s">
        <v>31</v>
      </c>
      <c r="F2487" s="3" t="b">
        <v>0</v>
      </c>
      <c r="G2487" s="3" t="s">
        <v>69</v>
      </c>
      <c r="H2487" s="6">
        <v>44940.889039351852</v>
      </c>
      <c r="I2487" s="3" t="b">
        <v>0</v>
      </c>
      <c r="J2487" s="3" t="b">
        <v>0</v>
      </c>
      <c r="K2487" s="3" t="s">
        <v>69</v>
      </c>
      <c r="L2487" s="3" t="s">
        <v>34</v>
      </c>
      <c r="M2487" s="8">
        <v>185500</v>
      </c>
      <c r="N2487" s="11"/>
      <c r="O2487" s="3" t="s">
        <v>3179</v>
      </c>
      <c r="P2487" s="3" t="s">
        <v>347</v>
      </c>
    </row>
    <row r="2488" spans="1:16" x14ac:dyDescent="0.3">
      <c r="A2488" s="3" t="s">
        <v>198</v>
      </c>
      <c r="B2488" s="3" t="s">
        <v>4667</v>
      </c>
      <c r="C2488" s="3" t="s">
        <v>87</v>
      </c>
      <c r="D2488" s="3" t="s">
        <v>293</v>
      </c>
      <c r="E2488" s="3" t="s">
        <v>31</v>
      </c>
      <c r="F2488" s="3" t="b">
        <v>1</v>
      </c>
      <c r="G2488" s="3" t="s">
        <v>42</v>
      </c>
      <c r="H2488" s="6">
        <v>44930.86440972222</v>
      </c>
      <c r="I2488" s="3" t="b">
        <v>0</v>
      </c>
      <c r="J2488" s="3" t="b">
        <v>0</v>
      </c>
      <c r="K2488" s="3" t="s">
        <v>42</v>
      </c>
      <c r="L2488" s="3" t="s">
        <v>34</v>
      </c>
      <c r="M2488" s="8">
        <v>95000</v>
      </c>
      <c r="N2488" s="11"/>
      <c r="O2488" s="3" t="s">
        <v>5542</v>
      </c>
      <c r="P2488" s="3"/>
    </row>
    <row r="2489" spans="1:16" x14ac:dyDescent="0.3">
      <c r="A2489" s="3" t="s">
        <v>198</v>
      </c>
      <c r="B2489" s="3" t="s">
        <v>5725</v>
      </c>
      <c r="C2489" s="3" t="s">
        <v>903</v>
      </c>
      <c r="D2489" s="3" t="s">
        <v>41</v>
      </c>
      <c r="E2489" s="3" t="s">
        <v>31</v>
      </c>
      <c r="F2489" s="3" t="b">
        <v>0</v>
      </c>
      <c r="G2489" s="3" t="s">
        <v>436</v>
      </c>
      <c r="H2489" s="6">
        <v>44951.908206018517</v>
      </c>
      <c r="I2489" s="3" t="b">
        <v>0</v>
      </c>
      <c r="J2489" s="3" t="b">
        <v>0</v>
      </c>
      <c r="K2489" s="3" t="s">
        <v>436</v>
      </c>
      <c r="L2489" s="3" t="s">
        <v>34</v>
      </c>
      <c r="M2489" s="8">
        <v>79200</v>
      </c>
      <c r="N2489" s="11"/>
      <c r="O2489" s="3" t="s">
        <v>5131</v>
      </c>
      <c r="P2489" s="3" t="s">
        <v>71</v>
      </c>
    </row>
    <row r="2490" spans="1:16" x14ac:dyDescent="0.3">
      <c r="A2490" s="3" t="s">
        <v>198</v>
      </c>
      <c r="B2490" s="3" t="s">
        <v>198</v>
      </c>
      <c r="C2490" s="3" t="s">
        <v>87</v>
      </c>
      <c r="D2490" s="3" t="s">
        <v>830</v>
      </c>
      <c r="E2490" s="3" t="s">
        <v>133</v>
      </c>
      <c r="F2490" s="3" t="b">
        <v>1</v>
      </c>
      <c r="G2490" s="3" t="s">
        <v>1548</v>
      </c>
      <c r="H2490" s="6">
        <v>44942.502106481479</v>
      </c>
      <c r="I2490" s="3" t="b">
        <v>0</v>
      </c>
      <c r="J2490" s="3" t="b">
        <v>0</v>
      </c>
      <c r="K2490" s="3" t="s">
        <v>1548</v>
      </c>
      <c r="L2490" s="3" t="s">
        <v>34</v>
      </c>
      <c r="M2490" s="8">
        <v>65000</v>
      </c>
      <c r="N2490" s="11"/>
      <c r="O2490" s="3" t="s">
        <v>5834</v>
      </c>
      <c r="P2490" s="3" t="s">
        <v>5835</v>
      </c>
    </row>
    <row r="2491" spans="1:16" x14ac:dyDescent="0.3">
      <c r="A2491" s="3" t="s">
        <v>198</v>
      </c>
      <c r="B2491" s="3" t="s">
        <v>198</v>
      </c>
      <c r="C2491" s="3" t="s">
        <v>903</v>
      </c>
      <c r="D2491" s="3" t="s">
        <v>41</v>
      </c>
      <c r="E2491" s="3" t="s">
        <v>31</v>
      </c>
      <c r="F2491" s="3" t="b">
        <v>0</v>
      </c>
      <c r="G2491" s="3" t="s">
        <v>436</v>
      </c>
      <c r="H2491" s="6">
        <v>44946.316990740743</v>
      </c>
      <c r="I2491" s="3" t="b">
        <v>0</v>
      </c>
      <c r="J2491" s="3" t="b">
        <v>0</v>
      </c>
      <c r="K2491" s="3" t="s">
        <v>436</v>
      </c>
      <c r="L2491" s="3" t="s">
        <v>34</v>
      </c>
      <c r="M2491" s="8">
        <v>104668</v>
      </c>
      <c r="N2491" s="11"/>
      <c r="O2491" s="3" t="s">
        <v>5905</v>
      </c>
      <c r="P2491" s="3" t="s">
        <v>5906</v>
      </c>
    </row>
    <row r="2492" spans="1:16" x14ac:dyDescent="0.3">
      <c r="A2492" s="3" t="s">
        <v>198</v>
      </c>
      <c r="B2492" s="3" t="s">
        <v>6008</v>
      </c>
      <c r="C2492" s="3" t="s">
        <v>1458</v>
      </c>
      <c r="D2492" s="3" t="s">
        <v>41</v>
      </c>
      <c r="E2492" s="3" t="s">
        <v>31</v>
      </c>
      <c r="F2492" s="3" t="b">
        <v>0</v>
      </c>
      <c r="G2492" s="3" t="s">
        <v>32</v>
      </c>
      <c r="H2492" s="6">
        <v>44951.91946759259</v>
      </c>
      <c r="I2492" s="3" t="b">
        <v>0</v>
      </c>
      <c r="J2492" s="3" t="b">
        <v>1</v>
      </c>
      <c r="K2492" s="3" t="s">
        <v>33</v>
      </c>
      <c r="L2492" s="3" t="s">
        <v>34</v>
      </c>
      <c r="M2492" s="8">
        <v>166000</v>
      </c>
      <c r="N2492" s="11"/>
      <c r="O2492" s="3" t="s">
        <v>1823</v>
      </c>
      <c r="P2492" s="3" t="s">
        <v>6009</v>
      </c>
    </row>
    <row r="2493" spans="1:16" x14ac:dyDescent="0.3">
      <c r="A2493" s="3" t="s">
        <v>198</v>
      </c>
      <c r="B2493" s="3" t="s">
        <v>6053</v>
      </c>
      <c r="C2493" s="3" t="s">
        <v>960</v>
      </c>
      <c r="D2493" s="3" t="s">
        <v>41</v>
      </c>
      <c r="E2493" s="3" t="s">
        <v>31</v>
      </c>
      <c r="F2493" s="3" t="b">
        <v>0</v>
      </c>
      <c r="G2493" s="3" t="s">
        <v>961</v>
      </c>
      <c r="H2493" s="6">
        <v>44931.370775462958</v>
      </c>
      <c r="I2493" s="3" t="b">
        <v>0</v>
      </c>
      <c r="J2493" s="3" t="b">
        <v>0</v>
      </c>
      <c r="K2493" s="3" t="s">
        <v>961</v>
      </c>
      <c r="L2493" s="3" t="s">
        <v>34</v>
      </c>
      <c r="M2493" s="8">
        <v>89100</v>
      </c>
      <c r="N2493" s="11"/>
      <c r="O2493" s="3" t="s">
        <v>2611</v>
      </c>
      <c r="P2493" s="3" t="s">
        <v>6054</v>
      </c>
    </row>
    <row r="2494" spans="1:16" x14ac:dyDescent="0.3">
      <c r="A2494" s="3" t="s">
        <v>198</v>
      </c>
      <c r="B2494" s="3" t="s">
        <v>6067</v>
      </c>
      <c r="C2494" s="3" t="s">
        <v>597</v>
      </c>
      <c r="D2494" s="3" t="s">
        <v>41</v>
      </c>
      <c r="E2494" s="3" t="s">
        <v>31</v>
      </c>
      <c r="F2494" s="3" t="b">
        <v>0</v>
      </c>
      <c r="G2494" s="3" t="s">
        <v>597</v>
      </c>
      <c r="H2494" s="6">
        <v>44932.107789351852</v>
      </c>
      <c r="I2494" s="3" t="b">
        <v>0</v>
      </c>
      <c r="J2494" s="3" t="b">
        <v>0</v>
      </c>
      <c r="K2494" s="3" t="s">
        <v>597</v>
      </c>
      <c r="L2494" s="3" t="s">
        <v>34</v>
      </c>
      <c r="M2494" s="8">
        <v>89100</v>
      </c>
      <c r="N2494" s="11"/>
      <c r="O2494" s="3" t="s">
        <v>6068</v>
      </c>
      <c r="P2494" s="3" t="s">
        <v>6069</v>
      </c>
    </row>
    <row r="2495" spans="1:16" x14ac:dyDescent="0.3">
      <c r="A2495" s="3" t="s">
        <v>198</v>
      </c>
      <c r="B2495" s="3" t="s">
        <v>6118</v>
      </c>
      <c r="C2495" s="3" t="s">
        <v>1458</v>
      </c>
      <c r="D2495" s="3" t="s">
        <v>41</v>
      </c>
      <c r="E2495" s="3" t="s">
        <v>31</v>
      </c>
      <c r="F2495" s="3" t="b">
        <v>0</v>
      </c>
      <c r="G2495" s="3" t="s">
        <v>32</v>
      </c>
      <c r="H2495" s="6">
        <v>44952.420497685183</v>
      </c>
      <c r="I2495" s="3" t="b">
        <v>0</v>
      </c>
      <c r="J2495" s="3" t="b">
        <v>1</v>
      </c>
      <c r="K2495" s="3" t="s">
        <v>33</v>
      </c>
      <c r="L2495" s="3" t="s">
        <v>34</v>
      </c>
      <c r="M2495" s="8">
        <v>116950</v>
      </c>
      <c r="N2495" s="11"/>
      <c r="O2495" s="3" t="s">
        <v>1823</v>
      </c>
      <c r="P2495" s="3" t="s">
        <v>756</v>
      </c>
    </row>
    <row r="2496" spans="1:16" x14ac:dyDescent="0.3">
      <c r="A2496" s="3" t="s">
        <v>198</v>
      </c>
      <c r="B2496" s="3" t="s">
        <v>198</v>
      </c>
      <c r="C2496" s="3" t="s">
        <v>4866</v>
      </c>
      <c r="D2496" s="3" t="s">
        <v>41</v>
      </c>
      <c r="E2496" s="3" t="s">
        <v>31</v>
      </c>
      <c r="F2496" s="3" t="b">
        <v>0</v>
      </c>
      <c r="G2496" s="3" t="s">
        <v>1171</v>
      </c>
      <c r="H2496" s="6">
        <v>44936.055486111109</v>
      </c>
      <c r="I2496" s="3" t="b">
        <v>0</v>
      </c>
      <c r="J2496" s="3" t="b">
        <v>0</v>
      </c>
      <c r="K2496" s="3" t="s">
        <v>1171</v>
      </c>
      <c r="L2496" s="3" t="s">
        <v>34</v>
      </c>
      <c r="M2496" s="8">
        <v>166000</v>
      </c>
      <c r="N2496" s="11"/>
      <c r="O2496" s="3" t="s">
        <v>6135</v>
      </c>
      <c r="P2496" s="3" t="s">
        <v>6136</v>
      </c>
    </row>
    <row r="2497" spans="1:16" x14ac:dyDescent="0.3">
      <c r="A2497" s="3" t="s">
        <v>198</v>
      </c>
      <c r="B2497" s="3" t="s">
        <v>6151</v>
      </c>
      <c r="C2497" s="3" t="s">
        <v>2109</v>
      </c>
      <c r="D2497" s="3" t="s">
        <v>41</v>
      </c>
      <c r="E2497" s="3" t="s">
        <v>31</v>
      </c>
      <c r="F2497" s="3" t="b">
        <v>0</v>
      </c>
      <c r="G2497" s="3" t="s">
        <v>69</v>
      </c>
      <c r="H2497" s="6">
        <v>44938.058159722219</v>
      </c>
      <c r="I2497" s="3" t="b">
        <v>0</v>
      </c>
      <c r="J2497" s="3" t="b">
        <v>0</v>
      </c>
      <c r="K2497" s="3" t="s">
        <v>69</v>
      </c>
      <c r="L2497" s="3" t="s">
        <v>34</v>
      </c>
      <c r="M2497" s="8">
        <v>69000</v>
      </c>
      <c r="N2497" s="11"/>
      <c r="O2497" s="3" t="s">
        <v>356</v>
      </c>
      <c r="P2497" s="3"/>
    </row>
    <row r="2498" spans="1:16" x14ac:dyDescent="0.3">
      <c r="A2498" s="3" t="s">
        <v>61</v>
      </c>
      <c r="B2498" s="3" t="s">
        <v>62</v>
      </c>
      <c r="C2498" s="3" t="s">
        <v>63</v>
      </c>
      <c r="D2498" s="3" t="s">
        <v>53</v>
      </c>
      <c r="E2498" s="3" t="s">
        <v>31</v>
      </c>
      <c r="F2498" s="3" t="b">
        <v>0</v>
      </c>
      <c r="G2498" s="3" t="s">
        <v>64</v>
      </c>
      <c r="H2498" s="6">
        <v>44930.417141203703</v>
      </c>
      <c r="I2498" s="3" t="b">
        <v>0</v>
      </c>
      <c r="J2498" s="3" t="b">
        <v>1</v>
      </c>
      <c r="K2498" s="3" t="s">
        <v>33</v>
      </c>
      <c r="L2498" s="3" t="s">
        <v>34</v>
      </c>
      <c r="M2498" s="8">
        <v>96500</v>
      </c>
      <c r="N2498" s="11"/>
      <c r="O2498" s="3" t="s">
        <v>54</v>
      </c>
      <c r="P2498" s="3" t="s">
        <v>65</v>
      </c>
    </row>
    <row r="2499" spans="1:16" x14ac:dyDescent="0.3">
      <c r="A2499" s="3" t="s">
        <v>61</v>
      </c>
      <c r="B2499" s="3" t="s">
        <v>61</v>
      </c>
      <c r="C2499" s="3" t="s">
        <v>136</v>
      </c>
      <c r="D2499" s="3" t="s">
        <v>76</v>
      </c>
      <c r="E2499" s="3" t="s">
        <v>31</v>
      </c>
      <c r="F2499" s="3" t="b">
        <v>0</v>
      </c>
      <c r="G2499" s="3" t="s">
        <v>32</v>
      </c>
      <c r="H2499" s="6">
        <v>44937.418194444443</v>
      </c>
      <c r="I2499" s="3" t="b">
        <v>0</v>
      </c>
      <c r="J2499" s="3" t="b">
        <v>1</v>
      </c>
      <c r="K2499" s="3" t="s">
        <v>33</v>
      </c>
      <c r="L2499" s="3" t="s">
        <v>48</v>
      </c>
      <c r="M2499" s="8"/>
      <c r="N2499" s="11">
        <v>34.875</v>
      </c>
      <c r="O2499" s="3" t="s">
        <v>137</v>
      </c>
      <c r="P2499" s="3" t="s">
        <v>138</v>
      </c>
    </row>
    <row r="2500" spans="1:16" x14ac:dyDescent="0.3">
      <c r="A2500" s="3" t="s">
        <v>61</v>
      </c>
      <c r="B2500" s="3" t="s">
        <v>154</v>
      </c>
      <c r="C2500" s="3" t="s">
        <v>155</v>
      </c>
      <c r="D2500" s="3" t="s">
        <v>53</v>
      </c>
      <c r="E2500" s="3" t="s">
        <v>31</v>
      </c>
      <c r="F2500" s="3" t="b">
        <v>0</v>
      </c>
      <c r="G2500" s="3" t="s">
        <v>64</v>
      </c>
      <c r="H2500" s="6">
        <v>44930.417453703703</v>
      </c>
      <c r="I2500" s="3" t="b">
        <v>0</v>
      </c>
      <c r="J2500" s="3" t="b">
        <v>1</v>
      </c>
      <c r="K2500" s="3" t="s">
        <v>33</v>
      </c>
      <c r="L2500" s="3" t="s">
        <v>34</v>
      </c>
      <c r="M2500" s="8">
        <v>96500</v>
      </c>
      <c r="N2500" s="11"/>
      <c r="O2500" s="3" t="s">
        <v>54</v>
      </c>
      <c r="P2500" s="3" t="s">
        <v>156</v>
      </c>
    </row>
    <row r="2501" spans="1:16" x14ac:dyDescent="0.3">
      <c r="A2501" s="3" t="s">
        <v>61</v>
      </c>
      <c r="B2501" s="3" t="s">
        <v>184</v>
      </c>
      <c r="C2501" s="3" t="s">
        <v>185</v>
      </c>
      <c r="D2501" s="3" t="s">
        <v>53</v>
      </c>
      <c r="E2501" s="3" t="s">
        <v>31</v>
      </c>
      <c r="F2501" s="3" t="b">
        <v>0</v>
      </c>
      <c r="G2501" s="3" t="s">
        <v>140</v>
      </c>
      <c r="H2501" s="6">
        <v>44953.435868055552</v>
      </c>
      <c r="I2501" s="3" t="b">
        <v>0</v>
      </c>
      <c r="J2501" s="3" t="b">
        <v>1</v>
      </c>
      <c r="K2501" s="3" t="s">
        <v>33</v>
      </c>
      <c r="L2501" s="3" t="s">
        <v>34</v>
      </c>
      <c r="M2501" s="8">
        <v>96500</v>
      </c>
      <c r="N2501" s="11"/>
      <c r="O2501" s="3" t="s">
        <v>54</v>
      </c>
      <c r="P2501" s="3" t="s">
        <v>186</v>
      </c>
    </row>
    <row r="2502" spans="1:16" x14ac:dyDescent="0.3">
      <c r="A2502" s="3" t="s">
        <v>61</v>
      </c>
      <c r="B2502" s="3" t="s">
        <v>61</v>
      </c>
      <c r="C2502" s="3" t="s">
        <v>164</v>
      </c>
      <c r="D2502" s="3" t="s">
        <v>30</v>
      </c>
      <c r="E2502" s="3" t="s">
        <v>31</v>
      </c>
      <c r="F2502" s="3" t="b">
        <v>0</v>
      </c>
      <c r="G2502" s="3" t="s">
        <v>64</v>
      </c>
      <c r="H2502" s="6">
        <v>44930.060763888891</v>
      </c>
      <c r="I2502" s="3" t="b">
        <v>0</v>
      </c>
      <c r="J2502" s="3" t="b">
        <v>1</v>
      </c>
      <c r="K2502" s="3" t="s">
        <v>33</v>
      </c>
      <c r="L2502" s="3" t="s">
        <v>34</v>
      </c>
      <c r="M2502" s="8">
        <v>170000</v>
      </c>
      <c r="N2502" s="11"/>
      <c r="O2502" s="3" t="s">
        <v>196</v>
      </c>
      <c r="P2502" s="3" t="s">
        <v>197</v>
      </c>
    </row>
    <row r="2503" spans="1:16" x14ac:dyDescent="0.3">
      <c r="A2503" s="3" t="s">
        <v>61</v>
      </c>
      <c r="B2503" s="3" t="s">
        <v>273</v>
      </c>
      <c r="C2503" s="3" t="s">
        <v>40</v>
      </c>
      <c r="D2503" s="3" t="s">
        <v>41</v>
      </c>
      <c r="E2503" s="3" t="s">
        <v>31</v>
      </c>
      <c r="F2503" s="3" t="b">
        <v>0</v>
      </c>
      <c r="G2503" s="3" t="s">
        <v>42</v>
      </c>
      <c r="H2503" s="6">
        <v>44949.924791666657</v>
      </c>
      <c r="I2503" s="3" t="b">
        <v>1</v>
      </c>
      <c r="J2503" s="3" t="b">
        <v>0</v>
      </c>
      <c r="K2503" s="3" t="s">
        <v>42</v>
      </c>
      <c r="L2503" s="3" t="s">
        <v>34</v>
      </c>
      <c r="M2503" s="8">
        <v>111175</v>
      </c>
      <c r="N2503" s="11"/>
      <c r="O2503" s="3" t="s">
        <v>274</v>
      </c>
      <c r="P2503" s="3" t="s">
        <v>275</v>
      </c>
    </row>
    <row r="2504" spans="1:16" x14ac:dyDescent="0.3">
      <c r="A2504" s="3" t="s">
        <v>61</v>
      </c>
      <c r="B2504" s="3" t="s">
        <v>285</v>
      </c>
      <c r="C2504" s="3" t="s">
        <v>286</v>
      </c>
      <c r="D2504" s="3" t="s">
        <v>287</v>
      </c>
      <c r="E2504" s="3" t="s">
        <v>31</v>
      </c>
      <c r="F2504" s="3" t="b">
        <v>0</v>
      </c>
      <c r="G2504" s="3" t="s">
        <v>84</v>
      </c>
      <c r="H2504" s="6">
        <v>44949.001504629632</v>
      </c>
      <c r="I2504" s="3" t="b">
        <v>1</v>
      </c>
      <c r="J2504" s="3" t="b">
        <v>0</v>
      </c>
      <c r="K2504" s="3" t="s">
        <v>33</v>
      </c>
      <c r="L2504" s="3" t="s">
        <v>34</v>
      </c>
      <c r="M2504" s="8">
        <v>90000</v>
      </c>
      <c r="N2504" s="11"/>
      <c r="O2504" s="3" t="s">
        <v>288</v>
      </c>
      <c r="P2504" s="3"/>
    </row>
    <row r="2505" spans="1:16" x14ac:dyDescent="0.3">
      <c r="A2505" s="3" t="s">
        <v>61</v>
      </c>
      <c r="B2505" s="3" t="s">
        <v>513</v>
      </c>
      <c r="C2505" s="3" t="s">
        <v>514</v>
      </c>
      <c r="D2505" s="3" t="s">
        <v>106</v>
      </c>
      <c r="E2505" s="3" t="s">
        <v>31</v>
      </c>
      <c r="F2505" s="3" t="b">
        <v>0</v>
      </c>
      <c r="G2505" s="3" t="s">
        <v>88</v>
      </c>
      <c r="H2505" s="6">
        <v>44942.763252314813</v>
      </c>
      <c r="I2505" s="3" t="b">
        <v>0</v>
      </c>
      <c r="J2505" s="3" t="b">
        <v>0</v>
      </c>
      <c r="K2505" s="3" t="s">
        <v>33</v>
      </c>
      <c r="L2505" s="3" t="s">
        <v>34</v>
      </c>
      <c r="M2505" s="8">
        <v>146500</v>
      </c>
      <c r="N2505" s="11"/>
      <c r="O2505" s="3" t="s">
        <v>119</v>
      </c>
      <c r="P2505" s="3" t="s">
        <v>515</v>
      </c>
    </row>
    <row r="2506" spans="1:16" x14ac:dyDescent="0.3">
      <c r="A2506" s="3" t="s">
        <v>61</v>
      </c>
      <c r="B2506" s="3" t="s">
        <v>658</v>
      </c>
      <c r="C2506" s="3" t="s">
        <v>659</v>
      </c>
      <c r="D2506" s="3" t="s">
        <v>93</v>
      </c>
      <c r="E2506" s="3" t="s">
        <v>31</v>
      </c>
      <c r="F2506" s="3" t="b">
        <v>0</v>
      </c>
      <c r="G2506" s="3" t="s">
        <v>84</v>
      </c>
      <c r="H2506" s="6">
        <v>44935.376643518517</v>
      </c>
      <c r="I2506" s="3" t="b">
        <v>0</v>
      </c>
      <c r="J2506" s="3" t="b">
        <v>0</v>
      </c>
      <c r="K2506" s="3" t="s">
        <v>33</v>
      </c>
      <c r="L2506" s="3" t="s">
        <v>34</v>
      </c>
      <c r="M2506" s="8">
        <v>90000</v>
      </c>
      <c r="N2506" s="11"/>
      <c r="O2506" s="3" t="s">
        <v>660</v>
      </c>
      <c r="P2506" s="3" t="s">
        <v>661</v>
      </c>
    </row>
    <row r="2507" spans="1:16" x14ac:dyDescent="0.3">
      <c r="A2507" s="3" t="s">
        <v>61</v>
      </c>
      <c r="B2507" s="3" t="s">
        <v>721</v>
      </c>
      <c r="C2507" s="3" t="s">
        <v>87</v>
      </c>
      <c r="D2507" s="3" t="s">
        <v>53</v>
      </c>
      <c r="E2507" s="3" t="s">
        <v>133</v>
      </c>
      <c r="F2507" s="3" t="b">
        <v>1</v>
      </c>
      <c r="G2507" s="3" t="s">
        <v>84</v>
      </c>
      <c r="H2507" s="6">
        <v>44938.626539351862</v>
      </c>
      <c r="I2507" s="3" t="b">
        <v>0</v>
      </c>
      <c r="J2507" s="3" t="b">
        <v>0</v>
      </c>
      <c r="K2507" s="3" t="s">
        <v>33</v>
      </c>
      <c r="L2507" s="3" t="s">
        <v>48</v>
      </c>
      <c r="M2507" s="8"/>
      <c r="N2507" s="11">
        <v>125</v>
      </c>
      <c r="O2507" s="3" t="s">
        <v>722</v>
      </c>
      <c r="P2507" s="3" t="s">
        <v>723</v>
      </c>
    </row>
    <row r="2508" spans="1:16" x14ac:dyDescent="0.3">
      <c r="A2508" s="3" t="s">
        <v>61</v>
      </c>
      <c r="B2508" s="3" t="s">
        <v>811</v>
      </c>
      <c r="C2508" s="3" t="s">
        <v>57</v>
      </c>
      <c r="D2508" s="3" t="s">
        <v>350</v>
      </c>
      <c r="E2508" s="3" t="s">
        <v>31</v>
      </c>
      <c r="F2508" s="3" t="b">
        <v>0</v>
      </c>
      <c r="G2508" s="3" t="s">
        <v>58</v>
      </c>
      <c r="H2508" s="6">
        <v>44957.792523148149</v>
      </c>
      <c r="I2508" s="3" t="b">
        <v>0</v>
      </c>
      <c r="J2508" s="3" t="b">
        <v>0</v>
      </c>
      <c r="K2508" s="3" t="s">
        <v>33</v>
      </c>
      <c r="L2508" s="3" t="s">
        <v>34</v>
      </c>
      <c r="M2508" s="8">
        <v>188675</v>
      </c>
      <c r="N2508" s="11"/>
      <c r="O2508" s="3" t="s">
        <v>119</v>
      </c>
      <c r="P2508" s="3" t="s">
        <v>374</v>
      </c>
    </row>
    <row r="2509" spans="1:16" x14ac:dyDescent="0.3">
      <c r="A2509" s="3" t="s">
        <v>61</v>
      </c>
      <c r="B2509" s="3" t="s">
        <v>820</v>
      </c>
      <c r="C2509" s="3" t="s">
        <v>821</v>
      </c>
      <c r="D2509" s="3" t="s">
        <v>106</v>
      </c>
      <c r="E2509" s="3" t="s">
        <v>31</v>
      </c>
      <c r="F2509" s="3" t="b">
        <v>0</v>
      </c>
      <c r="G2509" s="3" t="s">
        <v>32</v>
      </c>
      <c r="H2509" s="6">
        <v>44956.667569444442</v>
      </c>
      <c r="I2509" s="3" t="b">
        <v>0</v>
      </c>
      <c r="J2509" s="3" t="b">
        <v>1</v>
      </c>
      <c r="K2509" s="3" t="s">
        <v>33</v>
      </c>
      <c r="L2509" s="3" t="s">
        <v>34</v>
      </c>
      <c r="M2509" s="8">
        <v>98450</v>
      </c>
      <c r="N2509" s="11"/>
      <c r="O2509" s="3" t="s">
        <v>822</v>
      </c>
      <c r="P2509" s="3" t="s">
        <v>823</v>
      </c>
    </row>
    <row r="2510" spans="1:16" x14ac:dyDescent="0.3">
      <c r="A2510" s="3" t="s">
        <v>61</v>
      </c>
      <c r="B2510" s="3" t="s">
        <v>825</v>
      </c>
      <c r="C2510" s="3" t="s">
        <v>826</v>
      </c>
      <c r="D2510" s="3" t="s">
        <v>827</v>
      </c>
      <c r="E2510" s="3" t="s">
        <v>31</v>
      </c>
      <c r="F2510" s="3" t="b">
        <v>0</v>
      </c>
      <c r="G2510" s="3" t="s">
        <v>88</v>
      </c>
      <c r="H2510" s="6">
        <v>44945.804837962962</v>
      </c>
      <c r="I2510" s="3" t="b">
        <v>1</v>
      </c>
      <c r="J2510" s="3" t="b">
        <v>1</v>
      </c>
      <c r="K2510" s="3" t="s">
        <v>33</v>
      </c>
      <c r="L2510" s="3" t="s">
        <v>34</v>
      </c>
      <c r="M2510" s="8">
        <v>93661.5</v>
      </c>
      <c r="N2510" s="11"/>
      <c r="O2510" s="3" t="s">
        <v>828</v>
      </c>
      <c r="P2510" s="3"/>
    </row>
    <row r="2511" spans="1:16" x14ac:dyDescent="0.3">
      <c r="A2511" s="3" t="s">
        <v>61</v>
      </c>
      <c r="B2511" s="3" t="s">
        <v>886</v>
      </c>
      <c r="C2511" s="3" t="s">
        <v>549</v>
      </c>
      <c r="D2511" s="3" t="s">
        <v>93</v>
      </c>
      <c r="E2511" s="3" t="s">
        <v>31</v>
      </c>
      <c r="F2511" s="3" t="b">
        <v>0</v>
      </c>
      <c r="G2511" s="3" t="s">
        <v>64</v>
      </c>
      <c r="H2511" s="6">
        <v>44953.250196759262</v>
      </c>
      <c r="I2511" s="3" t="b">
        <v>0</v>
      </c>
      <c r="J2511" s="3" t="b">
        <v>0</v>
      </c>
      <c r="K2511" s="3" t="s">
        <v>33</v>
      </c>
      <c r="L2511" s="3" t="s">
        <v>34</v>
      </c>
      <c r="M2511" s="8">
        <v>90000</v>
      </c>
      <c r="N2511" s="11"/>
      <c r="O2511" s="3" t="s">
        <v>462</v>
      </c>
      <c r="P2511" s="3" t="s">
        <v>887</v>
      </c>
    </row>
    <row r="2512" spans="1:16" x14ac:dyDescent="0.3">
      <c r="A2512" s="3" t="s">
        <v>61</v>
      </c>
      <c r="B2512" s="3" t="s">
        <v>61</v>
      </c>
      <c r="C2512" s="3" t="s">
        <v>87</v>
      </c>
      <c r="D2512" s="3" t="s">
        <v>76</v>
      </c>
      <c r="E2512" s="3"/>
      <c r="F2512" s="3" t="b">
        <v>1</v>
      </c>
      <c r="G2512" s="3" t="s">
        <v>32</v>
      </c>
      <c r="H2512" s="6">
        <v>44946.959351851852</v>
      </c>
      <c r="I2512" s="3" t="b">
        <v>0</v>
      </c>
      <c r="J2512" s="3" t="b">
        <v>0</v>
      </c>
      <c r="K2512" s="3" t="s">
        <v>33</v>
      </c>
      <c r="L2512" s="3" t="s">
        <v>48</v>
      </c>
      <c r="M2512" s="8"/>
      <c r="N2512" s="11">
        <v>60</v>
      </c>
      <c r="O2512" s="3" t="s">
        <v>1065</v>
      </c>
      <c r="P2512" s="3" t="s">
        <v>1066</v>
      </c>
    </row>
    <row r="2513" spans="1:16" x14ac:dyDescent="0.3">
      <c r="A2513" s="3" t="s">
        <v>61</v>
      </c>
      <c r="B2513" s="3" t="s">
        <v>1106</v>
      </c>
      <c r="C2513" s="3" t="s">
        <v>1107</v>
      </c>
      <c r="D2513" s="3" t="s">
        <v>444</v>
      </c>
      <c r="E2513" s="3" t="s">
        <v>31</v>
      </c>
      <c r="F2513" s="3" t="b">
        <v>0</v>
      </c>
      <c r="G2513" s="3" t="s">
        <v>58</v>
      </c>
      <c r="H2513" s="6">
        <v>44929.209317129629</v>
      </c>
      <c r="I2513" s="3" t="b">
        <v>0</v>
      </c>
      <c r="J2513" s="3" t="b">
        <v>0</v>
      </c>
      <c r="K2513" s="3" t="s">
        <v>33</v>
      </c>
      <c r="L2513" s="3" t="s">
        <v>34</v>
      </c>
      <c r="M2513" s="8">
        <v>112025</v>
      </c>
      <c r="N2513" s="11"/>
      <c r="O2513" s="3" t="s">
        <v>119</v>
      </c>
      <c r="P2513" s="3" t="s">
        <v>1108</v>
      </c>
    </row>
    <row r="2514" spans="1:16" x14ac:dyDescent="0.3">
      <c r="A2514" s="3" t="s">
        <v>61</v>
      </c>
      <c r="B2514" s="3" t="s">
        <v>61</v>
      </c>
      <c r="C2514" s="3" t="s">
        <v>164</v>
      </c>
      <c r="D2514" s="3" t="s">
        <v>705</v>
      </c>
      <c r="E2514" s="3" t="s">
        <v>31</v>
      </c>
      <c r="F2514" s="3" t="b">
        <v>0</v>
      </c>
      <c r="G2514" s="3" t="s">
        <v>64</v>
      </c>
      <c r="H2514" s="6">
        <v>44949.541631944441</v>
      </c>
      <c r="I2514" s="3" t="b">
        <v>0</v>
      </c>
      <c r="J2514" s="3" t="b">
        <v>0</v>
      </c>
      <c r="K2514" s="3" t="s">
        <v>33</v>
      </c>
      <c r="L2514" s="3" t="s">
        <v>34</v>
      </c>
      <c r="M2514" s="8">
        <v>155000</v>
      </c>
      <c r="N2514" s="11"/>
      <c r="O2514" s="3" t="s">
        <v>196</v>
      </c>
      <c r="P2514" s="3" t="s">
        <v>1205</v>
      </c>
    </row>
    <row r="2515" spans="1:16" x14ac:dyDescent="0.3">
      <c r="A2515" s="3" t="s">
        <v>61</v>
      </c>
      <c r="B2515" s="3" t="s">
        <v>1227</v>
      </c>
      <c r="C2515" s="3" t="s">
        <v>164</v>
      </c>
      <c r="D2515" s="3" t="s">
        <v>93</v>
      </c>
      <c r="E2515" s="3" t="s">
        <v>31</v>
      </c>
      <c r="F2515" s="3" t="b">
        <v>0</v>
      </c>
      <c r="G2515" s="3" t="s">
        <v>64</v>
      </c>
      <c r="H2515" s="6">
        <v>44946.166678240741</v>
      </c>
      <c r="I2515" s="3" t="b">
        <v>0</v>
      </c>
      <c r="J2515" s="3" t="b">
        <v>0</v>
      </c>
      <c r="K2515" s="3" t="s">
        <v>33</v>
      </c>
      <c r="L2515" s="3" t="s">
        <v>34</v>
      </c>
      <c r="M2515" s="8">
        <v>115000</v>
      </c>
      <c r="N2515" s="11"/>
      <c r="O2515" s="3" t="s">
        <v>1228</v>
      </c>
      <c r="P2515" s="3" t="s">
        <v>374</v>
      </c>
    </row>
    <row r="2516" spans="1:16" x14ac:dyDescent="0.3">
      <c r="A2516" s="3" t="s">
        <v>61</v>
      </c>
      <c r="B2516" s="3" t="s">
        <v>61</v>
      </c>
      <c r="C2516" s="3" t="s">
        <v>945</v>
      </c>
      <c r="D2516" s="3" t="s">
        <v>76</v>
      </c>
      <c r="E2516" s="3" t="s">
        <v>31</v>
      </c>
      <c r="F2516" s="3" t="b">
        <v>0</v>
      </c>
      <c r="G2516" s="3" t="s">
        <v>32</v>
      </c>
      <c r="H2516" s="6">
        <v>44956.792384259257</v>
      </c>
      <c r="I2516" s="3" t="b">
        <v>1</v>
      </c>
      <c r="J2516" s="3" t="b">
        <v>1</v>
      </c>
      <c r="K2516" s="3" t="s">
        <v>33</v>
      </c>
      <c r="L2516" s="3" t="s">
        <v>34</v>
      </c>
      <c r="M2516" s="8">
        <v>100379.765625</v>
      </c>
      <c r="N2516" s="11"/>
      <c r="O2516" s="3" t="s">
        <v>1243</v>
      </c>
      <c r="P2516" s="3" t="s">
        <v>1180</v>
      </c>
    </row>
    <row r="2517" spans="1:16" x14ac:dyDescent="0.3">
      <c r="A2517" s="3" t="s">
        <v>61</v>
      </c>
      <c r="B2517" s="3" t="s">
        <v>61</v>
      </c>
      <c r="C2517" s="3" t="s">
        <v>1244</v>
      </c>
      <c r="D2517" s="3" t="s">
        <v>53</v>
      </c>
      <c r="E2517" s="3" t="s">
        <v>31</v>
      </c>
      <c r="F2517" s="3" t="b">
        <v>0</v>
      </c>
      <c r="G2517" s="3" t="s">
        <v>32</v>
      </c>
      <c r="H2517" s="6">
        <v>44942.428738425922</v>
      </c>
      <c r="I2517" s="3" t="b">
        <v>0</v>
      </c>
      <c r="J2517" s="3" t="b">
        <v>1</v>
      </c>
      <c r="K2517" s="3" t="s">
        <v>33</v>
      </c>
      <c r="L2517" s="3" t="s">
        <v>34</v>
      </c>
      <c r="M2517" s="8">
        <v>145000</v>
      </c>
      <c r="N2517" s="11"/>
      <c r="O2517" s="3" t="s">
        <v>1245</v>
      </c>
      <c r="P2517" s="3" t="s">
        <v>1246</v>
      </c>
    </row>
    <row r="2518" spans="1:16" x14ac:dyDescent="0.3">
      <c r="A2518" s="3" t="s">
        <v>61</v>
      </c>
      <c r="B2518" s="3" t="s">
        <v>1247</v>
      </c>
      <c r="C2518" s="3" t="s">
        <v>520</v>
      </c>
      <c r="D2518" s="3" t="s">
        <v>76</v>
      </c>
      <c r="E2518" s="3" t="s">
        <v>31</v>
      </c>
      <c r="F2518" s="3" t="b">
        <v>0</v>
      </c>
      <c r="G2518" s="3" t="s">
        <v>88</v>
      </c>
      <c r="H2518" s="6">
        <v>44928.376331018517</v>
      </c>
      <c r="I2518" s="3" t="b">
        <v>0</v>
      </c>
      <c r="J2518" s="3" t="b">
        <v>1</v>
      </c>
      <c r="K2518" s="3" t="s">
        <v>33</v>
      </c>
      <c r="L2518" s="3" t="s">
        <v>34</v>
      </c>
      <c r="M2518" s="8">
        <v>102500</v>
      </c>
      <c r="N2518" s="11"/>
      <c r="O2518" s="3" t="s">
        <v>1248</v>
      </c>
      <c r="P2518" s="3" t="s">
        <v>1249</v>
      </c>
    </row>
    <row r="2519" spans="1:16" x14ac:dyDescent="0.3">
      <c r="A2519" s="3" t="s">
        <v>61</v>
      </c>
      <c r="B2519" s="3" t="s">
        <v>61</v>
      </c>
      <c r="C2519" s="3" t="s">
        <v>1318</v>
      </c>
      <c r="D2519" s="3" t="s">
        <v>760</v>
      </c>
      <c r="E2519" s="3" t="s">
        <v>133</v>
      </c>
      <c r="F2519" s="3" t="b">
        <v>0</v>
      </c>
      <c r="G2519" s="3" t="s">
        <v>84</v>
      </c>
      <c r="H2519" s="6">
        <v>44957.584409722222</v>
      </c>
      <c r="I2519" s="3" t="b">
        <v>1</v>
      </c>
      <c r="J2519" s="3" t="b">
        <v>0</v>
      </c>
      <c r="K2519" s="3" t="s">
        <v>33</v>
      </c>
      <c r="L2519" s="3" t="s">
        <v>48</v>
      </c>
      <c r="M2519" s="8"/>
      <c r="N2519" s="11">
        <v>56</v>
      </c>
      <c r="O2519" s="3" t="s">
        <v>761</v>
      </c>
      <c r="P2519" s="3" t="s">
        <v>1319</v>
      </c>
    </row>
    <row r="2520" spans="1:16" x14ac:dyDescent="0.3">
      <c r="A2520" s="3" t="s">
        <v>61</v>
      </c>
      <c r="B2520" s="3" t="s">
        <v>1404</v>
      </c>
      <c r="C2520" s="3" t="s">
        <v>1405</v>
      </c>
      <c r="D2520" s="3" t="s">
        <v>93</v>
      </c>
      <c r="E2520" s="3" t="s">
        <v>31</v>
      </c>
      <c r="F2520" s="3" t="b">
        <v>0</v>
      </c>
      <c r="G2520" s="3" t="s">
        <v>84</v>
      </c>
      <c r="H2520" s="6">
        <v>44930.545416666668</v>
      </c>
      <c r="I2520" s="3" t="b">
        <v>0</v>
      </c>
      <c r="J2520" s="3" t="b">
        <v>1</v>
      </c>
      <c r="K2520" s="3" t="s">
        <v>33</v>
      </c>
      <c r="L2520" s="3" t="s">
        <v>34</v>
      </c>
      <c r="M2520" s="8">
        <v>115000</v>
      </c>
      <c r="N2520" s="11"/>
      <c r="O2520" s="3" t="s">
        <v>784</v>
      </c>
      <c r="P2520" s="3" t="s">
        <v>1406</v>
      </c>
    </row>
    <row r="2521" spans="1:16" x14ac:dyDescent="0.3">
      <c r="A2521" s="3" t="s">
        <v>61</v>
      </c>
      <c r="B2521" s="3" t="s">
        <v>513</v>
      </c>
      <c r="C2521" s="3" t="s">
        <v>641</v>
      </c>
      <c r="D2521" s="3" t="s">
        <v>1439</v>
      </c>
      <c r="E2521" s="3" t="s">
        <v>31</v>
      </c>
      <c r="F2521" s="3" t="b">
        <v>0</v>
      </c>
      <c r="G2521" s="3" t="s">
        <v>88</v>
      </c>
      <c r="H2521" s="6">
        <v>44939.336562500001</v>
      </c>
      <c r="I2521" s="3" t="b">
        <v>0</v>
      </c>
      <c r="J2521" s="3" t="b">
        <v>0</v>
      </c>
      <c r="K2521" s="3" t="s">
        <v>33</v>
      </c>
      <c r="L2521" s="3" t="s">
        <v>34</v>
      </c>
      <c r="M2521" s="8">
        <v>146500</v>
      </c>
      <c r="N2521" s="11"/>
      <c r="O2521" s="3" t="s">
        <v>119</v>
      </c>
      <c r="P2521" s="3" t="s">
        <v>515</v>
      </c>
    </row>
    <row r="2522" spans="1:16" x14ac:dyDescent="0.3">
      <c r="A2522" s="3" t="s">
        <v>61</v>
      </c>
      <c r="B2522" s="3" t="s">
        <v>61</v>
      </c>
      <c r="C2522" s="3" t="s">
        <v>1440</v>
      </c>
      <c r="D2522" s="3" t="s">
        <v>93</v>
      </c>
      <c r="E2522" s="3" t="s">
        <v>31</v>
      </c>
      <c r="F2522" s="3" t="b">
        <v>0</v>
      </c>
      <c r="G2522" s="3" t="s">
        <v>64</v>
      </c>
      <c r="H2522" s="6">
        <v>44933.29173611111</v>
      </c>
      <c r="I2522" s="3" t="b">
        <v>1</v>
      </c>
      <c r="J2522" s="3" t="b">
        <v>1</v>
      </c>
      <c r="K2522" s="3" t="s">
        <v>33</v>
      </c>
      <c r="L2522" s="3" t="s">
        <v>34</v>
      </c>
      <c r="M2522" s="8">
        <v>115000</v>
      </c>
      <c r="N2522" s="11"/>
      <c r="O2522" s="3" t="s">
        <v>689</v>
      </c>
      <c r="P2522" s="3" t="s">
        <v>1441</v>
      </c>
    </row>
    <row r="2523" spans="1:16" x14ac:dyDescent="0.3">
      <c r="A2523" s="3" t="s">
        <v>61</v>
      </c>
      <c r="B2523" s="3" t="s">
        <v>1491</v>
      </c>
      <c r="C2523" s="3" t="s">
        <v>369</v>
      </c>
      <c r="D2523" s="3" t="s">
        <v>53</v>
      </c>
      <c r="E2523" s="3" t="s">
        <v>31</v>
      </c>
      <c r="F2523" s="3" t="b">
        <v>0</v>
      </c>
      <c r="G2523" s="3" t="s">
        <v>64</v>
      </c>
      <c r="H2523" s="6">
        <v>44947.500243055547</v>
      </c>
      <c r="I2523" s="3" t="b">
        <v>0</v>
      </c>
      <c r="J2523" s="3" t="b">
        <v>0</v>
      </c>
      <c r="K2523" s="3" t="s">
        <v>33</v>
      </c>
      <c r="L2523" s="3" t="s">
        <v>34</v>
      </c>
      <c r="M2523" s="8">
        <v>112500</v>
      </c>
      <c r="N2523" s="11"/>
      <c r="O2523" s="3" t="s">
        <v>224</v>
      </c>
      <c r="P2523" s="3" t="s">
        <v>1492</v>
      </c>
    </row>
    <row r="2524" spans="1:16" x14ac:dyDescent="0.3">
      <c r="A2524" s="3" t="s">
        <v>61</v>
      </c>
      <c r="B2524" s="3" t="s">
        <v>1514</v>
      </c>
      <c r="C2524" s="3" t="s">
        <v>87</v>
      </c>
      <c r="D2524" s="3" t="s">
        <v>76</v>
      </c>
      <c r="E2524" s="3" t="s">
        <v>31</v>
      </c>
      <c r="F2524" s="3" t="b">
        <v>1</v>
      </c>
      <c r="G2524" s="3" t="s">
        <v>32</v>
      </c>
      <c r="H2524" s="6">
        <v>44929.644861111112</v>
      </c>
      <c r="I2524" s="3" t="b">
        <v>1</v>
      </c>
      <c r="J2524" s="3" t="b">
        <v>0</v>
      </c>
      <c r="K2524" s="3" t="s">
        <v>33</v>
      </c>
      <c r="L2524" s="3" t="s">
        <v>48</v>
      </c>
      <c r="M2524" s="8"/>
      <c r="N2524" s="11">
        <v>112.5</v>
      </c>
      <c r="O2524" s="3" t="s">
        <v>1515</v>
      </c>
      <c r="P2524" s="3" t="s">
        <v>1516</v>
      </c>
    </row>
    <row r="2525" spans="1:16" x14ac:dyDescent="0.3">
      <c r="A2525" s="3" t="s">
        <v>61</v>
      </c>
      <c r="B2525" s="3" t="s">
        <v>61</v>
      </c>
      <c r="C2525" s="3" t="s">
        <v>1526</v>
      </c>
      <c r="D2525" s="3" t="s">
        <v>41</v>
      </c>
      <c r="E2525" s="3" t="s">
        <v>31</v>
      </c>
      <c r="F2525" s="3" t="b">
        <v>0</v>
      </c>
      <c r="G2525" s="3" t="s">
        <v>355</v>
      </c>
      <c r="H2525" s="6">
        <v>44957.704328703701</v>
      </c>
      <c r="I2525" s="3" t="b">
        <v>0</v>
      </c>
      <c r="J2525" s="3" t="b">
        <v>0</v>
      </c>
      <c r="K2525" s="3" t="s">
        <v>355</v>
      </c>
      <c r="L2525" s="3" t="s">
        <v>34</v>
      </c>
      <c r="M2525" s="8">
        <v>111175</v>
      </c>
      <c r="N2525" s="11"/>
      <c r="O2525" s="3" t="s">
        <v>1527</v>
      </c>
      <c r="P2525" s="3" t="s">
        <v>1528</v>
      </c>
    </row>
    <row r="2526" spans="1:16" x14ac:dyDescent="0.3">
      <c r="A2526" s="3" t="s">
        <v>61</v>
      </c>
      <c r="B2526" s="3" t="s">
        <v>1534</v>
      </c>
      <c r="C2526" s="3" t="s">
        <v>314</v>
      </c>
      <c r="D2526" s="3" t="s">
        <v>188</v>
      </c>
      <c r="E2526" s="3" t="s">
        <v>133</v>
      </c>
      <c r="F2526" s="3" t="b">
        <v>0</v>
      </c>
      <c r="G2526" s="3" t="s">
        <v>64</v>
      </c>
      <c r="H2526" s="6">
        <v>44949.958518518521</v>
      </c>
      <c r="I2526" s="3" t="b">
        <v>1</v>
      </c>
      <c r="J2526" s="3" t="b">
        <v>0</v>
      </c>
      <c r="K2526" s="3" t="s">
        <v>33</v>
      </c>
      <c r="L2526" s="3" t="s">
        <v>48</v>
      </c>
      <c r="M2526" s="8"/>
      <c r="N2526" s="11">
        <v>84.5</v>
      </c>
      <c r="O2526" s="3" t="s">
        <v>315</v>
      </c>
      <c r="P2526" s="3" t="s">
        <v>1535</v>
      </c>
    </row>
    <row r="2527" spans="1:16" x14ac:dyDescent="0.3">
      <c r="A2527" s="3" t="s">
        <v>61</v>
      </c>
      <c r="B2527" s="3" t="s">
        <v>61</v>
      </c>
      <c r="C2527" s="3" t="s">
        <v>565</v>
      </c>
      <c r="D2527" s="3" t="s">
        <v>1113</v>
      </c>
      <c r="E2527" s="3" t="s">
        <v>31</v>
      </c>
      <c r="F2527" s="3" t="b">
        <v>0</v>
      </c>
      <c r="G2527" s="3" t="s">
        <v>140</v>
      </c>
      <c r="H2527" s="6">
        <v>44943.698958333327</v>
      </c>
      <c r="I2527" s="3" t="b">
        <v>0</v>
      </c>
      <c r="J2527" s="3" t="b">
        <v>1</v>
      </c>
      <c r="K2527" s="3" t="s">
        <v>33</v>
      </c>
      <c r="L2527" s="3" t="s">
        <v>34</v>
      </c>
      <c r="M2527" s="8">
        <v>79450</v>
      </c>
      <c r="N2527" s="11"/>
      <c r="O2527" s="3" t="s">
        <v>1693</v>
      </c>
      <c r="P2527" s="3" t="s">
        <v>1694</v>
      </c>
    </row>
    <row r="2528" spans="1:16" x14ac:dyDescent="0.3">
      <c r="A2528" s="3" t="s">
        <v>61</v>
      </c>
      <c r="B2528" s="3" t="s">
        <v>1733</v>
      </c>
      <c r="C2528" s="3" t="s">
        <v>641</v>
      </c>
      <c r="D2528" s="3" t="s">
        <v>93</v>
      </c>
      <c r="E2528" s="3" t="s">
        <v>31</v>
      </c>
      <c r="F2528" s="3" t="b">
        <v>0</v>
      </c>
      <c r="G2528" s="3" t="s">
        <v>88</v>
      </c>
      <c r="H2528" s="6">
        <v>44928.459814814807</v>
      </c>
      <c r="I2528" s="3" t="b">
        <v>0</v>
      </c>
      <c r="J2528" s="3" t="b">
        <v>0</v>
      </c>
      <c r="K2528" s="3" t="s">
        <v>33</v>
      </c>
      <c r="L2528" s="3" t="s">
        <v>34</v>
      </c>
      <c r="M2528" s="8">
        <v>115000</v>
      </c>
      <c r="N2528" s="11"/>
      <c r="O2528" s="3" t="s">
        <v>267</v>
      </c>
      <c r="P2528" s="3"/>
    </row>
    <row r="2529" spans="1:16" x14ac:dyDescent="0.3">
      <c r="A2529" s="3" t="s">
        <v>61</v>
      </c>
      <c r="B2529" s="3" t="s">
        <v>1849</v>
      </c>
      <c r="C2529" s="3" t="s">
        <v>87</v>
      </c>
      <c r="D2529" s="3" t="s">
        <v>1850</v>
      </c>
      <c r="E2529" s="3" t="s">
        <v>31</v>
      </c>
      <c r="F2529" s="3" t="b">
        <v>1</v>
      </c>
      <c r="G2529" s="3" t="s">
        <v>32</v>
      </c>
      <c r="H2529" s="6">
        <v>44928.708657407413</v>
      </c>
      <c r="I2529" s="3" t="b">
        <v>0</v>
      </c>
      <c r="J2529" s="3" t="b">
        <v>0</v>
      </c>
      <c r="K2529" s="3" t="s">
        <v>33</v>
      </c>
      <c r="L2529" s="3" t="s">
        <v>48</v>
      </c>
      <c r="M2529" s="8"/>
      <c r="N2529" s="11">
        <v>13</v>
      </c>
      <c r="O2529" s="3" t="s">
        <v>1851</v>
      </c>
      <c r="P2529" s="3" t="s">
        <v>1852</v>
      </c>
    </row>
    <row r="2530" spans="1:16" x14ac:dyDescent="0.3">
      <c r="A2530" s="3" t="s">
        <v>61</v>
      </c>
      <c r="B2530" s="3" t="s">
        <v>1936</v>
      </c>
      <c r="C2530" s="3" t="s">
        <v>40</v>
      </c>
      <c r="D2530" s="3" t="s">
        <v>41</v>
      </c>
      <c r="E2530" s="3" t="s">
        <v>31</v>
      </c>
      <c r="F2530" s="3" t="b">
        <v>0</v>
      </c>
      <c r="G2530" s="3" t="s">
        <v>42</v>
      </c>
      <c r="H2530" s="6">
        <v>44944.801666666674</v>
      </c>
      <c r="I2530" s="3" t="b">
        <v>0</v>
      </c>
      <c r="J2530" s="3" t="b">
        <v>0</v>
      </c>
      <c r="K2530" s="3" t="s">
        <v>42</v>
      </c>
      <c r="L2530" s="3" t="s">
        <v>34</v>
      </c>
      <c r="M2530" s="8">
        <v>111175</v>
      </c>
      <c r="N2530" s="11"/>
      <c r="O2530" s="3" t="s">
        <v>1937</v>
      </c>
      <c r="P2530" s="3" t="s">
        <v>1938</v>
      </c>
    </row>
    <row r="2531" spans="1:16" x14ac:dyDescent="0.3">
      <c r="A2531" s="3" t="s">
        <v>61</v>
      </c>
      <c r="B2531" s="3" t="s">
        <v>2082</v>
      </c>
      <c r="C2531" s="3" t="s">
        <v>87</v>
      </c>
      <c r="D2531" s="3" t="s">
        <v>2083</v>
      </c>
      <c r="E2531" s="3" t="s">
        <v>31</v>
      </c>
      <c r="F2531" s="3" t="b">
        <v>1</v>
      </c>
      <c r="G2531" s="3" t="s">
        <v>32</v>
      </c>
      <c r="H2531" s="6">
        <v>44957.000891203701</v>
      </c>
      <c r="I2531" s="3" t="b">
        <v>1</v>
      </c>
      <c r="J2531" s="3" t="b">
        <v>0</v>
      </c>
      <c r="K2531" s="3" t="s">
        <v>33</v>
      </c>
      <c r="L2531" s="3" t="s">
        <v>48</v>
      </c>
      <c r="M2531" s="8"/>
      <c r="N2531" s="11">
        <v>26</v>
      </c>
      <c r="O2531" s="3" t="s">
        <v>2084</v>
      </c>
      <c r="P2531" s="3"/>
    </row>
    <row r="2532" spans="1:16" x14ac:dyDescent="0.3">
      <c r="A2532" s="3" t="s">
        <v>61</v>
      </c>
      <c r="B2532" s="3" t="s">
        <v>2108</v>
      </c>
      <c r="C2532" s="3" t="s">
        <v>2109</v>
      </c>
      <c r="D2532" s="3" t="s">
        <v>41</v>
      </c>
      <c r="E2532" s="3" t="s">
        <v>31</v>
      </c>
      <c r="F2532" s="3" t="b">
        <v>0</v>
      </c>
      <c r="G2532" s="3" t="s">
        <v>69</v>
      </c>
      <c r="H2532" s="6">
        <v>44945.462141203701</v>
      </c>
      <c r="I2532" s="3" t="b">
        <v>0</v>
      </c>
      <c r="J2532" s="3" t="b">
        <v>0</v>
      </c>
      <c r="K2532" s="3" t="s">
        <v>69</v>
      </c>
      <c r="L2532" s="3" t="s">
        <v>34</v>
      </c>
      <c r="M2532" s="8">
        <v>89100</v>
      </c>
      <c r="N2532" s="11"/>
      <c r="O2532" s="3" t="s">
        <v>356</v>
      </c>
      <c r="P2532" s="3" t="s">
        <v>1837</v>
      </c>
    </row>
    <row r="2533" spans="1:16" x14ac:dyDescent="0.3">
      <c r="A2533" s="3" t="s">
        <v>61</v>
      </c>
      <c r="B2533" s="3" t="s">
        <v>2119</v>
      </c>
      <c r="C2533" s="3" t="s">
        <v>87</v>
      </c>
      <c r="D2533" s="3" t="s">
        <v>76</v>
      </c>
      <c r="E2533" s="3" t="s">
        <v>31</v>
      </c>
      <c r="F2533" s="3" t="b">
        <v>1</v>
      </c>
      <c r="G2533" s="3" t="s">
        <v>64</v>
      </c>
      <c r="H2533" s="6">
        <v>44934.8749537037</v>
      </c>
      <c r="I2533" s="3" t="b">
        <v>1</v>
      </c>
      <c r="J2533" s="3" t="b">
        <v>1</v>
      </c>
      <c r="K2533" s="3" t="s">
        <v>33</v>
      </c>
      <c r="L2533" s="3" t="s">
        <v>34</v>
      </c>
      <c r="M2533" s="8">
        <v>126000</v>
      </c>
      <c r="N2533" s="11"/>
      <c r="O2533" s="3" t="s">
        <v>2120</v>
      </c>
      <c r="P2533" s="3" t="s">
        <v>2121</v>
      </c>
    </row>
    <row r="2534" spans="1:16" x14ac:dyDescent="0.3">
      <c r="A2534" s="3" t="s">
        <v>61</v>
      </c>
      <c r="B2534" s="3" t="s">
        <v>61</v>
      </c>
      <c r="C2534" s="3" t="s">
        <v>79</v>
      </c>
      <c r="D2534" s="3" t="s">
        <v>30</v>
      </c>
      <c r="E2534" s="3" t="s">
        <v>31</v>
      </c>
      <c r="F2534" s="3" t="b">
        <v>0</v>
      </c>
      <c r="G2534" s="3" t="s">
        <v>58</v>
      </c>
      <c r="H2534" s="6">
        <v>44951.751168981478</v>
      </c>
      <c r="I2534" s="3" t="b">
        <v>1</v>
      </c>
      <c r="J2534" s="3" t="b">
        <v>1</v>
      </c>
      <c r="K2534" s="3" t="s">
        <v>33</v>
      </c>
      <c r="L2534" s="3" t="s">
        <v>34</v>
      </c>
      <c r="M2534" s="8">
        <v>145000</v>
      </c>
      <c r="N2534" s="11"/>
      <c r="O2534" s="3" t="s">
        <v>2122</v>
      </c>
      <c r="P2534" s="3" t="s">
        <v>2123</v>
      </c>
    </row>
    <row r="2535" spans="1:16" x14ac:dyDescent="0.3">
      <c r="A2535" s="3" t="s">
        <v>61</v>
      </c>
      <c r="B2535" s="3" t="s">
        <v>61</v>
      </c>
      <c r="C2535" s="3" t="s">
        <v>835</v>
      </c>
      <c r="D2535" s="3" t="s">
        <v>41</v>
      </c>
      <c r="E2535" s="3" t="s">
        <v>31</v>
      </c>
      <c r="F2535" s="3" t="b">
        <v>0</v>
      </c>
      <c r="G2535" s="3" t="s">
        <v>836</v>
      </c>
      <c r="H2535" s="6">
        <v>44952.107997685183</v>
      </c>
      <c r="I2535" s="3" t="b">
        <v>1</v>
      </c>
      <c r="J2535" s="3" t="b">
        <v>0</v>
      </c>
      <c r="K2535" s="3" t="s">
        <v>836</v>
      </c>
      <c r="L2535" s="3" t="s">
        <v>34</v>
      </c>
      <c r="M2535" s="8">
        <v>111175</v>
      </c>
      <c r="N2535" s="11"/>
      <c r="O2535" s="3" t="s">
        <v>875</v>
      </c>
      <c r="P2535" s="3" t="s">
        <v>2194</v>
      </c>
    </row>
    <row r="2536" spans="1:16" x14ac:dyDescent="0.3">
      <c r="A2536" s="3" t="s">
        <v>61</v>
      </c>
      <c r="B2536" s="3" t="s">
        <v>61</v>
      </c>
      <c r="C2536" s="3" t="s">
        <v>447</v>
      </c>
      <c r="D2536" s="3" t="s">
        <v>41</v>
      </c>
      <c r="E2536" s="3" t="s">
        <v>31</v>
      </c>
      <c r="F2536" s="3" t="b">
        <v>0</v>
      </c>
      <c r="G2536" s="3" t="s">
        <v>32</v>
      </c>
      <c r="H2536" s="6">
        <v>44936.042407407411</v>
      </c>
      <c r="I2536" s="3" t="b">
        <v>0</v>
      </c>
      <c r="J2536" s="3" t="b">
        <v>0</v>
      </c>
      <c r="K2536" s="3" t="s">
        <v>33</v>
      </c>
      <c r="L2536" s="3" t="s">
        <v>34</v>
      </c>
      <c r="M2536" s="8">
        <v>111202</v>
      </c>
      <c r="N2536" s="11"/>
      <c r="O2536" s="3" t="s">
        <v>2209</v>
      </c>
      <c r="P2536" s="3" t="s">
        <v>873</v>
      </c>
    </row>
    <row r="2537" spans="1:16" x14ac:dyDescent="0.3">
      <c r="A2537" s="3" t="s">
        <v>61</v>
      </c>
      <c r="B2537" s="3" t="s">
        <v>2218</v>
      </c>
      <c r="C2537" s="3" t="s">
        <v>520</v>
      </c>
      <c r="D2537" s="3" t="s">
        <v>30</v>
      </c>
      <c r="E2537" s="3" t="s">
        <v>31</v>
      </c>
      <c r="F2537" s="3" t="b">
        <v>0</v>
      </c>
      <c r="G2537" s="3" t="s">
        <v>88</v>
      </c>
      <c r="H2537" s="6">
        <v>44942.72152777778</v>
      </c>
      <c r="I2537" s="3" t="b">
        <v>0</v>
      </c>
      <c r="J2537" s="3" t="b">
        <v>0</v>
      </c>
      <c r="K2537" s="3" t="s">
        <v>33</v>
      </c>
      <c r="L2537" s="3" t="s">
        <v>34</v>
      </c>
      <c r="M2537" s="8">
        <v>92500</v>
      </c>
      <c r="N2537" s="11"/>
      <c r="O2537" s="3" t="s">
        <v>2219</v>
      </c>
      <c r="P2537" s="3" t="s">
        <v>754</v>
      </c>
    </row>
    <row r="2538" spans="1:16" x14ac:dyDescent="0.3">
      <c r="A2538" s="3" t="s">
        <v>61</v>
      </c>
      <c r="B2538" s="3" t="s">
        <v>2239</v>
      </c>
      <c r="C2538" s="3" t="s">
        <v>87</v>
      </c>
      <c r="D2538" s="3" t="s">
        <v>1779</v>
      </c>
      <c r="E2538" s="3" t="s">
        <v>31</v>
      </c>
      <c r="F2538" s="3" t="b">
        <v>1</v>
      </c>
      <c r="G2538" s="3" t="s">
        <v>64</v>
      </c>
      <c r="H2538" s="6">
        <v>44950.333472222221</v>
      </c>
      <c r="I2538" s="3" t="b">
        <v>0</v>
      </c>
      <c r="J2538" s="3" t="b">
        <v>1</v>
      </c>
      <c r="K2538" s="3" t="s">
        <v>33</v>
      </c>
      <c r="L2538" s="3" t="s">
        <v>34</v>
      </c>
      <c r="M2538" s="8">
        <v>126250</v>
      </c>
      <c r="N2538" s="11"/>
      <c r="O2538" s="3" t="s">
        <v>49</v>
      </c>
      <c r="P2538" s="3" t="s">
        <v>2240</v>
      </c>
    </row>
    <row r="2539" spans="1:16" x14ac:dyDescent="0.3">
      <c r="A2539" s="3" t="s">
        <v>61</v>
      </c>
      <c r="B2539" s="3" t="s">
        <v>2248</v>
      </c>
      <c r="C2539" s="3" t="s">
        <v>1628</v>
      </c>
      <c r="D2539" s="3" t="s">
        <v>1872</v>
      </c>
      <c r="E2539" s="3" t="s">
        <v>31</v>
      </c>
      <c r="F2539" s="3" t="b">
        <v>0</v>
      </c>
      <c r="G2539" s="3" t="s">
        <v>88</v>
      </c>
      <c r="H2539" s="6">
        <v>44953.002951388888</v>
      </c>
      <c r="I2539" s="3" t="b">
        <v>0</v>
      </c>
      <c r="J2539" s="3" t="b">
        <v>1</v>
      </c>
      <c r="K2539" s="3" t="s">
        <v>33</v>
      </c>
      <c r="L2539" s="3" t="s">
        <v>48</v>
      </c>
      <c r="M2539" s="8"/>
      <c r="N2539" s="11">
        <v>24</v>
      </c>
      <c r="O2539" s="3" t="s">
        <v>49</v>
      </c>
      <c r="P2539" s="3" t="s">
        <v>2249</v>
      </c>
    </row>
    <row r="2540" spans="1:16" x14ac:dyDescent="0.3">
      <c r="A2540" s="3" t="s">
        <v>61</v>
      </c>
      <c r="B2540" s="3" t="s">
        <v>61</v>
      </c>
      <c r="C2540" s="3" t="s">
        <v>164</v>
      </c>
      <c r="D2540" s="3" t="s">
        <v>30</v>
      </c>
      <c r="E2540" s="3" t="s">
        <v>31</v>
      </c>
      <c r="F2540" s="3" t="b">
        <v>0</v>
      </c>
      <c r="G2540" s="3" t="s">
        <v>64</v>
      </c>
      <c r="H2540" s="6">
        <v>44933.625011574077</v>
      </c>
      <c r="I2540" s="3" t="b">
        <v>0</v>
      </c>
      <c r="J2540" s="3" t="b">
        <v>1</v>
      </c>
      <c r="K2540" s="3" t="s">
        <v>33</v>
      </c>
      <c r="L2540" s="3" t="s">
        <v>34</v>
      </c>
      <c r="M2540" s="8">
        <v>165000</v>
      </c>
      <c r="N2540" s="11"/>
      <c r="O2540" s="3" t="s">
        <v>196</v>
      </c>
      <c r="P2540" s="3" t="s">
        <v>197</v>
      </c>
    </row>
    <row r="2541" spans="1:16" x14ac:dyDescent="0.3">
      <c r="A2541" s="3" t="s">
        <v>61</v>
      </c>
      <c r="B2541" s="3" t="s">
        <v>2717</v>
      </c>
      <c r="C2541" s="3" t="s">
        <v>800</v>
      </c>
      <c r="D2541" s="3" t="s">
        <v>30</v>
      </c>
      <c r="E2541" s="3" t="s">
        <v>31</v>
      </c>
      <c r="F2541" s="3" t="b">
        <v>0</v>
      </c>
      <c r="G2541" s="3" t="s">
        <v>58</v>
      </c>
      <c r="H2541" s="6">
        <v>44931.751307870371</v>
      </c>
      <c r="I2541" s="3" t="b">
        <v>0</v>
      </c>
      <c r="J2541" s="3" t="b">
        <v>0</v>
      </c>
      <c r="K2541" s="3" t="s">
        <v>33</v>
      </c>
      <c r="L2541" s="3" t="s">
        <v>34</v>
      </c>
      <c r="M2541" s="8">
        <v>172500</v>
      </c>
      <c r="N2541" s="11"/>
      <c r="O2541" s="3" t="s">
        <v>315</v>
      </c>
      <c r="P2541" s="3" t="s">
        <v>2573</v>
      </c>
    </row>
    <row r="2542" spans="1:16" x14ac:dyDescent="0.3">
      <c r="A2542" s="3" t="s">
        <v>61</v>
      </c>
      <c r="B2542" s="3" t="s">
        <v>61</v>
      </c>
      <c r="C2542" s="3" t="s">
        <v>520</v>
      </c>
      <c r="D2542" s="3" t="s">
        <v>2761</v>
      </c>
      <c r="E2542" s="3" t="s">
        <v>31</v>
      </c>
      <c r="F2542" s="3" t="b">
        <v>0</v>
      </c>
      <c r="G2542" s="3" t="s">
        <v>88</v>
      </c>
      <c r="H2542" s="6">
        <v>44940.54383101852</v>
      </c>
      <c r="I2542" s="3" t="b">
        <v>0</v>
      </c>
      <c r="J2542" s="3" t="b">
        <v>1</v>
      </c>
      <c r="K2542" s="3" t="s">
        <v>33</v>
      </c>
      <c r="L2542" s="3" t="s">
        <v>48</v>
      </c>
      <c r="M2542" s="8"/>
      <c r="N2542" s="11">
        <v>45.520000457763672</v>
      </c>
      <c r="O2542" s="3" t="s">
        <v>2762</v>
      </c>
      <c r="P2542" s="3" t="s">
        <v>2763</v>
      </c>
    </row>
    <row r="2543" spans="1:16" x14ac:dyDescent="0.3">
      <c r="A2543" s="3" t="s">
        <v>61</v>
      </c>
      <c r="B2543" s="3" t="s">
        <v>2806</v>
      </c>
      <c r="C2543" s="3" t="s">
        <v>173</v>
      </c>
      <c r="D2543" s="3" t="s">
        <v>76</v>
      </c>
      <c r="E2543" s="3" t="s">
        <v>31</v>
      </c>
      <c r="F2543" s="3" t="b">
        <v>0</v>
      </c>
      <c r="G2543" s="3" t="s">
        <v>64</v>
      </c>
      <c r="H2543" s="6">
        <v>44939.875289351847</v>
      </c>
      <c r="I2543" s="3" t="b">
        <v>0</v>
      </c>
      <c r="J2543" s="3" t="b">
        <v>1</v>
      </c>
      <c r="K2543" s="3" t="s">
        <v>33</v>
      </c>
      <c r="L2543" s="3" t="s">
        <v>34</v>
      </c>
      <c r="M2543" s="8">
        <v>113050</v>
      </c>
      <c r="N2543" s="11"/>
      <c r="O2543" s="3" t="s">
        <v>784</v>
      </c>
      <c r="P2543" s="3" t="s">
        <v>2807</v>
      </c>
    </row>
    <row r="2544" spans="1:16" x14ac:dyDescent="0.3">
      <c r="A2544" s="3" t="s">
        <v>61</v>
      </c>
      <c r="B2544" s="3" t="s">
        <v>61</v>
      </c>
      <c r="C2544" s="3" t="s">
        <v>443</v>
      </c>
      <c r="D2544" s="3" t="s">
        <v>93</v>
      </c>
      <c r="E2544" s="3" t="s">
        <v>31</v>
      </c>
      <c r="F2544" s="3" t="b">
        <v>0</v>
      </c>
      <c r="G2544" s="3" t="s">
        <v>32</v>
      </c>
      <c r="H2544" s="6">
        <v>44942.345277777778</v>
      </c>
      <c r="I2544" s="3" t="b">
        <v>0</v>
      </c>
      <c r="J2544" s="3" t="b">
        <v>1</v>
      </c>
      <c r="K2544" s="3" t="s">
        <v>33</v>
      </c>
      <c r="L2544" s="3" t="s">
        <v>34</v>
      </c>
      <c r="M2544" s="8">
        <v>115000</v>
      </c>
      <c r="N2544" s="11"/>
      <c r="O2544" s="3" t="s">
        <v>988</v>
      </c>
      <c r="P2544" s="3" t="s">
        <v>1130</v>
      </c>
    </row>
    <row r="2545" spans="1:16" x14ac:dyDescent="0.3">
      <c r="A2545" s="3" t="s">
        <v>61</v>
      </c>
      <c r="B2545" s="3" t="s">
        <v>2823</v>
      </c>
      <c r="C2545" s="3" t="s">
        <v>800</v>
      </c>
      <c r="D2545" s="3" t="s">
        <v>1666</v>
      </c>
      <c r="E2545" s="3" t="s">
        <v>31</v>
      </c>
      <c r="F2545" s="3" t="b">
        <v>0</v>
      </c>
      <c r="G2545" s="3" t="s">
        <v>110</v>
      </c>
      <c r="H2545" s="6">
        <v>44936.417604166672</v>
      </c>
      <c r="I2545" s="3" t="b">
        <v>0</v>
      </c>
      <c r="J2545" s="3" t="b">
        <v>0</v>
      </c>
      <c r="K2545" s="3" t="s">
        <v>110</v>
      </c>
      <c r="L2545" s="3" t="s">
        <v>34</v>
      </c>
      <c r="M2545" s="8">
        <v>116600</v>
      </c>
      <c r="N2545" s="11"/>
      <c r="O2545" s="3" t="s">
        <v>119</v>
      </c>
      <c r="P2545" s="3" t="s">
        <v>2824</v>
      </c>
    </row>
    <row r="2546" spans="1:16" x14ac:dyDescent="0.3">
      <c r="A2546" s="3" t="s">
        <v>61</v>
      </c>
      <c r="B2546" s="3" t="s">
        <v>2828</v>
      </c>
      <c r="C2546" s="3" t="s">
        <v>321</v>
      </c>
      <c r="D2546" s="3" t="s">
        <v>188</v>
      </c>
      <c r="E2546" s="3" t="s">
        <v>31</v>
      </c>
      <c r="F2546" s="3" t="b">
        <v>0</v>
      </c>
      <c r="G2546" s="3" t="s">
        <v>140</v>
      </c>
      <c r="H2546" s="6">
        <v>44946.652106481481</v>
      </c>
      <c r="I2546" s="3" t="b">
        <v>1</v>
      </c>
      <c r="J2546" s="3" t="b">
        <v>0</v>
      </c>
      <c r="K2546" s="3" t="s">
        <v>33</v>
      </c>
      <c r="L2546" s="3" t="s">
        <v>48</v>
      </c>
      <c r="M2546" s="8"/>
      <c r="N2546" s="11">
        <v>55</v>
      </c>
      <c r="O2546" s="3" t="s">
        <v>526</v>
      </c>
      <c r="P2546" s="3" t="s">
        <v>2829</v>
      </c>
    </row>
    <row r="2547" spans="1:16" x14ac:dyDescent="0.3">
      <c r="A2547" s="3" t="s">
        <v>61</v>
      </c>
      <c r="B2547" s="3" t="s">
        <v>2862</v>
      </c>
      <c r="C2547" s="3" t="s">
        <v>800</v>
      </c>
      <c r="D2547" s="3" t="s">
        <v>2863</v>
      </c>
      <c r="E2547" s="3" t="s">
        <v>31</v>
      </c>
      <c r="F2547" s="3" t="b">
        <v>0</v>
      </c>
      <c r="G2547" s="3" t="s">
        <v>110</v>
      </c>
      <c r="H2547" s="6">
        <v>44928.947557870371</v>
      </c>
      <c r="I2547" s="3" t="b">
        <v>0</v>
      </c>
      <c r="J2547" s="3" t="b">
        <v>0</v>
      </c>
      <c r="K2547" s="3" t="s">
        <v>110</v>
      </c>
      <c r="L2547" s="3" t="s">
        <v>34</v>
      </c>
      <c r="M2547" s="8">
        <v>126815</v>
      </c>
      <c r="N2547" s="11"/>
      <c r="O2547" s="3" t="s">
        <v>119</v>
      </c>
      <c r="P2547" s="3" t="s">
        <v>2864</v>
      </c>
    </row>
    <row r="2548" spans="1:16" x14ac:dyDescent="0.3">
      <c r="A2548" s="3" t="s">
        <v>61</v>
      </c>
      <c r="B2548" s="3" t="s">
        <v>2888</v>
      </c>
      <c r="C2548" s="3" t="s">
        <v>454</v>
      </c>
      <c r="D2548" s="3" t="s">
        <v>41</v>
      </c>
      <c r="E2548" s="3" t="s">
        <v>31</v>
      </c>
      <c r="F2548" s="3" t="b">
        <v>0</v>
      </c>
      <c r="G2548" s="3" t="s">
        <v>455</v>
      </c>
      <c r="H2548" s="6">
        <v>44943.122673611113</v>
      </c>
      <c r="I2548" s="3" t="b">
        <v>0</v>
      </c>
      <c r="J2548" s="3" t="b">
        <v>0</v>
      </c>
      <c r="K2548" s="3" t="s">
        <v>455</v>
      </c>
      <c r="L2548" s="3" t="s">
        <v>34</v>
      </c>
      <c r="M2548" s="8">
        <v>111175</v>
      </c>
      <c r="N2548" s="11"/>
      <c r="O2548" s="3" t="s">
        <v>2889</v>
      </c>
      <c r="P2548" s="3" t="s">
        <v>2890</v>
      </c>
    </row>
    <row r="2549" spans="1:16" x14ac:dyDescent="0.3">
      <c r="A2549" s="3" t="s">
        <v>61</v>
      </c>
      <c r="B2549" s="3" t="s">
        <v>2917</v>
      </c>
      <c r="C2549" s="3" t="s">
        <v>826</v>
      </c>
      <c r="D2549" s="3" t="s">
        <v>106</v>
      </c>
      <c r="E2549" s="3" t="s">
        <v>31</v>
      </c>
      <c r="F2549" s="3" t="b">
        <v>0</v>
      </c>
      <c r="G2549" s="3" t="s">
        <v>88</v>
      </c>
      <c r="H2549" s="6">
        <v>44945.804791666669</v>
      </c>
      <c r="I2549" s="3" t="b">
        <v>0</v>
      </c>
      <c r="J2549" s="3" t="b">
        <v>1</v>
      </c>
      <c r="K2549" s="3" t="s">
        <v>33</v>
      </c>
      <c r="L2549" s="3" t="s">
        <v>34</v>
      </c>
      <c r="M2549" s="8">
        <v>94473.5</v>
      </c>
      <c r="N2549" s="11"/>
      <c r="O2549" s="3" t="s">
        <v>828</v>
      </c>
      <c r="P2549" s="3" t="s">
        <v>2918</v>
      </c>
    </row>
    <row r="2550" spans="1:16" x14ac:dyDescent="0.3">
      <c r="A2550" s="3" t="s">
        <v>61</v>
      </c>
      <c r="B2550" s="3" t="s">
        <v>2944</v>
      </c>
      <c r="C2550" s="3" t="s">
        <v>2074</v>
      </c>
      <c r="D2550" s="3" t="s">
        <v>827</v>
      </c>
      <c r="E2550" s="3" t="s">
        <v>31</v>
      </c>
      <c r="F2550" s="3" t="b">
        <v>0</v>
      </c>
      <c r="G2550" s="3" t="s">
        <v>64</v>
      </c>
      <c r="H2550" s="6">
        <v>44957.083310185182</v>
      </c>
      <c r="I2550" s="3" t="b">
        <v>0</v>
      </c>
      <c r="J2550" s="3" t="b">
        <v>0</v>
      </c>
      <c r="K2550" s="3" t="s">
        <v>33</v>
      </c>
      <c r="L2550" s="3" t="s">
        <v>34</v>
      </c>
      <c r="M2550" s="8">
        <v>85000</v>
      </c>
      <c r="N2550" s="11"/>
      <c r="O2550" s="3" t="s">
        <v>371</v>
      </c>
      <c r="P2550" s="3" t="s">
        <v>2945</v>
      </c>
    </row>
    <row r="2551" spans="1:16" x14ac:dyDescent="0.3">
      <c r="A2551" s="3" t="s">
        <v>61</v>
      </c>
      <c r="B2551" s="3" t="s">
        <v>2985</v>
      </c>
      <c r="C2551" s="3" t="s">
        <v>520</v>
      </c>
      <c r="D2551" s="3" t="s">
        <v>76</v>
      </c>
      <c r="E2551" s="3" t="s">
        <v>31</v>
      </c>
      <c r="F2551" s="3" t="b">
        <v>0</v>
      </c>
      <c r="G2551" s="3" t="s">
        <v>88</v>
      </c>
      <c r="H2551" s="6">
        <v>44956.793622685182</v>
      </c>
      <c r="I2551" s="3" t="b">
        <v>1</v>
      </c>
      <c r="J2551" s="3" t="b">
        <v>1</v>
      </c>
      <c r="K2551" s="3" t="s">
        <v>33</v>
      </c>
      <c r="L2551" s="3" t="s">
        <v>34</v>
      </c>
      <c r="M2551" s="8">
        <v>88513.5546875</v>
      </c>
      <c r="N2551" s="11"/>
      <c r="O2551" s="3" t="s">
        <v>2986</v>
      </c>
      <c r="P2551" s="3" t="s">
        <v>405</v>
      </c>
    </row>
    <row r="2552" spans="1:16" x14ac:dyDescent="0.3">
      <c r="A2552" s="3" t="s">
        <v>61</v>
      </c>
      <c r="B2552" s="3" t="s">
        <v>3017</v>
      </c>
      <c r="C2552" s="3" t="s">
        <v>3018</v>
      </c>
      <c r="D2552" s="3" t="s">
        <v>3019</v>
      </c>
      <c r="E2552" s="3" t="s">
        <v>31</v>
      </c>
      <c r="F2552" s="3" t="b">
        <v>0</v>
      </c>
      <c r="G2552" s="3" t="s">
        <v>88</v>
      </c>
      <c r="H2552" s="6">
        <v>44929.980081018519</v>
      </c>
      <c r="I2552" s="3" t="b">
        <v>0</v>
      </c>
      <c r="J2552" s="3" t="b">
        <v>1</v>
      </c>
      <c r="K2552" s="3" t="s">
        <v>33</v>
      </c>
      <c r="L2552" s="3" t="s">
        <v>48</v>
      </c>
      <c r="M2552" s="8"/>
      <c r="N2552" s="11">
        <v>24</v>
      </c>
      <c r="O2552" s="3" t="s">
        <v>3020</v>
      </c>
      <c r="P2552" s="3" t="s">
        <v>3021</v>
      </c>
    </row>
    <row r="2553" spans="1:16" x14ac:dyDescent="0.3">
      <c r="A2553" s="3" t="s">
        <v>61</v>
      </c>
      <c r="B2553" s="3" t="s">
        <v>61</v>
      </c>
      <c r="C2553" s="3" t="s">
        <v>2106</v>
      </c>
      <c r="D2553" s="3" t="s">
        <v>30</v>
      </c>
      <c r="E2553" s="3" t="s">
        <v>133</v>
      </c>
      <c r="F2553" s="3" t="b">
        <v>0</v>
      </c>
      <c r="G2553" s="3" t="s">
        <v>64</v>
      </c>
      <c r="H2553" s="6">
        <v>44939.79347222222</v>
      </c>
      <c r="I2553" s="3" t="b">
        <v>1</v>
      </c>
      <c r="J2553" s="3" t="b">
        <v>0</v>
      </c>
      <c r="K2553" s="3" t="s">
        <v>33</v>
      </c>
      <c r="L2553" s="3" t="s">
        <v>48</v>
      </c>
      <c r="M2553" s="8"/>
      <c r="N2553" s="11">
        <v>40</v>
      </c>
      <c r="O2553" s="3" t="s">
        <v>2200</v>
      </c>
      <c r="P2553" s="3"/>
    </row>
    <row r="2554" spans="1:16" x14ac:dyDescent="0.3">
      <c r="A2554" s="3" t="s">
        <v>61</v>
      </c>
      <c r="B2554" s="3" t="s">
        <v>3038</v>
      </c>
      <c r="C2554" s="3" t="s">
        <v>79</v>
      </c>
      <c r="D2554" s="3" t="s">
        <v>296</v>
      </c>
      <c r="E2554" s="3" t="s">
        <v>31</v>
      </c>
      <c r="F2554" s="3" t="b">
        <v>0</v>
      </c>
      <c r="G2554" s="3" t="s">
        <v>58</v>
      </c>
      <c r="H2554" s="6">
        <v>44930.020578703698</v>
      </c>
      <c r="I2554" s="3" t="b">
        <v>0</v>
      </c>
      <c r="J2554" s="3" t="b">
        <v>1</v>
      </c>
      <c r="K2554" s="3" t="s">
        <v>33</v>
      </c>
      <c r="L2554" s="3" t="s">
        <v>48</v>
      </c>
      <c r="M2554" s="8"/>
      <c r="N2554" s="11">
        <v>24</v>
      </c>
      <c r="O2554" s="3" t="s">
        <v>3039</v>
      </c>
      <c r="P2554" s="3" t="s">
        <v>3040</v>
      </c>
    </row>
    <row r="2555" spans="1:16" x14ac:dyDescent="0.3">
      <c r="A2555" s="3" t="s">
        <v>61</v>
      </c>
      <c r="B2555" s="3" t="s">
        <v>3041</v>
      </c>
      <c r="C2555" s="3" t="s">
        <v>1649</v>
      </c>
      <c r="D2555" s="3" t="s">
        <v>93</v>
      </c>
      <c r="E2555" s="3" t="s">
        <v>31</v>
      </c>
      <c r="F2555" s="3" t="b">
        <v>0</v>
      </c>
      <c r="G2555" s="3" t="s">
        <v>64</v>
      </c>
      <c r="H2555" s="6">
        <v>44934.375081018523</v>
      </c>
      <c r="I2555" s="3" t="b">
        <v>1</v>
      </c>
      <c r="J2555" s="3" t="b">
        <v>1</v>
      </c>
      <c r="K2555" s="3" t="s">
        <v>33</v>
      </c>
      <c r="L2555" s="3" t="s">
        <v>34</v>
      </c>
      <c r="M2555" s="8">
        <v>125000</v>
      </c>
      <c r="N2555" s="11"/>
      <c r="O2555" s="3" t="s">
        <v>3042</v>
      </c>
      <c r="P2555" s="3" t="s">
        <v>3043</v>
      </c>
    </row>
    <row r="2556" spans="1:16" x14ac:dyDescent="0.3">
      <c r="A2556" s="3" t="s">
        <v>61</v>
      </c>
      <c r="B2556" s="3" t="s">
        <v>3163</v>
      </c>
      <c r="C2556" s="3" t="s">
        <v>57</v>
      </c>
      <c r="D2556" s="3" t="s">
        <v>188</v>
      </c>
      <c r="E2556" s="3" t="s">
        <v>133</v>
      </c>
      <c r="F2556" s="3" t="b">
        <v>0</v>
      </c>
      <c r="G2556" s="3" t="s">
        <v>58</v>
      </c>
      <c r="H2556" s="6">
        <v>44936.709479166668</v>
      </c>
      <c r="I2556" s="3" t="b">
        <v>0</v>
      </c>
      <c r="J2556" s="3" t="b">
        <v>0</v>
      </c>
      <c r="K2556" s="3" t="s">
        <v>33</v>
      </c>
      <c r="L2556" s="3" t="s">
        <v>48</v>
      </c>
      <c r="M2556" s="8"/>
      <c r="N2556" s="11">
        <v>75</v>
      </c>
      <c r="O2556" s="3" t="s">
        <v>315</v>
      </c>
      <c r="P2556" s="3" t="s">
        <v>2573</v>
      </c>
    </row>
    <row r="2557" spans="1:16" x14ac:dyDescent="0.3">
      <c r="A2557" s="3" t="s">
        <v>61</v>
      </c>
      <c r="B2557" s="3" t="s">
        <v>3218</v>
      </c>
      <c r="C2557" s="3" t="s">
        <v>46</v>
      </c>
      <c r="D2557" s="3" t="s">
        <v>47</v>
      </c>
      <c r="E2557" s="3" t="s">
        <v>31</v>
      </c>
      <c r="F2557" s="3" t="b">
        <v>0</v>
      </c>
      <c r="G2557" s="3" t="s">
        <v>32</v>
      </c>
      <c r="H2557" s="6">
        <v>44955.000983796293</v>
      </c>
      <c r="I2557" s="3" t="b">
        <v>0</v>
      </c>
      <c r="J2557" s="3" t="b">
        <v>1</v>
      </c>
      <c r="K2557" s="3" t="s">
        <v>33</v>
      </c>
      <c r="L2557" s="3" t="s">
        <v>48</v>
      </c>
      <c r="M2557" s="8"/>
      <c r="N2557" s="11">
        <v>24</v>
      </c>
      <c r="O2557" s="3" t="s">
        <v>49</v>
      </c>
      <c r="P2557" s="3" t="s">
        <v>3219</v>
      </c>
    </row>
    <row r="2558" spans="1:16" x14ac:dyDescent="0.3">
      <c r="A2558" s="3" t="s">
        <v>61</v>
      </c>
      <c r="B2558" s="3" t="s">
        <v>3282</v>
      </c>
      <c r="C2558" s="3" t="s">
        <v>87</v>
      </c>
      <c r="D2558" s="3" t="s">
        <v>76</v>
      </c>
      <c r="E2558" s="3" t="s">
        <v>31</v>
      </c>
      <c r="F2558" s="3" t="b">
        <v>1</v>
      </c>
      <c r="G2558" s="3" t="s">
        <v>140</v>
      </c>
      <c r="H2558" s="6">
        <v>44937.949131944442</v>
      </c>
      <c r="I2558" s="3" t="b">
        <v>0</v>
      </c>
      <c r="J2558" s="3" t="b">
        <v>0</v>
      </c>
      <c r="K2558" s="3" t="s">
        <v>33</v>
      </c>
      <c r="L2558" s="3" t="s">
        <v>34</v>
      </c>
      <c r="M2558" s="8">
        <v>130000</v>
      </c>
      <c r="N2558" s="11"/>
      <c r="O2558" s="3" t="s">
        <v>638</v>
      </c>
      <c r="P2558" s="3" t="s">
        <v>3283</v>
      </c>
    </row>
    <row r="2559" spans="1:16" x14ac:dyDescent="0.3">
      <c r="A2559" s="3" t="s">
        <v>61</v>
      </c>
      <c r="B2559" s="3" t="s">
        <v>61</v>
      </c>
      <c r="C2559" s="3" t="s">
        <v>258</v>
      </c>
      <c r="D2559" s="3" t="s">
        <v>705</v>
      </c>
      <c r="E2559" s="3" t="s">
        <v>31</v>
      </c>
      <c r="F2559" s="3" t="b">
        <v>0</v>
      </c>
      <c r="G2559" s="3" t="s">
        <v>32</v>
      </c>
      <c r="H2559" s="6">
        <v>44955.583981481483</v>
      </c>
      <c r="I2559" s="3" t="b">
        <v>1</v>
      </c>
      <c r="J2559" s="3" t="b">
        <v>0</v>
      </c>
      <c r="K2559" s="3" t="s">
        <v>33</v>
      </c>
      <c r="L2559" s="3" t="s">
        <v>34</v>
      </c>
      <c r="M2559" s="8">
        <v>115000</v>
      </c>
      <c r="N2559" s="11"/>
      <c r="O2559" s="3" t="s">
        <v>196</v>
      </c>
      <c r="P2559" s="3" t="s">
        <v>3303</v>
      </c>
    </row>
    <row r="2560" spans="1:16" x14ac:dyDescent="0.3">
      <c r="A2560" s="3" t="s">
        <v>61</v>
      </c>
      <c r="B2560" s="3" t="s">
        <v>3361</v>
      </c>
      <c r="C2560" s="3" t="s">
        <v>3362</v>
      </c>
      <c r="D2560" s="3" t="s">
        <v>76</v>
      </c>
      <c r="E2560" s="3" t="s">
        <v>31</v>
      </c>
      <c r="F2560" s="3" t="b">
        <v>0</v>
      </c>
      <c r="G2560" s="3" t="s">
        <v>32</v>
      </c>
      <c r="H2560" s="6">
        <v>44933.125914351847</v>
      </c>
      <c r="I2560" s="3" t="b">
        <v>0</v>
      </c>
      <c r="J2560" s="3" t="b">
        <v>0</v>
      </c>
      <c r="K2560" s="3" t="s">
        <v>33</v>
      </c>
      <c r="L2560" s="3" t="s">
        <v>34</v>
      </c>
      <c r="M2560" s="8">
        <v>96000</v>
      </c>
      <c r="N2560" s="11"/>
      <c r="O2560" s="3" t="s">
        <v>3363</v>
      </c>
      <c r="P2560" s="3" t="s">
        <v>3364</v>
      </c>
    </row>
    <row r="2561" spans="1:16" x14ac:dyDescent="0.3">
      <c r="A2561" s="3" t="s">
        <v>61</v>
      </c>
      <c r="B2561" s="3" t="s">
        <v>61</v>
      </c>
      <c r="C2561" s="3" t="s">
        <v>164</v>
      </c>
      <c r="D2561" s="3" t="s">
        <v>30</v>
      </c>
      <c r="E2561" s="3" t="s">
        <v>31</v>
      </c>
      <c r="F2561" s="3" t="b">
        <v>0</v>
      </c>
      <c r="G2561" s="3" t="s">
        <v>64</v>
      </c>
      <c r="H2561" s="6">
        <v>44930.560601851852</v>
      </c>
      <c r="I2561" s="3" t="b">
        <v>0</v>
      </c>
      <c r="J2561" s="3" t="b">
        <v>0</v>
      </c>
      <c r="K2561" s="3" t="s">
        <v>33</v>
      </c>
      <c r="L2561" s="3" t="s">
        <v>34</v>
      </c>
      <c r="M2561" s="8">
        <v>92500</v>
      </c>
      <c r="N2561" s="11"/>
      <c r="O2561" s="3" t="s">
        <v>3394</v>
      </c>
      <c r="P2561" s="3" t="s">
        <v>3395</v>
      </c>
    </row>
    <row r="2562" spans="1:16" x14ac:dyDescent="0.3">
      <c r="A2562" s="3" t="s">
        <v>61</v>
      </c>
      <c r="B2562" s="3" t="s">
        <v>3411</v>
      </c>
      <c r="C2562" s="3" t="s">
        <v>565</v>
      </c>
      <c r="D2562" s="3" t="s">
        <v>41</v>
      </c>
      <c r="E2562" s="3" t="s">
        <v>31</v>
      </c>
      <c r="F2562" s="3" t="b">
        <v>0</v>
      </c>
      <c r="G2562" s="3" t="s">
        <v>88</v>
      </c>
      <c r="H2562" s="6">
        <v>44951.670775462961</v>
      </c>
      <c r="I2562" s="3" t="b">
        <v>0</v>
      </c>
      <c r="J2562" s="3" t="b">
        <v>1</v>
      </c>
      <c r="K2562" s="3" t="s">
        <v>33</v>
      </c>
      <c r="L2562" s="3" t="s">
        <v>34</v>
      </c>
      <c r="M2562" s="8">
        <v>167000</v>
      </c>
      <c r="N2562" s="11"/>
      <c r="O2562" s="3" t="s">
        <v>875</v>
      </c>
      <c r="P2562" s="3" t="s">
        <v>3412</v>
      </c>
    </row>
    <row r="2563" spans="1:16" x14ac:dyDescent="0.3">
      <c r="A2563" s="3" t="s">
        <v>61</v>
      </c>
      <c r="B2563" s="3" t="s">
        <v>61</v>
      </c>
      <c r="C2563" s="3" t="s">
        <v>92</v>
      </c>
      <c r="D2563" s="3" t="s">
        <v>76</v>
      </c>
      <c r="E2563" s="3" t="s">
        <v>31</v>
      </c>
      <c r="F2563" s="3" t="b">
        <v>0</v>
      </c>
      <c r="G2563" s="3" t="s">
        <v>84</v>
      </c>
      <c r="H2563" s="6">
        <v>44944.502465277779</v>
      </c>
      <c r="I2563" s="3" t="b">
        <v>0</v>
      </c>
      <c r="J2563" s="3" t="b">
        <v>1</v>
      </c>
      <c r="K2563" s="3" t="s">
        <v>33</v>
      </c>
      <c r="L2563" s="3" t="s">
        <v>34</v>
      </c>
      <c r="M2563" s="8">
        <v>82500</v>
      </c>
      <c r="N2563" s="11"/>
      <c r="O2563" s="3" t="s">
        <v>1376</v>
      </c>
      <c r="P2563" s="3" t="s">
        <v>3429</v>
      </c>
    </row>
    <row r="2564" spans="1:16" x14ac:dyDescent="0.3">
      <c r="A2564" s="3" t="s">
        <v>61</v>
      </c>
      <c r="B2564" s="3" t="s">
        <v>3437</v>
      </c>
      <c r="C2564" s="3" t="s">
        <v>435</v>
      </c>
      <c r="D2564" s="3" t="s">
        <v>41</v>
      </c>
      <c r="E2564" s="3" t="s">
        <v>31</v>
      </c>
      <c r="F2564" s="3" t="b">
        <v>0</v>
      </c>
      <c r="G2564" s="3" t="s">
        <v>436</v>
      </c>
      <c r="H2564" s="6">
        <v>44939.592557870368</v>
      </c>
      <c r="I2564" s="3" t="b">
        <v>0</v>
      </c>
      <c r="J2564" s="3" t="b">
        <v>0</v>
      </c>
      <c r="K2564" s="3" t="s">
        <v>436</v>
      </c>
      <c r="L2564" s="3" t="s">
        <v>34</v>
      </c>
      <c r="M2564" s="8">
        <v>149637.5</v>
      </c>
      <c r="N2564" s="11"/>
      <c r="O2564" s="3" t="s">
        <v>1746</v>
      </c>
      <c r="P2564" s="3" t="s">
        <v>3438</v>
      </c>
    </row>
    <row r="2565" spans="1:16" x14ac:dyDescent="0.3">
      <c r="A2565" s="3" t="s">
        <v>61</v>
      </c>
      <c r="B2565" s="3" t="s">
        <v>61</v>
      </c>
      <c r="C2565" s="3" t="s">
        <v>79</v>
      </c>
      <c r="D2565" s="3" t="s">
        <v>296</v>
      </c>
      <c r="E2565" s="3" t="s">
        <v>31</v>
      </c>
      <c r="F2565" s="3" t="b">
        <v>0</v>
      </c>
      <c r="G2565" s="3" t="s">
        <v>58</v>
      </c>
      <c r="H2565" s="6">
        <v>44930.020543981482</v>
      </c>
      <c r="I2565" s="3" t="b">
        <v>0</v>
      </c>
      <c r="J2565" s="3" t="b">
        <v>0</v>
      </c>
      <c r="K2565" s="3" t="s">
        <v>33</v>
      </c>
      <c r="L2565" s="3" t="s">
        <v>48</v>
      </c>
      <c r="M2565" s="8"/>
      <c r="N2565" s="11">
        <v>24</v>
      </c>
      <c r="O2565" s="3" t="s">
        <v>3439</v>
      </c>
      <c r="P2565" s="3" t="s">
        <v>3440</v>
      </c>
    </row>
    <row r="2566" spans="1:16" x14ac:dyDescent="0.3">
      <c r="A2566" s="3" t="s">
        <v>61</v>
      </c>
      <c r="B2566" s="3" t="s">
        <v>3524</v>
      </c>
      <c r="C2566" s="3" t="s">
        <v>835</v>
      </c>
      <c r="D2566" s="3" t="s">
        <v>41</v>
      </c>
      <c r="E2566" s="3" t="s">
        <v>31</v>
      </c>
      <c r="F2566" s="3" t="b">
        <v>0</v>
      </c>
      <c r="G2566" s="3" t="s">
        <v>836</v>
      </c>
      <c r="H2566" s="6">
        <v>44944.361967592587</v>
      </c>
      <c r="I2566" s="3" t="b">
        <v>1</v>
      </c>
      <c r="J2566" s="3" t="b">
        <v>0</v>
      </c>
      <c r="K2566" s="3" t="s">
        <v>836</v>
      </c>
      <c r="L2566" s="3" t="s">
        <v>34</v>
      </c>
      <c r="M2566" s="8">
        <v>111175</v>
      </c>
      <c r="N2566" s="11"/>
      <c r="O2566" s="3" t="s">
        <v>875</v>
      </c>
      <c r="P2566" s="3" t="s">
        <v>3525</v>
      </c>
    </row>
    <row r="2567" spans="1:16" x14ac:dyDescent="0.3">
      <c r="A2567" s="3" t="s">
        <v>61</v>
      </c>
      <c r="B2567" s="3" t="s">
        <v>3527</v>
      </c>
      <c r="C2567" s="3" t="s">
        <v>57</v>
      </c>
      <c r="D2567" s="3" t="s">
        <v>76</v>
      </c>
      <c r="E2567" s="3" t="s">
        <v>31</v>
      </c>
      <c r="F2567" s="3" t="b">
        <v>0</v>
      </c>
      <c r="G2567" s="3" t="s">
        <v>58</v>
      </c>
      <c r="H2567" s="6">
        <v>44931.834398148138</v>
      </c>
      <c r="I2567" s="3" t="b">
        <v>0</v>
      </c>
      <c r="J2567" s="3" t="b">
        <v>1</v>
      </c>
      <c r="K2567" s="3" t="s">
        <v>33</v>
      </c>
      <c r="L2567" s="3" t="s">
        <v>34</v>
      </c>
      <c r="M2567" s="8">
        <v>110000</v>
      </c>
      <c r="N2567" s="11"/>
      <c r="O2567" s="3" t="s">
        <v>3528</v>
      </c>
      <c r="P2567" s="3" t="s">
        <v>3529</v>
      </c>
    </row>
    <row r="2568" spans="1:16" x14ac:dyDescent="0.3">
      <c r="A2568" s="3" t="s">
        <v>61</v>
      </c>
      <c r="B2568" s="3" t="s">
        <v>61</v>
      </c>
      <c r="C2568" s="3"/>
      <c r="D2568" s="3" t="s">
        <v>30</v>
      </c>
      <c r="E2568" s="3" t="s">
        <v>31</v>
      </c>
      <c r="F2568" s="3" t="b">
        <v>0</v>
      </c>
      <c r="G2568" s="3" t="s">
        <v>64</v>
      </c>
      <c r="H2568" s="6">
        <v>44943.666666666657</v>
      </c>
      <c r="I2568" s="3" t="b">
        <v>1</v>
      </c>
      <c r="J2568" s="3" t="b">
        <v>0</v>
      </c>
      <c r="K2568" s="3" t="s">
        <v>33</v>
      </c>
      <c r="L2568" s="3" t="s">
        <v>34</v>
      </c>
      <c r="M2568" s="8">
        <v>120000</v>
      </c>
      <c r="N2568" s="11"/>
      <c r="O2568" s="3" t="s">
        <v>3539</v>
      </c>
      <c r="P2568" s="3" t="s">
        <v>1545</v>
      </c>
    </row>
    <row r="2569" spans="1:16" x14ac:dyDescent="0.3">
      <c r="A2569" s="3" t="s">
        <v>61</v>
      </c>
      <c r="B2569" s="3" t="s">
        <v>3545</v>
      </c>
      <c r="C2569" s="3" t="s">
        <v>87</v>
      </c>
      <c r="D2569" s="3" t="s">
        <v>53</v>
      </c>
      <c r="E2569" s="3" t="s">
        <v>31</v>
      </c>
      <c r="F2569" s="3" t="b">
        <v>1</v>
      </c>
      <c r="G2569" s="3" t="s">
        <v>64</v>
      </c>
      <c r="H2569" s="6">
        <v>44957.041643518518</v>
      </c>
      <c r="I2569" s="3" t="b">
        <v>0</v>
      </c>
      <c r="J2569" s="3" t="b">
        <v>0</v>
      </c>
      <c r="K2569" s="3" t="s">
        <v>33</v>
      </c>
      <c r="L2569" s="3" t="s">
        <v>48</v>
      </c>
      <c r="M2569" s="8"/>
      <c r="N2569" s="11">
        <v>33</v>
      </c>
      <c r="O2569" s="3" t="s">
        <v>3546</v>
      </c>
      <c r="P2569" s="3" t="s">
        <v>3547</v>
      </c>
    </row>
    <row r="2570" spans="1:16" x14ac:dyDescent="0.3">
      <c r="A2570" s="3" t="s">
        <v>61</v>
      </c>
      <c r="B2570" s="3" t="s">
        <v>3548</v>
      </c>
      <c r="C2570" s="3" t="s">
        <v>87</v>
      </c>
      <c r="D2570" s="3" t="s">
        <v>1850</v>
      </c>
      <c r="E2570" s="3" t="s">
        <v>31</v>
      </c>
      <c r="F2570" s="3" t="b">
        <v>1</v>
      </c>
      <c r="G2570" s="3" t="s">
        <v>140</v>
      </c>
      <c r="H2570" s="6">
        <v>44952.699641203697</v>
      </c>
      <c r="I2570" s="3" t="b">
        <v>0</v>
      </c>
      <c r="J2570" s="3" t="b">
        <v>0</v>
      </c>
      <c r="K2570" s="3" t="s">
        <v>33</v>
      </c>
      <c r="L2570" s="3" t="s">
        <v>34</v>
      </c>
      <c r="M2570" s="8">
        <v>130000</v>
      </c>
      <c r="N2570" s="11"/>
      <c r="O2570" s="3" t="s">
        <v>3549</v>
      </c>
      <c r="P2570" s="3" t="s">
        <v>3283</v>
      </c>
    </row>
    <row r="2571" spans="1:16" x14ac:dyDescent="0.3">
      <c r="A2571" s="3" t="s">
        <v>61</v>
      </c>
      <c r="B2571" s="3" t="s">
        <v>3585</v>
      </c>
      <c r="C2571" s="3" t="s">
        <v>447</v>
      </c>
      <c r="D2571" s="3" t="s">
        <v>950</v>
      </c>
      <c r="E2571" s="3" t="s">
        <v>31</v>
      </c>
      <c r="F2571" s="3" t="b">
        <v>0</v>
      </c>
      <c r="G2571" s="3" t="s">
        <v>32</v>
      </c>
      <c r="H2571" s="6">
        <v>44949.542824074073</v>
      </c>
      <c r="I2571" s="3" t="b">
        <v>1</v>
      </c>
      <c r="J2571" s="3" t="b">
        <v>1</v>
      </c>
      <c r="K2571" s="3" t="s">
        <v>33</v>
      </c>
      <c r="L2571" s="3" t="s">
        <v>34</v>
      </c>
      <c r="M2571" s="8">
        <v>149000</v>
      </c>
      <c r="N2571" s="11"/>
      <c r="O2571" s="3" t="s">
        <v>3586</v>
      </c>
      <c r="P2571" s="3" t="s">
        <v>661</v>
      </c>
    </row>
    <row r="2572" spans="1:16" x14ac:dyDescent="0.3">
      <c r="A2572" s="3" t="s">
        <v>61</v>
      </c>
      <c r="B2572" s="3" t="s">
        <v>3603</v>
      </c>
      <c r="C2572" s="3" t="s">
        <v>33</v>
      </c>
      <c r="D2572" s="3" t="s">
        <v>41</v>
      </c>
      <c r="E2572" s="3" t="s">
        <v>31</v>
      </c>
      <c r="F2572" s="3" t="b">
        <v>0</v>
      </c>
      <c r="G2572" s="3" t="s">
        <v>110</v>
      </c>
      <c r="H2572" s="6">
        <v>44954.104004629633</v>
      </c>
      <c r="I2572" s="3" t="b">
        <v>1</v>
      </c>
      <c r="J2572" s="3" t="b">
        <v>0</v>
      </c>
      <c r="K2572" s="3" t="s">
        <v>110</v>
      </c>
      <c r="L2572" s="3" t="s">
        <v>34</v>
      </c>
      <c r="M2572" s="8">
        <v>111175</v>
      </c>
      <c r="N2572" s="11"/>
      <c r="O2572" s="3" t="s">
        <v>3327</v>
      </c>
      <c r="P2572" s="3" t="s">
        <v>873</v>
      </c>
    </row>
    <row r="2573" spans="1:16" x14ac:dyDescent="0.3">
      <c r="A2573" s="3" t="s">
        <v>61</v>
      </c>
      <c r="B2573" s="3" t="s">
        <v>3610</v>
      </c>
      <c r="C2573" s="3" t="s">
        <v>1579</v>
      </c>
      <c r="D2573" s="3" t="s">
        <v>41</v>
      </c>
      <c r="E2573" s="3" t="s">
        <v>31</v>
      </c>
      <c r="F2573" s="3" t="b">
        <v>0</v>
      </c>
      <c r="G2573" s="3" t="s">
        <v>32</v>
      </c>
      <c r="H2573" s="6">
        <v>44953.959652777783</v>
      </c>
      <c r="I2573" s="3" t="b">
        <v>0</v>
      </c>
      <c r="J2573" s="3" t="b">
        <v>0</v>
      </c>
      <c r="K2573" s="3" t="s">
        <v>33</v>
      </c>
      <c r="L2573" s="3" t="s">
        <v>34</v>
      </c>
      <c r="M2573" s="8">
        <v>90000</v>
      </c>
      <c r="N2573" s="11"/>
      <c r="O2573" s="3" t="s">
        <v>1600</v>
      </c>
      <c r="P2573" s="3" t="s">
        <v>3611</v>
      </c>
    </row>
    <row r="2574" spans="1:16" x14ac:dyDescent="0.3">
      <c r="A2574" s="3" t="s">
        <v>61</v>
      </c>
      <c r="B2574" s="3" t="s">
        <v>3625</v>
      </c>
      <c r="C2574" s="3" t="s">
        <v>87</v>
      </c>
      <c r="D2574" s="3" t="s">
        <v>30</v>
      </c>
      <c r="E2574" s="3" t="s">
        <v>31</v>
      </c>
      <c r="F2574" s="3" t="b">
        <v>1</v>
      </c>
      <c r="G2574" s="3" t="s">
        <v>88</v>
      </c>
      <c r="H2574" s="6">
        <v>44942.763090277767</v>
      </c>
      <c r="I2574" s="3" t="b">
        <v>0</v>
      </c>
      <c r="J2574" s="3" t="b">
        <v>0</v>
      </c>
      <c r="K2574" s="3" t="s">
        <v>33</v>
      </c>
      <c r="L2574" s="3" t="s">
        <v>34</v>
      </c>
      <c r="M2574" s="8">
        <v>90000</v>
      </c>
      <c r="N2574" s="11"/>
      <c r="O2574" s="3" t="s">
        <v>2219</v>
      </c>
      <c r="P2574" s="3" t="s">
        <v>754</v>
      </c>
    </row>
    <row r="2575" spans="1:16" x14ac:dyDescent="0.3">
      <c r="A2575" s="3" t="s">
        <v>61</v>
      </c>
      <c r="B2575" s="3" t="s">
        <v>513</v>
      </c>
      <c r="C2575" s="3" t="s">
        <v>3648</v>
      </c>
      <c r="D2575" s="3" t="s">
        <v>3649</v>
      </c>
      <c r="E2575" s="3" t="s">
        <v>31</v>
      </c>
      <c r="F2575" s="3" t="b">
        <v>0</v>
      </c>
      <c r="G2575" s="3" t="s">
        <v>88</v>
      </c>
      <c r="H2575" s="6">
        <v>44954.00267361111</v>
      </c>
      <c r="I2575" s="3" t="b">
        <v>0</v>
      </c>
      <c r="J2575" s="3" t="b">
        <v>0</v>
      </c>
      <c r="K2575" s="3" t="s">
        <v>33</v>
      </c>
      <c r="L2575" s="3" t="s">
        <v>48</v>
      </c>
      <c r="M2575" s="8"/>
      <c r="N2575" s="11">
        <v>24</v>
      </c>
      <c r="O2575" s="3" t="s">
        <v>1445</v>
      </c>
      <c r="P2575" s="3" t="s">
        <v>515</v>
      </c>
    </row>
    <row r="2576" spans="1:16" x14ac:dyDescent="0.3">
      <c r="A2576" s="3" t="s">
        <v>61</v>
      </c>
      <c r="B2576" s="3" t="s">
        <v>3650</v>
      </c>
      <c r="C2576" s="3" t="s">
        <v>164</v>
      </c>
      <c r="D2576" s="3" t="s">
        <v>30</v>
      </c>
      <c r="E2576" s="3" t="s">
        <v>31</v>
      </c>
      <c r="F2576" s="3" t="b">
        <v>0</v>
      </c>
      <c r="G2576" s="3" t="s">
        <v>64</v>
      </c>
      <c r="H2576" s="6">
        <v>44955.541805555556</v>
      </c>
      <c r="I2576" s="3" t="b">
        <v>0</v>
      </c>
      <c r="J2576" s="3" t="b">
        <v>1</v>
      </c>
      <c r="K2576" s="3" t="s">
        <v>33</v>
      </c>
      <c r="L2576" s="3" t="s">
        <v>34</v>
      </c>
      <c r="M2576" s="8">
        <v>75907</v>
      </c>
      <c r="N2576" s="11"/>
      <c r="O2576" s="3" t="s">
        <v>3651</v>
      </c>
      <c r="P2576" s="3" t="s">
        <v>405</v>
      </c>
    </row>
    <row r="2577" spans="1:16" x14ac:dyDescent="0.3">
      <c r="A2577" s="3" t="s">
        <v>61</v>
      </c>
      <c r="B2577" s="3" t="s">
        <v>3656</v>
      </c>
      <c r="C2577" s="3" t="s">
        <v>309</v>
      </c>
      <c r="D2577" s="3" t="s">
        <v>41</v>
      </c>
      <c r="E2577" s="3" t="s">
        <v>31</v>
      </c>
      <c r="F2577" s="3" t="b">
        <v>0</v>
      </c>
      <c r="G2577" s="3" t="s">
        <v>32</v>
      </c>
      <c r="H2577" s="6">
        <v>44939.295706018522</v>
      </c>
      <c r="I2577" s="3" t="b">
        <v>0</v>
      </c>
      <c r="J2577" s="3" t="b">
        <v>1</v>
      </c>
      <c r="K2577" s="3" t="s">
        <v>33</v>
      </c>
      <c r="L2577" s="3" t="s">
        <v>34</v>
      </c>
      <c r="M2577" s="8">
        <v>150500</v>
      </c>
      <c r="N2577" s="11"/>
      <c r="O2577" s="3" t="s">
        <v>310</v>
      </c>
      <c r="P2577" s="3" t="s">
        <v>3657</v>
      </c>
    </row>
    <row r="2578" spans="1:16" x14ac:dyDescent="0.3">
      <c r="A2578" s="3" t="s">
        <v>61</v>
      </c>
      <c r="B2578" s="3" t="s">
        <v>61</v>
      </c>
      <c r="C2578" s="3" t="s">
        <v>417</v>
      </c>
      <c r="D2578" s="3" t="s">
        <v>429</v>
      </c>
      <c r="E2578" s="3" t="s">
        <v>31</v>
      </c>
      <c r="F2578" s="3" t="b">
        <v>0</v>
      </c>
      <c r="G2578" s="3" t="s">
        <v>58</v>
      </c>
      <c r="H2578" s="6">
        <v>44930.020543981482</v>
      </c>
      <c r="I2578" s="3" t="b">
        <v>0</v>
      </c>
      <c r="J2578" s="3" t="b">
        <v>0</v>
      </c>
      <c r="K2578" s="3" t="s">
        <v>33</v>
      </c>
      <c r="L2578" s="3" t="s">
        <v>48</v>
      </c>
      <c r="M2578" s="8"/>
      <c r="N2578" s="11">
        <v>24</v>
      </c>
      <c r="O2578" s="3" t="s">
        <v>3690</v>
      </c>
      <c r="P2578" s="3" t="s">
        <v>3691</v>
      </c>
    </row>
    <row r="2579" spans="1:16" x14ac:dyDescent="0.3">
      <c r="A2579" s="3" t="s">
        <v>61</v>
      </c>
      <c r="B2579" s="3" t="s">
        <v>61</v>
      </c>
      <c r="C2579" s="3" t="s">
        <v>87</v>
      </c>
      <c r="D2579" s="3" t="s">
        <v>30</v>
      </c>
      <c r="E2579" s="3" t="s">
        <v>31</v>
      </c>
      <c r="F2579" s="3" t="b">
        <v>1</v>
      </c>
      <c r="G2579" s="3" t="s">
        <v>58</v>
      </c>
      <c r="H2579" s="6">
        <v>44942.637407407397</v>
      </c>
      <c r="I2579" s="3" t="b">
        <v>1</v>
      </c>
      <c r="J2579" s="3" t="b">
        <v>0</v>
      </c>
      <c r="K2579" s="3" t="s">
        <v>33</v>
      </c>
      <c r="L2579" s="3" t="s">
        <v>34</v>
      </c>
      <c r="M2579" s="8">
        <v>145000</v>
      </c>
      <c r="N2579" s="11"/>
      <c r="O2579" s="3" t="s">
        <v>3697</v>
      </c>
      <c r="P2579" s="3" t="s">
        <v>3698</v>
      </c>
    </row>
    <row r="2580" spans="1:16" x14ac:dyDescent="0.3">
      <c r="A2580" s="3" t="s">
        <v>61</v>
      </c>
      <c r="B2580" s="3" t="s">
        <v>3747</v>
      </c>
      <c r="C2580" s="3" t="s">
        <v>362</v>
      </c>
      <c r="D2580" s="3" t="s">
        <v>53</v>
      </c>
      <c r="E2580" s="3" t="s">
        <v>31</v>
      </c>
      <c r="F2580" s="3" t="b">
        <v>0</v>
      </c>
      <c r="G2580" s="3" t="s">
        <v>64</v>
      </c>
      <c r="H2580" s="6">
        <v>44938.66679398148</v>
      </c>
      <c r="I2580" s="3" t="b">
        <v>0</v>
      </c>
      <c r="J2580" s="3" t="b">
        <v>0</v>
      </c>
      <c r="K2580" s="3" t="s">
        <v>33</v>
      </c>
      <c r="L2580" s="3" t="s">
        <v>34</v>
      </c>
      <c r="M2580" s="8">
        <v>92500</v>
      </c>
      <c r="N2580" s="11"/>
      <c r="O2580" s="3" t="s">
        <v>3748</v>
      </c>
      <c r="P2580" s="3" t="s">
        <v>3749</v>
      </c>
    </row>
    <row r="2581" spans="1:16" x14ac:dyDescent="0.3">
      <c r="A2581" s="3" t="s">
        <v>61</v>
      </c>
      <c r="B2581" s="3" t="s">
        <v>3776</v>
      </c>
      <c r="C2581" s="3" t="s">
        <v>173</v>
      </c>
      <c r="D2581" s="3" t="s">
        <v>30</v>
      </c>
      <c r="E2581" s="3" t="s">
        <v>31</v>
      </c>
      <c r="F2581" s="3" t="b">
        <v>0</v>
      </c>
      <c r="G2581" s="3" t="s">
        <v>64</v>
      </c>
      <c r="H2581" s="6">
        <v>44931.750428240739</v>
      </c>
      <c r="I2581" s="3" t="b">
        <v>0</v>
      </c>
      <c r="J2581" s="3" t="b">
        <v>0</v>
      </c>
      <c r="K2581" s="3" t="s">
        <v>33</v>
      </c>
      <c r="L2581" s="3" t="s">
        <v>48</v>
      </c>
      <c r="M2581" s="8"/>
      <c r="N2581" s="11">
        <v>90.5</v>
      </c>
      <c r="O2581" s="3" t="s">
        <v>3777</v>
      </c>
      <c r="P2581" s="3" t="s">
        <v>3778</v>
      </c>
    </row>
    <row r="2582" spans="1:16" x14ac:dyDescent="0.3">
      <c r="A2582" s="3" t="s">
        <v>61</v>
      </c>
      <c r="B2582" s="3" t="s">
        <v>3785</v>
      </c>
      <c r="C2582" s="3" t="s">
        <v>3786</v>
      </c>
      <c r="D2582" s="3" t="s">
        <v>827</v>
      </c>
      <c r="E2582" s="3" t="s">
        <v>31</v>
      </c>
      <c r="F2582" s="3" t="b">
        <v>0</v>
      </c>
      <c r="G2582" s="3" t="s">
        <v>64</v>
      </c>
      <c r="H2582" s="6">
        <v>44928.958321759259</v>
      </c>
      <c r="I2582" s="3" t="b">
        <v>0</v>
      </c>
      <c r="J2582" s="3" t="b">
        <v>0</v>
      </c>
      <c r="K2582" s="3" t="s">
        <v>33</v>
      </c>
      <c r="L2582" s="3" t="s">
        <v>34</v>
      </c>
      <c r="M2582" s="8">
        <v>114950</v>
      </c>
      <c r="N2582" s="11"/>
      <c r="O2582" s="3" t="s">
        <v>119</v>
      </c>
      <c r="P2582" s="3"/>
    </row>
    <row r="2583" spans="1:16" x14ac:dyDescent="0.3">
      <c r="A2583" s="3" t="s">
        <v>61</v>
      </c>
      <c r="B2583" s="3" t="s">
        <v>3793</v>
      </c>
      <c r="C2583" s="3" t="s">
        <v>3567</v>
      </c>
      <c r="D2583" s="3" t="s">
        <v>30</v>
      </c>
      <c r="E2583" s="3" t="s">
        <v>31</v>
      </c>
      <c r="F2583" s="3" t="b">
        <v>0</v>
      </c>
      <c r="G2583" s="3" t="s">
        <v>64</v>
      </c>
      <c r="H2583" s="6">
        <v>44930.625474537039</v>
      </c>
      <c r="I2583" s="3" t="b">
        <v>0</v>
      </c>
      <c r="J2583" s="3" t="b">
        <v>0</v>
      </c>
      <c r="K2583" s="3" t="s">
        <v>33</v>
      </c>
      <c r="L2583" s="3" t="s">
        <v>48</v>
      </c>
      <c r="M2583" s="8"/>
      <c r="N2583" s="11">
        <v>65</v>
      </c>
      <c r="O2583" s="3" t="s">
        <v>3777</v>
      </c>
      <c r="P2583" s="3" t="s">
        <v>3794</v>
      </c>
    </row>
    <row r="2584" spans="1:16" x14ac:dyDescent="0.3">
      <c r="A2584" s="3" t="s">
        <v>61</v>
      </c>
      <c r="B2584" s="3" t="s">
        <v>61</v>
      </c>
      <c r="C2584" s="3" t="s">
        <v>620</v>
      </c>
      <c r="D2584" s="3" t="s">
        <v>30</v>
      </c>
      <c r="E2584" s="3" t="s">
        <v>31</v>
      </c>
      <c r="F2584" s="3" t="b">
        <v>0</v>
      </c>
      <c r="G2584" s="3" t="s">
        <v>58</v>
      </c>
      <c r="H2584" s="6">
        <v>44929.728807870371</v>
      </c>
      <c r="I2584" s="3" t="b">
        <v>0</v>
      </c>
      <c r="J2584" s="3" t="b">
        <v>0</v>
      </c>
      <c r="K2584" s="3" t="s">
        <v>33</v>
      </c>
      <c r="L2584" s="3" t="s">
        <v>34</v>
      </c>
      <c r="M2584" s="8">
        <v>110000</v>
      </c>
      <c r="N2584" s="11"/>
      <c r="O2584" s="3" t="s">
        <v>2186</v>
      </c>
      <c r="P2584" s="3" t="s">
        <v>3813</v>
      </c>
    </row>
    <row r="2585" spans="1:16" x14ac:dyDescent="0.3">
      <c r="A2585" s="3" t="s">
        <v>61</v>
      </c>
      <c r="B2585" s="3" t="s">
        <v>61</v>
      </c>
      <c r="C2585" s="3" t="s">
        <v>87</v>
      </c>
      <c r="D2585" s="3" t="s">
        <v>30</v>
      </c>
      <c r="E2585" s="3" t="s">
        <v>133</v>
      </c>
      <c r="F2585" s="3" t="b">
        <v>1</v>
      </c>
      <c r="G2585" s="3" t="s">
        <v>32</v>
      </c>
      <c r="H2585" s="6">
        <v>44946.012071759258</v>
      </c>
      <c r="I2585" s="3" t="b">
        <v>0</v>
      </c>
      <c r="J2585" s="3" t="b">
        <v>0</v>
      </c>
      <c r="K2585" s="3" t="s">
        <v>33</v>
      </c>
      <c r="L2585" s="3" t="s">
        <v>48</v>
      </c>
      <c r="M2585" s="8"/>
      <c r="N2585" s="11">
        <v>130</v>
      </c>
      <c r="O2585" s="3" t="s">
        <v>3820</v>
      </c>
      <c r="P2585" s="3" t="s">
        <v>3821</v>
      </c>
    </row>
    <row r="2586" spans="1:16" x14ac:dyDescent="0.3">
      <c r="A2586" s="3" t="s">
        <v>61</v>
      </c>
      <c r="B2586" s="3" t="s">
        <v>3825</v>
      </c>
      <c r="C2586" s="3" t="s">
        <v>2455</v>
      </c>
      <c r="D2586" s="3" t="s">
        <v>41</v>
      </c>
      <c r="E2586" s="3" t="s">
        <v>31</v>
      </c>
      <c r="F2586" s="3" t="b">
        <v>0</v>
      </c>
      <c r="G2586" s="3" t="s">
        <v>2313</v>
      </c>
      <c r="H2586" s="6">
        <v>44936.955833333333</v>
      </c>
      <c r="I2586" s="3" t="b">
        <v>0</v>
      </c>
      <c r="J2586" s="3" t="b">
        <v>0</v>
      </c>
      <c r="K2586" s="3" t="s">
        <v>2313</v>
      </c>
      <c r="L2586" s="3" t="s">
        <v>34</v>
      </c>
      <c r="M2586" s="8">
        <v>111202</v>
      </c>
      <c r="N2586" s="11"/>
      <c r="O2586" s="3" t="s">
        <v>1047</v>
      </c>
      <c r="P2586" s="3" t="s">
        <v>695</v>
      </c>
    </row>
    <row r="2587" spans="1:16" x14ac:dyDescent="0.3">
      <c r="A2587" s="3" t="s">
        <v>61</v>
      </c>
      <c r="B2587" s="3" t="s">
        <v>3932</v>
      </c>
      <c r="C2587" s="3" t="s">
        <v>75</v>
      </c>
      <c r="D2587" s="3" t="s">
        <v>2465</v>
      </c>
      <c r="E2587" s="3" t="s">
        <v>31</v>
      </c>
      <c r="F2587" s="3" t="b">
        <v>0</v>
      </c>
      <c r="G2587" s="3" t="s">
        <v>84</v>
      </c>
      <c r="H2587" s="6">
        <v>44929.979421296302</v>
      </c>
      <c r="I2587" s="3" t="b">
        <v>0</v>
      </c>
      <c r="J2587" s="3" t="b">
        <v>1</v>
      </c>
      <c r="K2587" s="3" t="s">
        <v>33</v>
      </c>
      <c r="L2587" s="3" t="s">
        <v>48</v>
      </c>
      <c r="M2587" s="8"/>
      <c r="N2587" s="11">
        <v>24</v>
      </c>
      <c r="O2587" s="3" t="s">
        <v>3933</v>
      </c>
      <c r="P2587" s="3" t="s">
        <v>3934</v>
      </c>
    </row>
    <row r="2588" spans="1:16" x14ac:dyDescent="0.3">
      <c r="A2588" s="3" t="s">
        <v>61</v>
      </c>
      <c r="B2588" s="3" t="s">
        <v>3956</v>
      </c>
      <c r="C2588" s="3" t="s">
        <v>1330</v>
      </c>
      <c r="D2588" s="3" t="s">
        <v>76</v>
      </c>
      <c r="E2588" s="3" t="s">
        <v>31</v>
      </c>
      <c r="F2588" s="3" t="b">
        <v>0</v>
      </c>
      <c r="G2588" s="3" t="s">
        <v>32</v>
      </c>
      <c r="H2588" s="6">
        <v>44930.37599537037</v>
      </c>
      <c r="I2588" s="3" t="b">
        <v>0</v>
      </c>
      <c r="J2588" s="3" t="b">
        <v>1</v>
      </c>
      <c r="K2588" s="3" t="s">
        <v>33</v>
      </c>
      <c r="L2588" s="3" t="s">
        <v>34</v>
      </c>
      <c r="M2588" s="8">
        <v>146500</v>
      </c>
      <c r="N2588" s="11"/>
      <c r="O2588" s="3" t="s">
        <v>3957</v>
      </c>
      <c r="P2588" s="3"/>
    </row>
    <row r="2589" spans="1:16" x14ac:dyDescent="0.3">
      <c r="A2589" s="3" t="s">
        <v>61</v>
      </c>
      <c r="B2589" s="3" t="s">
        <v>61</v>
      </c>
      <c r="C2589" s="3" t="s">
        <v>1963</v>
      </c>
      <c r="D2589" s="3" t="s">
        <v>41</v>
      </c>
      <c r="E2589" s="3" t="s">
        <v>31</v>
      </c>
      <c r="F2589" s="3" t="b">
        <v>0</v>
      </c>
      <c r="G2589" s="3" t="s">
        <v>64</v>
      </c>
      <c r="H2589" s="6">
        <v>44957.79178240741</v>
      </c>
      <c r="I2589" s="3" t="b">
        <v>0</v>
      </c>
      <c r="J2589" s="3" t="b">
        <v>1</v>
      </c>
      <c r="K2589" s="3" t="s">
        <v>33</v>
      </c>
      <c r="L2589" s="3" t="s">
        <v>34</v>
      </c>
      <c r="M2589" s="8">
        <v>98500</v>
      </c>
      <c r="N2589" s="11"/>
      <c r="O2589" s="3" t="s">
        <v>4022</v>
      </c>
      <c r="P2589" s="3" t="s">
        <v>4023</v>
      </c>
    </row>
    <row r="2590" spans="1:16" x14ac:dyDescent="0.3">
      <c r="A2590" s="3" t="s">
        <v>61</v>
      </c>
      <c r="B2590" s="3" t="s">
        <v>4071</v>
      </c>
      <c r="C2590" s="3" t="s">
        <v>75</v>
      </c>
      <c r="D2590" s="3" t="s">
        <v>30</v>
      </c>
      <c r="E2590" s="3" t="s">
        <v>133</v>
      </c>
      <c r="F2590" s="3" t="b">
        <v>0</v>
      </c>
      <c r="G2590" s="3" t="s">
        <v>84</v>
      </c>
      <c r="H2590" s="6">
        <v>44939.251493055563</v>
      </c>
      <c r="I2590" s="3" t="b">
        <v>0</v>
      </c>
      <c r="J2590" s="3" t="b">
        <v>0</v>
      </c>
      <c r="K2590" s="3" t="s">
        <v>33</v>
      </c>
      <c r="L2590" s="3" t="s">
        <v>48</v>
      </c>
      <c r="M2590" s="8"/>
      <c r="N2590" s="11">
        <v>70</v>
      </c>
      <c r="O2590" s="3" t="s">
        <v>4072</v>
      </c>
      <c r="P2590" s="3" t="s">
        <v>723</v>
      </c>
    </row>
    <row r="2591" spans="1:16" x14ac:dyDescent="0.3">
      <c r="A2591" s="3" t="s">
        <v>61</v>
      </c>
      <c r="B2591" s="3" t="s">
        <v>4098</v>
      </c>
      <c r="C2591" s="3" t="s">
        <v>46</v>
      </c>
      <c r="D2591" s="3" t="s">
        <v>1580</v>
      </c>
      <c r="E2591" s="3" t="s">
        <v>31</v>
      </c>
      <c r="F2591" s="3" t="b">
        <v>0</v>
      </c>
      <c r="G2591" s="3" t="s">
        <v>32</v>
      </c>
      <c r="H2591" s="6">
        <v>44930.019976851851</v>
      </c>
      <c r="I2591" s="3" t="b">
        <v>0</v>
      </c>
      <c r="J2591" s="3" t="b">
        <v>0</v>
      </c>
      <c r="K2591" s="3" t="s">
        <v>33</v>
      </c>
      <c r="L2591" s="3" t="s">
        <v>48</v>
      </c>
      <c r="M2591" s="8"/>
      <c r="N2591" s="11">
        <v>43.580001831054688</v>
      </c>
      <c r="O2591" s="3" t="s">
        <v>4099</v>
      </c>
      <c r="P2591" s="3" t="s">
        <v>4100</v>
      </c>
    </row>
    <row r="2592" spans="1:16" x14ac:dyDescent="0.3">
      <c r="A2592" s="3" t="s">
        <v>61</v>
      </c>
      <c r="B2592" s="3" t="s">
        <v>61</v>
      </c>
      <c r="C2592" s="3" t="s">
        <v>87</v>
      </c>
      <c r="D2592" s="3" t="s">
        <v>287</v>
      </c>
      <c r="E2592" s="3" t="s">
        <v>31</v>
      </c>
      <c r="F2592" s="3" t="b">
        <v>1</v>
      </c>
      <c r="G2592" s="3" t="s">
        <v>32</v>
      </c>
      <c r="H2592" s="6">
        <v>44940.002303240741</v>
      </c>
      <c r="I2592" s="3" t="b">
        <v>1</v>
      </c>
      <c r="J2592" s="3" t="b">
        <v>1</v>
      </c>
      <c r="K2592" s="3" t="s">
        <v>33</v>
      </c>
      <c r="L2592" s="3" t="s">
        <v>34</v>
      </c>
      <c r="M2592" s="8">
        <v>93000</v>
      </c>
      <c r="N2592" s="11"/>
      <c r="O2592" s="3" t="s">
        <v>4151</v>
      </c>
      <c r="P2592" s="3" t="s">
        <v>4152</v>
      </c>
    </row>
    <row r="2593" spans="1:16" x14ac:dyDescent="0.3">
      <c r="A2593" s="3" t="s">
        <v>61</v>
      </c>
      <c r="B2593" s="3" t="s">
        <v>61</v>
      </c>
      <c r="C2593" s="3" t="s">
        <v>903</v>
      </c>
      <c r="D2593" s="3" t="s">
        <v>41</v>
      </c>
      <c r="E2593" s="3" t="s">
        <v>31</v>
      </c>
      <c r="F2593" s="3" t="b">
        <v>0</v>
      </c>
      <c r="G2593" s="3" t="s">
        <v>436</v>
      </c>
      <c r="H2593" s="6">
        <v>44939.051979166667</v>
      </c>
      <c r="I2593" s="3" t="b">
        <v>0</v>
      </c>
      <c r="J2593" s="3" t="b">
        <v>0</v>
      </c>
      <c r="K2593" s="3" t="s">
        <v>436</v>
      </c>
      <c r="L2593" s="3" t="s">
        <v>34</v>
      </c>
      <c r="M2593" s="8">
        <v>111202</v>
      </c>
      <c r="N2593" s="11"/>
      <c r="O2593" s="3" t="s">
        <v>4253</v>
      </c>
      <c r="P2593" s="3" t="s">
        <v>4254</v>
      </c>
    </row>
    <row r="2594" spans="1:16" x14ac:dyDescent="0.3">
      <c r="A2594" s="3" t="s">
        <v>61</v>
      </c>
      <c r="B2594" s="3" t="s">
        <v>4272</v>
      </c>
      <c r="C2594" s="3" t="s">
        <v>164</v>
      </c>
      <c r="D2594" s="3" t="s">
        <v>350</v>
      </c>
      <c r="E2594" s="3" t="s">
        <v>31</v>
      </c>
      <c r="F2594" s="3" t="b">
        <v>0</v>
      </c>
      <c r="G2594" s="3" t="s">
        <v>64</v>
      </c>
      <c r="H2594" s="6">
        <v>44928.749988425923</v>
      </c>
      <c r="I2594" s="3" t="b">
        <v>1</v>
      </c>
      <c r="J2594" s="3" t="b">
        <v>1</v>
      </c>
      <c r="K2594" s="3" t="s">
        <v>33</v>
      </c>
      <c r="L2594" s="3" t="s">
        <v>34</v>
      </c>
      <c r="M2594" s="8">
        <v>105000</v>
      </c>
      <c r="N2594" s="11"/>
      <c r="O2594" s="3" t="s">
        <v>418</v>
      </c>
      <c r="P2594" s="3" t="s">
        <v>4273</v>
      </c>
    </row>
    <row r="2595" spans="1:16" x14ac:dyDescent="0.3">
      <c r="A2595" s="3" t="s">
        <v>61</v>
      </c>
      <c r="B2595" s="3" t="s">
        <v>4324</v>
      </c>
      <c r="C2595" s="3" t="s">
        <v>417</v>
      </c>
      <c r="D2595" s="3" t="s">
        <v>41</v>
      </c>
      <c r="E2595" s="3" t="s">
        <v>31</v>
      </c>
      <c r="F2595" s="3" t="b">
        <v>0</v>
      </c>
      <c r="G2595" s="3" t="s">
        <v>58</v>
      </c>
      <c r="H2595" s="6">
        <v>44938.337685185194</v>
      </c>
      <c r="I2595" s="3" t="b">
        <v>1</v>
      </c>
      <c r="J2595" s="3" t="b">
        <v>0</v>
      </c>
      <c r="K2595" s="3" t="s">
        <v>33</v>
      </c>
      <c r="L2595" s="3" t="s">
        <v>34</v>
      </c>
      <c r="M2595" s="8">
        <v>111202</v>
      </c>
      <c r="N2595" s="11"/>
      <c r="O2595" s="3" t="s">
        <v>4325</v>
      </c>
      <c r="P2595" s="3" t="s">
        <v>4326</v>
      </c>
    </row>
    <row r="2596" spans="1:16" x14ac:dyDescent="0.3">
      <c r="A2596" s="3" t="s">
        <v>61</v>
      </c>
      <c r="B2596" s="3" t="s">
        <v>61</v>
      </c>
      <c r="C2596" s="3" t="s">
        <v>3367</v>
      </c>
      <c r="D2596" s="3" t="s">
        <v>93</v>
      </c>
      <c r="E2596" s="3" t="s">
        <v>31</v>
      </c>
      <c r="F2596" s="3" t="b">
        <v>0</v>
      </c>
      <c r="G2596" s="3" t="s">
        <v>88</v>
      </c>
      <c r="H2596" s="6">
        <v>44928.542997685188</v>
      </c>
      <c r="I2596" s="3" t="b">
        <v>0</v>
      </c>
      <c r="J2596" s="3" t="b">
        <v>1</v>
      </c>
      <c r="K2596" s="3" t="s">
        <v>33</v>
      </c>
      <c r="L2596" s="3" t="s">
        <v>34</v>
      </c>
      <c r="M2596" s="8">
        <v>90000</v>
      </c>
      <c r="N2596" s="11"/>
      <c r="O2596" s="3" t="s">
        <v>2587</v>
      </c>
      <c r="P2596" s="3" t="s">
        <v>4336</v>
      </c>
    </row>
    <row r="2597" spans="1:16" x14ac:dyDescent="0.3">
      <c r="A2597" s="3" t="s">
        <v>61</v>
      </c>
      <c r="B2597" s="3" t="s">
        <v>4337</v>
      </c>
      <c r="C2597" s="3" t="s">
        <v>1057</v>
      </c>
      <c r="D2597" s="3" t="s">
        <v>93</v>
      </c>
      <c r="E2597" s="3" t="s">
        <v>31</v>
      </c>
      <c r="F2597" s="3" t="b">
        <v>0</v>
      </c>
      <c r="G2597" s="3" t="s">
        <v>58</v>
      </c>
      <c r="H2597" s="6">
        <v>44930.103750000002</v>
      </c>
      <c r="I2597" s="3" t="b">
        <v>1</v>
      </c>
      <c r="J2597" s="3" t="b">
        <v>0</v>
      </c>
      <c r="K2597" s="3" t="s">
        <v>33</v>
      </c>
      <c r="L2597" s="3" t="s">
        <v>34</v>
      </c>
      <c r="M2597" s="8">
        <v>90000</v>
      </c>
      <c r="N2597" s="11"/>
      <c r="O2597" s="3" t="s">
        <v>4338</v>
      </c>
      <c r="P2597" s="3" t="s">
        <v>4339</v>
      </c>
    </row>
    <row r="2598" spans="1:16" x14ac:dyDescent="0.3">
      <c r="A2598" s="3" t="s">
        <v>61</v>
      </c>
      <c r="B2598" s="3" t="s">
        <v>4384</v>
      </c>
      <c r="C2598" s="3" t="s">
        <v>4385</v>
      </c>
      <c r="D2598" s="3" t="s">
        <v>30</v>
      </c>
      <c r="E2598" s="3" t="s">
        <v>31</v>
      </c>
      <c r="F2598" s="3" t="b">
        <v>0</v>
      </c>
      <c r="G2598" s="3" t="s">
        <v>32</v>
      </c>
      <c r="H2598" s="6">
        <v>44936.917210648149</v>
      </c>
      <c r="I2598" s="3" t="b">
        <v>0</v>
      </c>
      <c r="J2598" s="3" t="b">
        <v>1</v>
      </c>
      <c r="K2598" s="3" t="s">
        <v>33</v>
      </c>
      <c r="L2598" s="3" t="s">
        <v>34</v>
      </c>
      <c r="M2598" s="8">
        <v>120000</v>
      </c>
      <c r="N2598" s="11"/>
      <c r="O2598" s="3" t="s">
        <v>4386</v>
      </c>
      <c r="P2598" s="3" t="s">
        <v>4387</v>
      </c>
    </row>
    <row r="2599" spans="1:16" x14ac:dyDescent="0.3">
      <c r="A2599" s="3" t="s">
        <v>61</v>
      </c>
      <c r="B2599" s="3" t="s">
        <v>4390</v>
      </c>
      <c r="C2599" s="3" t="s">
        <v>447</v>
      </c>
      <c r="D2599" s="3" t="s">
        <v>705</v>
      </c>
      <c r="E2599" s="3" t="s">
        <v>31</v>
      </c>
      <c r="F2599" s="3" t="b">
        <v>0</v>
      </c>
      <c r="G2599" s="3" t="s">
        <v>32</v>
      </c>
      <c r="H2599" s="6">
        <v>44949.542662037027</v>
      </c>
      <c r="I2599" s="3" t="b">
        <v>1</v>
      </c>
      <c r="J2599" s="3" t="b">
        <v>1</v>
      </c>
      <c r="K2599" s="3" t="s">
        <v>33</v>
      </c>
      <c r="L2599" s="3" t="s">
        <v>34</v>
      </c>
      <c r="M2599" s="8">
        <v>149000</v>
      </c>
      <c r="N2599" s="11"/>
      <c r="O2599" s="3" t="s">
        <v>3586</v>
      </c>
      <c r="P2599" s="3" t="s">
        <v>661</v>
      </c>
    </row>
    <row r="2600" spans="1:16" x14ac:dyDescent="0.3">
      <c r="A2600" s="3" t="s">
        <v>61</v>
      </c>
      <c r="B2600" s="3" t="s">
        <v>4439</v>
      </c>
      <c r="C2600" s="3" t="s">
        <v>1001</v>
      </c>
      <c r="D2600" s="3" t="s">
        <v>93</v>
      </c>
      <c r="E2600" s="3" t="s">
        <v>31</v>
      </c>
      <c r="F2600" s="3" t="b">
        <v>0</v>
      </c>
      <c r="G2600" s="3" t="s">
        <v>317</v>
      </c>
      <c r="H2600" s="6">
        <v>44943.261956018519</v>
      </c>
      <c r="I2600" s="3" t="b">
        <v>1</v>
      </c>
      <c r="J2600" s="3" t="b">
        <v>0</v>
      </c>
      <c r="K2600" s="3" t="s">
        <v>317</v>
      </c>
      <c r="L2600" s="3" t="s">
        <v>34</v>
      </c>
      <c r="M2600" s="8">
        <v>175000</v>
      </c>
      <c r="N2600" s="11"/>
      <c r="O2600" s="3" t="s">
        <v>2692</v>
      </c>
      <c r="P2600" s="3" t="s">
        <v>4440</v>
      </c>
    </row>
    <row r="2601" spans="1:16" x14ac:dyDescent="0.3">
      <c r="A2601" s="3" t="s">
        <v>61</v>
      </c>
      <c r="B2601" s="3" t="s">
        <v>4446</v>
      </c>
      <c r="C2601" s="3" t="s">
        <v>3061</v>
      </c>
      <c r="D2601" s="3" t="s">
        <v>4447</v>
      </c>
      <c r="E2601" s="3" t="s">
        <v>31</v>
      </c>
      <c r="F2601" s="3" t="b">
        <v>0</v>
      </c>
      <c r="G2601" s="3" t="s">
        <v>88</v>
      </c>
      <c r="H2601" s="6">
        <v>44929.980046296303</v>
      </c>
      <c r="I2601" s="3" t="b">
        <v>0</v>
      </c>
      <c r="J2601" s="3" t="b">
        <v>0</v>
      </c>
      <c r="K2601" s="3" t="s">
        <v>33</v>
      </c>
      <c r="L2601" s="3" t="s">
        <v>48</v>
      </c>
      <c r="M2601" s="8"/>
      <c r="N2601" s="11">
        <v>24</v>
      </c>
      <c r="O2601" s="3" t="s">
        <v>4448</v>
      </c>
      <c r="P2601" s="3" t="s">
        <v>873</v>
      </c>
    </row>
    <row r="2602" spans="1:16" x14ac:dyDescent="0.3">
      <c r="A2602" s="3" t="s">
        <v>61</v>
      </c>
      <c r="B2602" s="3" t="s">
        <v>4463</v>
      </c>
      <c r="C2602" s="3" t="s">
        <v>565</v>
      </c>
      <c r="D2602" s="3" t="s">
        <v>867</v>
      </c>
      <c r="E2602" s="3" t="s">
        <v>31</v>
      </c>
      <c r="F2602" s="3" t="b">
        <v>0</v>
      </c>
      <c r="G2602" s="3" t="s">
        <v>140</v>
      </c>
      <c r="H2602" s="6">
        <v>44955.010208333333</v>
      </c>
      <c r="I2602" s="3" t="b">
        <v>0</v>
      </c>
      <c r="J2602" s="3" t="b">
        <v>0</v>
      </c>
      <c r="K2602" s="3" t="s">
        <v>33</v>
      </c>
      <c r="L2602" s="3" t="s">
        <v>34</v>
      </c>
      <c r="M2602" s="8">
        <v>200000</v>
      </c>
      <c r="N2602" s="11"/>
      <c r="O2602" s="3" t="s">
        <v>4464</v>
      </c>
      <c r="P2602" s="3" t="s">
        <v>4465</v>
      </c>
    </row>
    <row r="2603" spans="1:16" x14ac:dyDescent="0.3">
      <c r="A2603" s="3" t="s">
        <v>61</v>
      </c>
      <c r="B2603" s="3" t="s">
        <v>61</v>
      </c>
      <c r="C2603" s="3" t="s">
        <v>87</v>
      </c>
      <c r="D2603" s="3" t="s">
        <v>76</v>
      </c>
      <c r="E2603" s="3" t="s">
        <v>31</v>
      </c>
      <c r="F2603" s="3" t="b">
        <v>1</v>
      </c>
      <c r="G2603" s="3" t="s">
        <v>32</v>
      </c>
      <c r="H2603" s="6">
        <v>44931.12599537037</v>
      </c>
      <c r="I2603" s="3" t="b">
        <v>1</v>
      </c>
      <c r="J2603" s="3" t="b">
        <v>1</v>
      </c>
      <c r="K2603" s="3" t="s">
        <v>33</v>
      </c>
      <c r="L2603" s="3" t="s">
        <v>34</v>
      </c>
      <c r="M2603" s="8">
        <v>110000</v>
      </c>
      <c r="N2603" s="11"/>
      <c r="O2603" s="3" t="s">
        <v>4528</v>
      </c>
      <c r="P2603" s="3" t="s">
        <v>4529</v>
      </c>
    </row>
    <row r="2604" spans="1:16" x14ac:dyDescent="0.3">
      <c r="A2604" s="3" t="s">
        <v>61</v>
      </c>
      <c r="B2604" s="3" t="s">
        <v>61</v>
      </c>
      <c r="C2604" s="3" t="s">
        <v>87</v>
      </c>
      <c r="D2604" s="3" t="s">
        <v>287</v>
      </c>
      <c r="E2604" s="3" t="s">
        <v>31</v>
      </c>
      <c r="F2604" s="3" t="b">
        <v>1</v>
      </c>
      <c r="G2604" s="3" t="s">
        <v>140</v>
      </c>
      <c r="H2604" s="6">
        <v>44939.013645833344</v>
      </c>
      <c r="I2604" s="3" t="b">
        <v>1</v>
      </c>
      <c r="J2604" s="3" t="b">
        <v>0</v>
      </c>
      <c r="K2604" s="3" t="s">
        <v>33</v>
      </c>
      <c r="L2604" s="3" t="s">
        <v>34</v>
      </c>
      <c r="M2604" s="8">
        <v>43031</v>
      </c>
      <c r="N2604" s="11"/>
      <c r="O2604" s="3" t="s">
        <v>4542</v>
      </c>
      <c r="P2604" s="3"/>
    </row>
    <row r="2605" spans="1:16" x14ac:dyDescent="0.3">
      <c r="A2605" s="3" t="s">
        <v>61</v>
      </c>
      <c r="B2605" s="3" t="s">
        <v>61</v>
      </c>
      <c r="C2605" s="3" t="s">
        <v>87</v>
      </c>
      <c r="D2605" s="3" t="s">
        <v>30</v>
      </c>
      <c r="E2605" s="3" t="s">
        <v>31</v>
      </c>
      <c r="F2605" s="3" t="b">
        <v>1</v>
      </c>
      <c r="G2605" s="3" t="s">
        <v>32</v>
      </c>
      <c r="H2605" s="6">
        <v>44933.333854166667</v>
      </c>
      <c r="I2605" s="3" t="b">
        <v>0</v>
      </c>
      <c r="J2605" s="3" t="b">
        <v>0</v>
      </c>
      <c r="K2605" s="3" t="s">
        <v>33</v>
      </c>
      <c r="L2605" s="3" t="s">
        <v>48</v>
      </c>
      <c r="M2605" s="8"/>
      <c r="N2605" s="11">
        <v>62.5</v>
      </c>
      <c r="O2605" s="3" t="s">
        <v>4573</v>
      </c>
      <c r="P2605" s="3" t="s">
        <v>4574</v>
      </c>
    </row>
    <row r="2606" spans="1:16" x14ac:dyDescent="0.3">
      <c r="A2606" s="3" t="s">
        <v>61</v>
      </c>
      <c r="B2606" s="3" t="s">
        <v>4585</v>
      </c>
      <c r="C2606" s="3" t="s">
        <v>79</v>
      </c>
      <c r="D2606" s="3" t="s">
        <v>93</v>
      </c>
      <c r="E2606" s="3" t="s">
        <v>31</v>
      </c>
      <c r="F2606" s="3" t="b">
        <v>0</v>
      </c>
      <c r="G2606" s="3" t="s">
        <v>58</v>
      </c>
      <c r="H2606" s="6">
        <v>44928.542546296303</v>
      </c>
      <c r="I2606" s="3" t="b">
        <v>0</v>
      </c>
      <c r="J2606" s="3" t="b">
        <v>1</v>
      </c>
      <c r="K2606" s="3" t="s">
        <v>33</v>
      </c>
      <c r="L2606" s="3" t="s">
        <v>34</v>
      </c>
      <c r="M2606" s="8">
        <v>115000</v>
      </c>
      <c r="N2606" s="11"/>
      <c r="O2606" s="3" t="s">
        <v>4586</v>
      </c>
      <c r="P2606" s="3" t="s">
        <v>4587</v>
      </c>
    </row>
    <row r="2607" spans="1:16" x14ac:dyDescent="0.3">
      <c r="A2607" s="3" t="s">
        <v>61</v>
      </c>
      <c r="B2607" s="3" t="s">
        <v>2944</v>
      </c>
      <c r="C2607" s="3" t="s">
        <v>223</v>
      </c>
      <c r="D2607" s="3" t="s">
        <v>1261</v>
      </c>
      <c r="E2607" s="3" t="s">
        <v>31</v>
      </c>
      <c r="F2607" s="3" t="b">
        <v>0</v>
      </c>
      <c r="G2607" s="3" t="s">
        <v>64</v>
      </c>
      <c r="H2607" s="6">
        <v>44957.375092592592</v>
      </c>
      <c r="I2607" s="3" t="b">
        <v>0</v>
      </c>
      <c r="J2607" s="3" t="b">
        <v>0</v>
      </c>
      <c r="K2607" s="3" t="s">
        <v>33</v>
      </c>
      <c r="L2607" s="3" t="s">
        <v>34</v>
      </c>
      <c r="M2607" s="8">
        <v>85000</v>
      </c>
      <c r="N2607" s="11"/>
      <c r="O2607" s="3" t="s">
        <v>371</v>
      </c>
      <c r="P2607" s="3" t="s">
        <v>2945</v>
      </c>
    </row>
    <row r="2608" spans="1:16" x14ac:dyDescent="0.3">
      <c r="A2608" s="3" t="s">
        <v>61</v>
      </c>
      <c r="B2608" s="3" t="s">
        <v>4631</v>
      </c>
      <c r="C2608" s="3" t="s">
        <v>321</v>
      </c>
      <c r="D2608" s="3" t="s">
        <v>30</v>
      </c>
      <c r="E2608" s="3" t="s">
        <v>31</v>
      </c>
      <c r="F2608" s="3" t="b">
        <v>0</v>
      </c>
      <c r="G2608" s="3" t="s">
        <v>140</v>
      </c>
      <c r="H2608" s="6">
        <v>44937.78266203704</v>
      </c>
      <c r="I2608" s="3" t="b">
        <v>0</v>
      </c>
      <c r="J2608" s="3" t="b">
        <v>1</v>
      </c>
      <c r="K2608" s="3" t="s">
        <v>33</v>
      </c>
      <c r="L2608" s="3" t="s">
        <v>34</v>
      </c>
      <c r="M2608" s="8">
        <v>95000</v>
      </c>
      <c r="N2608" s="11"/>
      <c r="O2608" s="3" t="s">
        <v>4632</v>
      </c>
      <c r="P2608" s="3" t="s">
        <v>4633</v>
      </c>
    </row>
    <row r="2609" spans="1:16" x14ac:dyDescent="0.3">
      <c r="A2609" s="3" t="s">
        <v>61</v>
      </c>
      <c r="B2609" s="3" t="s">
        <v>3017</v>
      </c>
      <c r="C2609" s="3" t="s">
        <v>75</v>
      </c>
      <c r="D2609" s="3" t="s">
        <v>2465</v>
      </c>
      <c r="E2609" s="3" t="s">
        <v>31</v>
      </c>
      <c r="F2609" s="3" t="b">
        <v>0</v>
      </c>
      <c r="G2609" s="3" t="s">
        <v>84</v>
      </c>
      <c r="H2609" s="6">
        <v>44929.979467592602</v>
      </c>
      <c r="I2609" s="3" t="b">
        <v>0</v>
      </c>
      <c r="J2609" s="3" t="b">
        <v>1</v>
      </c>
      <c r="K2609" s="3" t="s">
        <v>33</v>
      </c>
      <c r="L2609" s="3" t="s">
        <v>48</v>
      </c>
      <c r="M2609" s="8"/>
      <c r="N2609" s="11">
        <v>24</v>
      </c>
      <c r="O2609" s="3" t="s">
        <v>3020</v>
      </c>
      <c r="P2609" s="3" t="s">
        <v>3021</v>
      </c>
    </row>
    <row r="2610" spans="1:16" x14ac:dyDescent="0.3">
      <c r="A2610" s="3" t="s">
        <v>61</v>
      </c>
      <c r="B2610" s="3" t="s">
        <v>4688</v>
      </c>
      <c r="C2610" s="3" t="s">
        <v>1628</v>
      </c>
      <c r="D2610" s="3" t="s">
        <v>1872</v>
      </c>
      <c r="E2610" s="3" t="s">
        <v>31</v>
      </c>
      <c r="F2610" s="3" t="b">
        <v>0</v>
      </c>
      <c r="G2610" s="3" t="s">
        <v>88</v>
      </c>
      <c r="H2610" s="6">
        <v>44953.002916666657</v>
      </c>
      <c r="I2610" s="3" t="b">
        <v>0</v>
      </c>
      <c r="J2610" s="3" t="b">
        <v>1</v>
      </c>
      <c r="K2610" s="3" t="s">
        <v>33</v>
      </c>
      <c r="L2610" s="3" t="s">
        <v>48</v>
      </c>
      <c r="M2610" s="8"/>
      <c r="N2610" s="11">
        <v>24</v>
      </c>
      <c r="O2610" s="3" t="s">
        <v>49</v>
      </c>
      <c r="P2610" s="3" t="s">
        <v>661</v>
      </c>
    </row>
    <row r="2611" spans="1:16" x14ac:dyDescent="0.3">
      <c r="A2611" s="3" t="s">
        <v>61</v>
      </c>
      <c r="B2611" s="3" t="s">
        <v>61</v>
      </c>
      <c r="C2611" s="3" t="s">
        <v>520</v>
      </c>
      <c r="D2611" s="3" t="s">
        <v>2850</v>
      </c>
      <c r="E2611" s="3" t="s">
        <v>31</v>
      </c>
      <c r="F2611" s="3" t="b">
        <v>0</v>
      </c>
      <c r="G2611" s="3" t="s">
        <v>88</v>
      </c>
      <c r="H2611" s="6">
        <v>44929.980115740742</v>
      </c>
      <c r="I2611" s="3" t="b">
        <v>0</v>
      </c>
      <c r="J2611" s="3" t="b">
        <v>0</v>
      </c>
      <c r="K2611" s="3" t="s">
        <v>33</v>
      </c>
      <c r="L2611" s="3" t="s">
        <v>48</v>
      </c>
      <c r="M2611" s="8"/>
      <c r="N2611" s="11">
        <v>24</v>
      </c>
      <c r="O2611" s="3" t="s">
        <v>4695</v>
      </c>
      <c r="P2611" s="3" t="s">
        <v>4696</v>
      </c>
    </row>
    <row r="2612" spans="1:16" x14ac:dyDescent="0.3">
      <c r="A2612" s="3" t="s">
        <v>61</v>
      </c>
      <c r="B2612" s="3" t="s">
        <v>4697</v>
      </c>
      <c r="C2612" s="3" t="s">
        <v>87</v>
      </c>
      <c r="D2612" s="3" t="s">
        <v>30</v>
      </c>
      <c r="E2612" s="3" t="s">
        <v>31</v>
      </c>
      <c r="F2612" s="3" t="b">
        <v>1</v>
      </c>
      <c r="G2612" s="3" t="s">
        <v>64</v>
      </c>
      <c r="H2612" s="6">
        <v>44944.125787037039</v>
      </c>
      <c r="I2612" s="3" t="b">
        <v>0</v>
      </c>
      <c r="J2612" s="3" t="b">
        <v>1</v>
      </c>
      <c r="K2612" s="3" t="s">
        <v>33</v>
      </c>
      <c r="L2612" s="3" t="s">
        <v>34</v>
      </c>
      <c r="M2612" s="8">
        <v>125654.5</v>
      </c>
      <c r="N2612" s="11"/>
      <c r="O2612" s="3" t="s">
        <v>724</v>
      </c>
      <c r="P2612" s="3" t="s">
        <v>298</v>
      </c>
    </row>
    <row r="2613" spans="1:16" x14ac:dyDescent="0.3">
      <c r="A2613" s="3" t="s">
        <v>61</v>
      </c>
      <c r="B2613" s="3" t="s">
        <v>4712</v>
      </c>
      <c r="C2613" s="3" t="s">
        <v>87</v>
      </c>
      <c r="D2613" s="3" t="s">
        <v>53</v>
      </c>
      <c r="E2613" s="3" t="s">
        <v>31</v>
      </c>
      <c r="F2613" s="3" t="b">
        <v>1</v>
      </c>
      <c r="G2613" s="3" t="s">
        <v>32</v>
      </c>
      <c r="H2613" s="6">
        <v>44953.87641203704</v>
      </c>
      <c r="I2613" s="3" t="b">
        <v>1</v>
      </c>
      <c r="J2613" s="3" t="b">
        <v>0</v>
      </c>
      <c r="K2613" s="3" t="s">
        <v>33</v>
      </c>
      <c r="L2613" s="3" t="s">
        <v>48</v>
      </c>
      <c r="M2613" s="8"/>
      <c r="N2613" s="11">
        <v>112.5</v>
      </c>
      <c r="O2613" s="3" t="s">
        <v>1515</v>
      </c>
      <c r="P2613" s="3" t="s">
        <v>4713</v>
      </c>
    </row>
    <row r="2614" spans="1:16" x14ac:dyDescent="0.3">
      <c r="A2614" s="3" t="s">
        <v>61</v>
      </c>
      <c r="B2614" s="3" t="s">
        <v>4749</v>
      </c>
      <c r="C2614" s="3" t="s">
        <v>4750</v>
      </c>
      <c r="D2614" s="3" t="s">
        <v>41</v>
      </c>
      <c r="E2614" s="3" t="s">
        <v>31</v>
      </c>
      <c r="F2614" s="3" t="b">
        <v>0</v>
      </c>
      <c r="G2614" s="3" t="s">
        <v>4302</v>
      </c>
      <c r="H2614" s="6">
        <v>44943.733784722222</v>
      </c>
      <c r="I2614" s="3" t="b">
        <v>0</v>
      </c>
      <c r="J2614" s="3" t="b">
        <v>0</v>
      </c>
      <c r="K2614" s="3" t="s">
        <v>4302</v>
      </c>
      <c r="L2614" s="3" t="s">
        <v>34</v>
      </c>
      <c r="M2614" s="8">
        <v>51014</v>
      </c>
      <c r="N2614" s="11"/>
      <c r="O2614" s="3" t="s">
        <v>652</v>
      </c>
      <c r="P2614" s="3" t="s">
        <v>4751</v>
      </c>
    </row>
    <row r="2615" spans="1:16" x14ac:dyDescent="0.3">
      <c r="A2615" s="3" t="s">
        <v>61</v>
      </c>
      <c r="B2615" s="3" t="s">
        <v>886</v>
      </c>
      <c r="C2615" s="3" t="s">
        <v>321</v>
      </c>
      <c r="D2615" s="3" t="s">
        <v>188</v>
      </c>
      <c r="E2615" s="3" t="s">
        <v>133</v>
      </c>
      <c r="F2615" s="3" t="b">
        <v>0</v>
      </c>
      <c r="G2615" s="3" t="s">
        <v>140</v>
      </c>
      <c r="H2615" s="6">
        <v>44935.861030092587</v>
      </c>
      <c r="I2615" s="3" t="b">
        <v>0</v>
      </c>
      <c r="J2615" s="3" t="b">
        <v>0</v>
      </c>
      <c r="K2615" s="3" t="s">
        <v>33</v>
      </c>
      <c r="L2615" s="3" t="s">
        <v>48</v>
      </c>
      <c r="M2615" s="8"/>
      <c r="N2615" s="11">
        <v>85</v>
      </c>
      <c r="O2615" s="3" t="s">
        <v>4752</v>
      </c>
      <c r="P2615" s="3"/>
    </row>
    <row r="2616" spans="1:16" x14ac:dyDescent="0.3">
      <c r="A2616" s="3" t="s">
        <v>61</v>
      </c>
      <c r="B2616" s="3" t="s">
        <v>61</v>
      </c>
      <c r="C2616" s="3" t="s">
        <v>520</v>
      </c>
      <c r="D2616" s="3" t="s">
        <v>76</v>
      </c>
      <c r="E2616" s="3" t="s">
        <v>31</v>
      </c>
      <c r="F2616" s="3" t="b">
        <v>0</v>
      </c>
      <c r="G2616" s="3" t="s">
        <v>88</v>
      </c>
      <c r="H2616" s="6">
        <v>44931.585196759261</v>
      </c>
      <c r="I2616" s="3" t="b">
        <v>1</v>
      </c>
      <c r="J2616" s="3" t="b">
        <v>1</v>
      </c>
      <c r="K2616" s="3" t="s">
        <v>33</v>
      </c>
      <c r="L2616" s="3" t="s">
        <v>34</v>
      </c>
      <c r="M2616" s="8">
        <v>90000</v>
      </c>
      <c r="N2616" s="11"/>
      <c r="O2616" s="3" t="s">
        <v>4774</v>
      </c>
      <c r="P2616" s="3" t="s">
        <v>374</v>
      </c>
    </row>
    <row r="2617" spans="1:16" x14ac:dyDescent="0.3">
      <c r="A2617" s="3" t="s">
        <v>61</v>
      </c>
      <c r="B2617" s="3" t="s">
        <v>4830</v>
      </c>
      <c r="C2617" s="3" t="s">
        <v>79</v>
      </c>
      <c r="D2617" s="3" t="s">
        <v>30</v>
      </c>
      <c r="E2617" s="3" t="s">
        <v>31</v>
      </c>
      <c r="F2617" s="3" t="b">
        <v>0</v>
      </c>
      <c r="G2617" s="3" t="s">
        <v>58</v>
      </c>
      <c r="H2617" s="6">
        <v>44937.793668981481</v>
      </c>
      <c r="I2617" s="3" t="b">
        <v>0</v>
      </c>
      <c r="J2617" s="3" t="b">
        <v>1</v>
      </c>
      <c r="K2617" s="3" t="s">
        <v>33</v>
      </c>
      <c r="L2617" s="3" t="s">
        <v>34</v>
      </c>
      <c r="M2617" s="8">
        <v>104000</v>
      </c>
      <c r="N2617" s="11"/>
      <c r="O2617" s="3" t="s">
        <v>4632</v>
      </c>
      <c r="P2617" s="3" t="s">
        <v>4633</v>
      </c>
    </row>
    <row r="2618" spans="1:16" x14ac:dyDescent="0.3">
      <c r="A2618" s="3" t="s">
        <v>61</v>
      </c>
      <c r="B2618" s="3" t="s">
        <v>4831</v>
      </c>
      <c r="C2618" s="3" t="s">
        <v>83</v>
      </c>
      <c r="D2618" s="3" t="s">
        <v>30</v>
      </c>
      <c r="E2618" s="3" t="s">
        <v>31</v>
      </c>
      <c r="F2618" s="3" t="b">
        <v>0</v>
      </c>
      <c r="G2618" s="3" t="s">
        <v>64</v>
      </c>
      <c r="H2618" s="6">
        <v>44931.583819444437</v>
      </c>
      <c r="I2618" s="3" t="b">
        <v>0</v>
      </c>
      <c r="J2618" s="3" t="b">
        <v>0</v>
      </c>
      <c r="K2618" s="3" t="s">
        <v>33</v>
      </c>
      <c r="L2618" s="3" t="s">
        <v>34</v>
      </c>
      <c r="M2618" s="8">
        <v>80000</v>
      </c>
      <c r="N2618" s="11"/>
      <c r="O2618" s="3" t="s">
        <v>196</v>
      </c>
      <c r="P2618" s="3" t="s">
        <v>4832</v>
      </c>
    </row>
    <row r="2619" spans="1:16" x14ac:dyDescent="0.3">
      <c r="A2619" s="3" t="s">
        <v>61</v>
      </c>
      <c r="B2619" s="3" t="s">
        <v>61</v>
      </c>
      <c r="C2619" s="3" t="s">
        <v>520</v>
      </c>
      <c r="D2619" s="3" t="s">
        <v>53</v>
      </c>
      <c r="E2619" s="3" t="s">
        <v>31</v>
      </c>
      <c r="F2619" s="3" t="b">
        <v>0</v>
      </c>
      <c r="G2619" s="3" t="s">
        <v>88</v>
      </c>
      <c r="H2619" s="6">
        <v>44936.638206018521</v>
      </c>
      <c r="I2619" s="3" t="b">
        <v>1</v>
      </c>
      <c r="J2619" s="3" t="b">
        <v>0</v>
      </c>
      <c r="K2619" s="3" t="s">
        <v>33</v>
      </c>
      <c r="L2619" s="3" t="s">
        <v>34</v>
      </c>
      <c r="M2619" s="8">
        <v>85000</v>
      </c>
      <c r="N2619" s="11"/>
      <c r="O2619" s="3" t="s">
        <v>4774</v>
      </c>
      <c r="P2619" s="3"/>
    </row>
    <row r="2620" spans="1:16" x14ac:dyDescent="0.3">
      <c r="A2620" s="3" t="s">
        <v>61</v>
      </c>
      <c r="B2620" s="3" t="s">
        <v>4864</v>
      </c>
      <c r="C2620" s="3" t="s">
        <v>3089</v>
      </c>
      <c r="D2620" s="3" t="s">
        <v>41</v>
      </c>
      <c r="E2620" s="3" t="s">
        <v>31</v>
      </c>
      <c r="F2620" s="3" t="b">
        <v>0</v>
      </c>
      <c r="G2620" s="3" t="s">
        <v>818</v>
      </c>
      <c r="H2620" s="6">
        <v>44951.589421296303</v>
      </c>
      <c r="I2620" s="3" t="b">
        <v>0</v>
      </c>
      <c r="J2620" s="3" t="b">
        <v>0</v>
      </c>
      <c r="K2620" s="3" t="s">
        <v>818</v>
      </c>
      <c r="L2620" s="3" t="s">
        <v>34</v>
      </c>
      <c r="M2620" s="8">
        <v>49566.5</v>
      </c>
      <c r="N2620" s="11"/>
      <c r="O2620" s="3" t="s">
        <v>70</v>
      </c>
      <c r="P2620" s="3" t="s">
        <v>71</v>
      </c>
    </row>
    <row r="2621" spans="1:16" x14ac:dyDescent="0.3">
      <c r="A2621" s="3" t="s">
        <v>61</v>
      </c>
      <c r="B2621" s="3" t="s">
        <v>61</v>
      </c>
      <c r="C2621" s="3" t="s">
        <v>1236</v>
      </c>
      <c r="D2621" s="3" t="s">
        <v>867</v>
      </c>
      <c r="E2621" s="3" t="s">
        <v>31</v>
      </c>
      <c r="F2621" s="3" t="b">
        <v>0</v>
      </c>
      <c r="G2621" s="3" t="s">
        <v>88</v>
      </c>
      <c r="H2621" s="6">
        <v>44955.004201388889</v>
      </c>
      <c r="I2621" s="3" t="b">
        <v>0</v>
      </c>
      <c r="J2621" s="3" t="b">
        <v>0</v>
      </c>
      <c r="K2621" s="3" t="s">
        <v>33</v>
      </c>
      <c r="L2621" s="3" t="s">
        <v>34</v>
      </c>
      <c r="M2621" s="8">
        <v>200000</v>
      </c>
      <c r="N2621" s="11"/>
      <c r="O2621" s="3" t="s">
        <v>4464</v>
      </c>
      <c r="P2621" s="3" t="s">
        <v>4465</v>
      </c>
    </row>
    <row r="2622" spans="1:16" x14ac:dyDescent="0.3">
      <c r="A2622" s="3" t="s">
        <v>61</v>
      </c>
      <c r="B2622" s="3" t="s">
        <v>4929</v>
      </c>
      <c r="C2622" s="3" t="s">
        <v>87</v>
      </c>
      <c r="D2622" s="3" t="s">
        <v>53</v>
      </c>
      <c r="E2622" s="3" t="s">
        <v>31</v>
      </c>
      <c r="F2622" s="3" t="b">
        <v>1</v>
      </c>
      <c r="G2622" s="3" t="s">
        <v>32</v>
      </c>
      <c r="H2622" s="6">
        <v>44950.709074074082</v>
      </c>
      <c r="I2622" s="3" t="b">
        <v>1</v>
      </c>
      <c r="J2622" s="3" t="b">
        <v>0</v>
      </c>
      <c r="K2622" s="3" t="s">
        <v>33</v>
      </c>
      <c r="L2622" s="3" t="s">
        <v>48</v>
      </c>
      <c r="M2622" s="8"/>
      <c r="N2622" s="11">
        <v>112.5</v>
      </c>
      <c r="O2622" s="3" t="s">
        <v>1515</v>
      </c>
      <c r="P2622" s="3" t="s">
        <v>661</v>
      </c>
    </row>
    <row r="2623" spans="1:16" x14ac:dyDescent="0.3">
      <c r="A2623" s="3" t="s">
        <v>61</v>
      </c>
      <c r="B2623" s="3" t="s">
        <v>61</v>
      </c>
      <c r="C2623" s="3" t="s">
        <v>4950</v>
      </c>
      <c r="D2623" s="3" t="s">
        <v>76</v>
      </c>
      <c r="E2623" s="3" t="s">
        <v>31</v>
      </c>
      <c r="F2623" s="3" t="b">
        <v>0</v>
      </c>
      <c r="G2623" s="3" t="s">
        <v>3728</v>
      </c>
      <c r="H2623" s="6">
        <v>44944.499062499999</v>
      </c>
      <c r="I2623" s="3" t="b">
        <v>0</v>
      </c>
      <c r="J2623" s="3" t="b">
        <v>0</v>
      </c>
      <c r="K2623" s="3" t="s">
        <v>3728</v>
      </c>
      <c r="L2623" s="3" t="s">
        <v>34</v>
      </c>
      <c r="M2623" s="8">
        <v>82500</v>
      </c>
      <c r="N2623" s="11"/>
      <c r="O2623" s="3" t="s">
        <v>1376</v>
      </c>
      <c r="P2623" s="3" t="s">
        <v>3429</v>
      </c>
    </row>
    <row r="2624" spans="1:16" x14ac:dyDescent="0.3">
      <c r="A2624" s="3" t="s">
        <v>61</v>
      </c>
      <c r="B2624" s="3" t="s">
        <v>61</v>
      </c>
      <c r="C2624" s="3" t="s">
        <v>3567</v>
      </c>
      <c r="D2624" s="3" t="s">
        <v>30</v>
      </c>
      <c r="E2624" s="3" t="s">
        <v>31</v>
      </c>
      <c r="F2624" s="3" t="b">
        <v>0</v>
      </c>
      <c r="G2624" s="3" t="s">
        <v>64</v>
      </c>
      <c r="H2624" s="6">
        <v>44930.644282407397</v>
      </c>
      <c r="I2624" s="3" t="b">
        <v>0</v>
      </c>
      <c r="J2624" s="3" t="b">
        <v>0</v>
      </c>
      <c r="K2624" s="3" t="s">
        <v>33</v>
      </c>
      <c r="L2624" s="3" t="s">
        <v>34</v>
      </c>
      <c r="M2624" s="8">
        <v>122500</v>
      </c>
      <c r="N2624" s="11"/>
      <c r="O2624" s="3" t="s">
        <v>4951</v>
      </c>
      <c r="P2624" s="3" t="s">
        <v>4952</v>
      </c>
    </row>
    <row r="2625" spans="1:16" x14ac:dyDescent="0.3">
      <c r="A2625" s="3" t="s">
        <v>61</v>
      </c>
      <c r="B2625" s="3" t="s">
        <v>4962</v>
      </c>
      <c r="C2625" s="3" t="s">
        <v>603</v>
      </c>
      <c r="D2625" s="3" t="s">
        <v>41</v>
      </c>
      <c r="E2625" s="3" t="s">
        <v>133</v>
      </c>
      <c r="F2625" s="3" t="b">
        <v>0</v>
      </c>
      <c r="G2625" s="3" t="s">
        <v>69</v>
      </c>
      <c r="H2625" s="6">
        <v>44929.909502314818</v>
      </c>
      <c r="I2625" s="3" t="b">
        <v>0</v>
      </c>
      <c r="J2625" s="3" t="b">
        <v>0</v>
      </c>
      <c r="K2625" s="3" t="s">
        <v>69</v>
      </c>
      <c r="L2625" s="3" t="s">
        <v>34</v>
      </c>
      <c r="M2625" s="8">
        <v>111202</v>
      </c>
      <c r="N2625" s="11"/>
      <c r="O2625" s="3" t="s">
        <v>4963</v>
      </c>
      <c r="P2625" s="3" t="s">
        <v>1950</v>
      </c>
    </row>
    <row r="2626" spans="1:16" x14ac:dyDescent="0.3">
      <c r="A2626" s="3" t="s">
        <v>61</v>
      </c>
      <c r="B2626" s="3" t="s">
        <v>3785</v>
      </c>
      <c r="C2626" s="3" t="s">
        <v>164</v>
      </c>
      <c r="D2626" s="3" t="s">
        <v>93</v>
      </c>
      <c r="E2626" s="3" t="s">
        <v>31</v>
      </c>
      <c r="F2626" s="3" t="b">
        <v>0</v>
      </c>
      <c r="G2626" s="3" t="s">
        <v>64</v>
      </c>
      <c r="H2626" s="6">
        <v>44942.5000462963</v>
      </c>
      <c r="I2626" s="3" t="b">
        <v>0</v>
      </c>
      <c r="J2626" s="3" t="b">
        <v>0</v>
      </c>
      <c r="K2626" s="3" t="s">
        <v>33</v>
      </c>
      <c r="L2626" s="3" t="s">
        <v>34</v>
      </c>
      <c r="M2626" s="8">
        <v>115000</v>
      </c>
      <c r="N2626" s="11"/>
      <c r="O2626" s="3" t="s">
        <v>267</v>
      </c>
      <c r="P2626" s="3"/>
    </row>
    <row r="2627" spans="1:16" x14ac:dyDescent="0.3">
      <c r="A2627" s="3" t="s">
        <v>61</v>
      </c>
      <c r="B2627" s="3" t="s">
        <v>5012</v>
      </c>
      <c r="C2627" s="3"/>
      <c r="D2627" s="3" t="s">
        <v>30</v>
      </c>
      <c r="E2627" s="3" t="s">
        <v>31</v>
      </c>
      <c r="F2627" s="3" t="b">
        <v>0</v>
      </c>
      <c r="G2627" s="3" t="s">
        <v>140</v>
      </c>
      <c r="H2627" s="6">
        <v>44949.725648148153</v>
      </c>
      <c r="I2627" s="3" t="b">
        <v>1</v>
      </c>
      <c r="J2627" s="3" t="b">
        <v>0</v>
      </c>
      <c r="K2627" s="3" t="s">
        <v>33</v>
      </c>
      <c r="L2627" s="3" t="s">
        <v>48</v>
      </c>
      <c r="M2627" s="8"/>
      <c r="N2627" s="11">
        <v>55.5</v>
      </c>
      <c r="O2627" s="3" t="s">
        <v>5013</v>
      </c>
      <c r="P2627" s="3" t="s">
        <v>3303</v>
      </c>
    </row>
    <row r="2628" spans="1:16" x14ac:dyDescent="0.3">
      <c r="A2628" s="3" t="s">
        <v>61</v>
      </c>
      <c r="B2628" s="3" t="s">
        <v>61</v>
      </c>
      <c r="C2628" s="3" t="s">
        <v>87</v>
      </c>
      <c r="D2628" s="3" t="s">
        <v>53</v>
      </c>
      <c r="E2628" s="3" t="s">
        <v>133</v>
      </c>
      <c r="F2628" s="3" t="b">
        <v>1</v>
      </c>
      <c r="G2628" s="3" t="s">
        <v>32</v>
      </c>
      <c r="H2628" s="6">
        <v>44939.960497685177</v>
      </c>
      <c r="I2628" s="3" t="b">
        <v>0</v>
      </c>
      <c r="J2628" s="3" t="b">
        <v>0</v>
      </c>
      <c r="K2628" s="3" t="s">
        <v>33</v>
      </c>
      <c r="L2628" s="3" t="s">
        <v>48</v>
      </c>
      <c r="M2628" s="8"/>
      <c r="N2628" s="11">
        <v>70</v>
      </c>
      <c r="O2628" s="3" t="s">
        <v>1065</v>
      </c>
      <c r="P2628" s="3" t="s">
        <v>1066</v>
      </c>
    </row>
    <row r="2629" spans="1:16" x14ac:dyDescent="0.3">
      <c r="A2629" s="3" t="s">
        <v>61</v>
      </c>
      <c r="B2629" s="3" t="s">
        <v>5090</v>
      </c>
      <c r="C2629" s="3" t="s">
        <v>83</v>
      </c>
      <c r="D2629" s="3" t="s">
        <v>30</v>
      </c>
      <c r="E2629" s="3" t="s">
        <v>31</v>
      </c>
      <c r="F2629" s="3" t="b">
        <v>0</v>
      </c>
      <c r="G2629" s="3" t="s">
        <v>64</v>
      </c>
      <c r="H2629" s="6">
        <v>44929.685995370368</v>
      </c>
      <c r="I2629" s="3" t="b">
        <v>0</v>
      </c>
      <c r="J2629" s="3" t="b">
        <v>0</v>
      </c>
      <c r="K2629" s="3" t="s">
        <v>33</v>
      </c>
      <c r="L2629" s="3" t="s">
        <v>34</v>
      </c>
      <c r="M2629" s="8">
        <v>105000</v>
      </c>
      <c r="N2629" s="11"/>
      <c r="O2629" s="3" t="s">
        <v>80</v>
      </c>
      <c r="P2629" s="3" t="s">
        <v>5091</v>
      </c>
    </row>
    <row r="2630" spans="1:16" x14ac:dyDescent="0.3">
      <c r="A2630" s="3" t="s">
        <v>61</v>
      </c>
      <c r="B2630" s="3" t="s">
        <v>5116</v>
      </c>
      <c r="C2630" s="3" t="s">
        <v>1338</v>
      </c>
      <c r="D2630" s="3" t="s">
        <v>41</v>
      </c>
      <c r="E2630" s="3" t="s">
        <v>31</v>
      </c>
      <c r="F2630" s="3" t="b">
        <v>0</v>
      </c>
      <c r="G2630" s="3" t="s">
        <v>213</v>
      </c>
      <c r="H2630" s="6">
        <v>44952.725775462961</v>
      </c>
      <c r="I2630" s="3" t="b">
        <v>0</v>
      </c>
      <c r="J2630" s="3" t="b">
        <v>0</v>
      </c>
      <c r="K2630" s="3" t="s">
        <v>213</v>
      </c>
      <c r="L2630" s="3" t="s">
        <v>34</v>
      </c>
      <c r="M2630" s="8">
        <v>111175</v>
      </c>
      <c r="N2630" s="11"/>
      <c r="O2630" s="3" t="s">
        <v>3213</v>
      </c>
      <c r="P2630" s="3" t="s">
        <v>5117</v>
      </c>
    </row>
    <row r="2631" spans="1:16" x14ac:dyDescent="0.3">
      <c r="A2631" s="3" t="s">
        <v>61</v>
      </c>
      <c r="B2631" s="3" t="s">
        <v>5184</v>
      </c>
      <c r="C2631" s="3" t="s">
        <v>1488</v>
      </c>
      <c r="D2631" s="3" t="s">
        <v>93</v>
      </c>
      <c r="E2631" s="3" t="s">
        <v>31</v>
      </c>
      <c r="F2631" s="3" t="b">
        <v>0</v>
      </c>
      <c r="G2631" s="3" t="s">
        <v>84</v>
      </c>
      <c r="H2631" s="6">
        <v>44931.334791666668</v>
      </c>
      <c r="I2631" s="3" t="b">
        <v>0</v>
      </c>
      <c r="J2631" s="3" t="b">
        <v>1</v>
      </c>
      <c r="K2631" s="3" t="s">
        <v>33</v>
      </c>
      <c r="L2631" s="3" t="s">
        <v>34</v>
      </c>
      <c r="M2631" s="8">
        <v>90000</v>
      </c>
      <c r="N2631" s="11"/>
      <c r="O2631" s="3" t="s">
        <v>5185</v>
      </c>
      <c r="P2631" s="3" t="s">
        <v>2642</v>
      </c>
    </row>
    <row r="2632" spans="1:16" x14ac:dyDescent="0.3">
      <c r="A2632" s="3" t="s">
        <v>61</v>
      </c>
      <c r="B2632" s="3" t="s">
        <v>5239</v>
      </c>
      <c r="C2632" s="3" t="s">
        <v>603</v>
      </c>
      <c r="D2632" s="3" t="s">
        <v>41</v>
      </c>
      <c r="E2632" s="3" t="s">
        <v>31</v>
      </c>
      <c r="F2632" s="3" t="b">
        <v>0</v>
      </c>
      <c r="G2632" s="3" t="s">
        <v>69</v>
      </c>
      <c r="H2632" s="6">
        <v>44944.932233796288</v>
      </c>
      <c r="I2632" s="3" t="b">
        <v>0</v>
      </c>
      <c r="J2632" s="3" t="b">
        <v>0</v>
      </c>
      <c r="K2632" s="3" t="s">
        <v>69</v>
      </c>
      <c r="L2632" s="3" t="s">
        <v>34</v>
      </c>
      <c r="M2632" s="8">
        <v>111175</v>
      </c>
      <c r="N2632" s="11"/>
      <c r="O2632" s="3" t="s">
        <v>1937</v>
      </c>
      <c r="P2632" s="3" t="s">
        <v>1938</v>
      </c>
    </row>
    <row r="2633" spans="1:16" x14ac:dyDescent="0.3">
      <c r="A2633" s="3" t="s">
        <v>61</v>
      </c>
      <c r="B2633" s="3" t="s">
        <v>5262</v>
      </c>
      <c r="C2633" s="3" t="s">
        <v>87</v>
      </c>
      <c r="D2633" s="3" t="s">
        <v>30</v>
      </c>
      <c r="E2633" s="3" t="s">
        <v>31</v>
      </c>
      <c r="F2633" s="3" t="b">
        <v>1</v>
      </c>
      <c r="G2633" s="3" t="s">
        <v>84</v>
      </c>
      <c r="H2633" s="6">
        <v>44949.793182870373</v>
      </c>
      <c r="I2633" s="3" t="b">
        <v>0</v>
      </c>
      <c r="J2633" s="3" t="b">
        <v>0</v>
      </c>
      <c r="K2633" s="3" t="s">
        <v>33</v>
      </c>
      <c r="L2633" s="3" t="s">
        <v>34</v>
      </c>
      <c r="M2633" s="8">
        <v>83298</v>
      </c>
      <c r="N2633" s="11"/>
      <c r="O2633" s="3" t="s">
        <v>5263</v>
      </c>
      <c r="P2633" s="3" t="s">
        <v>2918</v>
      </c>
    </row>
    <row r="2634" spans="1:16" x14ac:dyDescent="0.3">
      <c r="A2634" s="3" t="s">
        <v>61</v>
      </c>
      <c r="B2634" s="3" t="s">
        <v>5312</v>
      </c>
      <c r="C2634" s="3" t="s">
        <v>1338</v>
      </c>
      <c r="D2634" s="3" t="s">
        <v>41</v>
      </c>
      <c r="E2634" s="3" t="s">
        <v>31</v>
      </c>
      <c r="F2634" s="3" t="b">
        <v>0</v>
      </c>
      <c r="G2634" s="3" t="s">
        <v>213</v>
      </c>
      <c r="H2634" s="6">
        <v>44940.514236111107</v>
      </c>
      <c r="I2634" s="3" t="b">
        <v>0</v>
      </c>
      <c r="J2634" s="3" t="b">
        <v>0</v>
      </c>
      <c r="K2634" s="3" t="s">
        <v>213</v>
      </c>
      <c r="L2634" s="3" t="s">
        <v>34</v>
      </c>
      <c r="M2634" s="8">
        <v>111202</v>
      </c>
      <c r="N2634" s="11"/>
      <c r="O2634" s="3" t="s">
        <v>1339</v>
      </c>
      <c r="P2634" s="3" t="s">
        <v>5313</v>
      </c>
    </row>
    <row r="2635" spans="1:16" x14ac:dyDescent="0.3">
      <c r="A2635" s="3" t="s">
        <v>61</v>
      </c>
      <c r="B2635" s="3" t="s">
        <v>61</v>
      </c>
      <c r="C2635" s="3" t="s">
        <v>87</v>
      </c>
      <c r="D2635" s="3" t="s">
        <v>293</v>
      </c>
      <c r="E2635" s="3" t="s">
        <v>31</v>
      </c>
      <c r="F2635" s="3" t="b">
        <v>1</v>
      </c>
      <c r="G2635" s="3" t="s">
        <v>32</v>
      </c>
      <c r="H2635" s="6">
        <v>44929.977951388893</v>
      </c>
      <c r="I2635" s="3" t="b">
        <v>0</v>
      </c>
      <c r="J2635" s="3" t="b">
        <v>1</v>
      </c>
      <c r="K2635" s="3" t="s">
        <v>33</v>
      </c>
      <c r="L2635" s="3" t="s">
        <v>34</v>
      </c>
      <c r="M2635" s="8">
        <v>130000</v>
      </c>
      <c r="N2635" s="11"/>
      <c r="O2635" s="3" t="s">
        <v>5323</v>
      </c>
      <c r="P2635" s="3" t="s">
        <v>5324</v>
      </c>
    </row>
    <row r="2636" spans="1:16" x14ac:dyDescent="0.3">
      <c r="A2636" s="3" t="s">
        <v>61</v>
      </c>
      <c r="B2636" s="3" t="s">
        <v>5326</v>
      </c>
      <c r="C2636" s="3" t="s">
        <v>896</v>
      </c>
      <c r="D2636" s="3" t="s">
        <v>41</v>
      </c>
      <c r="E2636" s="3" t="s">
        <v>31</v>
      </c>
      <c r="F2636" s="3" t="b">
        <v>0</v>
      </c>
      <c r="G2636" s="3" t="s">
        <v>897</v>
      </c>
      <c r="H2636" s="6">
        <v>44949.372488425928</v>
      </c>
      <c r="I2636" s="3" t="b">
        <v>1</v>
      </c>
      <c r="J2636" s="3" t="b">
        <v>0</v>
      </c>
      <c r="K2636" s="3" t="s">
        <v>897</v>
      </c>
      <c r="L2636" s="3" t="s">
        <v>34</v>
      </c>
      <c r="M2636" s="8">
        <v>111175</v>
      </c>
      <c r="N2636" s="11"/>
      <c r="O2636" s="3" t="s">
        <v>274</v>
      </c>
      <c r="P2636" s="3" t="s">
        <v>275</v>
      </c>
    </row>
    <row r="2637" spans="1:16" x14ac:dyDescent="0.3">
      <c r="A2637" s="3" t="s">
        <v>61</v>
      </c>
      <c r="B2637" s="3" t="s">
        <v>5331</v>
      </c>
      <c r="C2637" s="3" t="s">
        <v>75</v>
      </c>
      <c r="D2637" s="3" t="s">
        <v>30</v>
      </c>
      <c r="E2637" s="3" t="s">
        <v>31</v>
      </c>
      <c r="F2637" s="3" t="b">
        <v>0</v>
      </c>
      <c r="G2637" s="3" t="s">
        <v>84</v>
      </c>
      <c r="H2637" s="6">
        <v>44937.502453703702</v>
      </c>
      <c r="I2637" s="3" t="b">
        <v>0</v>
      </c>
      <c r="J2637" s="3" t="b">
        <v>0</v>
      </c>
      <c r="K2637" s="3" t="s">
        <v>33</v>
      </c>
      <c r="L2637" s="3" t="s">
        <v>34</v>
      </c>
      <c r="M2637" s="8">
        <v>110000</v>
      </c>
      <c r="N2637" s="11"/>
      <c r="O2637" s="3" t="s">
        <v>5332</v>
      </c>
      <c r="P2637" s="3" t="s">
        <v>4844</v>
      </c>
    </row>
    <row r="2638" spans="1:16" x14ac:dyDescent="0.3">
      <c r="A2638" s="3" t="s">
        <v>61</v>
      </c>
      <c r="B2638" s="3" t="s">
        <v>5335</v>
      </c>
      <c r="C2638" s="3" t="s">
        <v>1330</v>
      </c>
      <c r="D2638" s="3" t="s">
        <v>3598</v>
      </c>
      <c r="E2638" s="3" t="s">
        <v>31</v>
      </c>
      <c r="F2638" s="3" t="b">
        <v>0</v>
      </c>
      <c r="G2638" s="3" t="s">
        <v>32</v>
      </c>
      <c r="H2638" s="6">
        <v>44930.019907407397</v>
      </c>
      <c r="I2638" s="3" t="b">
        <v>1</v>
      </c>
      <c r="J2638" s="3" t="b">
        <v>0</v>
      </c>
      <c r="K2638" s="3" t="s">
        <v>33</v>
      </c>
      <c r="L2638" s="3" t="s">
        <v>48</v>
      </c>
      <c r="M2638" s="8"/>
      <c r="N2638" s="11">
        <v>24</v>
      </c>
      <c r="O2638" s="3" t="s">
        <v>5336</v>
      </c>
      <c r="P2638" s="3" t="s">
        <v>5337</v>
      </c>
    </row>
    <row r="2639" spans="1:16" x14ac:dyDescent="0.3">
      <c r="A2639" s="3" t="s">
        <v>61</v>
      </c>
      <c r="B2639" s="3" t="s">
        <v>61</v>
      </c>
      <c r="C2639" s="3" t="s">
        <v>1324</v>
      </c>
      <c r="D2639" s="3" t="s">
        <v>41</v>
      </c>
      <c r="E2639" s="3" t="s">
        <v>31</v>
      </c>
      <c r="F2639" s="3" t="b">
        <v>0</v>
      </c>
      <c r="G2639" s="3" t="s">
        <v>1324</v>
      </c>
      <c r="H2639" s="6">
        <v>44932.651805555557</v>
      </c>
      <c r="I2639" s="3" t="b">
        <v>0</v>
      </c>
      <c r="J2639" s="3" t="b">
        <v>0</v>
      </c>
      <c r="K2639" s="3" t="s">
        <v>1324</v>
      </c>
      <c r="L2639" s="3" t="s">
        <v>34</v>
      </c>
      <c r="M2639" s="8">
        <v>100500</v>
      </c>
      <c r="N2639" s="11"/>
      <c r="O2639" s="3" t="s">
        <v>5340</v>
      </c>
      <c r="P2639" s="3" t="s">
        <v>5341</v>
      </c>
    </row>
    <row r="2640" spans="1:16" x14ac:dyDescent="0.3">
      <c r="A2640" s="3" t="s">
        <v>61</v>
      </c>
      <c r="B2640" s="3" t="s">
        <v>5397</v>
      </c>
      <c r="C2640" s="3" t="s">
        <v>87</v>
      </c>
      <c r="D2640" s="3" t="s">
        <v>30</v>
      </c>
      <c r="E2640" s="3" t="s">
        <v>133</v>
      </c>
      <c r="F2640" s="3" t="b">
        <v>1</v>
      </c>
      <c r="G2640" s="3" t="s">
        <v>64</v>
      </c>
      <c r="H2640" s="6">
        <v>44943.916921296302</v>
      </c>
      <c r="I2640" s="3" t="b">
        <v>1</v>
      </c>
      <c r="J2640" s="3" t="b">
        <v>0</v>
      </c>
      <c r="K2640" s="3" t="s">
        <v>33</v>
      </c>
      <c r="L2640" s="3" t="s">
        <v>48</v>
      </c>
      <c r="M2640" s="8"/>
      <c r="N2640" s="11">
        <v>77.5</v>
      </c>
      <c r="O2640" s="3" t="s">
        <v>5398</v>
      </c>
      <c r="P2640" s="3" t="s">
        <v>5399</v>
      </c>
    </row>
    <row r="2641" spans="1:16" x14ac:dyDescent="0.3">
      <c r="A2641" s="3" t="s">
        <v>61</v>
      </c>
      <c r="B2641" s="3" t="s">
        <v>61</v>
      </c>
      <c r="C2641" s="3" t="s">
        <v>87</v>
      </c>
      <c r="D2641" s="3" t="s">
        <v>30</v>
      </c>
      <c r="E2641" s="3" t="s">
        <v>133</v>
      </c>
      <c r="F2641" s="3" t="b">
        <v>1</v>
      </c>
      <c r="G2641" s="3" t="s">
        <v>32</v>
      </c>
      <c r="H2641" s="6">
        <v>44944.667731481481</v>
      </c>
      <c r="I2641" s="3" t="b">
        <v>1</v>
      </c>
      <c r="J2641" s="3" t="b">
        <v>0</v>
      </c>
      <c r="K2641" s="3" t="s">
        <v>33</v>
      </c>
      <c r="L2641" s="3" t="s">
        <v>48</v>
      </c>
      <c r="M2641" s="8"/>
      <c r="N2641" s="11">
        <v>32.5</v>
      </c>
      <c r="O2641" s="3" t="s">
        <v>5408</v>
      </c>
      <c r="P2641" s="3" t="s">
        <v>156</v>
      </c>
    </row>
    <row r="2642" spans="1:16" x14ac:dyDescent="0.3">
      <c r="A2642" s="3" t="s">
        <v>61</v>
      </c>
      <c r="B2642" s="3" t="s">
        <v>5420</v>
      </c>
      <c r="C2642" s="3" t="s">
        <v>87</v>
      </c>
      <c r="D2642" s="3" t="s">
        <v>940</v>
      </c>
      <c r="E2642" s="3" t="s">
        <v>31</v>
      </c>
      <c r="F2642" s="3" t="b">
        <v>1</v>
      </c>
      <c r="G2642" s="3" t="s">
        <v>32</v>
      </c>
      <c r="H2642" s="6">
        <v>44933.792129629634</v>
      </c>
      <c r="I2642" s="3" t="b">
        <v>0</v>
      </c>
      <c r="J2642" s="3" t="b">
        <v>1</v>
      </c>
      <c r="K2642" s="3" t="s">
        <v>33</v>
      </c>
      <c r="L2642" s="3" t="s">
        <v>34</v>
      </c>
      <c r="M2642" s="8">
        <v>148290</v>
      </c>
      <c r="N2642" s="11"/>
      <c r="O2642" s="3" t="s">
        <v>5421</v>
      </c>
      <c r="P2642" s="3" t="s">
        <v>5422</v>
      </c>
    </row>
    <row r="2643" spans="1:16" x14ac:dyDescent="0.3">
      <c r="A2643" s="3" t="s">
        <v>61</v>
      </c>
      <c r="B2643" s="3" t="s">
        <v>5431</v>
      </c>
      <c r="C2643" s="3" t="s">
        <v>87</v>
      </c>
      <c r="D2643" s="3" t="s">
        <v>53</v>
      </c>
      <c r="E2643" s="3" t="s">
        <v>31</v>
      </c>
      <c r="F2643" s="3" t="b">
        <v>1</v>
      </c>
      <c r="G2643" s="3" t="s">
        <v>88</v>
      </c>
      <c r="H2643" s="6">
        <v>44934.001319444447</v>
      </c>
      <c r="I2643" s="3" t="b">
        <v>0</v>
      </c>
      <c r="J2643" s="3" t="b">
        <v>0</v>
      </c>
      <c r="K2643" s="3" t="s">
        <v>33</v>
      </c>
      <c r="L2643" s="3" t="s">
        <v>34</v>
      </c>
      <c r="M2643" s="8">
        <v>80000</v>
      </c>
      <c r="N2643" s="11"/>
      <c r="O2643" s="3" t="s">
        <v>5432</v>
      </c>
      <c r="P2643" s="3" t="s">
        <v>5433</v>
      </c>
    </row>
    <row r="2644" spans="1:16" x14ac:dyDescent="0.3">
      <c r="A2644" s="3" t="s">
        <v>61</v>
      </c>
      <c r="B2644" s="3" t="s">
        <v>61</v>
      </c>
      <c r="C2644" s="3" t="s">
        <v>164</v>
      </c>
      <c r="D2644" s="3" t="s">
        <v>41</v>
      </c>
      <c r="E2644" s="3" t="s">
        <v>31</v>
      </c>
      <c r="F2644" s="3" t="b">
        <v>0</v>
      </c>
      <c r="G2644" s="3" t="s">
        <v>64</v>
      </c>
      <c r="H2644" s="6">
        <v>44935.833298611113</v>
      </c>
      <c r="I2644" s="3" t="b">
        <v>0</v>
      </c>
      <c r="J2644" s="3" t="b">
        <v>0</v>
      </c>
      <c r="K2644" s="3" t="s">
        <v>33</v>
      </c>
      <c r="L2644" s="3" t="s">
        <v>34</v>
      </c>
      <c r="M2644" s="8">
        <v>111202</v>
      </c>
      <c r="N2644" s="11"/>
      <c r="O2644" s="3" t="s">
        <v>4559</v>
      </c>
      <c r="P2644" s="3" t="s">
        <v>5434</v>
      </c>
    </row>
    <row r="2645" spans="1:16" x14ac:dyDescent="0.3">
      <c r="A2645" s="3" t="s">
        <v>61</v>
      </c>
      <c r="B2645" s="3" t="s">
        <v>5485</v>
      </c>
      <c r="C2645" s="3" t="s">
        <v>417</v>
      </c>
      <c r="D2645" s="3" t="s">
        <v>30</v>
      </c>
      <c r="E2645" s="3" t="s">
        <v>31</v>
      </c>
      <c r="F2645" s="3" t="b">
        <v>0</v>
      </c>
      <c r="G2645" s="3" t="s">
        <v>58</v>
      </c>
      <c r="H2645" s="6">
        <v>44929.895798611113</v>
      </c>
      <c r="I2645" s="3" t="b">
        <v>0</v>
      </c>
      <c r="J2645" s="3" t="b">
        <v>0</v>
      </c>
      <c r="K2645" s="3" t="s">
        <v>33</v>
      </c>
      <c r="L2645" s="3" t="s">
        <v>34</v>
      </c>
      <c r="M2645" s="8">
        <v>145000</v>
      </c>
      <c r="N2645" s="11"/>
      <c r="O2645" s="3" t="s">
        <v>5486</v>
      </c>
      <c r="P2645" s="3" t="s">
        <v>5487</v>
      </c>
    </row>
    <row r="2646" spans="1:16" x14ac:dyDescent="0.3">
      <c r="A2646" s="3" t="s">
        <v>61</v>
      </c>
      <c r="B2646" s="3" t="s">
        <v>61</v>
      </c>
      <c r="C2646" s="3" t="s">
        <v>164</v>
      </c>
      <c r="D2646" s="3" t="s">
        <v>30</v>
      </c>
      <c r="E2646" s="3" t="s">
        <v>31</v>
      </c>
      <c r="F2646" s="3" t="b">
        <v>0</v>
      </c>
      <c r="G2646" s="3" t="s">
        <v>64</v>
      </c>
      <c r="H2646" s="6">
        <v>44935.666678240741</v>
      </c>
      <c r="I2646" s="3" t="b">
        <v>0</v>
      </c>
      <c r="J2646" s="3" t="b">
        <v>0</v>
      </c>
      <c r="K2646" s="3" t="s">
        <v>33</v>
      </c>
      <c r="L2646" s="3" t="s">
        <v>34</v>
      </c>
      <c r="M2646" s="8">
        <v>130000</v>
      </c>
      <c r="N2646" s="11"/>
      <c r="O2646" s="3" t="s">
        <v>5506</v>
      </c>
      <c r="P2646" s="3" t="s">
        <v>3821</v>
      </c>
    </row>
    <row r="2647" spans="1:16" x14ac:dyDescent="0.3">
      <c r="A2647" s="3" t="s">
        <v>61</v>
      </c>
      <c r="B2647" s="3" t="s">
        <v>61</v>
      </c>
      <c r="C2647" s="3" t="s">
        <v>164</v>
      </c>
      <c r="D2647" s="3" t="s">
        <v>287</v>
      </c>
      <c r="E2647" s="3" t="s">
        <v>31</v>
      </c>
      <c r="F2647" s="3" t="b">
        <v>0</v>
      </c>
      <c r="G2647" s="3" t="s">
        <v>64</v>
      </c>
      <c r="H2647" s="6">
        <v>44942.000034722223</v>
      </c>
      <c r="I2647" s="3" t="b">
        <v>1</v>
      </c>
      <c r="J2647" s="3" t="b">
        <v>0</v>
      </c>
      <c r="K2647" s="3" t="s">
        <v>33</v>
      </c>
      <c r="L2647" s="3" t="s">
        <v>34</v>
      </c>
      <c r="M2647" s="8">
        <v>175000</v>
      </c>
      <c r="N2647" s="11"/>
      <c r="O2647" s="3" t="s">
        <v>5517</v>
      </c>
      <c r="P2647" s="3" t="s">
        <v>5518</v>
      </c>
    </row>
    <row r="2648" spans="1:16" x14ac:dyDescent="0.3">
      <c r="A2648" s="3" t="s">
        <v>61</v>
      </c>
      <c r="B2648" s="3" t="s">
        <v>61</v>
      </c>
      <c r="C2648" s="3" t="s">
        <v>40</v>
      </c>
      <c r="D2648" s="3" t="s">
        <v>41</v>
      </c>
      <c r="E2648" s="3" t="s">
        <v>31</v>
      </c>
      <c r="F2648" s="3" t="b">
        <v>0</v>
      </c>
      <c r="G2648" s="3" t="s">
        <v>42</v>
      </c>
      <c r="H2648" s="6">
        <v>44943.426145833328</v>
      </c>
      <c r="I2648" s="3" t="b">
        <v>1</v>
      </c>
      <c r="J2648" s="3" t="b">
        <v>0</v>
      </c>
      <c r="K2648" s="3" t="s">
        <v>42</v>
      </c>
      <c r="L2648" s="3" t="s">
        <v>34</v>
      </c>
      <c r="M2648" s="8">
        <v>111175</v>
      </c>
      <c r="N2648" s="11"/>
      <c r="O2648" s="3" t="s">
        <v>1448</v>
      </c>
      <c r="P2648" s="3" t="s">
        <v>5563</v>
      </c>
    </row>
    <row r="2649" spans="1:16" x14ac:dyDescent="0.3">
      <c r="A2649" s="3" t="s">
        <v>61</v>
      </c>
      <c r="B2649" s="3" t="s">
        <v>5572</v>
      </c>
      <c r="C2649" s="3" t="s">
        <v>848</v>
      </c>
      <c r="D2649" s="3" t="s">
        <v>41</v>
      </c>
      <c r="E2649" s="3" t="s">
        <v>31</v>
      </c>
      <c r="F2649" s="3" t="b">
        <v>0</v>
      </c>
      <c r="G2649" s="3" t="s">
        <v>849</v>
      </c>
      <c r="H2649" s="6">
        <v>44936.866550925923</v>
      </c>
      <c r="I2649" s="3" t="b">
        <v>0</v>
      </c>
      <c r="J2649" s="3" t="b">
        <v>0</v>
      </c>
      <c r="K2649" s="3" t="s">
        <v>849</v>
      </c>
      <c r="L2649" s="3" t="s">
        <v>34</v>
      </c>
      <c r="M2649" s="8">
        <v>89100</v>
      </c>
      <c r="N2649" s="11"/>
      <c r="O2649" s="3" t="s">
        <v>850</v>
      </c>
      <c r="P2649" s="3" t="s">
        <v>851</v>
      </c>
    </row>
    <row r="2650" spans="1:16" x14ac:dyDescent="0.3">
      <c r="A2650" s="3" t="s">
        <v>61</v>
      </c>
      <c r="B2650" s="3" t="s">
        <v>5604</v>
      </c>
      <c r="C2650" s="3" t="s">
        <v>641</v>
      </c>
      <c r="D2650" s="3" t="s">
        <v>93</v>
      </c>
      <c r="E2650" s="3" t="s">
        <v>31</v>
      </c>
      <c r="F2650" s="3" t="b">
        <v>0</v>
      </c>
      <c r="G2650" s="3" t="s">
        <v>88</v>
      </c>
      <c r="H2650" s="6">
        <v>44944.461145833331</v>
      </c>
      <c r="I2650" s="3" t="b">
        <v>0</v>
      </c>
      <c r="J2650" s="3" t="b">
        <v>0</v>
      </c>
      <c r="K2650" s="3" t="s">
        <v>33</v>
      </c>
      <c r="L2650" s="3" t="s">
        <v>34</v>
      </c>
      <c r="M2650" s="8">
        <v>115000</v>
      </c>
      <c r="N2650" s="11"/>
      <c r="O2650" s="3" t="s">
        <v>267</v>
      </c>
      <c r="P2650" s="3"/>
    </row>
    <row r="2651" spans="1:16" x14ac:dyDescent="0.3">
      <c r="A2651" s="3" t="s">
        <v>61</v>
      </c>
      <c r="B2651" s="3" t="s">
        <v>5624</v>
      </c>
      <c r="C2651" s="3" t="s">
        <v>5625</v>
      </c>
      <c r="D2651" s="3" t="s">
        <v>41</v>
      </c>
      <c r="E2651" s="3" t="s">
        <v>31</v>
      </c>
      <c r="F2651" s="3" t="b">
        <v>0</v>
      </c>
      <c r="G2651" s="3" t="s">
        <v>84</v>
      </c>
      <c r="H2651" s="6">
        <v>44951.251423611109</v>
      </c>
      <c r="I2651" s="3" t="b">
        <v>0</v>
      </c>
      <c r="J2651" s="3" t="b">
        <v>1</v>
      </c>
      <c r="K2651" s="3" t="s">
        <v>33</v>
      </c>
      <c r="L2651" s="3" t="s">
        <v>34</v>
      </c>
      <c r="M2651" s="8">
        <v>99150</v>
      </c>
      <c r="N2651" s="11"/>
      <c r="O2651" s="3" t="s">
        <v>652</v>
      </c>
      <c r="P2651" s="3" t="s">
        <v>5626</v>
      </c>
    </row>
    <row r="2652" spans="1:16" x14ac:dyDescent="0.3">
      <c r="A2652" s="3" t="s">
        <v>61</v>
      </c>
      <c r="B2652" s="3" t="s">
        <v>5635</v>
      </c>
      <c r="C2652" s="3" t="s">
        <v>40</v>
      </c>
      <c r="D2652" s="3" t="s">
        <v>41</v>
      </c>
      <c r="E2652" s="3" t="s">
        <v>31</v>
      </c>
      <c r="F2652" s="3" t="b">
        <v>0</v>
      </c>
      <c r="G2652" s="3" t="s">
        <v>42</v>
      </c>
      <c r="H2652" s="6">
        <v>44957.883101851847</v>
      </c>
      <c r="I2652" s="3" t="b">
        <v>0</v>
      </c>
      <c r="J2652" s="3" t="b">
        <v>0</v>
      </c>
      <c r="K2652" s="3" t="s">
        <v>42</v>
      </c>
      <c r="L2652" s="3" t="s">
        <v>34</v>
      </c>
      <c r="M2652" s="8">
        <v>89100</v>
      </c>
      <c r="N2652" s="11"/>
      <c r="O2652" s="3" t="s">
        <v>875</v>
      </c>
      <c r="P2652" s="3" t="s">
        <v>5636</v>
      </c>
    </row>
    <row r="2653" spans="1:16" x14ac:dyDescent="0.3">
      <c r="A2653" s="3" t="s">
        <v>61</v>
      </c>
      <c r="B2653" s="3" t="s">
        <v>5677</v>
      </c>
      <c r="C2653" s="3" t="s">
        <v>321</v>
      </c>
      <c r="D2653" s="3" t="s">
        <v>1408</v>
      </c>
      <c r="E2653" s="3" t="s">
        <v>31</v>
      </c>
      <c r="F2653" s="3" t="b">
        <v>0</v>
      </c>
      <c r="G2653" s="3" t="s">
        <v>140</v>
      </c>
      <c r="H2653" s="6">
        <v>44955.010254629633</v>
      </c>
      <c r="I2653" s="3" t="b">
        <v>1</v>
      </c>
      <c r="J2653" s="3" t="b">
        <v>0</v>
      </c>
      <c r="K2653" s="3" t="s">
        <v>33</v>
      </c>
      <c r="L2653" s="3" t="s">
        <v>48</v>
      </c>
      <c r="M2653" s="8"/>
      <c r="N2653" s="11">
        <v>24</v>
      </c>
      <c r="O2653" s="3" t="s">
        <v>297</v>
      </c>
      <c r="P2653" s="3" t="s">
        <v>873</v>
      </c>
    </row>
    <row r="2654" spans="1:16" x14ac:dyDescent="0.3">
      <c r="A2654" s="3" t="s">
        <v>61</v>
      </c>
      <c r="B2654" s="3" t="s">
        <v>5681</v>
      </c>
      <c r="C2654" s="3" t="s">
        <v>447</v>
      </c>
      <c r="D2654" s="3" t="s">
        <v>93</v>
      </c>
      <c r="E2654" s="3" t="s">
        <v>31</v>
      </c>
      <c r="F2654" s="3" t="b">
        <v>0</v>
      </c>
      <c r="G2654" s="3" t="s">
        <v>32</v>
      </c>
      <c r="H2654" s="6">
        <v>44936.305694444447</v>
      </c>
      <c r="I2654" s="3" t="b">
        <v>0</v>
      </c>
      <c r="J2654" s="3" t="b">
        <v>0</v>
      </c>
      <c r="K2654" s="3" t="s">
        <v>33</v>
      </c>
      <c r="L2654" s="3" t="s">
        <v>34</v>
      </c>
      <c r="M2654" s="8">
        <v>90000</v>
      </c>
      <c r="N2654" s="11"/>
      <c r="O2654" s="3" t="s">
        <v>5682</v>
      </c>
      <c r="P2654" s="3" t="s">
        <v>374</v>
      </c>
    </row>
    <row r="2655" spans="1:16" x14ac:dyDescent="0.3">
      <c r="A2655" s="3" t="s">
        <v>61</v>
      </c>
      <c r="B2655" s="3" t="s">
        <v>61</v>
      </c>
      <c r="C2655" s="3" t="s">
        <v>79</v>
      </c>
      <c r="D2655" s="3" t="s">
        <v>296</v>
      </c>
      <c r="E2655" s="3" t="s">
        <v>31</v>
      </c>
      <c r="F2655" s="3" t="b">
        <v>0</v>
      </c>
      <c r="G2655" s="3" t="s">
        <v>58</v>
      </c>
      <c r="H2655" s="6">
        <v>44951.001400462963</v>
      </c>
      <c r="I2655" s="3" t="b">
        <v>0</v>
      </c>
      <c r="J2655" s="3" t="b">
        <v>1</v>
      </c>
      <c r="K2655" s="3" t="s">
        <v>33</v>
      </c>
      <c r="L2655" s="3" t="s">
        <v>48</v>
      </c>
      <c r="M2655" s="8"/>
      <c r="N2655" s="11">
        <v>24</v>
      </c>
      <c r="O2655" s="3" t="s">
        <v>1445</v>
      </c>
      <c r="P2655" s="3" t="s">
        <v>5712</v>
      </c>
    </row>
    <row r="2656" spans="1:16" x14ac:dyDescent="0.3">
      <c r="A2656" s="3" t="s">
        <v>61</v>
      </c>
      <c r="B2656" s="3" t="s">
        <v>5743</v>
      </c>
      <c r="C2656" s="3" t="s">
        <v>87</v>
      </c>
      <c r="D2656" s="3" t="s">
        <v>188</v>
      </c>
      <c r="E2656" s="3" t="s">
        <v>133</v>
      </c>
      <c r="F2656" s="3" t="b">
        <v>1</v>
      </c>
      <c r="G2656" s="3" t="s">
        <v>32</v>
      </c>
      <c r="H2656" s="6">
        <v>44931.875601851847</v>
      </c>
      <c r="I2656" s="3" t="b">
        <v>1</v>
      </c>
      <c r="J2656" s="3" t="b">
        <v>0</v>
      </c>
      <c r="K2656" s="3" t="s">
        <v>33</v>
      </c>
      <c r="L2656" s="3" t="s">
        <v>48</v>
      </c>
      <c r="M2656" s="8"/>
      <c r="N2656" s="11">
        <v>72.5</v>
      </c>
      <c r="O2656" s="3" t="s">
        <v>426</v>
      </c>
      <c r="P2656" s="3" t="s">
        <v>374</v>
      </c>
    </row>
    <row r="2657" spans="1:16" x14ac:dyDescent="0.3">
      <c r="A2657" s="3" t="s">
        <v>61</v>
      </c>
      <c r="B2657" s="3" t="s">
        <v>61</v>
      </c>
      <c r="C2657" s="3" t="s">
        <v>270</v>
      </c>
      <c r="D2657" s="3" t="s">
        <v>30</v>
      </c>
      <c r="E2657" s="3" t="s">
        <v>31</v>
      </c>
      <c r="F2657" s="3" t="b">
        <v>0</v>
      </c>
      <c r="G2657" s="3" t="s">
        <v>32</v>
      </c>
      <c r="H2657" s="6">
        <v>44930.959282407413</v>
      </c>
      <c r="I2657" s="3" t="b">
        <v>1</v>
      </c>
      <c r="J2657" s="3" t="b">
        <v>1</v>
      </c>
      <c r="K2657" s="3" t="s">
        <v>33</v>
      </c>
      <c r="L2657" s="3" t="s">
        <v>34</v>
      </c>
      <c r="M2657" s="8">
        <v>135000</v>
      </c>
      <c r="N2657" s="11"/>
      <c r="O2657" s="3" t="s">
        <v>4528</v>
      </c>
      <c r="P2657" s="3" t="s">
        <v>4529</v>
      </c>
    </row>
    <row r="2658" spans="1:16" x14ac:dyDescent="0.3">
      <c r="A2658" s="3" t="s">
        <v>61</v>
      </c>
      <c r="B2658" s="3" t="s">
        <v>3041</v>
      </c>
      <c r="C2658" s="3" t="s">
        <v>1649</v>
      </c>
      <c r="D2658" s="3" t="s">
        <v>76</v>
      </c>
      <c r="E2658" s="3" t="s">
        <v>31</v>
      </c>
      <c r="F2658" s="3" t="b">
        <v>0</v>
      </c>
      <c r="G2658" s="3" t="s">
        <v>64</v>
      </c>
      <c r="H2658" s="6">
        <v>44931.125081018523</v>
      </c>
      <c r="I2658" s="3" t="b">
        <v>1</v>
      </c>
      <c r="J2658" s="3" t="b">
        <v>1</v>
      </c>
      <c r="K2658" s="3" t="s">
        <v>33</v>
      </c>
      <c r="L2658" s="3" t="s">
        <v>34</v>
      </c>
      <c r="M2658" s="8">
        <v>105000</v>
      </c>
      <c r="N2658" s="11"/>
      <c r="O2658" s="3" t="s">
        <v>2726</v>
      </c>
      <c r="P2658" s="3" t="s">
        <v>3043</v>
      </c>
    </row>
    <row r="2659" spans="1:16" x14ac:dyDescent="0.3">
      <c r="A2659" s="3" t="s">
        <v>61</v>
      </c>
      <c r="B2659" s="3" t="s">
        <v>5772</v>
      </c>
      <c r="C2659" s="3" t="s">
        <v>447</v>
      </c>
      <c r="D2659" s="3" t="s">
        <v>93</v>
      </c>
      <c r="E2659" s="3" t="s">
        <v>31</v>
      </c>
      <c r="F2659" s="3" t="b">
        <v>0</v>
      </c>
      <c r="G2659" s="3" t="s">
        <v>32</v>
      </c>
      <c r="H2659" s="6">
        <v>44953.459675925929</v>
      </c>
      <c r="I2659" s="3" t="b">
        <v>0</v>
      </c>
      <c r="J2659" s="3" t="b">
        <v>1</v>
      </c>
      <c r="K2659" s="3" t="s">
        <v>33</v>
      </c>
      <c r="L2659" s="3" t="s">
        <v>34</v>
      </c>
      <c r="M2659" s="8">
        <v>115000</v>
      </c>
      <c r="N2659" s="11"/>
      <c r="O2659" s="3" t="s">
        <v>5773</v>
      </c>
      <c r="P2659" s="3" t="s">
        <v>5774</v>
      </c>
    </row>
    <row r="2660" spans="1:16" x14ac:dyDescent="0.3">
      <c r="A2660" s="3" t="s">
        <v>61</v>
      </c>
      <c r="B2660" s="3" t="s">
        <v>61</v>
      </c>
      <c r="C2660" s="3" t="s">
        <v>5803</v>
      </c>
      <c r="D2660" s="3" t="s">
        <v>53</v>
      </c>
      <c r="E2660" s="3" t="s">
        <v>133</v>
      </c>
      <c r="F2660" s="3" t="b">
        <v>0</v>
      </c>
      <c r="G2660" s="3" t="s">
        <v>64</v>
      </c>
      <c r="H2660" s="6">
        <v>44956.874976851846</v>
      </c>
      <c r="I2660" s="3" t="b">
        <v>0</v>
      </c>
      <c r="J2660" s="3" t="b">
        <v>0</v>
      </c>
      <c r="K2660" s="3" t="s">
        <v>33</v>
      </c>
      <c r="L2660" s="3" t="s">
        <v>48</v>
      </c>
      <c r="M2660" s="8"/>
      <c r="N2660" s="11">
        <v>33</v>
      </c>
      <c r="O2660" s="3" t="s">
        <v>5804</v>
      </c>
      <c r="P2660" s="3" t="s">
        <v>138</v>
      </c>
    </row>
    <row r="2661" spans="1:16" x14ac:dyDescent="0.3">
      <c r="A2661" s="3" t="s">
        <v>61</v>
      </c>
      <c r="B2661" s="3" t="s">
        <v>5881</v>
      </c>
      <c r="C2661" s="3" t="s">
        <v>1458</v>
      </c>
      <c r="D2661" s="3" t="s">
        <v>940</v>
      </c>
      <c r="E2661" s="3" t="s">
        <v>31</v>
      </c>
      <c r="F2661" s="3" t="b">
        <v>0</v>
      </c>
      <c r="G2661" s="3" t="s">
        <v>32</v>
      </c>
      <c r="H2661" s="6">
        <v>44951.292094907411</v>
      </c>
      <c r="I2661" s="3" t="b">
        <v>0</v>
      </c>
      <c r="J2661" s="3" t="b">
        <v>1</v>
      </c>
      <c r="K2661" s="3" t="s">
        <v>33</v>
      </c>
      <c r="L2661" s="3" t="s">
        <v>34</v>
      </c>
      <c r="M2661" s="8">
        <v>160000</v>
      </c>
      <c r="N2661" s="11"/>
      <c r="O2661" s="3" t="s">
        <v>5882</v>
      </c>
      <c r="P2661" s="3" t="s">
        <v>5883</v>
      </c>
    </row>
    <row r="2662" spans="1:16" x14ac:dyDescent="0.3">
      <c r="A2662" s="3" t="s">
        <v>61</v>
      </c>
      <c r="B2662" s="3" t="s">
        <v>61</v>
      </c>
      <c r="C2662" s="3" t="s">
        <v>4557</v>
      </c>
      <c r="D2662" s="3" t="s">
        <v>188</v>
      </c>
      <c r="E2662" s="3" t="s">
        <v>31</v>
      </c>
      <c r="F2662" s="3" t="b">
        <v>0</v>
      </c>
      <c r="G2662" s="3" t="s">
        <v>64</v>
      </c>
      <c r="H2662" s="6">
        <v>44957.8750462963</v>
      </c>
      <c r="I2662" s="3" t="b">
        <v>1</v>
      </c>
      <c r="J2662" s="3" t="b">
        <v>0</v>
      </c>
      <c r="K2662" s="3" t="s">
        <v>33</v>
      </c>
      <c r="L2662" s="3" t="s">
        <v>34</v>
      </c>
      <c r="M2662" s="8">
        <v>100000</v>
      </c>
      <c r="N2662" s="11"/>
      <c r="O2662" s="3" t="s">
        <v>3194</v>
      </c>
      <c r="P2662" s="3" t="s">
        <v>5886</v>
      </c>
    </row>
    <row r="2663" spans="1:16" x14ac:dyDescent="0.3">
      <c r="A2663" s="3" t="s">
        <v>61</v>
      </c>
      <c r="B2663" s="3" t="s">
        <v>2944</v>
      </c>
      <c r="C2663" s="3" t="s">
        <v>5900</v>
      </c>
      <c r="D2663" s="3" t="s">
        <v>93</v>
      </c>
      <c r="E2663" s="3" t="s">
        <v>31</v>
      </c>
      <c r="F2663" s="3" t="b">
        <v>0</v>
      </c>
      <c r="G2663" s="3" t="s">
        <v>64</v>
      </c>
      <c r="H2663" s="6">
        <v>44950.333402777767</v>
      </c>
      <c r="I2663" s="3" t="b">
        <v>0</v>
      </c>
      <c r="J2663" s="3" t="b">
        <v>0</v>
      </c>
      <c r="K2663" s="3" t="s">
        <v>33</v>
      </c>
      <c r="L2663" s="3" t="s">
        <v>34</v>
      </c>
      <c r="M2663" s="8">
        <v>115000</v>
      </c>
      <c r="N2663" s="11"/>
      <c r="O2663" s="3" t="s">
        <v>5901</v>
      </c>
      <c r="P2663" s="3" t="s">
        <v>2945</v>
      </c>
    </row>
    <row r="2664" spans="1:16" x14ac:dyDescent="0.3">
      <c r="A2664" s="3" t="s">
        <v>61</v>
      </c>
      <c r="B2664" s="3" t="s">
        <v>61</v>
      </c>
      <c r="C2664" s="3" t="s">
        <v>520</v>
      </c>
      <c r="D2664" s="3" t="s">
        <v>53</v>
      </c>
      <c r="E2664" s="3" t="s">
        <v>31</v>
      </c>
      <c r="F2664" s="3" t="b">
        <v>0</v>
      </c>
      <c r="G2664" s="3" t="s">
        <v>88</v>
      </c>
      <c r="H2664" s="6">
        <v>44931.91847222222</v>
      </c>
      <c r="I2664" s="3" t="b">
        <v>0</v>
      </c>
      <c r="J2664" s="3" t="b">
        <v>1</v>
      </c>
      <c r="K2664" s="3" t="s">
        <v>33</v>
      </c>
      <c r="L2664" s="3" t="s">
        <v>48</v>
      </c>
      <c r="M2664" s="8"/>
      <c r="N2664" s="11">
        <v>65.19000244140625</v>
      </c>
      <c r="O2664" s="3" t="s">
        <v>4248</v>
      </c>
      <c r="P2664" s="3" t="s">
        <v>2763</v>
      </c>
    </row>
    <row r="2665" spans="1:16" x14ac:dyDescent="0.3">
      <c r="A2665" s="3" t="s">
        <v>61</v>
      </c>
      <c r="B2665" s="3" t="s">
        <v>5960</v>
      </c>
      <c r="C2665" s="3" t="s">
        <v>87</v>
      </c>
      <c r="D2665" s="3" t="s">
        <v>712</v>
      </c>
      <c r="E2665" s="3" t="s">
        <v>31</v>
      </c>
      <c r="F2665" s="3" t="b">
        <v>1</v>
      </c>
      <c r="G2665" s="3" t="s">
        <v>64</v>
      </c>
      <c r="H2665" s="6">
        <v>44950.166608796288</v>
      </c>
      <c r="I2665" s="3" t="b">
        <v>0</v>
      </c>
      <c r="J2665" s="3" t="b">
        <v>1</v>
      </c>
      <c r="K2665" s="3" t="s">
        <v>33</v>
      </c>
      <c r="L2665" s="3" t="s">
        <v>34</v>
      </c>
      <c r="M2665" s="8">
        <v>106661.5</v>
      </c>
      <c r="N2665" s="11"/>
      <c r="O2665" s="3" t="s">
        <v>2120</v>
      </c>
      <c r="P2665" s="3" t="s">
        <v>374</v>
      </c>
    </row>
    <row r="2666" spans="1:16" x14ac:dyDescent="0.3">
      <c r="A2666" s="3" t="s">
        <v>61</v>
      </c>
      <c r="B2666" s="3" t="s">
        <v>5962</v>
      </c>
      <c r="C2666" s="3" t="s">
        <v>520</v>
      </c>
      <c r="D2666" s="3" t="s">
        <v>2850</v>
      </c>
      <c r="E2666" s="3" t="s">
        <v>31</v>
      </c>
      <c r="F2666" s="3" t="b">
        <v>0</v>
      </c>
      <c r="G2666" s="3" t="s">
        <v>88</v>
      </c>
      <c r="H2666" s="6">
        <v>44955.001840277779</v>
      </c>
      <c r="I2666" s="3" t="b">
        <v>0</v>
      </c>
      <c r="J2666" s="3" t="b">
        <v>1</v>
      </c>
      <c r="K2666" s="3" t="s">
        <v>33</v>
      </c>
      <c r="L2666" s="3" t="s">
        <v>48</v>
      </c>
      <c r="M2666" s="8"/>
      <c r="N2666" s="11">
        <v>24</v>
      </c>
      <c r="O2666" s="3" t="s">
        <v>49</v>
      </c>
      <c r="P2666" s="3" t="s">
        <v>5963</v>
      </c>
    </row>
    <row r="2667" spans="1:16" x14ac:dyDescent="0.3">
      <c r="A2667" s="3" t="s">
        <v>61</v>
      </c>
      <c r="B2667" s="3" t="s">
        <v>5966</v>
      </c>
      <c r="C2667" s="3" t="s">
        <v>75</v>
      </c>
      <c r="D2667" s="3" t="s">
        <v>2465</v>
      </c>
      <c r="E2667" s="3" t="s">
        <v>31</v>
      </c>
      <c r="F2667" s="3" t="b">
        <v>0</v>
      </c>
      <c r="G2667" s="3" t="s">
        <v>84</v>
      </c>
      <c r="H2667" s="6">
        <v>44929.979305555556</v>
      </c>
      <c r="I2667" s="3" t="b">
        <v>0</v>
      </c>
      <c r="J2667" s="3" t="b">
        <v>1</v>
      </c>
      <c r="K2667" s="3" t="s">
        <v>33</v>
      </c>
      <c r="L2667" s="3" t="s">
        <v>48</v>
      </c>
      <c r="M2667" s="8"/>
      <c r="N2667" s="11">
        <v>24</v>
      </c>
      <c r="O2667" s="3" t="s">
        <v>5967</v>
      </c>
      <c r="P2667" s="3" t="s">
        <v>5968</v>
      </c>
    </row>
    <row r="2668" spans="1:16" x14ac:dyDescent="0.3">
      <c r="A2668" s="3" t="s">
        <v>61</v>
      </c>
      <c r="B2668" s="3" t="s">
        <v>5974</v>
      </c>
      <c r="C2668" s="3" t="s">
        <v>2039</v>
      </c>
      <c r="D2668" s="3" t="s">
        <v>41</v>
      </c>
      <c r="E2668" s="3" t="s">
        <v>31</v>
      </c>
      <c r="F2668" s="3" t="b">
        <v>0</v>
      </c>
      <c r="G2668" s="3" t="s">
        <v>651</v>
      </c>
      <c r="H2668" s="6">
        <v>44952.47074074074</v>
      </c>
      <c r="I2668" s="3" t="b">
        <v>1</v>
      </c>
      <c r="J2668" s="3" t="b">
        <v>0</v>
      </c>
      <c r="K2668" s="3" t="s">
        <v>651</v>
      </c>
      <c r="L2668" s="3" t="s">
        <v>34</v>
      </c>
      <c r="M2668" s="8">
        <v>105300</v>
      </c>
      <c r="N2668" s="11"/>
      <c r="O2668" s="3" t="s">
        <v>875</v>
      </c>
      <c r="P2668" s="3"/>
    </row>
    <row r="2669" spans="1:16" x14ac:dyDescent="0.3">
      <c r="A2669" s="3" t="s">
        <v>61</v>
      </c>
      <c r="B2669" s="3" t="s">
        <v>61</v>
      </c>
      <c r="C2669" s="3" t="s">
        <v>87</v>
      </c>
      <c r="D2669" s="3" t="s">
        <v>53</v>
      </c>
      <c r="E2669" s="3" t="s">
        <v>133</v>
      </c>
      <c r="F2669" s="3" t="b">
        <v>1</v>
      </c>
      <c r="G2669" s="3" t="s">
        <v>32</v>
      </c>
      <c r="H2669" s="6">
        <v>44956.95957175926</v>
      </c>
      <c r="I2669" s="3" t="b">
        <v>0</v>
      </c>
      <c r="J2669" s="3" t="b">
        <v>0</v>
      </c>
      <c r="K2669" s="3" t="s">
        <v>33</v>
      </c>
      <c r="L2669" s="3" t="s">
        <v>48</v>
      </c>
      <c r="M2669" s="8"/>
      <c r="N2669" s="11">
        <v>70</v>
      </c>
      <c r="O2669" s="3" t="s">
        <v>6000</v>
      </c>
      <c r="P2669" s="3" t="s">
        <v>1066</v>
      </c>
    </row>
    <row r="2670" spans="1:16" x14ac:dyDescent="0.3">
      <c r="A2670" s="3" t="s">
        <v>61</v>
      </c>
      <c r="B2670" s="3" t="s">
        <v>6006</v>
      </c>
      <c r="C2670" s="3" t="s">
        <v>83</v>
      </c>
      <c r="D2670" s="3" t="s">
        <v>30</v>
      </c>
      <c r="E2670" s="3" t="s">
        <v>133</v>
      </c>
      <c r="F2670" s="3" t="b">
        <v>0</v>
      </c>
      <c r="G2670" s="3" t="s">
        <v>64</v>
      </c>
      <c r="H2670" s="6">
        <v>44952.917430555557</v>
      </c>
      <c r="I2670" s="3" t="b">
        <v>0</v>
      </c>
      <c r="J2670" s="3" t="b">
        <v>0</v>
      </c>
      <c r="K2670" s="3" t="s">
        <v>33</v>
      </c>
      <c r="L2670" s="3" t="s">
        <v>48</v>
      </c>
      <c r="M2670" s="8"/>
      <c r="N2670" s="11">
        <v>82.5</v>
      </c>
      <c r="O2670" s="3" t="s">
        <v>6007</v>
      </c>
      <c r="P2670" s="3" t="s">
        <v>298</v>
      </c>
    </row>
    <row r="2671" spans="1:16" x14ac:dyDescent="0.3">
      <c r="A2671" s="3" t="s">
        <v>61</v>
      </c>
      <c r="B2671" s="3" t="s">
        <v>5090</v>
      </c>
      <c r="C2671" s="3" t="s">
        <v>83</v>
      </c>
      <c r="D2671" s="3" t="s">
        <v>30</v>
      </c>
      <c r="E2671" s="3" t="s">
        <v>31</v>
      </c>
      <c r="F2671" s="3" t="b">
        <v>0</v>
      </c>
      <c r="G2671" s="3" t="s">
        <v>64</v>
      </c>
      <c r="H2671" s="6">
        <v>44944.459074074082</v>
      </c>
      <c r="I2671" s="3" t="b">
        <v>0</v>
      </c>
      <c r="J2671" s="3" t="b">
        <v>0</v>
      </c>
      <c r="K2671" s="3" t="s">
        <v>33</v>
      </c>
      <c r="L2671" s="3" t="s">
        <v>34</v>
      </c>
      <c r="M2671" s="8">
        <v>105000</v>
      </c>
      <c r="N2671" s="11"/>
      <c r="O2671" s="3" t="s">
        <v>80</v>
      </c>
      <c r="P2671" s="3" t="s">
        <v>5091</v>
      </c>
    </row>
    <row r="2672" spans="1:16" x14ac:dyDescent="0.3">
      <c r="A2672" s="3" t="s">
        <v>61</v>
      </c>
      <c r="B2672" s="3" t="s">
        <v>61</v>
      </c>
      <c r="C2672" s="3" t="s">
        <v>6047</v>
      </c>
      <c r="D2672" s="3" t="s">
        <v>287</v>
      </c>
      <c r="E2672" s="3" t="s">
        <v>31</v>
      </c>
      <c r="F2672" s="3" t="b">
        <v>0</v>
      </c>
      <c r="G2672" s="3" t="s">
        <v>88</v>
      </c>
      <c r="H2672" s="6">
        <v>44946.013124999998</v>
      </c>
      <c r="I2672" s="3" t="b">
        <v>1</v>
      </c>
      <c r="J2672" s="3" t="b">
        <v>0</v>
      </c>
      <c r="K2672" s="3" t="s">
        <v>33</v>
      </c>
      <c r="L2672" s="3" t="s">
        <v>34</v>
      </c>
      <c r="M2672" s="8">
        <v>90601</v>
      </c>
      <c r="N2672" s="11"/>
      <c r="O2672" s="3" t="s">
        <v>6048</v>
      </c>
      <c r="P2672" s="3"/>
    </row>
    <row r="2673" spans="1:16" x14ac:dyDescent="0.3">
      <c r="A2673" s="3" t="s">
        <v>61</v>
      </c>
      <c r="B2673" s="3" t="s">
        <v>6049</v>
      </c>
      <c r="C2673" s="3" t="s">
        <v>2903</v>
      </c>
      <c r="D2673" s="3" t="s">
        <v>76</v>
      </c>
      <c r="E2673" s="3" t="s">
        <v>31</v>
      </c>
      <c r="F2673" s="3" t="b">
        <v>0</v>
      </c>
      <c r="G2673" s="3" t="s">
        <v>64</v>
      </c>
      <c r="H2673" s="6">
        <v>44939.250219907408</v>
      </c>
      <c r="I2673" s="3" t="b">
        <v>0</v>
      </c>
      <c r="J2673" s="3" t="b">
        <v>0</v>
      </c>
      <c r="K2673" s="3" t="s">
        <v>33</v>
      </c>
      <c r="L2673" s="3" t="s">
        <v>34</v>
      </c>
      <c r="M2673" s="8">
        <v>66746.03125</v>
      </c>
      <c r="N2673" s="11"/>
      <c r="O2673" s="3" t="s">
        <v>6050</v>
      </c>
      <c r="P2673" s="3" t="s">
        <v>6051</v>
      </c>
    </row>
    <row r="2674" spans="1:16" x14ac:dyDescent="0.3">
      <c r="A2674" s="3" t="s">
        <v>61</v>
      </c>
      <c r="B2674" s="3" t="s">
        <v>886</v>
      </c>
      <c r="C2674" s="3" t="s">
        <v>87</v>
      </c>
      <c r="D2674" s="3" t="s">
        <v>76</v>
      </c>
      <c r="E2674" s="3" t="s">
        <v>31</v>
      </c>
      <c r="F2674" s="3" t="b">
        <v>1</v>
      </c>
      <c r="G2674" s="3" t="s">
        <v>32</v>
      </c>
      <c r="H2674" s="6">
        <v>44932.834444444437</v>
      </c>
      <c r="I2674" s="3" t="b">
        <v>0</v>
      </c>
      <c r="J2674" s="3" t="b">
        <v>1</v>
      </c>
      <c r="K2674" s="3" t="s">
        <v>33</v>
      </c>
      <c r="L2674" s="3" t="s">
        <v>34</v>
      </c>
      <c r="M2674" s="8">
        <v>100000</v>
      </c>
      <c r="N2674" s="11"/>
      <c r="O2674" s="3" t="s">
        <v>6077</v>
      </c>
      <c r="P2674" s="3" t="s">
        <v>6078</v>
      </c>
    </row>
    <row r="2675" spans="1:16" x14ac:dyDescent="0.3">
      <c r="A2675" s="3" t="s">
        <v>61</v>
      </c>
      <c r="B2675" s="3" t="s">
        <v>6109</v>
      </c>
      <c r="C2675" s="3" t="s">
        <v>6110</v>
      </c>
      <c r="D2675" s="3" t="s">
        <v>30</v>
      </c>
      <c r="E2675" s="3" t="s">
        <v>133</v>
      </c>
      <c r="F2675" s="3" t="b">
        <v>0</v>
      </c>
      <c r="G2675" s="3" t="s">
        <v>64</v>
      </c>
      <c r="H2675" s="6">
        <v>44936.791944444441</v>
      </c>
      <c r="I2675" s="3" t="b">
        <v>0</v>
      </c>
      <c r="J2675" s="3" t="b">
        <v>0</v>
      </c>
      <c r="K2675" s="3" t="s">
        <v>33</v>
      </c>
      <c r="L2675" s="3" t="s">
        <v>48</v>
      </c>
      <c r="M2675" s="8"/>
      <c r="N2675" s="11">
        <v>61</v>
      </c>
      <c r="O2675" s="3" t="s">
        <v>6111</v>
      </c>
      <c r="P2675" s="3" t="s">
        <v>6112</v>
      </c>
    </row>
    <row r="2676" spans="1:16" x14ac:dyDescent="0.3">
      <c r="A2676" s="3" t="s">
        <v>61</v>
      </c>
      <c r="B2676" s="3" t="s">
        <v>6119</v>
      </c>
      <c r="C2676" s="3" t="s">
        <v>87</v>
      </c>
      <c r="D2676" s="3" t="s">
        <v>6120</v>
      </c>
      <c r="E2676" s="3" t="s">
        <v>31</v>
      </c>
      <c r="F2676" s="3" t="b">
        <v>1</v>
      </c>
      <c r="G2676" s="3" t="s">
        <v>32</v>
      </c>
      <c r="H2676" s="6">
        <v>44950.667407407411</v>
      </c>
      <c r="I2676" s="3" t="b">
        <v>1</v>
      </c>
      <c r="J2676" s="3" t="b">
        <v>0</v>
      </c>
      <c r="K2676" s="3" t="s">
        <v>33</v>
      </c>
      <c r="L2676" s="3" t="s">
        <v>48</v>
      </c>
      <c r="M2676" s="8"/>
      <c r="N2676" s="11">
        <v>112.5</v>
      </c>
      <c r="O2676" s="3" t="s">
        <v>1515</v>
      </c>
      <c r="P2676" s="3" t="s">
        <v>661</v>
      </c>
    </row>
    <row r="2677" spans="1:16" x14ac:dyDescent="0.3">
      <c r="A2677" s="3" t="s">
        <v>61</v>
      </c>
      <c r="B2677" s="3" t="s">
        <v>6147</v>
      </c>
      <c r="C2677" s="3" t="s">
        <v>6148</v>
      </c>
      <c r="D2677" s="3" t="s">
        <v>827</v>
      </c>
      <c r="E2677" s="3" t="s">
        <v>31</v>
      </c>
      <c r="F2677" s="3" t="b">
        <v>0</v>
      </c>
      <c r="G2677" s="3" t="s">
        <v>88</v>
      </c>
      <c r="H2677" s="6">
        <v>44951.335173611107</v>
      </c>
      <c r="I2677" s="3" t="b">
        <v>0</v>
      </c>
      <c r="J2677" s="3" t="b">
        <v>0</v>
      </c>
      <c r="K2677" s="3" t="s">
        <v>33</v>
      </c>
      <c r="L2677" s="3" t="s">
        <v>34</v>
      </c>
      <c r="M2677" s="8">
        <v>91960</v>
      </c>
      <c r="N2677" s="11"/>
      <c r="O2677" s="3" t="s">
        <v>119</v>
      </c>
      <c r="P2677" s="3"/>
    </row>
    <row r="2678" spans="1:16" x14ac:dyDescent="0.3">
      <c r="A2678" s="3" t="s">
        <v>61</v>
      </c>
      <c r="B2678" s="3" t="s">
        <v>6167</v>
      </c>
      <c r="C2678" s="3" t="s">
        <v>5082</v>
      </c>
      <c r="D2678" s="3" t="s">
        <v>93</v>
      </c>
      <c r="E2678" s="3" t="s">
        <v>31</v>
      </c>
      <c r="F2678" s="3" t="b">
        <v>0</v>
      </c>
      <c r="G2678" s="3" t="s">
        <v>64</v>
      </c>
      <c r="H2678" s="6">
        <v>44930.102314814823</v>
      </c>
      <c r="I2678" s="3" t="b">
        <v>0</v>
      </c>
      <c r="J2678" s="3" t="b">
        <v>0</v>
      </c>
      <c r="K2678" s="3" t="s">
        <v>33</v>
      </c>
      <c r="L2678" s="3" t="s">
        <v>34</v>
      </c>
      <c r="M2678" s="8">
        <v>125000</v>
      </c>
      <c r="N2678" s="11"/>
      <c r="O2678" s="3" t="s">
        <v>6168</v>
      </c>
      <c r="P2678" s="3" t="s">
        <v>6169</v>
      </c>
    </row>
    <row r="2679" spans="1:16" x14ac:dyDescent="0.3">
      <c r="A2679" s="3" t="s">
        <v>61</v>
      </c>
      <c r="B2679" s="3" t="s">
        <v>6233</v>
      </c>
      <c r="C2679" s="3" t="s">
        <v>75</v>
      </c>
      <c r="D2679" s="3" t="s">
        <v>93</v>
      </c>
      <c r="E2679" s="3" t="s">
        <v>31</v>
      </c>
      <c r="F2679" s="3" t="b">
        <v>0</v>
      </c>
      <c r="G2679" s="3" t="s">
        <v>84</v>
      </c>
      <c r="H2679" s="6">
        <v>44930.104212962957</v>
      </c>
      <c r="I2679" s="3" t="b">
        <v>0</v>
      </c>
      <c r="J2679" s="3" t="b">
        <v>1</v>
      </c>
      <c r="K2679" s="3" t="s">
        <v>33</v>
      </c>
      <c r="L2679" s="3" t="s">
        <v>34</v>
      </c>
      <c r="M2679" s="8">
        <v>90000</v>
      </c>
      <c r="N2679" s="11"/>
      <c r="O2679" s="3" t="s">
        <v>6234</v>
      </c>
      <c r="P2679" s="3" t="s">
        <v>6235</v>
      </c>
    </row>
    <row r="2680" spans="1:16" x14ac:dyDescent="0.3">
      <c r="A2680" s="3" t="s">
        <v>61</v>
      </c>
      <c r="B2680" s="3" t="s">
        <v>6236</v>
      </c>
      <c r="C2680" s="3" t="s">
        <v>1483</v>
      </c>
      <c r="D2680" s="3" t="s">
        <v>6237</v>
      </c>
      <c r="E2680" s="3" t="s">
        <v>31</v>
      </c>
      <c r="F2680" s="3" t="b">
        <v>0</v>
      </c>
      <c r="G2680" s="3" t="s">
        <v>32</v>
      </c>
      <c r="H2680" s="6">
        <v>44936.833819444437</v>
      </c>
      <c r="I2680" s="3" t="b">
        <v>0</v>
      </c>
      <c r="J2680" s="3" t="b">
        <v>0</v>
      </c>
      <c r="K2680" s="3" t="s">
        <v>33</v>
      </c>
      <c r="L2680" s="3" t="s">
        <v>34</v>
      </c>
      <c r="M2680" s="8">
        <v>90000</v>
      </c>
      <c r="N2680" s="11"/>
      <c r="O2680" s="3" t="s">
        <v>6238</v>
      </c>
      <c r="P2680" s="3" t="s">
        <v>6239</v>
      </c>
    </row>
    <row r="2681" spans="1:16" x14ac:dyDescent="0.3">
      <c r="A2681" s="3" t="s">
        <v>61</v>
      </c>
      <c r="B2681" s="3" t="s">
        <v>61</v>
      </c>
      <c r="C2681" s="3" t="s">
        <v>6249</v>
      </c>
      <c r="D2681" s="3" t="s">
        <v>76</v>
      </c>
      <c r="E2681" s="3" t="s">
        <v>31</v>
      </c>
      <c r="F2681" s="3" t="b">
        <v>0</v>
      </c>
      <c r="G2681" s="3" t="s">
        <v>64</v>
      </c>
      <c r="H2681" s="6">
        <v>44950.750069444453</v>
      </c>
      <c r="I2681" s="3" t="b">
        <v>0</v>
      </c>
      <c r="J2681" s="3" t="b">
        <v>1</v>
      </c>
      <c r="K2681" s="3" t="s">
        <v>33</v>
      </c>
      <c r="L2681" s="3" t="s">
        <v>34</v>
      </c>
      <c r="M2681" s="8">
        <v>85000</v>
      </c>
      <c r="N2681" s="11"/>
      <c r="O2681" s="3" t="s">
        <v>6250</v>
      </c>
      <c r="P2681" s="3" t="s">
        <v>6251</v>
      </c>
    </row>
    <row r="2682" spans="1:16" x14ac:dyDescent="0.3">
      <c r="A2682" s="3" t="s">
        <v>61</v>
      </c>
      <c r="B2682" s="3" t="s">
        <v>6268</v>
      </c>
      <c r="C2682" s="3" t="s">
        <v>87</v>
      </c>
      <c r="D2682" s="3" t="s">
        <v>712</v>
      </c>
      <c r="E2682" s="3" t="s">
        <v>31</v>
      </c>
      <c r="F2682" s="3" t="b">
        <v>1</v>
      </c>
      <c r="G2682" s="3" t="s">
        <v>64</v>
      </c>
      <c r="H2682" s="6">
        <v>44935.541597222233</v>
      </c>
      <c r="I2682" s="3" t="b">
        <v>1</v>
      </c>
      <c r="J2682" s="3" t="b">
        <v>1</v>
      </c>
      <c r="K2682" s="3" t="s">
        <v>33</v>
      </c>
      <c r="L2682" s="3" t="s">
        <v>34</v>
      </c>
      <c r="M2682" s="8">
        <v>126000</v>
      </c>
      <c r="N2682" s="11"/>
      <c r="O2682" s="3" t="s">
        <v>2120</v>
      </c>
      <c r="P2682" s="3" t="s">
        <v>2121</v>
      </c>
    </row>
    <row r="2683" spans="1:16" x14ac:dyDescent="0.3">
      <c r="A2683" s="3" t="s">
        <v>61</v>
      </c>
      <c r="B2683" s="3" t="s">
        <v>6269</v>
      </c>
      <c r="C2683" s="3" t="s">
        <v>641</v>
      </c>
      <c r="D2683" s="3" t="s">
        <v>93</v>
      </c>
      <c r="E2683" s="3" t="s">
        <v>31</v>
      </c>
      <c r="F2683" s="3" t="b">
        <v>0</v>
      </c>
      <c r="G2683" s="3" t="s">
        <v>88</v>
      </c>
      <c r="H2683" s="6">
        <v>44939.41988425926</v>
      </c>
      <c r="I2683" s="3" t="b">
        <v>0</v>
      </c>
      <c r="J2683" s="3" t="b">
        <v>0</v>
      </c>
      <c r="K2683" s="3" t="s">
        <v>33</v>
      </c>
      <c r="L2683" s="3" t="s">
        <v>34</v>
      </c>
      <c r="M2683" s="8">
        <v>115000</v>
      </c>
      <c r="N2683" s="11"/>
      <c r="O2683" s="3" t="s">
        <v>267</v>
      </c>
      <c r="P2683" s="3" t="s">
        <v>6270</v>
      </c>
    </row>
    <row r="2684" spans="1:16" x14ac:dyDescent="0.3">
      <c r="A2684" s="3" t="s">
        <v>61</v>
      </c>
      <c r="B2684" s="3" t="s">
        <v>6286</v>
      </c>
      <c r="C2684" s="3" t="s">
        <v>75</v>
      </c>
      <c r="D2684" s="3" t="s">
        <v>76</v>
      </c>
      <c r="E2684" s="3" t="s">
        <v>31</v>
      </c>
      <c r="F2684" s="3" t="b">
        <v>0</v>
      </c>
      <c r="G2684" s="3" t="s">
        <v>84</v>
      </c>
      <c r="H2684" s="6">
        <v>44928.085416666669</v>
      </c>
      <c r="I2684" s="3" t="b">
        <v>1</v>
      </c>
      <c r="J2684" s="3" t="b">
        <v>0</v>
      </c>
      <c r="K2684" s="3" t="s">
        <v>33</v>
      </c>
      <c r="L2684" s="3" t="s">
        <v>34</v>
      </c>
      <c r="M2684" s="8">
        <v>170000</v>
      </c>
      <c r="N2684" s="11"/>
      <c r="O2684" s="3" t="s">
        <v>80</v>
      </c>
      <c r="P2684" s="3"/>
    </row>
    <row r="2685" spans="1:16" x14ac:dyDescent="0.3">
      <c r="A2685" s="3" t="s">
        <v>61</v>
      </c>
      <c r="B2685" s="3" t="s">
        <v>61</v>
      </c>
      <c r="C2685" s="3" t="s">
        <v>270</v>
      </c>
      <c r="D2685" s="3" t="s">
        <v>188</v>
      </c>
      <c r="E2685" s="3" t="s">
        <v>31</v>
      </c>
      <c r="F2685" s="3" t="b">
        <v>0</v>
      </c>
      <c r="G2685" s="3" t="s">
        <v>32</v>
      </c>
      <c r="H2685" s="6">
        <v>44932.542650462958</v>
      </c>
      <c r="I2685" s="3" t="b">
        <v>0</v>
      </c>
      <c r="J2685" s="3" t="b">
        <v>0</v>
      </c>
      <c r="K2685" s="3" t="s">
        <v>33</v>
      </c>
      <c r="L2685" s="3" t="s">
        <v>34</v>
      </c>
      <c r="M2685" s="8">
        <v>85000</v>
      </c>
      <c r="N2685" s="11"/>
      <c r="O2685" s="3" t="s">
        <v>255</v>
      </c>
      <c r="P2685" s="3" t="s">
        <v>1169</v>
      </c>
    </row>
    <row r="2686" spans="1:16" x14ac:dyDescent="0.3">
      <c r="A2686" s="3" t="s">
        <v>61</v>
      </c>
      <c r="B2686" s="3" t="s">
        <v>2985</v>
      </c>
      <c r="C2686" s="3" t="s">
        <v>6330</v>
      </c>
      <c r="D2686" s="3" t="s">
        <v>30</v>
      </c>
      <c r="E2686" s="3" t="s">
        <v>31</v>
      </c>
      <c r="F2686" s="3" t="b">
        <v>0</v>
      </c>
      <c r="G2686" s="3" t="s">
        <v>140</v>
      </c>
      <c r="H2686" s="6">
        <v>44945.604872685188</v>
      </c>
      <c r="I2686" s="3" t="b">
        <v>0</v>
      </c>
      <c r="J2686" s="3" t="b">
        <v>0</v>
      </c>
      <c r="K2686" s="3" t="s">
        <v>33</v>
      </c>
      <c r="L2686" s="3" t="s">
        <v>34</v>
      </c>
      <c r="M2686" s="8">
        <v>112500</v>
      </c>
      <c r="N2686" s="11"/>
      <c r="O2686" s="3" t="s">
        <v>6331</v>
      </c>
      <c r="P2686" s="3" t="s">
        <v>6332</v>
      </c>
    </row>
    <row r="2687" spans="1:16" x14ac:dyDescent="0.3">
      <c r="A2687" s="3" t="s">
        <v>61</v>
      </c>
      <c r="B2687" s="3" t="s">
        <v>6349</v>
      </c>
      <c r="C2687" s="3" t="s">
        <v>87</v>
      </c>
      <c r="D2687" s="3" t="s">
        <v>76</v>
      </c>
      <c r="E2687" s="3" t="s">
        <v>31</v>
      </c>
      <c r="F2687" s="3" t="b">
        <v>1</v>
      </c>
      <c r="G2687" s="3" t="s">
        <v>84</v>
      </c>
      <c r="H2687" s="6">
        <v>44947.545173611114</v>
      </c>
      <c r="I2687" s="3" t="b">
        <v>0</v>
      </c>
      <c r="J2687" s="3" t="b">
        <v>0</v>
      </c>
      <c r="K2687" s="3" t="s">
        <v>33</v>
      </c>
      <c r="L2687" s="3" t="s">
        <v>34</v>
      </c>
      <c r="M2687" s="8">
        <v>95150</v>
      </c>
      <c r="N2687" s="11"/>
      <c r="O2687" s="3" t="s">
        <v>6350</v>
      </c>
      <c r="P2687" s="3" t="s">
        <v>6351</v>
      </c>
    </row>
    <row r="2688" spans="1:16" x14ac:dyDescent="0.3">
      <c r="A2688" s="3" t="s">
        <v>61</v>
      </c>
      <c r="B2688" s="3" t="s">
        <v>6358</v>
      </c>
      <c r="C2688" s="3" t="s">
        <v>903</v>
      </c>
      <c r="D2688" s="3" t="s">
        <v>41</v>
      </c>
      <c r="E2688" s="3" t="s">
        <v>31</v>
      </c>
      <c r="F2688" s="3" t="b">
        <v>0</v>
      </c>
      <c r="G2688" s="3" t="s">
        <v>436</v>
      </c>
      <c r="H2688" s="6">
        <v>44936.810949074083</v>
      </c>
      <c r="I2688" s="3" t="b">
        <v>0</v>
      </c>
      <c r="J2688" s="3" t="b">
        <v>0</v>
      </c>
      <c r="K2688" s="3" t="s">
        <v>436</v>
      </c>
      <c r="L2688" s="3" t="s">
        <v>34</v>
      </c>
      <c r="M2688" s="8">
        <v>79200</v>
      </c>
      <c r="N2688" s="11"/>
      <c r="O2688" s="3" t="s">
        <v>6359</v>
      </c>
      <c r="P2688" s="3" t="s">
        <v>6360</v>
      </c>
    </row>
    <row r="2689" spans="1:16" x14ac:dyDescent="0.3">
      <c r="A2689" s="3" t="s">
        <v>181</v>
      </c>
      <c r="B2689" s="3" t="s">
        <v>181</v>
      </c>
      <c r="C2689" s="3" t="s">
        <v>182</v>
      </c>
      <c r="D2689" s="3" t="s">
        <v>76</v>
      </c>
      <c r="E2689" s="3" t="s">
        <v>31</v>
      </c>
      <c r="F2689" s="3" t="b">
        <v>0</v>
      </c>
      <c r="G2689" s="3" t="s">
        <v>84</v>
      </c>
      <c r="H2689" s="6">
        <v>44933.921157407407</v>
      </c>
      <c r="I2689" s="3" t="b">
        <v>0</v>
      </c>
      <c r="J2689" s="3" t="b">
        <v>1</v>
      </c>
      <c r="K2689" s="3" t="s">
        <v>33</v>
      </c>
      <c r="L2689" s="3" t="s">
        <v>34</v>
      </c>
      <c r="M2689" s="8">
        <v>135000</v>
      </c>
      <c r="N2689" s="11"/>
      <c r="O2689" s="3" t="s">
        <v>158</v>
      </c>
      <c r="P2689" s="3" t="s">
        <v>183</v>
      </c>
    </row>
    <row r="2690" spans="1:16" x14ac:dyDescent="0.3">
      <c r="A2690" s="3" t="s">
        <v>181</v>
      </c>
      <c r="B2690" s="3" t="s">
        <v>226</v>
      </c>
      <c r="C2690" s="3" t="s">
        <v>227</v>
      </c>
      <c r="D2690" s="3" t="s">
        <v>106</v>
      </c>
      <c r="E2690" s="3" t="s">
        <v>31</v>
      </c>
      <c r="F2690" s="3" t="b">
        <v>0</v>
      </c>
      <c r="G2690" s="3" t="s">
        <v>140</v>
      </c>
      <c r="H2690" s="6">
        <v>44938.38957175926</v>
      </c>
      <c r="I2690" s="3" t="b">
        <v>0</v>
      </c>
      <c r="J2690" s="3" t="b">
        <v>1</v>
      </c>
      <c r="K2690" s="3" t="s">
        <v>33</v>
      </c>
      <c r="L2690" s="3" t="s">
        <v>34</v>
      </c>
      <c r="M2690" s="8">
        <v>138200</v>
      </c>
      <c r="N2690" s="11"/>
      <c r="O2690" s="3" t="s">
        <v>228</v>
      </c>
      <c r="P2690" s="3" t="s">
        <v>229</v>
      </c>
    </row>
    <row r="2691" spans="1:16" x14ac:dyDescent="0.3">
      <c r="A2691" s="3" t="s">
        <v>181</v>
      </c>
      <c r="B2691" s="3" t="s">
        <v>235</v>
      </c>
      <c r="C2691" s="3" t="s">
        <v>236</v>
      </c>
      <c r="D2691" s="3" t="s">
        <v>237</v>
      </c>
      <c r="E2691" s="3" t="s">
        <v>31</v>
      </c>
      <c r="F2691" s="3" t="b">
        <v>0</v>
      </c>
      <c r="G2691" s="3" t="s">
        <v>64</v>
      </c>
      <c r="H2691" s="6">
        <v>44953.672997685193</v>
      </c>
      <c r="I2691" s="3" t="b">
        <v>0</v>
      </c>
      <c r="J2691" s="3" t="b">
        <v>1</v>
      </c>
      <c r="K2691" s="3" t="s">
        <v>33</v>
      </c>
      <c r="L2691" s="3" t="s">
        <v>34</v>
      </c>
      <c r="M2691" s="8">
        <v>170672</v>
      </c>
      <c r="N2691" s="11"/>
      <c r="O2691" s="3" t="s">
        <v>238</v>
      </c>
      <c r="P2691" s="3" t="s">
        <v>239</v>
      </c>
    </row>
    <row r="2692" spans="1:16" x14ac:dyDescent="0.3">
      <c r="A2692" s="3" t="s">
        <v>181</v>
      </c>
      <c r="B2692" s="3" t="s">
        <v>243</v>
      </c>
      <c r="C2692" s="3" t="s">
        <v>244</v>
      </c>
      <c r="D2692" s="3" t="s">
        <v>93</v>
      </c>
      <c r="E2692" s="3" t="s">
        <v>31</v>
      </c>
      <c r="F2692" s="3" t="b">
        <v>0</v>
      </c>
      <c r="G2692" s="3" t="s">
        <v>84</v>
      </c>
      <c r="H2692" s="6">
        <v>44953.29965277778</v>
      </c>
      <c r="I2692" s="3" t="b">
        <v>0</v>
      </c>
      <c r="J2692" s="3" t="b">
        <v>1</v>
      </c>
      <c r="K2692" s="3" t="s">
        <v>33</v>
      </c>
      <c r="L2692" s="3" t="s">
        <v>34</v>
      </c>
      <c r="M2692" s="8">
        <v>150000</v>
      </c>
      <c r="N2692" s="11"/>
      <c r="O2692" s="3" t="s">
        <v>245</v>
      </c>
      <c r="P2692" s="3" t="s">
        <v>246</v>
      </c>
    </row>
    <row r="2693" spans="1:16" x14ac:dyDescent="0.3">
      <c r="A2693" s="3" t="s">
        <v>181</v>
      </c>
      <c r="B2693" s="3" t="s">
        <v>262</v>
      </c>
      <c r="C2693" s="3" t="s">
        <v>87</v>
      </c>
      <c r="D2693" s="3" t="s">
        <v>263</v>
      </c>
      <c r="E2693" s="3" t="s">
        <v>133</v>
      </c>
      <c r="F2693" s="3" t="b">
        <v>1</v>
      </c>
      <c r="G2693" s="3" t="s">
        <v>32</v>
      </c>
      <c r="H2693" s="6">
        <v>44936.34983796296</v>
      </c>
      <c r="I2693" s="3" t="b">
        <v>1</v>
      </c>
      <c r="J2693" s="3" t="b">
        <v>0</v>
      </c>
      <c r="K2693" s="3" t="s">
        <v>33</v>
      </c>
      <c r="L2693" s="3" t="s">
        <v>48</v>
      </c>
      <c r="M2693" s="8"/>
      <c r="N2693" s="11">
        <v>16.5</v>
      </c>
      <c r="O2693" s="3" t="s">
        <v>264</v>
      </c>
      <c r="P2693" s="3" t="s">
        <v>265</v>
      </c>
    </row>
    <row r="2694" spans="1:16" x14ac:dyDescent="0.3">
      <c r="A2694" s="3" t="s">
        <v>181</v>
      </c>
      <c r="B2694" s="3" t="s">
        <v>181</v>
      </c>
      <c r="C2694" s="3" t="s">
        <v>276</v>
      </c>
      <c r="D2694" s="3" t="s">
        <v>93</v>
      </c>
      <c r="E2694" s="3" t="s">
        <v>31</v>
      </c>
      <c r="F2694" s="3" t="b">
        <v>0</v>
      </c>
      <c r="G2694" s="3" t="s">
        <v>140</v>
      </c>
      <c r="H2694" s="6">
        <v>44930.441689814812</v>
      </c>
      <c r="I2694" s="3" t="b">
        <v>0</v>
      </c>
      <c r="J2694" s="3" t="b">
        <v>1</v>
      </c>
      <c r="K2694" s="3" t="s">
        <v>33</v>
      </c>
      <c r="L2694" s="3" t="s">
        <v>34</v>
      </c>
      <c r="M2694" s="8">
        <v>150000</v>
      </c>
      <c r="N2694" s="11"/>
      <c r="O2694" s="3" t="s">
        <v>277</v>
      </c>
      <c r="P2694" s="3" t="s">
        <v>278</v>
      </c>
    </row>
    <row r="2695" spans="1:16" x14ac:dyDescent="0.3">
      <c r="A2695" s="3" t="s">
        <v>181</v>
      </c>
      <c r="B2695" s="3" t="s">
        <v>301</v>
      </c>
      <c r="C2695" s="3" t="s">
        <v>302</v>
      </c>
      <c r="D2695" s="3" t="s">
        <v>93</v>
      </c>
      <c r="E2695" s="3" t="s">
        <v>31</v>
      </c>
      <c r="F2695" s="3" t="b">
        <v>0</v>
      </c>
      <c r="G2695" s="3" t="s">
        <v>140</v>
      </c>
      <c r="H2695" s="6">
        <v>44948.417974537027</v>
      </c>
      <c r="I2695" s="3" t="b">
        <v>0</v>
      </c>
      <c r="J2695" s="3" t="b">
        <v>1</v>
      </c>
      <c r="K2695" s="3" t="s">
        <v>33</v>
      </c>
      <c r="L2695" s="3" t="s">
        <v>34</v>
      </c>
      <c r="M2695" s="8">
        <v>150000</v>
      </c>
      <c r="N2695" s="11"/>
      <c r="O2695" s="3" t="s">
        <v>303</v>
      </c>
      <c r="P2695" s="3" t="s">
        <v>304</v>
      </c>
    </row>
    <row r="2696" spans="1:16" x14ac:dyDescent="0.3">
      <c r="A2696" s="3" t="s">
        <v>181</v>
      </c>
      <c r="B2696" s="3" t="s">
        <v>181</v>
      </c>
      <c r="C2696" s="3" t="s">
        <v>305</v>
      </c>
      <c r="D2696" s="3" t="s">
        <v>30</v>
      </c>
      <c r="E2696" s="3" t="s">
        <v>31</v>
      </c>
      <c r="F2696" s="3" t="b">
        <v>0</v>
      </c>
      <c r="G2696" s="3" t="s">
        <v>84</v>
      </c>
      <c r="H2696" s="6">
        <v>44932.71471064815</v>
      </c>
      <c r="I2696" s="3" t="b">
        <v>0</v>
      </c>
      <c r="J2696" s="3" t="b">
        <v>1</v>
      </c>
      <c r="K2696" s="3" t="s">
        <v>33</v>
      </c>
      <c r="L2696" s="3" t="s">
        <v>34</v>
      </c>
      <c r="M2696" s="8">
        <v>140000</v>
      </c>
      <c r="N2696" s="11"/>
      <c r="O2696" s="3" t="s">
        <v>114</v>
      </c>
      <c r="P2696" s="3" t="s">
        <v>306</v>
      </c>
    </row>
    <row r="2697" spans="1:16" x14ac:dyDescent="0.3">
      <c r="A2697" s="3" t="s">
        <v>181</v>
      </c>
      <c r="B2697" s="3" t="s">
        <v>181</v>
      </c>
      <c r="C2697" s="3" t="s">
        <v>87</v>
      </c>
      <c r="D2697" s="3" t="s">
        <v>30</v>
      </c>
      <c r="E2697" s="3" t="s">
        <v>31</v>
      </c>
      <c r="F2697" s="3" t="b">
        <v>1</v>
      </c>
      <c r="G2697" s="3" t="s">
        <v>88</v>
      </c>
      <c r="H2697" s="6">
        <v>44939.591481481482</v>
      </c>
      <c r="I2697" s="3" t="b">
        <v>0</v>
      </c>
      <c r="J2697" s="3" t="b">
        <v>0</v>
      </c>
      <c r="K2697" s="3" t="s">
        <v>33</v>
      </c>
      <c r="L2697" s="3" t="s">
        <v>34</v>
      </c>
      <c r="M2697" s="8">
        <v>150000</v>
      </c>
      <c r="N2697" s="11"/>
      <c r="O2697" s="3" t="s">
        <v>327</v>
      </c>
      <c r="P2697" s="3" t="s">
        <v>328</v>
      </c>
    </row>
    <row r="2698" spans="1:16" x14ac:dyDescent="0.3">
      <c r="A2698" s="3" t="s">
        <v>181</v>
      </c>
      <c r="B2698" s="3" t="s">
        <v>449</v>
      </c>
      <c r="C2698" s="3" t="s">
        <v>450</v>
      </c>
      <c r="D2698" s="3" t="s">
        <v>390</v>
      </c>
      <c r="E2698" s="3" t="s">
        <v>31</v>
      </c>
      <c r="F2698" s="3" t="b">
        <v>0</v>
      </c>
      <c r="G2698" s="3" t="s">
        <v>64</v>
      </c>
      <c r="H2698" s="6">
        <v>44939.797500000001</v>
      </c>
      <c r="I2698" s="3" t="b">
        <v>0</v>
      </c>
      <c r="J2698" s="3" t="b">
        <v>0</v>
      </c>
      <c r="K2698" s="3" t="s">
        <v>33</v>
      </c>
      <c r="L2698" s="3" t="s">
        <v>34</v>
      </c>
      <c r="M2698" s="8">
        <v>156596</v>
      </c>
      <c r="N2698" s="11"/>
      <c r="O2698" s="3" t="s">
        <v>238</v>
      </c>
      <c r="P2698" s="3" t="s">
        <v>239</v>
      </c>
    </row>
    <row r="2699" spans="1:16" x14ac:dyDescent="0.3">
      <c r="A2699" s="3" t="s">
        <v>181</v>
      </c>
      <c r="B2699" s="3" t="s">
        <v>181</v>
      </c>
      <c r="C2699" s="3" t="s">
        <v>475</v>
      </c>
      <c r="D2699" s="3" t="s">
        <v>307</v>
      </c>
      <c r="E2699" s="3" t="s">
        <v>133</v>
      </c>
      <c r="F2699" s="3" t="b">
        <v>0</v>
      </c>
      <c r="G2699" s="3" t="s">
        <v>140</v>
      </c>
      <c r="H2699" s="6">
        <v>44942.349699074082</v>
      </c>
      <c r="I2699" s="3" t="b">
        <v>1</v>
      </c>
      <c r="J2699" s="3" t="b">
        <v>0</v>
      </c>
      <c r="K2699" s="3" t="s">
        <v>33</v>
      </c>
      <c r="L2699" s="3" t="s">
        <v>48</v>
      </c>
      <c r="M2699" s="8"/>
      <c r="N2699" s="11">
        <v>73</v>
      </c>
      <c r="O2699" s="3" t="s">
        <v>114</v>
      </c>
      <c r="P2699" s="3" t="s">
        <v>476</v>
      </c>
    </row>
    <row r="2700" spans="1:16" x14ac:dyDescent="0.3">
      <c r="A2700" s="3" t="s">
        <v>181</v>
      </c>
      <c r="B2700" s="3" t="s">
        <v>508</v>
      </c>
      <c r="C2700" s="3" t="s">
        <v>87</v>
      </c>
      <c r="D2700" s="3" t="s">
        <v>30</v>
      </c>
      <c r="E2700" s="3" t="s">
        <v>31</v>
      </c>
      <c r="F2700" s="3" t="b">
        <v>1</v>
      </c>
      <c r="G2700" s="3" t="s">
        <v>84</v>
      </c>
      <c r="H2700" s="6">
        <v>44945.826203703713</v>
      </c>
      <c r="I2700" s="3" t="b">
        <v>0</v>
      </c>
      <c r="J2700" s="3" t="b">
        <v>0</v>
      </c>
      <c r="K2700" s="3" t="s">
        <v>33</v>
      </c>
      <c r="L2700" s="3" t="s">
        <v>34</v>
      </c>
      <c r="M2700" s="8">
        <v>95000</v>
      </c>
      <c r="N2700" s="11"/>
      <c r="O2700" s="3" t="s">
        <v>509</v>
      </c>
      <c r="P2700" s="3" t="s">
        <v>510</v>
      </c>
    </row>
    <row r="2701" spans="1:16" x14ac:dyDescent="0.3">
      <c r="A2701" s="3" t="s">
        <v>181</v>
      </c>
      <c r="B2701" s="3" t="s">
        <v>602</v>
      </c>
      <c r="C2701" s="3" t="s">
        <v>603</v>
      </c>
      <c r="D2701" s="3" t="s">
        <v>41</v>
      </c>
      <c r="E2701" s="3" t="s">
        <v>31</v>
      </c>
      <c r="F2701" s="3" t="b">
        <v>0</v>
      </c>
      <c r="G2701" s="3" t="s">
        <v>69</v>
      </c>
      <c r="H2701" s="6">
        <v>44951.333391203712</v>
      </c>
      <c r="I2701" s="3" t="b">
        <v>0</v>
      </c>
      <c r="J2701" s="3" t="b">
        <v>0</v>
      </c>
      <c r="K2701" s="3" t="s">
        <v>69</v>
      </c>
      <c r="L2701" s="3" t="s">
        <v>34</v>
      </c>
      <c r="M2701" s="8">
        <v>147500</v>
      </c>
      <c r="N2701" s="11"/>
      <c r="O2701" s="3" t="s">
        <v>604</v>
      </c>
      <c r="P2701" s="3" t="s">
        <v>605</v>
      </c>
    </row>
    <row r="2702" spans="1:16" x14ac:dyDescent="0.3">
      <c r="A2702" s="3" t="s">
        <v>181</v>
      </c>
      <c r="B2702" s="3" t="s">
        <v>606</v>
      </c>
      <c r="C2702" s="3" t="s">
        <v>87</v>
      </c>
      <c r="D2702" s="3" t="s">
        <v>76</v>
      </c>
      <c r="E2702" s="3" t="s">
        <v>31</v>
      </c>
      <c r="F2702" s="3" t="b">
        <v>1</v>
      </c>
      <c r="G2702" s="3" t="s">
        <v>58</v>
      </c>
      <c r="H2702" s="6">
        <v>44930.568206018521</v>
      </c>
      <c r="I2702" s="3" t="b">
        <v>0</v>
      </c>
      <c r="J2702" s="3" t="b">
        <v>1</v>
      </c>
      <c r="K2702" s="3" t="s">
        <v>33</v>
      </c>
      <c r="L2702" s="3" t="s">
        <v>34</v>
      </c>
      <c r="M2702" s="8">
        <v>155000</v>
      </c>
      <c r="N2702" s="11"/>
      <c r="O2702" s="3" t="s">
        <v>80</v>
      </c>
      <c r="P2702" s="3" t="s">
        <v>607</v>
      </c>
    </row>
    <row r="2703" spans="1:16" x14ac:dyDescent="0.3">
      <c r="A2703" s="3" t="s">
        <v>181</v>
      </c>
      <c r="B2703" s="3" t="s">
        <v>622</v>
      </c>
      <c r="C2703" s="3" t="s">
        <v>87</v>
      </c>
      <c r="D2703" s="3" t="s">
        <v>76</v>
      </c>
      <c r="E2703" s="3" t="s">
        <v>31</v>
      </c>
      <c r="F2703" s="3" t="b">
        <v>1</v>
      </c>
      <c r="G2703" s="3" t="s">
        <v>88</v>
      </c>
      <c r="H2703" s="6">
        <v>44930.61074074074</v>
      </c>
      <c r="I2703" s="3" t="b">
        <v>0</v>
      </c>
      <c r="J2703" s="3" t="b">
        <v>0</v>
      </c>
      <c r="K2703" s="3" t="s">
        <v>33</v>
      </c>
      <c r="L2703" s="3" t="s">
        <v>34</v>
      </c>
      <c r="M2703" s="8">
        <v>135600</v>
      </c>
      <c r="N2703" s="11"/>
      <c r="O2703" s="3" t="s">
        <v>228</v>
      </c>
      <c r="P2703" s="3" t="s">
        <v>623</v>
      </c>
    </row>
    <row r="2704" spans="1:16" x14ac:dyDescent="0.3">
      <c r="A2704" s="3" t="s">
        <v>181</v>
      </c>
      <c r="B2704" s="3" t="s">
        <v>181</v>
      </c>
      <c r="C2704" s="3" t="s">
        <v>87</v>
      </c>
      <c r="D2704" s="3" t="s">
        <v>30</v>
      </c>
      <c r="E2704" s="3" t="s">
        <v>31</v>
      </c>
      <c r="F2704" s="3" t="b">
        <v>1</v>
      </c>
      <c r="G2704" s="3" t="s">
        <v>64</v>
      </c>
      <c r="H2704" s="6">
        <v>44938.256631944438</v>
      </c>
      <c r="I2704" s="3" t="b">
        <v>1</v>
      </c>
      <c r="J2704" s="3" t="b">
        <v>0</v>
      </c>
      <c r="K2704" s="3" t="s">
        <v>33</v>
      </c>
      <c r="L2704" s="3" t="s">
        <v>34</v>
      </c>
      <c r="M2704" s="8">
        <v>165000</v>
      </c>
      <c r="N2704" s="11"/>
      <c r="O2704" s="3" t="s">
        <v>646</v>
      </c>
      <c r="P2704" s="3" t="s">
        <v>647</v>
      </c>
    </row>
    <row r="2705" spans="1:16" x14ac:dyDescent="0.3">
      <c r="A2705" s="3" t="s">
        <v>181</v>
      </c>
      <c r="B2705" s="3" t="s">
        <v>181</v>
      </c>
      <c r="C2705" s="3" t="s">
        <v>669</v>
      </c>
      <c r="D2705" s="3" t="s">
        <v>106</v>
      </c>
      <c r="E2705" s="3" t="s">
        <v>31</v>
      </c>
      <c r="F2705" s="3" t="b">
        <v>0</v>
      </c>
      <c r="G2705" s="3" t="s">
        <v>84</v>
      </c>
      <c r="H2705" s="6">
        <v>44939.882800925923</v>
      </c>
      <c r="I2705" s="3" t="b">
        <v>0</v>
      </c>
      <c r="J2705" s="3" t="b">
        <v>0</v>
      </c>
      <c r="K2705" s="3" t="s">
        <v>33</v>
      </c>
      <c r="L2705" s="3" t="s">
        <v>34</v>
      </c>
      <c r="M2705" s="8">
        <v>156596</v>
      </c>
      <c r="N2705" s="11"/>
      <c r="O2705" s="3" t="s">
        <v>238</v>
      </c>
      <c r="P2705" s="3" t="s">
        <v>670</v>
      </c>
    </row>
    <row r="2706" spans="1:16" x14ac:dyDescent="0.3">
      <c r="A2706" s="3" t="s">
        <v>181</v>
      </c>
      <c r="B2706" s="3" t="s">
        <v>769</v>
      </c>
      <c r="C2706" s="3" t="s">
        <v>87</v>
      </c>
      <c r="D2706" s="3" t="s">
        <v>712</v>
      </c>
      <c r="E2706" s="3" t="s">
        <v>31</v>
      </c>
      <c r="F2706" s="3" t="b">
        <v>1</v>
      </c>
      <c r="G2706" s="3" t="s">
        <v>84</v>
      </c>
      <c r="H2706" s="6">
        <v>44940.67260416667</v>
      </c>
      <c r="I2706" s="3" t="b">
        <v>0</v>
      </c>
      <c r="J2706" s="3" t="b">
        <v>1</v>
      </c>
      <c r="K2706" s="3" t="s">
        <v>33</v>
      </c>
      <c r="L2706" s="3" t="s">
        <v>34</v>
      </c>
      <c r="M2706" s="8">
        <v>200000</v>
      </c>
      <c r="N2706" s="11"/>
      <c r="O2706" s="3" t="s">
        <v>770</v>
      </c>
      <c r="P2706" s="3" t="s">
        <v>771</v>
      </c>
    </row>
    <row r="2707" spans="1:16" x14ac:dyDescent="0.3">
      <c r="A2707" s="3" t="s">
        <v>181</v>
      </c>
      <c r="B2707" s="3" t="s">
        <v>812</v>
      </c>
      <c r="C2707" s="3" t="s">
        <v>813</v>
      </c>
      <c r="D2707" s="3" t="s">
        <v>93</v>
      </c>
      <c r="E2707" s="3" t="s">
        <v>31</v>
      </c>
      <c r="F2707" s="3" t="b">
        <v>0</v>
      </c>
      <c r="G2707" s="3" t="s">
        <v>58</v>
      </c>
      <c r="H2707" s="6">
        <v>44928.421493055554</v>
      </c>
      <c r="I2707" s="3" t="b">
        <v>0</v>
      </c>
      <c r="J2707" s="3" t="b">
        <v>0</v>
      </c>
      <c r="K2707" s="3" t="s">
        <v>33</v>
      </c>
      <c r="L2707" s="3" t="s">
        <v>34</v>
      </c>
      <c r="M2707" s="8">
        <v>150000</v>
      </c>
      <c r="N2707" s="11"/>
      <c r="O2707" s="3" t="s">
        <v>814</v>
      </c>
      <c r="P2707" s="3" t="s">
        <v>815</v>
      </c>
    </row>
    <row r="2708" spans="1:16" x14ac:dyDescent="0.3">
      <c r="A2708" s="3" t="s">
        <v>181</v>
      </c>
      <c r="B2708" s="3" t="s">
        <v>832</v>
      </c>
      <c r="C2708" s="3" t="s">
        <v>87</v>
      </c>
      <c r="D2708" s="3" t="s">
        <v>30</v>
      </c>
      <c r="E2708" s="3" t="s">
        <v>133</v>
      </c>
      <c r="F2708" s="3" t="b">
        <v>1</v>
      </c>
      <c r="G2708" s="3" t="s">
        <v>110</v>
      </c>
      <c r="H2708" s="6">
        <v>44944.035196759258</v>
      </c>
      <c r="I2708" s="3" t="b">
        <v>0</v>
      </c>
      <c r="J2708" s="3" t="b">
        <v>0</v>
      </c>
      <c r="K2708" s="3" t="s">
        <v>110</v>
      </c>
      <c r="L2708" s="3" t="s">
        <v>48</v>
      </c>
      <c r="M2708" s="8"/>
      <c r="N2708" s="11">
        <v>92.5</v>
      </c>
      <c r="O2708" s="3" t="s">
        <v>833</v>
      </c>
      <c r="P2708" s="3" t="s">
        <v>834</v>
      </c>
    </row>
    <row r="2709" spans="1:16" x14ac:dyDescent="0.3">
      <c r="A2709" s="3" t="s">
        <v>181</v>
      </c>
      <c r="B2709" s="3" t="s">
        <v>181</v>
      </c>
      <c r="C2709" s="3" t="s">
        <v>223</v>
      </c>
      <c r="D2709" s="3" t="s">
        <v>53</v>
      </c>
      <c r="E2709" s="3" t="s">
        <v>31</v>
      </c>
      <c r="F2709" s="3" t="b">
        <v>0</v>
      </c>
      <c r="G2709" s="3" t="s">
        <v>84</v>
      </c>
      <c r="H2709" s="6">
        <v>44942.491053240738</v>
      </c>
      <c r="I2709" s="3" t="b">
        <v>1</v>
      </c>
      <c r="J2709" s="3" t="b">
        <v>0</v>
      </c>
      <c r="K2709" s="3" t="s">
        <v>33</v>
      </c>
      <c r="L2709" s="3" t="s">
        <v>34</v>
      </c>
      <c r="M2709" s="8">
        <v>135000</v>
      </c>
      <c r="N2709" s="11"/>
      <c r="O2709" s="3" t="s">
        <v>224</v>
      </c>
      <c r="P2709" s="3" t="s">
        <v>612</v>
      </c>
    </row>
    <row r="2710" spans="1:16" x14ac:dyDescent="0.3">
      <c r="A2710" s="3" t="s">
        <v>181</v>
      </c>
      <c r="B2710" s="3" t="s">
        <v>181</v>
      </c>
      <c r="C2710" s="3" t="s">
        <v>87</v>
      </c>
      <c r="D2710" s="3" t="s">
        <v>30</v>
      </c>
      <c r="E2710" s="3" t="s">
        <v>31</v>
      </c>
      <c r="F2710" s="3" t="b">
        <v>1</v>
      </c>
      <c r="G2710" s="3" t="s">
        <v>58</v>
      </c>
      <c r="H2710" s="6">
        <v>44949.880578703713</v>
      </c>
      <c r="I2710" s="3" t="b">
        <v>1</v>
      </c>
      <c r="J2710" s="3" t="b">
        <v>0</v>
      </c>
      <c r="K2710" s="3" t="s">
        <v>33</v>
      </c>
      <c r="L2710" s="3" t="s">
        <v>34</v>
      </c>
      <c r="M2710" s="8">
        <v>160000</v>
      </c>
      <c r="N2710" s="11"/>
      <c r="O2710" s="3" t="s">
        <v>900</v>
      </c>
      <c r="P2710" s="3" t="s">
        <v>901</v>
      </c>
    </row>
    <row r="2711" spans="1:16" x14ac:dyDescent="0.3">
      <c r="A2711" s="3" t="s">
        <v>181</v>
      </c>
      <c r="B2711" s="3" t="s">
        <v>902</v>
      </c>
      <c r="C2711" s="3" t="s">
        <v>903</v>
      </c>
      <c r="D2711" s="3" t="s">
        <v>41</v>
      </c>
      <c r="E2711" s="3" t="s">
        <v>31</v>
      </c>
      <c r="F2711" s="3" t="b">
        <v>0</v>
      </c>
      <c r="G2711" s="3" t="s">
        <v>436</v>
      </c>
      <c r="H2711" s="6">
        <v>44931.19059027778</v>
      </c>
      <c r="I2711" s="3" t="b">
        <v>0</v>
      </c>
      <c r="J2711" s="3" t="b">
        <v>0</v>
      </c>
      <c r="K2711" s="3" t="s">
        <v>436</v>
      </c>
      <c r="L2711" s="3" t="s">
        <v>34</v>
      </c>
      <c r="M2711" s="8">
        <v>147500</v>
      </c>
      <c r="N2711" s="11"/>
      <c r="O2711" s="3" t="s">
        <v>310</v>
      </c>
      <c r="P2711" s="3" t="s">
        <v>904</v>
      </c>
    </row>
    <row r="2712" spans="1:16" x14ac:dyDescent="0.3">
      <c r="A2712" s="3" t="s">
        <v>181</v>
      </c>
      <c r="B2712" s="3" t="s">
        <v>181</v>
      </c>
      <c r="C2712" s="3" t="s">
        <v>1023</v>
      </c>
      <c r="D2712" s="3" t="s">
        <v>93</v>
      </c>
      <c r="E2712" s="3" t="s">
        <v>31</v>
      </c>
      <c r="F2712" s="3" t="b">
        <v>0</v>
      </c>
      <c r="G2712" s="3" t="s">
        <v>64</v>
      </c>
      <c r="H2712" s="6">
        <v>44931.254618055558</v>
      </c>
      <c r="I2712" s="3" t="b">
        <v>0</v>
      </c>
      <c r="J2712" s="3" t="b">
        <v>0</v>
      </c>
      <c r="K2712" s="3" t="s">
        <v>33</v>
      </c>
      <c r="L2712" s="3" t="s">
        <v>34</v>
      </c>
      <c r="M2712" s="8">
        <v>90000</v>
      </c>
      <c r="N2712" s="11"/>
      <c r="O2712" s="3" t="s">
        <v>1024</v>
      </c>
      <c r="P2712" s="3" t="s">
        <v>1025</v>
      </c>
    </row>
    <row r="2713" spans="1:16" x14ac:dyDescent="0.3">
      <c r="A2713" s="3" t="s">
        <v>181</v>
      </c>
      <c r="B2713" s="3" t="s">
        <v>1039</v>
      </c>
      <c r="C2713" s="3" t="s">
        <v>87</v>
      </c>
      <c r="D2713" s="3" t="s">
        <v>30</v>
      </c>
      <c r="E2713" s="3" t="s">
        <v>133</v>
      </c>
      <c r="F2713" s="3" t="b">
        <v>1</v>
      </c>
      <c r="G2713" s="3" t="s">
        <v>64</v>
      </c>
      <c r="H2713" s="6">
        <v>44929.733460648153</v>
      </c>
      <c r="I2713" s="3" t="b">
        <v>1</v>
      </c>
      <c r="J2713" s="3" t="b">
        <v>1</v>
      </c>
      <c r="K2713" s="3" t="s">
        <v>33</v>
      </c>
      <c r="L2713" s="3" t="s">
        <v>48</v>
      </c>
      <c r="M2713" s="8"/>
      <c r="N2713" s="11">
        <v>72.5</v>
      </c>
      <c r="O2713" s="3" t="s">
        <v>1040</v>
      </c>
      <c r="P2713" s="3" t="s">
        <v>1041</v>
      </c>
    </row>
    <row r="2714" spans="1:16" x14ac:dyDescent="0.3">
      <c r="A2714" s="3" t="s">
        <v>181</v>
      </c>
      <c r="B2714" s="3" t="s">
        <v>1074</v>
      </c>
      <c r="C2714" s="3" t="s">
        <v>1075</v>
      </c>
      <c r="D2714" s="3" t="s">
        <v>1076</v>
      </c>
      <c r="E2714" s="3" t="s">
        <v>31</v>
      </c>
      <c r="F2714" s="3" t="b">
        <v>0</v>
      </c>
      <c r="G2714" s="3" t="s">
        <v>84</v>
      </c>
      <c r="H2714" s="6">
        <v>44953.299629629633</v>
      </c>
      <c r="I2714" s="3" t="b">
        <v>1</v>
      </c>
      <c r="J2714" s="3" t="b">
        <v>1</v>
      </c>
      <c r="K2714" s="3" t="s">
        <v>33</v>
      </c>
      <c r="L2714" s="3" t="s">
        <v>34</v>
      </c>
      <c r="M2714" s="8">
        <v>182000</v>
      </c>
      <c r="N2714" s="11"/>
      <c r="O2714" s="3" t="s">
        <v>1077</v>
      </c>
      <c r="P2714" s="3" t="s">
        <v>1078</v>
      </c>
    </row>
    <row r="2715" spans="1:16" x14ac:dyDescent="0.3">
      <c r="A2715" s="3" t="s">
        <v>181</v>
      </c>
      <c r="B2715" s="3" t="s">
        <v>449</v>
      </c>
      <c r="C2715" s="3" t="s">
        <v>1087</v>
      </c>
      <c r="D2715" s="3" t="s">
        <v>827</v>
      </c>
      <c r="E2715" s="3" t="s">
        <v>31</v>
      </c>
      <c r="F2715" s="3" t="b">
        <v>0</v>
      </c>
      <c r="G2715" s="3" t="s">
        <v>58</v>
      </c>
      <c r="H2715" s="6">
        <v>44936.005844907413</v>
      </c>
      <c r="I2715" s="3" t="b">
        <v>0</v>
      </c>
      <c r="J2715" s="3" t="b">
        <v>0</v>
      </c>
      <c r="K2715" s="3" t="s">
        <v>33</v>
      </c>
      <c r="L2715" s="3" t="s">
        <v>34</v>
      </c>
      <c r="M2715" s="8">
        <v>156596</v>
      </c>
      <c r="N2715" s="11"/>
      <c r="O2715" s="3" t="s">
        <v>238</v>
      </c>
      <c r="P2715" s="3" t="s">
        <v>1088</v>
      </c>
    </row>
    <row r="2716" spans="1:16" x14ac:dyDescent="0.3">
      <c r="A2716" s="3" t="s">
        <v>181</v>
      </c>
      <c r="B2716" s="3" t="s">
        <v>1119</v>
      </c>
      <c r="C2716" s="3" t="s">
        <v>69</v>
      </c>
      <c r="D2716" s="3" t="s">
        <v>41</v>
      </c>
      <c r="E2716" s="3" t="s">
        <v>31</v>
      </c>
      <c r="F2716" s="3" t="b">
        <v>0</v>
      </c>
      <c r="G2716" s="3" t="s">
        <v>69</v>
      </c>
      <c r="H2716" s="6">
        <v>44950.179780092592</v>
      </c>
      <c r="I2716" s="3" t="b">
        <v>1</v>
      </c>
      <c r="J2716" s="3" t="b">
        <v>0</v>
      </c>
      <c r="K2716" s="3" t="s">
        <v>69</v>
      </c>
      <c r="L2716" s="3" t="s">
        <v>34</v>
      </c>
      <c r="M2716" s="8">
        <v>147500</v>
      </c>
      <c r="N2716" s="11"/>
      <c r="O2716" s="3" t="s">
        <v>356</v>
      </c>
      <c r="P2716" s="3" t="s">
        <v>1120</v>
      </c>
    </row>
    <row r="2717" spans="1:16" x14ac:dyDescent="0.3">
      <c r="A2717" s="3" t="s">
        <v>181</v>
      </c>
      <c r="B2717" s="3" t="s">
        <v>1147</v>
      </c>
      <c r="C2717" s="3" t="s">
        <v>1148</v>
      </c>
      <c r="D2717" s="3" t="s">
        <v>1149</v>
      </c>
      <c r="E2717" s="3" t="s">
        <v>31</v>
      </c>
      <c r="F2717" s="3" t="b">
        <v>0</v>
      </c>
      <c r="G2717" s="3" t="s">
        <v>140</v>
      </c>
      <c r="H2717" s="6">
        <v>44947.028946759259</v>
      </c>
      <c r="I2717" s="3" t="b">
        <v>0</v>
      </c>
      <c r="J2717" s="3" t="b">
        <v>1</v>
      </c>
      <c r="K2717" s="3" t="s">
        <v>33</v>
      </c>
      <c r="L2717" s="3" t="s">
        <v>34</v>
      </c>
      <c r="M2717" s="8">
        <v>150000</v>
      </c>
      <c r="N2717" s="11"/>
      <c r="O2717" s="3" t="s">
        <v>727</v>
      </c>
      <c r="P2717" s="3" t="s">
        <v>1150</v>
      </c>
    </row>
    <row r="2718" spans="1:16" x14ac:dyDescent="0.3">
      <c r="A2718" s="3" t="s">
        <v>181</v>
      </c>
      <c r="B2718" s="3" t="s">
        <v>181</v>
      </c>
      <c r="C2718" s="3" t="s">
        <v>1151</v>
      </c>
      <c r="D2718" s="3" t="s">
        <v>30</v>
      </c>
      <c r="E2718" s="3" t="s">
        <v>31</v>
      </c>
      <c r="F2718" s="3" t="b">
        <v>0</v>
      </c>
      <c r="G2718" s="3" t="s">
        <v>88</v>
      </c>
      <c r="H2718" s="6">
        <v>44936.97693287037</v>
      </c>
      <c r="I2718" s="3" t="b">
        <v>0</v>
      </c>
      <c r="J2718" s="3" t="b">
        <v>1</v>
      </c>
      <c r="K2718" s="3" t="s">
        <v>33</v>
      </c>
      <c r="L2718" s="3" t="s">
        <v>34</v>
      </c>
      <c r="M2718" s="8">
        <v>190000</v>
      </c>
      <c r="N2718" s="11"/>
      <c r="O2718" s="3" t="s">
        <v>1152</v>
      </c>
      <c r="P2718" s="3" t="s">
        <v>1153</v>
      </c>
    </row>
    <row r="2719" spans="1:16" x14ac:dyDescent="0.3">
      <c r="A2719" s="3" t="s">
        <v>181</v>
      </c>
      <c r="B2719" s="3" t="s">
        <v>1192</v>
      </c>
      <c r="C2719" s="3" t="s">
        <v>1193</v>
      </c>
      <c r="D2719" s="3" t="s">
        <v>1194</v>
      </c>
      <c r="E2719" s="3" t="s">
        <v>31</v>
      </c>
      <c r="F2719" s="3" t="b">
        <v>0</v>
      </c>
      <c r="G2719" s="3" t="s">
        <v>88</v>
      </c>
      <c r="H2719" s="6">
        <v>44931.022337962961</v>
      </c>
      <c r="I2719" s="3" t="b">
        <v>0</v>
      </c>
      <c r="J2719" s="3" t="b">
        <v>0</v>
      </c>
      <c r="K2719" s="3" t="s">
        <v>33</v>
      </c>
      <c r="L2719" s="3" t="s">
        <v>34</v>
      </c>
      <c r="M2719" s="8">
        <v>170672</v>
      </c>
      <c r="N2719" s="11"/>
      <c r="O2719" s="3" t="s">
        <v>238</v>
      </c>
      <c r="P2719" s="3" t="s">
        <v>1195</v>
      </c>
    </row>
    <row r="2720" spans="1:16" x14ac:dyDescent="0.3">
      <c r="A2720" s="3" t="s">
        <v>181</v>
      </c>
      <c r="B2720" s="3" t="s">
        <v>1211</v>
      </c>
      <c r="C2720" s="3" t="s">
        <v>1212</v>
      </c>
      <c r="D2720" s="3" t="s">
        <v>41</v>
      </c>
      <c r="E2720" s="3" t="s">
        <v>31</v>
      </c>
      <c r="F2720" s="3" t="b">
        <v>0</v>
      </c>
      <c r="G2720" s="3" t="s">
        <v>32</v>
      </c>
      <c r="H2720" s="6">
        <v>44938.08666666667</v>
      </c>
      <c r="I2720" s="3" t="b">
        <v>0</v>
      </c>
      <c r="J2720" s="3" t="b">
        <v>1</v>
      </c>
      <c r="K2720" s="3" t="s">
        <v>33</v>
      </c>
      <c r="L2720" s="3" t="s">
        <v>34</v>
      </c>
      <c r="M2720" s="8">
        <v>45000</v>
      </c>
      <c r="N2720" s="11"/>
      <c r="O2720" s="3" t="s">
        <v>652</v>
      </c>
      <c r="P2720" s="3" t="s">
        <v>1213</v>
      </c>
    </row>
    <row r="2721" spans="1:16" x14ac:dyDescent="0.3">
      <c r="A2721" s="3" t="s">
        <v>181</v>
      </c>
      <c r="B2721" s="3" t="s">
        <v>181</v>
      </c>
      <c r="C2721" s="3" t="s">
        <v>87</v>
      </c>
      <c r="D2721" s="3" t="s">
        <v>30</v>
      </c>
      <c r="E2721" s="3" t="s">
        <v>31</v>
      </c>
      <c r="F2721" s="3" t="b">
        <v>1</v>
      </c>
      <c r="G2721" s="3" t="s">
        <v>88</v>
      </c>
      <c r="H2721" s="6">
        <v>44932.881631944438</v>
      </c>
      <c r="I2721" s="3" t="b">
        <v>1</v>
      </c>
      <c r="J2721" s="3" t="b">
        <v>0</v>
      </c>
      <c r="K2721" s="3" t="s">
        <v>33</v>
      </c>
      <c r="L2721" s="3" t="s">
        <v>48</v>
      </c>
      <c r="M2721" s="8"/>
      <c r="N2721" s="11">
        <v>85</v>
      </c>
      <c r="O2721" s="3" t="s">
        <v>1229</v>
      </c>
      <c r="P2721" s="3" t="s">
        <v>1230</v>
      </c>
    </row>
    <row r="2722" spans="1:16" x14ac:dyDescent="0.3">
      <c r="A2722" s="3" t="s">
        <v>181</v>
      </c>
      <c r="B2722" s="3" t="s">
        <v>1192</v>
      </c>
      <c r="C2722" s="3" t="s">
        <v>1265</v>
      </c>
      <c r="D2722" s="3" t="s">
        <v>1194</v>
      </c>
      <c r="E2722" s="3" t="s">
        <v>31</v>
      </c>
      <c r="F2722" s="3" t="b">
        <v>0</v>
      </c>
      <c r="G2722" s="3" t="s">
        <v>84</v>
      </c>
      <c r="H2722" s="6">
        <v>44931.021435185183</v>
      </c>
      <c r="I2722" s="3" t="b">
        <v>0</v>
      </c>
      <c r="J2722" s="3" t="b">
        <v>0</v>
      </c>
      <c r="K2722" s="3" t="s">
        <v>33</v>
      </c>
      <c r="L2722" s="3" t="s">
        <v>34</v>
      </c>
      <c r="M2722" s="8">
        <v>170672</v>
      </c>
      <c r="N2722" s="11"/>
      <c r="O2722" s="3" t="s">
        <v>238</v>
      </c>
      <c r="P2722" s="3" t="s">
        <v>239</v>
      </c>
    </row>
    <row r="2723" spans="1:16" x14ac:dyDescent="0.3">
      <c r="A2723" s="3" t="s">
        <v>181</v>
      </c>
      <c r="B2723" s="3" t="s">
        <v>181</v>
      </c>
      <c r="C2723" s="3" t="s">
        <v>270</v>
      </c>
      <c r="D2723" s="3" t="s">
        <v>1113</v>
      </c>
      <c r="E2723" s="3" t="s">
        <v>31</v>
      </c>
      <c r="F2723" s="3" t="b">
        <v>0</v>
      </c>
      <c r="G2723" s="3" t="s">
        <v>64</v>
      </c>
      <c r="H2723" s="6">
        <v>44927.71297453704</v>
      </c>
      <c r="I2723" s="3" t="b">
        <v>0</v>
      </c>
      <c r="J2723" s="3" t="b">
        <v>1</v>
      </c>
      <c r="K2723" s="3" t="s">
        <v>33</v>
      </c>
      <c r="L2723" s="3" t="s">
        <v>34</v>
      </c>
      <c r="M2723" s="8">
        <v>137150</v>
      </c>
      <c r="N2723" s="11"/>
      <c r="O2723" s="3" t="s">
        <v>49</v>
      </c>
      <c r="P2723" s="3" t="s">
        <v>1289</v>
      </c>
    </row>
    <row r="2724" spans="1:16" x14ac:dyDescent="0.3">
      <c r="A2724" s="3" t="s">
        <v>181</v>
      </c>
      <c r="B2724" s="3" t="s">
        <v>181</v>
      </c>
      <c r="C2724" s="3" t="s">
        <v>1324</v>
      </c>
      <c r="D2724" s="3" t="s">
        <v>41</v>
      </c>
      <c r="E2724" s="3" t="s">
        <v>31</v>
      </c>
      <c r="F2724" s="3" t="b">
        <v>0</v>
      </c>
      <c r="G2724" s="3" t="s">
        <v>1324</v>
      </c>
      <c r="H2724" s="6">
        <v>44930.990706018521</v>
      </c>
      <c r="I2724" s="3" t="b">
        <v>0</v>
      </c>
      <c r="J2724" s="3" t="b">
        <v>0</v>
      </c>
      <c r="K2724" s="3" t="s">
        <v>1324</v>
      </c>
      <c r="L2724" s="3" t="s">
        <v>34</v>
      </c>
      <c r="M2724" s="8">
        <v>147500</v>
      </c>
      <c r="N2724" s="11"/>
      <c r="O2724" s="3" t="s">
        <v>1325</v>
      </c>
      <c r="P2724" s="3" t="s">
        <v>1326</v>
      </c>
    </row>
    <row r="2725" spans="1:16" x14ac:dyDescent="0.3">
      <c r="A2725" s="3" t="s">
        <v>181</v>
      </c>
      <c r="B2725" s="3" t="s">
        <v>1346</v>
      </c>
      <c r="C2725" s="3" t="s">
        <v>1347</v>
      </c>
      <c r="D2725" s="3" t="s">
        <v>41</v>
      </c>
      <c r="E2725" s="3" t="s">
        <v>31</v>
      </c>
      <c r="F2725" s="3" t="b">
        <v>0</v>
      </c>
      <c r="G2725" s="3" t="s">
        <v>42</v>
      </c>
      <c r="H2725" s="6">
        <v>44933.192106481481</v>
      </c>
      <c r="I2725" s="3" t="b">
        <v>0</v>
      </c>
      <c r="J2725" s="3" t="b">
        <v>0</v>
      </c>
      <c r="K2725" s="3" t="s">
        <v>42</v>
      </c>
      <c r="L2725" s="3" t="s">
        <v>34</v>
      </c>
      <c r="M2725" s="8">
        <v>147500</v>
      </c>
      <c r="N2725" s="11"/>
      <c r="O2725" s="3" t="s">
        <v>1348</v>
      </c>
      <c r="P2725" s="3" t="s">
        <v>1349</v>
      </c>
    </row>
    <row r="2726" spans="1:16" x14ac:dyDescent="0.3">
      <c r="A2726" s="3" t="s">
        <v>181</v>
      </c>
      <c r="B2726" s="3" t="s">
        <v>449</v>
      </c>
      <c r="C2726" s="3" t="s">
        <v>164</v>
      </c>
      <c r="D2726" s="3" t="s">
        <v>1194</v>
      </c>
      <c r="E2726" s="3" t="s">
        <v>31</v>
      </c>
      <c r="F2726" s="3" t="b">
        <v>0</v>
      </c>
      <c r="G2726" s="3" t="s">
        <v>58</v>
      </c>
      <c r="H2726" s="6">
        <v>44931.270451388889</v>
      </c>
      <c r="I2726" s="3" t="b">
        <v>0</v>
      </c>
      <c r="J2726" s="3" t="b">
        <v>0</v>
      </c>
      <c r="K2726" s="3" t="s">
        <v>33</v>
      </c>
      <c r="L2726" s="3" t="s">
        <v>34</v>
      </c>
      <c r="M2726" s="8">
        <v>156596</v>
      </c>
      <c r="N2726" s="11"/>
      <c r="O2726" s="3" t="s">
        <v>238</v>
      </c>
      <c r="P2726" s="3" t="s">
        <v>239</v>
      </c>
    </row>
    <row r="2727" spans="1:16" x14ac:dyDescent="0.3">
      <c r="A2727" s="3" t="s">
        <v>181</v>
      </c>
      <c r="B2727" s="3" t="s">
        <v>181</v>
      </c>
      <c r="C2727" s="3" t="s">
        <v>33</v>
      </c>
      <c r="D2727" s="3" t="s">
        <v>30</v>
      </c>
      <c r="E2727" s="3" t="s">
        <v>31</v>
      </c>
      <c r="F2727" s="3" t="b">
        <v>0</v>
      </c>
      <c r="G2727" s="3" t="s">
        <v>32</v>
      </c>
      <c r="H2727" s="6">
        <v>44954.338587962957</v>
      </c>
      <c r="I2727" s="3" t="b">
        <v>0</v>
      </c>
      <c r="J2727" s="3" t="b">
        <v>1</v>
      </c>
      <c r="K2727" s="3" t="s">
        <v>33</v>
      </c>
      <c r="L2727" s="3" t="s">
        <v>34</v>
      </c>
      <c r="M2727" s="8">
        <v>135000</v>
      </c>
      <c r="N2727" s="11"/>
      <c r="O2727" s="3" t="s">
        <v>158</v>
      </c>
      <c r="P2727" s="3" t="s">
        <v>1392</v>
      </c>
    </row>
    <row r="2728" spans="1:16" x14ac:dyDescent="0.3">
      <c r="A2728" s="3" t="s">
        <v>181</v>
      </c>
      <c r="B2728" s="3" t="s">
        <v>1395</v>
      </c>
      <c r="C2728" s="3"/>
      <c r="D2728" s="3" t="s">
        <v>30</v>
      </c>
      <c r="E2728" s="3" t="s">
        <v>31</v>
      </c>
      <c r="F2728" s="3" t="b">
        <v>0</v>
      </c>
      <c r="G2728" s="3" t="s">
        <v>64</v>
      </c>
      <c r="H2728" s="6">
        <v>44957.753645833327</v>
      </c>
      <c r="I2728" s="3" t="b">
        <v>0</v>
      </c>
      <c r="J2728" s="3" t="b">
        <v>0</v>
      </c>
      <c r="K2728" s="3" t="s">
        <v>33</v>
      </c>
      <c r="L2728" s="3" t="s">
        <v>34</v>
      </c>
      <c r="M2728" s="8">
        <v>300000</v>
      </c>
      <c r="N2728" s="11"/>
      <c r="O2728" s="3" t="s">
        <v>1396</v>
      </c>
      <c r="P2728" s="3" t="s">
        <v>1397</v>
      </c>
    </row>
    <row r="2729" spans="1:16" x14ac:dyDescent="0.3">
      <c r="A2729" s="3" t="s">
        <v>181</v>
      </c>
      <c r="B2729" s="3" t="s">
        <v>181</v>
      </c>
      <c r="C2729" s="3" t="s">
        <v>173</v>
      </c>
      <c r="D2729" s="3" t="s">
        <v>93</v>
      </c>
      <c r="E2729" s="3" t="s">
        <v>31</v>
      </c>
      <c r="F2729" s="3" t="b">
        <v>0</v>
      </c>
      <c r="G2729" s="3" t="s">
        <v>110</v>
      </c>
      <c r="H2729" s="6">
        <v>44939.307650462957</v>
      </c>
      <c r="I2729" s="3" t="b">
        <v>1</v>
      </c>
      <c r="J2729" s="3" t="b">
        <v>1</v>
      </c>
      <c r="K2729" s="3" t="s">
        <v>110</v>
      </c>
      <c r="L2729" s="3" t="s">
        <v>34</v>
      </c>
      <c r="M2729" s="8">
        <v>125000</v>
      </c>
      <c r="N2729" s="11"/>
      <c r="O2729" s="3" t="s">
        <v>1411</v>
      </c>
      <c r="P2729" s="3" t="s">
        <v>1412</v>
      </c>
    </row>
    <row r="2730" spans="1:16" x14ac:dyDescent="0.3">
      <c r="A2730" s="3" t="s">
        <v>181</v>
      </c>
      <c r="B2730" s="3" t="s">
        <v>181</v>
      </c>
      <c r="C2730" s="3" t="s">
        <v>1075</v>
      </c>
      <c r="D2730" s="3" t="s">
        <v>627</v>
      </c>
      <c r="E2730" s="3" t="s">
        <v>31</v>
      </c>
      <c r="F2730" s="3" t="b">
        <v>0</v>
      </c>
      <c r="G2730" s="3" t="s">
        <v>110</v>
      </c>
      <c r="H2730" s="6">
        <v>44930.520578703698</v>
      </c>
      <c r="I2730" s="3" t="b">
        <v>1</v>
      </c>
      <c r="J2730" s="3" t="b">
        <v>0</v>
      </c>
      <c r="K2730" s="3" t="s">
        <v>110</v>
      </c>
      <c r="L2730" s="3" t="s">
        <v>34</v>
      </c>
      <c r="M2730" s="8">
        <v>180000</v>
      </c>
      <c r="N2730" s="11"/>
      <c r="O2730" s="3" t="s">
        <v>196</v>
      </c>
      <c r="P2730" s="3" t="s">
        <v>1559</v>
      </c>
    </row>
    <row r="2731" spans="1:16" x14ac:dyDescent="0.3">
      <c r="A2731" s="3" t="s">
        <v>181</v>
      </c>
      <c r="B2731" s="3" t="s">
        <v>1611</v>
      </c>
      <c r="C2731" s="3" t="s">
        <v>1612</v>
      </c>
      <c r="D2731" s="3" t="s">
        <v>188</v>
      </c>
      <c r="E2731" s="3" t="s">
        <v>133</v>
      </c>
      <c r="F2731" s="3" t="b">
        <v>0</v>
      </c>
      <c r="G2731" s="3" t="s">
        <v>32</v>
      </c>
      <c r="H2731" s="6">
        <v>44936.600023148138</v>
      </c>
      <c r="I2731" s="3" t="b">
        <v>0</v>
      </c>
      <c r="J2731" s="3" t="b">
        <v>0</v>
      </c>
      <c r="K2731" s="3" t="s">
        <v>33</v>
      </c>
      <c r="L2731" s="3" t="s">
        <v>48</v>
      </c>
      <c r="M2731" s="8"/>
      <c r="N2731" s="11">
        <v>75</v>
      </c>
      <c r="O2731" s="3" t="s">
        <v>1613</v>
      </c>
      <c r="P2731" s="3" t="s">
        <v>1614</v>
      </c>
    </row>
    <row r="2732" spans="1:16" x14ac:dyDescent="0.3">
      <c r="A2732" s="3" t="s">
        <v>181</v>
      </c>
      <c r="B2732" s="3" t="s">
        <v>181</v>
      </c>
      <c r="C2732" s="3" t="s">
        <v>87</v>
      </c>
      <c r="D2732" s="3" t="s">
        <v>30</v>
      </c>
      <c r="E2732" s="3" t="s">
        <v>31</v>
      </c>
      <c r="F2732" s="3" t="b">
        <v>1</v>
      </c>
      <c r="G2732" s="3" t="s">
        <v>140</v>
      </c>
      <c r="H2732" s="6">
        <v>44949.935150462959</v>
      </c>
      <c r="I2732" s="3" t="b">
        <v>1</v>
      </c>
      <c r="J2732" s="3" t="b">
        <v>0</v>
      </c>
      <c r="K2732" s="3" t="s">
        <v>33</v>
      </c>
      <c r="L2732" s="3" t="s">
        <v>34</v>
      </c>
      <c r="M2732" s="8">
        <v>170000</v>
      </c>
      <c r="N2732" s="11"/>
      <c r="O2732" s="3" t="s">
        <v>1618</v>
      </c>
      <c r="P2732" s="3" t="s">
        <v>1619</v>
      </c>
    </row>
    <row r="2733" spans="1:16" x14ac:dyDescent="0.3">
      <c r="A2733" s="3" t="s">
        <v>181</v>
      </c>
      <c r="B2733" s="3" t="s">
        <v>449</v>
      </c>
      <c r="C2733" s="3" t="s">
        <v>1645</v>
      </c>
      <c r="D2733" s="3" t="s">
        <v>390</v>
      </c>
      <c r="E2733" s="3" t="s">
        <v>31</v>
      </c>
      <c r="F2733" s="3" t="b">
        <v>0</v>
      </c>
      <c r="G2733" s="3" t="s">
        <v>58</v>
      </c>
      <c r="H2733" s="6">
        <v>44934.212534722217</v>
      </c>
      <c r="I2733" s="3" t="b">
        <v>0</v>
      </c>
      <c r="J2733" s="3" t="b">
        <v>0</v>
      </c>
      <c r="K2733" s="3" t="s">
        <v>33</v>
      </c>
      <c r="L2733" s="3" t="s">
        <v>34</v>
      </c>
      <c r="M2733" s="8">
        <v>156596</v>
      </c>
      <c r="N2733" s="11"/>
      <c r="O2733" s="3" t="s">
        <v>238</v>
      </c>
      <c r="P2733" s="3" t="s">
        <v>239</v>
      </c>
    </row>
    <row r="2734" spans="1:16" x14ac:dyDescent="0.3">
      <c r="A2734" s="3" t="s">
        <v>181</v>
      </c>
      <c r="B2734" s="3" t="s">
        <v>181</v>
      </c>
      <c r="C2734" s="3" t="s">
        <v>903</v>
      </c>
      <c r="D2734" s="3" t="s">
        <v>41</v>
      </c>
      <c r="E2734" s="3" t="s">
        <v>31</v>
      </c>
      <c r="F2734" s="3" t="b">
        <v>0</v>
      </c>
      <c r="G2734" s="3" t="s">
        <v>436</v>
      </c>
      <c r="H2734" s="6">
        <v>44933.060416666667</v>
      </c>
      <c r="I2734" s="3" t="b">
        <v>0</v>
      </c>
      <c r="J2734" s="3" t="b">
        <v>0</v>
      </c>
      <c r="K2734" s="3" t="s">
        <v>436</v>
      </c>
      <c r="L2734" s="3" t="s">
        <v>34</v>
      </c>
      <c r="M2734" s="8">
        <v>147500</v>
      </c>
      <c r="N2734" s="11"/>
      <c r="O2734" s="3" t="s">
        <v>310</v>
      </c>
      <c r="P2734" s="3" t="s">
        <v>1684</v>
      </c>
    </row>
    <row r="2735" spans="1:16" x14ac:dyDescent="0.3">
      <c r="A2735" s="3" t="s">
        <v>181</v>
      </c>
      <c r="B2735" s="3" t="s">
        <v>1688</v>
      </c>
      <c r="C2735" s="3" t="s">
        <v>164</v>
      </c>
      <c r="D2735" s="3" t="s">
        <v>712</v>
      </c>
      <c r="E2735" s="3" t="s">
        <v>31</v>
      </c>
      <c r="F2735" s="3" t="b">
        <v>0</v>
      </c>
      <c r="G2735" s="3" t="s">
        <v>64</v>
      </c>
      <c r="H2735" s="6">
        <v>44932.671041666668</v>
      </c>
      <c r="I2735" s="3" t="b">
        <v>0</v>
      </c>
      <c r="J2735" s="3" t="b">
        <v>1</v>
      </c>
      <c r="K2735" s="3" t="s">
        <v>33</v>
      </c>
      <c r="L2735" s="3" t="s">
        <v>34</v>
      </c>
      <c r="M2735" s="8">
        <v>181500</v>
      </c>
      <c r="N2735" s="11"/>
      <c r="O2735" s="3" t="s">
        <v>1689</v>
      </c>
      <c r="P2735" s="3" t="s">
        <v>1690</v>
      </c>
    </row>
    <row r="2736" spans="1:16" x14ac:dyDescent="0.3">
      <c r="A2736" s="3" t="s">
        <v>181</v>
      </c>
      <c r="B2736" s="3" t="s">
        <v>181</v>
      </c>
      <c r="C2736" s="3" t="s">
        <v>87</v>
      </c>
      <c r="D2736" s="3" t="s">
        <v>30</v>
      </c>
      <c r="E2736" s="3" t="s">
        <v>133</v>
      </c>
      <c r="F2736" s="3" t="b">
        <v>1</v>
      </c>
      <c r="G2736" s="3" t="s">
        <v>58</v>
      </c>
      <c r="H2736" s="6">
        <v>44956.922407407408</v>
      </c>
      <c r="I2736" s="3" t="b">
        <v>0</v>
      </c>
      <c r="J2736" s="3" t="b">
        <v>0</v>
      </c>
      <c r="K2736" s="3" t="s">
        <v>33</v>
      </c>
      <c r="L2736" s="3" t="s">
        <v>48</v>
      </c>
      <c r="M2736" s="8"/>
      <c r="N2736" s="11">
        <v>97.5</v>
      </c>
      <c r="O2736" s="3" t="s">
        <v>1706</v>
      </c>
      <c r="P2736" s="3" t="s">
        <v>1707</v>
      </c>
    </row>
    <row r="2737" spans="1:16" x14ac:dyDescent="0.3">
      <c r="A2737" s="3" t="s">
        <v>181</v>
      </c>
      <c r="B2737" s="3" t="s">
        <v>1708</v>
      </c>
      <c r="C2737" s="3" t="s">
        <v>33</v>
      </c>
      <c r="D2737" s="3" t="s">
        <v>1419</v>
      </c>
      <c r="E2737" s="3" t="s">
        <v>31</v>
      </c>
      <c r="F2737" s="3" t="b">
        <v>0</v>
      </c>
      <c r="G2737" s="3" t="s">
        <v>58</v>
      </c>
      <c r="H2737" s="6">
        <v>44930.525983796288</v>
      </c>
      <c r="I2737" s="3" t="b">
        <v>0</v>
      </c>
      <c r="J2737" s="3" t="b">
        <v>1</v>
      </c>
      <c r="K2737" s="3" t="s">
        <v>33</v>
      </c>
      <c r="L2737" s="3" t="s">
        <v>34</v>
      </c>
      <c r="M2737" s="8">
        <v>155000</v>
      </c>
      <c r="N2737" s="11"/>
      <c r="O2737" s="3" t="s">
        <v>1709</v>
      </c>
      <c r="P2737" s="3" t="s">
        <v>1710</v>
      </c>
    </row>
    <row r="2738" spans="1:16" x14ac:dyDescent="0.3">
      <c r="A2738" s="3" t="s">
        <v>181</v>
      </c>
      <c r="B2738" s="3" t="s">
        <v>226</v>
      </c>
      <c r="C2738" s="3" t="s">
        <v>1713</v>
      </c>
      <c r="D2738" s="3" t="s">
        <v>350</v>
      </c>
      <c r="E2738" s="3" t="s">
        <v>31</v>
      </c>
      <c r="F2738" s="3" t="b">
        <v>0</v>
      </c>
      <c r="G2738" s="3" t="s">
        <v>64</v>
      </c>
      <c r="H2738" s="6">
        <v>44932.754571759258</v>
      </c>
      <c r="I2738" s="3" t="b">
        <v>0</v>
      </c>
      <c r="J2738" s="3" t="b">
        <v>0</v>
      </c>
      <c r="K2738" s="3" t="s">
        <v>33</v>
      </c>
      <c r="L2738" s="3" t="s">
        <v>34</v>
      </c>
      <c r="M2738" s="8">
        <v>135600</v>
      </c>
      <c r="N2738" s="11"/>
      <c r="O2738" s="3" t="s">
        <v>228</v>
      </c>
      <c r="P2738" s="3" t="s">
        <v>623</v>
      </c>
    </row>
    <row r="2739" spans="1:16" x14ac:dyDescent="0.3">
      <c r="A2739" s="3" t="s">
        <v>181</v>
      </c>
      <c r="B2739" s="3" t="s">
        <v>181</v>
      </c>
      <c r="C2739" s="3" t="s">
        <v>164</v>
      </c>
      <c r="D2739" s="3" t="s">
        <v>350</v>
      </c>
      <c r="E2739" s="3" t="s">
        <v>31</v>
      </c>
      <c r="F2739" s="3" t="b">
        <v>0</v>
      </c>
      <c r="G2739" s="3" t="s">
        <v>58</v>
      </c>
      <c r="H2739" s="6">
        <v>44928.588206018518</v>
      </c>
      <c r="I2739" s="3" t="b">
        <v>1</v>
      </c>
      <c r="J2739" s="3" t="b">
        <v>1</v>
      </c>
      <c r="K2739" s="3" t="s">
        <v>33</v>
      </c>
      <c r="L2739" s="3" t="s">
        <v>34</v>
      </c>
      <c r="M2739" s="8">
        <v>190000</v>
      </c>
      <c r="N2739" s="11"/>
      <c r="O2739" s="3" t="s">
        <v>196</v>
      </c>
      <c r="P2739" s="3" t="s">
        <v>1720</v>
      </c>
    </row>
    <row r="2740" spans="1:16" x14ac:dyDescent="0.3">
      <c r="A2740" s="3" t="s">
        <v>181</v>
      </c>
      <c r="B2740" s="3" t="s">
        <v>1748</v>
      </c>
      <c r="C2740" s="3" t="s">
        <v>740</v>
      </c>
      <c r="D2740" s="3" t="s">
        <v>41</v>
      </c>
      <c r="E2740" s="3" t="s">
        <v>31</v>
      </c>
      <c r="F2740" s="3" t="b">
        <v>0</v>
      </c>
      <c r="G2740" s="3" t="s">
        <v>740</v>
      </c>
      <c r="H2740" s="6">
        <v>44951.586388888893</v>
      </c>
      <c r="I2740" s="3" t="b">
        <v>0</v>
      </c>
      <c r="J2740" s="3" t="b">
        <v>0</v>
      </c>
      <c r="K2740" s="3" t="s">
        <v>740</v>
      </c>
      <c r="L2740" s="3" t="s">
        <v>34</v>
      </c>
      <c r="M2740" s="8">
        <v>147500</v>
      </c>
      <c r="N2740" s="11"/>
      <c r="O2740" s="3" t="s">
        <v>604</v>
      </c>
      <c r="P2740" s="3" t="s">
        <v>605</v>
      </c>
    </row>
    <row r="2741" spans="1:16" x14ac:dyDescent="0.3">
      <c r="A2741" s="3" t="s">
        <v>181</v>
      </c>
      <c r="B2741" s="3" t="s">
        <v>181</v>
      </c>
      <c r="C2741" s="3" t="s">
        <v>87</v>
      </c>
      <c r="D2741" s="3" t="s">
        <v>30</v>
      </c>
      <c r="E2741" s="3" t="s">
        <v>31</v>
      </c>
      <c r="F2741" s="3" t="b">
        <v>1</v>
      </c>
      <c r="G2741" s="3" t="s">
        <v>32</v>
      </c>
      <c r="H2741" s="6">
        <v>44935.045173611114</v>
      </c>
      <c r="I2741" s="3" t="b">
        <v>0</v>
      </c>
      <c r="J2741" s="3" t="b">
        <v>0</v>
      </c>
      <c r="K2741" s="3" t="s">
        <v>33</v>
      </c>
      <c r="L2741" s="3" t="s">
        <v>34</v>
      </c>
      <c r="M2741" s="8">
        <v>155000</v>
      </c>
      <c r="N2741" s="11"/>
      <c r="O2741" s="3" t="s">
        <v>1764</v>
      </c>
      <c r="P2741" s="3"/>
    </row>
    <row r="2742" spans="1:16" x14ac:dyDescent="0.3">
      <c r="A2742" s="3" t="s">
        <v>181</v>
      </c>
      <c r="B2742" s="3" t="s">
        <v>181</v>
      </c>
      <c r="C2742" s="3" t="s">
        <v>435</v>
      </c>
      <c r="D2742" s="3" t="s">
        <v>41</v>
      </c>
      <c r="E2742" s="3" t="s">
        <v>31</v>
      </c>
      <c r="F2742" s="3" t="b">
        <v>0</v>
      </c>
      <c r="G2742" s="3" t="s">
        <v>436</v>
      </c>
      <c r="H2742" s="6">
        <v>44953.884108796286</v>
      </c>
      <c r="I2742" s="3" t="b">
        <v>1</v>
      </c>
      <c r="J2742" s="3" t="b">
        <v>0</v>
      </c>
      <c r="K2742" s="3" t="s">
        <v>436</v>
      </c>
      <c r="L2742" s="3" t="s">
        <v>34</v>
      </c>
      <c r="M2742" s="8">
        <v>147500</v>
      </c>
      <c r="N2742" s="11"/>
      <c r="O2742" s="3" t="s">
        <v>1770</v>
      </c>
      <c r="P2742" s="3" t="s">
        <v>1771</v>
      </c>
    </row>
    <row r="2743" spans="1:16" x14ac:dyDescent="0.3">
      <c r="A2743" s="3" t="s">
        <v>181</v>
      </c>
      <c r="B2743" s="3" t="s">
        <v>181</v>
      </c>
      <c r="C2743" s="3" t="s">
        <v>75</v>
      </c>
      <c r="D2743" s="3" t="s">
        <v>30</v>
      </c>
      <c r="E2743" s="3" t="s">
        <v>31</v>
      </c>
      <c r="F2743" s="3" t="b">
        <v>0</v>
      </c>
      <c r="G2743" s="3" t="s">
        <v>84</v>
      </c>
      <c r="H2743" s="6">
        <v>44944.716111111113</v>
      </c>
      <c r="I2743" s="3" t="b">
        <v>0</v>
      </c>
      <c r="J2743" s="3" t="b">
        <v>1</v>
      </c>
      <c r="K2743" s="3" t="s">
        <v>33</v>
      </c>
      <c r="L2743" s="3" t="s">
        <v>34</v>
      </c>
      <c r="M2743" s="8">
        <v>172500</v>
      </c>
      <c r="N2743" s="11"/>
      <c r="O2743" s="3" t="s">
        <v>1780</v>
      </c>
      <c r="P2743" s="3" t="s">
        <v>1781</v>
      </c>
    </row>
    <row r="2744" spans="1:16" x14ac:dyDescent="0.3">
      <c r="A2744" s="3" t="s">
        <v>181</v>
      </c>
      <c r="B2744" s="3" t="s">
        <v>1788</v>
      </c>
      <c r="C2744" s="3" t="s">
        <v>164</v>
      </c>
      <c r="D2744" s="3" t="s">
        <v>30</v>
      </c>
      <c r="E2744" s="3" t="s">
        <v>31</v>
      </c>
      <c r="F2744" s="3" t="b">
        <v>0</v>
      </c>
      <c r="G2744" s="3" t="s">
        <v>58</v>
      </c>
      <c r="H2744" s="6">
        <v>44953.632604166669</v>
      </c>
      <c r="I2744" s="3" t="b">
        <v>0</v>
      </c>
      <c r="J2744" s="3" t="b">
        <v>0</v>
      </c>
      <c r="K2744" s="3" t="s">
        <v>33</v>
      </c>
      <c r="L2744" s="3" t="s">
        <v>34</v>
      </c>
      <c r="M2744" s="8">
        <v>250000</v>
      </c>
      <c r="N2744" s="11"/>
      <c r="O2744" s="3" t="s">
        <v>1789</v>
      </c>
      <c r="P2744" s="3" t="s">
        <v>1790</v>
      </c>
    </row>
    <row r="2745" spans="1:16" x14ac:dyDescent="0.3">
      <c r="A2745" s="3" t="s">
        <v>181</v>
      </c>
      <c r="B2745" s="3" t="s">
        <v>181</v>
      </c>
      <c r="C2745" s="3" t="s">
        <v>75</v>
      </c>
      <c r="D2745" s="3" t="s">
        <v>41</v>
      </c>
      <c r="E2745" s="3" t="s">
        <v>31</v>
      </c>
      <c r="F2745" s="3" t="b">
        <v>0</v>
      </c>
      <c r="G2745" s="3" t="s">
        <v>110</v>
      </c>
      <c r="H2745" s="6">
        <v>44948.711111111108</v>
      </c>
      <c r="I2745" s="3" t="b">
        <v>0</v>
      </c>
      <c r="J2745" s="3" t="b">
        <v>0</v>
      </c>
      <c r="K2745" s="3" t="s">
        <v>110</v>
      </c>
      <c r="L2745" s="3" t="s">
        <v>34</v>
      </c>
      <c r="M2745" s="8">
        <v>147500</v>
      </c>
      <c r="N2745" s="11"/>
      <c r="O2745" s="3" t="s">
        <v>875</v>
      </c>
      <c r="P2745" s="3" t="s">
        <v>1821</v>
      </c>
    </row>
    <row r="2746" spans="1:16" x14ac:dyDescent="0.3">
      <c r="A2746" s="3" t="s">
        <v>181</v>
      </c>
      <c r="B2746" s="3" t="s">
        <v>181</v>
      </c>
      <c r="C2746" s="3" t="s">
        <v>1145</v>
      </c>
      <c r="D2746" s="3" t="s">
        <v>106</v>
      </c>
      <c r="E2746" s="3" t="s">
        <v>31</v>
      </c>
      <c r="F2746" s="3" t="b">
        <v>0</v>
      </c>
      <c r="G2746" s="3" t="s">
        <v>88</v>
      </c>
      <c r="H2746" s="6">
        <v>44953.675138888888</v>
      </c>
      <c r="I2746" s="3" t="b">
        <v>0</v>
      </c>
      <c r="J2746" s="3" t="b">
        <v>1</v>
      </c>
      <c r="K2746" s="3" t="s">
        <v>33</v>
      </c>
      <c r="L2746" s="3" t="s">
        <v>34</v>
      </c>
      <c r="M2746" s="8">
        <v>170672</v>
      </c>
      <c r="N2746" s="11"/>
      <c r="O2746" s="3" t="s">
        <v>238</v>
      </c>
      <c r="P2746" s="3" t="s">
        <v>239</v>
      </c>
    </row>
    <row r="2747" spans="1:16" x14ac:dyDescent="0.3">
      <c r="A2747" s="3" t="s">
        <v>181</v>
      </c>
      <c r="B2747" s="3" t="s">
        <v>181</v>
      </c>
      <c r="C2747" s="3" t="s">
        <v>87</v>
      </c>
      <c r="D2747" s="3" t="s">
        <v>76</v>
      </c>
      <c r="E2747" s="3" t="s">
        <v>31</v>
      </c>
      <c r="F2747" s="3" t="b">
        <v>1</v>
      </c>
      <c r="G2747" s="3" t="s">
        <v>140</v>
      </c>
      <c r="H2747" s="6">
        <v>44931.131712962961</v>
      </c>
      <c r="I2747" s="3" t="b">
        <v>1</v>
      </c>
      <c r="J2747" s="3" t="b">
        <v>0</v>
      </c>
      <c r="K2747" s="3" t="s">
        <v>33</v>
      </c>
      <c r="L2747" s="3" t="s">
        <v>34</v>
      </c>
      <c r="M2747" s="8">
        <v>180000</v>
      </c>
      <c r="N2747" s="11"/>
      <c r="O2747" s="3" t="s">
        <v>196</v>
      </c>
      <c r="P2747" s="3" t="s">
        <v>1853</v>
      </c>
    </row>
    <row r="2748" spans="1:16" x14ac:dyDescent="0.3">
      <c r="A2748" s="3" t="s">
        <v>181</v>
      </c>
      <c r="B2748" s="3" t="s">
        <v>1857</v>
      </c>
      <c r="C2748" s="3" t="s">
        <v>1368</v>
      </c>
      <c r="D2748" s="3" t="s">
        <v>30</v>
      </c>
      <c r="E2748" s="3" t="s">
        <v>133</v>
      </c>
      <c r="F2748" s="3" t="b">
        <v>0</v>
      </c>
      <c r="G2748" s="3" t="s">
        <v>84</v>
      </c>
      <c r="H2748" s="6">
        <v>44936.768090277779</v>
      </c>
      <c r="I2748" s="3" t="b">
        <v>0</v>
      </c>
      <c r="J2748" s="3" t="b">
        <v>0</v>
      </c>
      <c r="K2748" s="3" t="s">
        <v>33</v>
      </c>
      <c r="L2748" s="3" t="s">
        <v>34</v>
      </c>
      <c r="M2748" s="8">
        <v>127500</v>
      </c>
      <c r="N2748" s="11"/>
      <c r="O2748" s="3" t="s">
        <v>1858</v>
      </c>
      <c r="P2748" s="3" t="s">
        <v>1859</v>
      </c>
    </row>
    <row r="2749" spans="1:16" x14ac:dyDescent="0.3">
      <c r="A2749" s="3" t="s">
        <v>181</v>
      </c>
      <c r="B2749" s="3" t="s">
        <v>1893</v>
      </c>
      <c r="C2749" s="3" t="s">
        <v>87</v>
      </c>
      <c r="D2749" s="3" t="s">
        <v>30</v>
      </c>
      <c r="E2749" s="3" t="s">
        <v>31</v>
      </c>
      <c r="F2749" s="3" t="b">
        <v>1</v>
      </c>
      <c r="G2749" s="3" t="s">
        <v>32</v>
      </c>
      <c r="H2749" s="6">
        <v>44935.672199074077</v>
      </c>
      <c r="I2749" s="3" t="b">
        <v>1</v>
      </c>
      <c r="J2749" s="3" t="b">
        <v>0</v>
      </c>
      <c r="K2749" s="3" t="s">
        <v>33</v>
      </c>
      <c r="L2749" s="3" t="s">
        <v>48</v>
      </c>
      <c r="M2749" s="8"/>
      <c r="N2749" s="11">
        <v>75</v>
      </c>
      <c r="O2749" s="3" t="s">
        <v>1894</v>
      </c>
      <c r="P2749" s="3" t="s">
        <v>1895</v>
      </c>
    </row>
    <row r="2750" spans="1:16" x14ac:dyDescent="0.3">
      <c r="A2750" s="3" t="s">
        <v>181</v>
      </c>
      <c r="B2750" s="3" t="s">
        <v>1984</v>
      </c>
      <c r="C2750" s="3" t="s">
        <v>79</v>
      </c>
      <c r="D2750" s="3" t="s">
        <v>30</v>
      </c>
      <c r="E2750" s="3" t="s">
        <v>133</v>
      </c>
      <c r="F2750" s="3" t="b">
        <v>0</v>
      </c>
      <c r="G2750" s="3" t="s">
        <v>88</v>
      </c>
      <c r="H2750" s="6">
        <v>44957.922986111109</v>
      </c>
      <c r="I2750" s="3" t="b">
        <v>0</v>
      </c>
      <c r="J2750" s="3" t="b">
        <v>0</v>
      </c>
      <c r="K2750" s="3" t="s">
        <v>33</v>
      </c>
      <c r="L2750" s="3" t="s">
        <v>48</v>
      </c>
      <c r="M2750" s="8"/>
      <c r="N2750" s="11">
        <v>72.5</v>
      </c>
      <c r="O2750" s="3" t="s">
        <v>502</v>
      </c>
      <c r="P2750" s="3" t="s">
        <v>1985</v>
      </c>
    </row>
    <row r="2751" spans="1:16" x14ac:dyDescent="0.3">
      <c r="A2751" s="3" t="s">
        <v>181</v>
      </c>
      <c r="B2751" s="3" t="s">
        <v>181</v>
      </c>
      <c r="C2751" s="3" t="s">
        <v>33</v>
      </c>
      <c r="D2751" s="3" t="s">
        <v>76</v>
      </c>
      <c r="E2751" s="3" t="s">
        <v>31</v>
      </c>
      <c r="F2751" s="3" t="b">
        <v>0</v>
      </c>
      <c r="G2751" s="3" t="s">
        <v>58</v>
      </c>
      <c r="H2751" s="6">
        <v>44937.839826388888</v>
      </c>
      <c r="I2751" s="3" t="b">
        <v>0</v>
      </c>
      <c r="J2751" s="3" t="b">
        <v>1</v>
      </c>
      <c r="K2751" s="3" t="s">
        <v>33</v>
      </c>
      <c r="L2751" s="3" t="s">
        <v>34</v>
      </c>
      <c r="M2751" s="8">
        <v>140000</v>
      </c>
      <c r="N2751" s="11"/>
      <c r="O2751" s="3" t="s">
        <v>1997</v>
      </c>
      <c r="P2751" s="3" t="s">
        <v>1998</v>
      </c>
    </row>
    <row r="2752" spans="1:16" x14ac:dyDescent="0.3">
      <c r="A2752" s="3" t="s">
        <v>181</v>
      </c>
      <c r="B2752" s="3" t="s">
        <v>181</v>
      </c>
      <c r="C2752" s="3" t="s">
        <v>549</v>
      </c>
      <c r="D2752" s="3" t="s">
        <v>93</v>
      </c>
      <c r="E2752" s="3" t="s">
        <v>31</v>
      </c>
      <c r="F2752" s="3" t="b">
        <v>0</v>
      </c>
      <c r="G2752" s="3" t="s">
        <v>88</v>
      </c>
      <c r="H2752" s="6">
        <v>44942.324872685182</v>
      </c>
      <c r="I2752" s="3" t="b">
        <v>0</v>
      </c>
      <c r="J2752" s="3" t="b">
        <v>1</v>
      </c>
      <c r="K2752" s="3" t="s">
        <v>33</v>
      </c>
      <c r="L2752" s="3" t="s">
        <v>34</v>
      </c>
      <c r="M2752" s="8">
        <v>150000</v>
      </c>
      <c r="N2752" s="11"/>
      <c r="O2752" s="3" t="s">
        <v>2027</v>
      </c>
      <c r="P2752" s="3" t="s">
        <v>2028</v>
      </c>
    </row>
    <row r="2753" spans="1:16" x14ac:dyDescent="0.3">
      <c r="A2753" s="3" t="s">
        <v>181</v>
      </c>
      <c r="B2753" s="3" t="s">
        <v>181</v>
      </c>
      <c r="C2753" s="3" t="s">
        <v>87</v>
      </c>
      <c r="D2753" s="3" t="s">
        <v>830</v>
      </c>
      <c r="E2753" s="3" t="s">
        <v>31</v>
      </c>
      <c r="F2753" s="3" t="b">
        <v>1</v>
      </c>
      <c r="G2753" s="3" t="s">
        <v>1917</v>
      </c>
      <c r="H2753" s="6">
        <v>44953.924074074072</v>
      </c>
      <c r="I2753" s="3" t="b">
        <v>0</v>
      </c>
      <c r="J2753" s="3" t="b">
        <v>0</v>
      </c>
      <c r="K2753" s="3" t="s">
        <v>1917</v>
      </c>
      <c r="L2753" s="3" t="s">
        <v>34</v>
      </c>
      <c r="M2753" s="8">
        <v>142000</v>
      </c>
      <c r="N2753" s="11"/>
      <c r="O2753" s="3" t="s">
        <v>2070</v>
      </c>
      <c r="P2753" s="3" t="s">
        <v>2071</v>
      </c>
    </row>
    <row r="2754" spans="1:16" x14ac:dyDescent="0.3">
      <c r="A2754" s="3" t="s">
        <v>181</v>
      </c>
      <c r="B2754" s="3" t="s">
        <v>181</v>
      </c>
      <c r="C2754" s="3" t="s">
        <v>87</v>
      </c>
      <c r="D2754" s="3" t="s">
        <v>30</v>
      </c>
      <c r="E2754" s="3" t="s">
        <v>31</v>
      </c>
      <c r="F2754" s="3" t="b">
        <v>1</v>
      </c>
      <c r="G2754" s="3" t="s">
        <v>58</v>
      </c>
      <c r="H2754" s="6">
        <v>44930.631203703713</v>
      </c>
      <c r="I2754" s="3" t="b">
        <v>0</v>
      </c>
      <c r="J2754" s="3" t="b">
        <v>0</v>
      </c>
      <c r="K2754" s="3" t="s">
        <v>33</v>
      </c>
      <c r="L2754" s="3" t="s">
        <v>34</v>
      </c>
      <c r="M2754" s="8">
        <v>130000</v>
      </c>
      <c r="N2754" s="11"/>
      <c r="O2754" s="3" t="s">
        <v>1560</v>
      </c>
      <c r="P2754" s="3" t="s">
        <v>2072</v>
      </c>
    </row>
    <row r="2755" spans="1:16" x14ac:dyDescent="0.3">
      <c r="A2755" s="3" t="s">
        <v>181</v>
      </c>
      <c r="B2755" s="3" t="s">
        <v>181</v>
      </c>
      <c r="C2755" s="3" t="s">
        <v>1405</v>
      </c>
      <c r="D2755" s="3" t="s">
        <v>237</v>
      </c>
      <c r="E2755" s="3" t="s">
        <v>31</v>
      </c>
      <c r="F2755" s="3" t="b">
        <v>0</v>
      </c>
      <c r="G2755" s="3" t="s">
        <v>58</v>
      </c>
      <c r="H2755" s="6">
        <v>44935.255833333344</v>
      </c>
      <c r="I2755" s="3" t="b">
        <v>0</v>
      </c>
      <c r="J2755" s="3" t="b">
        <v>0</v>
      </c>
      <c r="K2755" s="3" t="s">
        <v>33</v>
      </c>
      <c r="L2755" s="3" t="s">
        <v>34</v>
      </c>
      <c r="M2755" s="8">
        <v>156596</v>
      </c>
      <c r="N2755" s="11"/>
      <c r="O2755" s="3" t="s">
        <v>238</v>
      </c>
      <c r="P2755" s="3" t="s">
        <v>670</v>
      </c>
    </row>
    <row r="2756" spans="1:16" x14ac:dyDescent="0.3">
      <c r="A2756" s="3" t="s">
        <v>181</v>
      </c>
      <c r="B2756" s="3" t="s">
        <v>181</v>
      </c>
      <c r="C2756" s="3" t="s">
        <v>620</v>
      </c>
      <c r="D2756" s="3" t="s">
        <v>76</v>
      </c>
      <c r="E2756" s="3" t="s">
        <v>31</v>
      </c>
      <c r="F2756" s="3" t="b">
        <v>0</v>
      </c>
      <c r="G2756" s="3" t="s">
        <v>110</v>
      </c>
      <c r="H2756" s="6">
        <v>44939.599305555559</v>
      </c>
      <c r="I2756" s="3" t="b">
        <v>1</v>
      </c>
      <c r="J2756" s="3" t="b">
        <v>1</v>
      </c>
      <c r="K2756" s="3" t="s">
        <v>110</v>
      </c>
      <c r="L2756" s="3" t="s">
        <v>48</v>
      </c>
      <c r="M2756" s="8"/>
      <c r="N2756" s="11">
        <v>65</v>
      </c>
      <c r="O2756" s="3" t="s">
        <v>2141</v>
      </c>
      <c r="P2756" s="3" t="s">
        <v>2142</v>
      </c>
    </row>
    <row r="2757" spans="1:16" x14ac:dyDescent="0.3">
      <c r="A2757" s="3" t="s">
        <v>181</v>
      </c>
      <c r="B2757" s="3" t="s">
        <v>2148</v>
      </c>
      <c r="C2757" s="3" t="s">
        <v>33</v>
      </c>
      <c r="D2757" s="3" t="s">
        <v>30</v>
      </c>
      <c r="E2757" s="3" t="s">
        <v>31</v>
      </c>
      <c r="F2757" s="3" t="b">
        <v>0</v>
      </c>
      <c r="G2757" s="3" t="s">
        <v>84</v>
      </c>
      <c r="H2757" s="6">
        <v>44953.841296296298</v>
      </c>
      <c r="I2757" s="3" t="b">
        <v>0</v>
      </c>
      <c r="J2757" s="3" t="b">
        <v>0</v>
      </c>
      <c r="K2757" s="3" t="s">
        <v>33</v>
      </c>
      <c r="L2757" s="3" t="s">
        <v>34</v>
      </c>
      <c r="M2757" s="8">
        <v>145000</v>
      </c>
      <c r="N2757" s="11"/>
      <c r="O2757" s="3" t="s">
        <v>2149</v>
      </c>
      <c r="P2757" s="3" t="s">
        <v>2150</v>
      </c>
    </row>
    <row r="2758" spans="1:16" x14ac:dyDescent="0.3">
      <c r="A2758" s="3" t="s">
        <v>181</v>
      </c>
      <c r="B2758" s="3" t="s">
        <v>2162</v>
      </c>
      <c r="C2758" s="3" t="s">
        <v>813</v>
      </c>
      <c r="D2758" s="3" t="s">
        <v>53</v>
      </c>
      <c r="E2758" s="3" t="s">
        <v>31</v>
      </c>
      <c r="F2758" s="3" t="b">
        <v>0</v>
      </c>
      <c r="G2758" s="3" t="s">
        <v>32</v>
      </c>
      <c r="H2758" s="6">
        <v>44934.920266203713</v>
      </c>
      <c r="I2758" s="3" t="b">
        <v>0</v>
      </c>
      <c r="J2758" s="3" t="b">
        <v>0</v>
      </c>
      <c r="K2758" s="3" t="s">
        <v>33</v>
      </c>
      <c r="L2758" s="3" t="s">
        <v>34</v>
      </c>
      <c r="M2758" s="8">
        <v>140000</v>
      </c>
      <c r="N2758" s="11"/>
      <c r="O2758" s="3" t="s">
        <v>2163</v>
      </c>
      <c r="P2758" s="3" t="s">
        <v>2164</v>
      </c>
    </row>
    <row r="2759" spans="1:16" x14ac:dyDescent="0.3">
      <c r="A2759" s="3" t="s">
        <v>181</v>
      </c>
      <c r="B2759" s="3" t="s">
        <v>2179</v>
      </c>
      <c r="C2759" s="3" t="s">
        <v>258</v>
      </c>
      <c r="D2759" s="3" t="s">
        <v>705</v>
      </c>
      <c r="E2759" s="3" t="s">
        <v>31</v>
      </c>
      <c r="F2759" s="3" t="b">
        <v>0</v>
      </c>
      <c r="G2759" s="3" t="s">
        <v>32</v>
      </c>
      <c r="H2759" s="6">
        <v>44949.544641203713</v>
      </c>
      <c r="I2759" s="3" t="b">
        <v>0</v>
      </c>
      <c r="J2759" s="3" t="b">
        <v>0</v>
      </c>
      <c r="K2759" s="3" t="s">
        <v>33</v>
      </c>
      <c r="L2759" s="3" t="s">
        <v>34</v>
      </c>
      <c r="M2759" s="8">
        <v>185000</v>
      </c>
      <c r="N2759" s="11"/>
      <c r="O2759" s="3" t="s">
        <v>196</v>
      </c>
      <c r="P2759" s="3" t="s">
        <v>2180</v>
      </c>
    </row>
    <row r="2760" spans="1:16" x14ac:dyDescent="0.3">
      <c r="A2760" s="3" t="s">
        <v>181</v>
      </c>
      <c r="B2760" s="3" t="s">
        <v>2185</v>
      </c>
      <c r="C2760" s="3" t="s">
        <v>87</v>
      </c>
      <c r="D2760" s="3" t="s">
        <v>30</v>
      </c>
      <c r="E2760" s="3" t="s">
        <v>31</v>
      </c>
      <c r="F2760" s="3" t="b">
        <v>1</v>
      </c>
      <c r="G2760" s="3" t="s">
        <v>58</v>
      </c>
      <c r="H2760" s="6">
        <v>44956.630879629629</v>
      </c>
      <c r="I2760" s="3" t="b">
        <v>1</v>
      </c>
      <c r="J2760" s="3" t="b">
        <v>0</v>
      </c>
      <c r="K2760" s="3" t="s">
        <v>33</v>
      </c>
      <c r="L2760" s="3" t="s">
        <v>34</v>
      </c>
      <c r="M2760" s="8">
        <v>135000</v>
      </c>
      <c r="N2760" s="11"/>
      <c r="O2760" s="3" t="s">
        <v>2186</v>
      </c>
      <c r="P2760" s="3" t="s">
        <v>2187</v>
      </c>
    </row>
    <row r="2761" spans="1:16" x14ac:dyDescent="0.3">
      <c r="A2761" s="3" t="s">
        <v>181</v>
      </c>
      <c r="B2761" s="3" t="s">
        <v>181</v>
      </c>
      <c r="C2761" s="3" t="s">
        <v>75</v>
      </c>
      <c r="D2761" s="3" t="s">
        <v>30</v>
      </c>
      <c r="E2761" s="3" t="s">
        <v>31</v>
      </c>
      <c r="F2761" s="3" t="b">
        <v>0</v>
      </c>
      <c r="G2761" s="3" t="s">
        <v>140</v>
      </c>
      <c r="H2761" s="6">
        <v>44945.830011574071</v>
      </c>
      <c r="I2761" s="3" t="b">
        <v>0</v>
      </c>
      <c r="J2761" s="3" t="b">
        <v>0</v>
      </c>
      <c r="K2761" s="3" t="s">
        <v>33</v>
      </c>
      <c r="L2761" s="3" t="s">
        <v>34</v>
      </c>
      <c r="M2761" s="8">
        <v>167500</v>
      </c>
      <c r="N2761" s="11"/>
      <c r="O2761" s="3" t="s">
        <v>1780</v>
      </c>
      <c r="P2761" s="3" t="s">
        <v>2208</v>
      </c>
    </row>
    <row r="2762" spans="1:16" x14ac:dyDescent="0.3">
      <c r="A2762" s="3" t="s">
        <v>181</v>
      </c>
      <c r="B2762" s="3" t="s">
        <v>2245</v>
      </c>
      <c r="C2762" s="3" t="s">
        <v>2246</v>
      </c>
      <c r="D2762" s="3" t="s">
        <v>350</v>
      </c>
      <c r="E2762" s="3" t="s">
        <v>31</v>
      </c>
      <c r="F2762" s="3" t="b">
        <v>0</v>
      </c>
      <c r="G2762" s="3" t="s">
        <v>58</v>
      </c>
      <c r="H2762" s="6">
        <v>44930.839872685188</v>
      </c>
      <c r="I2762" s="3" t="b">
        <v>0</v>
      </c>
      <c r="J2762" s="3" t="b">
        <v>0</v>
      </c>
      <c r="K2762" s="3" t="s">
        <v>33</v>
      </c>
      <c r="L2762" s="3" t="s">
        <v>34</v>
      </c>
      <c r="M2762" s="8">
        <v>156596</v>
      </c>
      <c r="N2762" s="11"/>
      <c r="O2762" s="3" t="s">
        <v>238</v>
      </c>
      <c r="P2762" s="3" t="s">
        <v>239</v>
      </c>
    </row>
    <row r="2763" spans="1:16" x14ac:dyDescent="0.3">
      <c r="A2763" s="3" t="s">
        <v>181</v>
      </c>
      <c r="B2763" s="3" t="s">
        <v>181</v>
      </c>
      <c r="C2763" s="3" t="s">
        <v>2254</v>
      </c>
      <c r="D2763" s="3" t="s">
        <v>93</v>
      </c>
      <c r="E2763" s="3" t="s">
        <v>31</v>
      </c>
      <c r="F2763" s="3" t="b">
        <v>0</v>
      </c>
      <c r="G2763" s="3" t="s">
        <v>58</v>
      </c>
      <c r="H2763" s="6">
        <v>44935.380787037036</v>
      </c>
      <c r="I2763" s="3" t="b">
        <v>1</v>
      </c>
      <c r="J2763" s="3" t="b">
        <v>1</v>
      </c>
      <c r="K2763" s="3" t="s">
        <v>33</v>
      </c>
      <c r="L2763" s="3" t="s">
        <v>34</v>
      </c>
      <c r="M2763" s="8">
        <v>175000</v>
      </c>
      <c r="N2763" s="11"/>
      <c r="O2763" s="3" t="s">
        <v>80</v>
      </c>
      <c r="P2763" s="3" t="s">
        <v>2255</v>
      </c>
    </row>
    <row r="2764" spans="1:16" x14ac:dyDescent="0.3">
      <c r="A2764" s="3" t="s">
        <v>181</v>
      </c>
      <c r="B2764" s="3" t="s">
        <v>181</v>
      </c>
      <c r="C2764" s="3" t="s">
        <v>2256</v>
      </c>
      <c r="D2764" s="3" t="s">
        <v>41</v>
      </c>
      <c r="E2764" s="3" t="s">
        <v>31</v>
      </c>
      <c r="F2764" s="3" t="b">
        <v>0</v>
      </c>
      <c r="G2764" s="3" t="s">
        <v>317</v>
      </c>
      <c r="H2764" s="6">
        <v>44938.73605324074</v>
      </c>
      <c r="I2764" s="3" t="b">
        <v>0</v>
      </c>
      <c r="J2764" s="3" t="b">
        <v>0</v>
      </c>
      <c r="K2764" s="3" t="s">
        <v>317</v>
      </c>
      <c r="L2764" s="3" t="s">
        <v>34</v>
      </c>
      <c r="M2764" s="8">
        <v>147500</v>
      </c>
      <c r="N2764" s="11"/>
      <c r="O2764" s="3" t="s">
        <v>2257</v>
      </c>
      <c r="P2764" s="3" t="s">
        <v>2258</v>
      </c>
    </row>
    <row r="2765" spans="1:16" x14ac:dyDescent="0.3">
      <c r="A2765" s="3" t="s">
        <v>181</v>
      </c>
      <c r="B2765" s="3" t="s">
        <v>2245</v>
      </c>
      <c r="C2765" s="3" t="s">
        <v>2259</v>
      </c>
      <c r="D2765" s="3" t="s">
        <v>350</v>
      </c>
      <c r="E2765" s="3" t="s">
        <v>31</v>
      </c>
      <c r="F2765" s="3" t="b">
        <v>0</v>
      </c>
      <c r="G2765" s="3" t="s">
        <v>32</v>
      </c>
      <c r="H2765" s="6">
        <v>44931.005659722221</v>
      </c>
      <c r="I2765" s="3" t="b">
        <v>0</v>
      </c>
      <c r="J2765" s="3" t="b">
        <v>0</v>
      </c>
      <c r="K2765" s="3" t="s">
        <v>33</v>
      </c>
      <c r="L2765" s="3" t="s">
        <v>34</v>
      </c>
      <c r="M2765" s="8">
        <v>156596</v>
      </c>
      <c r="N2765" s="11"/>
      <c r="O2765" s="3" t="s">
        <v>238</v>
      </c>
      <c r="P2765" s="3" t="s">
        <v>2260</v>
      </c>
    </row>
    <row r="2766" spans="1:16" x14ac:dyDescent="0.3">
      <c r="A2766" s="3" t="s">
        <v>181</v>
      </c>
      <c r="B2766" s="3" t="s">
        <v>449</v>
      </c>
      <c r="C2766" s="3" t="s">
        <v>2277</v>
      </c>
      <c r="D2766" s="3" t="s">
        <v>1194</v>
      </c>
      <c r="E2766" s="3" t="s">
        <v>31</v>
      </c>
      <c r="F2766" s="3" t="b">
        <v>0</v>
      </c>
      <c r="G2766" s="3" t="s">
        <v>110</v>
      </c>
      <c r="H2766" s="6">
        <v>44931.040370370371</v>
      </c>
      <c r="I2766" s="3" t="b">
        <v>0</v>
      </c>
      <c r="J2766" s="3" t="b">
        <v>0</v>
      </c>
      <c r="K2766" s="3" t="s">
        <v>110</v>
      </c>
      <c r="L2766" s="3" t="s">
        <v>34</v>
      </c>
      <c r="M2766" s="8">
        <v>170672</v>
      </c>
      <c r="N2766" s="11"/>
      <c r="O2766" s="3" t="s">
        <v>238</v>
      </c>
      <c r="P2766" s="3" t="s">
        <v>239</v>
      </c>
    </row>
    <row r="2767" spans="1:16" x14ac:dyDescent="0.3">
      <c r="A2767" s="3" t="s">
        <v>181</v>
      </c>
      <c r="B2767" s="3" t="s">
        <v>2339</v>
      </c>
      <c r="C2767" s="3" t="s">
        <v>2336</v>
      </c>
      <c r="D2767" s="3" t="s">
        <v>41</v>
      </c>
      <c r="E2767" s="3" t="s">
        <v>31</v>
      </c>
      <c r="F2767" s="3" t="b">
        <v>0</v>
      </c>
      <c r="G2767" s="3" t="s">
        <v>597</v>
      </c>
      <c r="H2767" s="6">
        <v>44937.346238425933</v>
      </c>
      <c r="I2767" s="3" t="b">
        <v>0</v>
      </c>
      <c r="J2767" s="3" t="b">
        <v>0</v>
      </c>
      <c r="K2767" s="3" t="s">
        <v>597</v>
      </c>
      <c r="L2767" s="3" t="s">
        <v>34</v>
      </c>
      <c r="M2767" s="8">
        <v>147500</v>
      </c>
      <c r="N2767" s="11"/>
      <c r="O2767" s="3" t="s">
        <v>2337</v>
      </c>
      <c r="P2767" s="3" t="s">
        <v>2340</v>
      </c>
    </row>
    <row r="2768" spans="1:16" x14ac:dyDescent="0.3">
      <c r="A2768" s="3" t="s">
        <v>181</v>
      </c>
      <c r="B2768" s="3" t="s">
        <v>2349</v>
      </c>
      <c r="C2768" s="3" t="s">
        <v>2350</v>
      </c>
      <c r="D2768" s="3" t="s">
        <v>307</v>
      </c>
      <c r="E2768" s="3" t="s">
        <v>31</v>
      </c>
      <c r="F2768" s="3" t="b">
        <v>0</v>
      </c>
      <c r="G2768" s="3" t="s">
        <v>84</v>
      </c>
      <c r="H2768" s="6">
        <v>44930.688090277778</v>
      </c>
      <c r="I2768" s="3" t="b">
        <v>1</v>
      </c>
      <c r="J2768" s="3" t="b">
        <v>0</v>
      </c>
      <c r="K2768" s="3" t="s">
        <v>33</v>
      </c>
      <c r="L2768" s="3" t="s">
        <v>34</v>
      </c>
      <c r="M2768" s="8">
        <v>115000</v>
      </c>
      <c r="N2768" s="11"/>
      <c r="O2768" s="3" t="s">
        <v>114</v>
      </c>
      <c r="P2768" s="3" t="s">
        <v>2351</v>
      </c>
    </row>
    <row r="2769" spans="1:16" x14ac:dyDescent="0.3">
      <c r="A2769" s="3" t="s">
        <v>181</v>
      </c>
      <c r="B2769" s="3" t="s">
        <v>2352</v>
      </c>
      <c r="C2769" s="3" t="s">
        <v>87</v>
      </c>
      <c r="D2769" s="3" t="s">
        <v>712</v>
      </c>
      <c r="E2769" s="3" t="s">
        <v>31</v>
      </c>
      <c r="F2769" s="3" t="b">
        <v>1</v>
      </c>
      <c r="G2769" s="3" t="s">
        <v>32</v>
      </c>
      <c r="H2769" s="6">
        <v>44945.893483796302</v>
      </c>
      <c r="I2769" s="3" t="b">
        <v>1</v>
      </c>
      <c r="J2769" s="3" t="b">
        <v>0</v>
      </c>
      <c r="K2769" s="3" t="s">
        <v>33</v>
      </c>
      <c r="L2769" s="3" t="s">
        <v>34</v>
      </c>
      <c r="M2769" s="8">
        <v>170000</v>
      </c>
      <c r="N2769" s="11"/>
      <c r="O2769" s="3" t="s">
        <v>2353</v>
      </c>
      <c r="P2769" s="3" t="s">
        <v>2354</v>
      </c>
    </row>
    <row r="2770" spans="1:16" x14ac:dyDescent="0.3">
      <c r="A2770" s="3" t="s">
        <v>181</v>
      </c>
      <c r="B2770" s="3" t="s">
        <v>449</v>
      </c>
      <c r="C2770" s="3" t="s">
        <v>83</v>
      </c>
      <c r="D2770" s="3" t="s">
        <v>705</v>
      </c>
      <c r="E2770" s="3" t="s">
        <v>31</v>
      </c>
      <c r="F2770" s="3" t="b">
        <v>0</v>
      </c>
      <c r="G2770" s="3" t="s">
        <v>110</v>
      </c>
      <c r="H2770" s="6">
        <v>44956.379976851851</v>
      </c>
      <c r="I2770" s="3" t="b">
        <v>0</v>
      </c>
      <c r="J2770" s="3" t="b">
        <v>1</v>
      </c>
      <c r="K2770" s="3" t="s">
        <v>110</v>
      </c>
      <c r="L2770" s="3" t="s">
        <v>34</v>
      </c>
      <c r="M2770" s="8">
        <v>170672</v>
      </c>
      <c r="N2770" s="11"/>
      <c r="O2770" s="3" t="s">
        <v>238</v>
      </c>
      <c r="P2770" s="3" t="s">
        <v>2459</v>
      </c>
    </row>
    <row r="2771" spans="1:16" x14ac:dyDescent="0.3">
      <c r="A2771" s="3" t="s">
        <v>181</v>
      </c>
      <c r="B2771" s="3" t="s">
        <v>181</v>
      </c>
      <c r="C2771" s="3" t="s">
        <v>164</v>
      </c>
      <c r="D2771" s="3" t="s">
        <v>30</v>
      </c>
      <c r="E2771" s="3" t="s">
        <v>31</v>
      </c>
      <c r="F2771" s="3" t="b">
        <v>0</v>
      </c>
      <c r="G2771" s="3" t="s">
        <v>58</v>
      </c>
      <c r="H2771" s="6">
        <v>44938.591608796298</v>
      </c>
      <c r="I2771" s="3" t="b">
        <v>0</v>
      </c>
      <c r="J2771" s="3" t="b">
        <v>0</v>
      </c>
      <c r="K2771" s="3" t="s">
        <v>33</v>
      </c>
      <c r="L2771" s="3" t="s">
        <v>34</v>
      </c>
      <c r="M2771" s="8">
        <v>127500</v>
      </c>
      <c r="N2771" s="11"/>
      <c r="O2771" s="3" t="s">
        <v>284</v>
      </c>
      <c r="P2771" s="3" t="s">
        <v>2468</v>
      </c>
    </row>
    <row r="2772" spans="1:16" x14ac:dyDescent="0.3">
      <c r="A2772" s="3" t="s">
        <v>181</v>
      </c>
      <c r="B2772" s="3" t="s">
        <v>2586</v>
      </c>
      <c r="C2772" s="3" t="s">
        <v>164</v>
      </c>
      <c r="D2772" s="3" t="s">
        <v>712</v>
      </c>
      <c r="E2772" s="3" t="s">
        <v>31</v>
      </c>
      <c r="F2772" s="3" t="b">
        <v>0</v>
      </c>
      <c r="G2772" s="3" t="s">
        <v>64</v>
      </c>
      <c r="H2772" s="6">
        <v>44940.671053240738</v>
      </c>
      <c r="I2772" s="3" t="b">
        <v>1</v>
      </c>
      <c r="J2772" s="3" t="b">
        <v>1</v>
      </c>
      <c r="K2772" s="3" t="s">
        <v>33</v>
      </c>
      <c r="L2772" s="3" t="s">
        <v>34</v>
      </c>
      <c r="M2772" s="8">
        <v>168500</v>
      </c>
      <c r="N2772" s="11"/>
      <c r="O2772" s="3" t="s">
        <v>2587</v>
      </c>
      <c r="P2772" s="3" t="s">
        <v>2588</v>
      </c>
    </row>
    <row r="2773" spans="1:16" x14ac:dyDescent="0.3">
      <c r="A2773" s="3" t="s">
        <v>181</v>
      </c>
      <c r="B2773" s="3" t="s">
        <v>181</v>
      </c>
      <c r="C2773" s="3" t="s">
        <v>1324</v>
      </c>
      <c r="D2773" s="3" t="s">
        <v>41</v>
      </c>
      <c r="E2773" s="3" t="s">
        <v>31</v>
      </c>
      <c r="F2773" s="3" t="b">
        <v>0</v>
      </c>
      <c r="G2773" s="3" t="s">
        <v>1324</v>
      </c>
      <c r="H2773" s="6">
        <v>44956.098356481481</v>
      </c>
      <c r="I2773" s="3" t="b">
        <v>0</v>
      </c>
      <c r="J2773" s="3" t="b">
        <v>0</v>
      </c>
      <c r="K2773" s="3" t="s">
        <v>1324</v>
      </c>
      <c r="L2773" s="3" t="s">
        <v>34</v>
      </c>
      <c r="M2773" s="8">
        <v>147500</v>
      </c>
      <c r="N2773" s="11"/>
      <c r="O2773" s="3" t="s">
        <v>310</v>
      </c>
      <c r="P2773" s="3" t="s">
        <v>2621</v>
      </c>
    </row>
    <row r="2774" spans="1:16" x14ac:dyDescent="0.3">
      <c r="A2774" s="3" t="s">
        <v>181</v>
      </c>
      <c r="B2774" s="3" t="s">
        <v>181</v>
      </c>
      <c r="C2774" s="3" t="s">
        <v>87</v>
      </c>
      <c r="D2774" s="3" t="s">
        <v>30</v>
      </c>
      <c r="E2774" s="3" t="s">
        <v>31</v>
      </c>
      <c r="F2774" s="3" t="b">
        <v>1</v>
      </c>
      <c r="G2774" s="3" t="s">
        <v>84</v>
      </c>
      <c r="H2774" s="6">
        <v>44935.673541666663</v>
      </c>
      <c r="I2774" s="3" t="b">
        <v>0</v>
      </c>
      <c r="J2774" s="3" t="b">
        <v>1</v>
      </c>
      <c r="K2774" s="3" t="s">
        <v>33</v>
      </c>
      <c r="L2774" s="3" t="s">
        <v>34</v>
      </c>
      <c r="M2774" s="8">
        <v>155000</v>
      </c>
      <c r="N2774" s="11"/>
      <c r="O2774" s="3" t="s">
        <v>507</v>
      </c>
      <c r="P2774" s="3" t="s">
        <v>2622</v>
      </c>
    </row>
    <row r="2775" spans="1:16" x14ac:dyDescent="0.3">
      <c r="A2775" s="3" t="s">
        <v>181</v>
      </c>
      <c r="B2775" s="3" t="s">
        <v>181</v>
      </c>
      <c r="C2775" s="3" t="s">
        <v>75</v>
      </c>
      <c r="D2775" s="3" t="s">
        <v>76</v>
      </c>
      <c r="E2775" s="3" t="s">
        <v>31</v>
      </c>
      <c r="F2775" s="3" t="b">
        <v>0</v>
      </c>
      <c r="G2775" s="3" t="s">
        <v>64</v>
      </c>
      <c r="H2775" s="6">
        <v>44953.881238425929</v>
      </c>
      <c r="I2775" s="3" t="b">
        <v>0</v>
      </c>
      <c r="J2775" s="3" t="b">
        <v>0</v>
      </c>
      <c r="K2775" s="3" t="s">
        <v>33</v>
      </c>
      <c r="L2775" s="3" t="s">
        <v>34</v>
      </c>
      <c r="M2775" s="8">
        <v>128295.0625</v>
      </c>
      <c r="N2775" s="11"/>
      <c r="O2775" s="3" t="s">
        <v>2623</v>
      </c>
      <c r="P2775" s="3" t="s">
        <v>2624</v>
      </c>
    </row>
    <row r="2776" spans="1:16" x14ac:dyDescent="0.3">
      <c r="A2776" s="3" t="s">
        <v>181</v>
      </c>
      <c r="B2776" s="3" t="s">
        <v>181</v>
      </c>
      <c r="C2776" s="3" t="s">
        <v>173</v>
      </c>
      <c r="D2776" s="3" t="s">
        <v>41</v>
      </c>
      <c r="E2776" s="3" t="s">
        <v>31</v>
      </c>
      <c r="F2776" s="3" t="b">
        <v>0</v>
      </c>
      <c r="G2776" s="3" t="s">
        <v>88</v>
      </c>
      <c r="H2776" s="6">
        <v>44954.509421296287</v>
      </c>
      <c r="I2776" s="3" t="b">
        <v>1</v>
      </c>
      <c r="J2776" s="3" t="b">
        <v>0</v>
      </c>
      <c r="K2776" s="3" t="s">
        <v>33</v>
      </c>
      <c r="L2776" s="3" t="s">
        <v>34</v>
      </c>
      <c r="M2776" s="8">
        <v>147500</v>
      </c>
      <c r="N2776" s="11"/>
      <c r="O2776" s="3" t="s">
        <v>2626</v>
      </c>
      <c r="P2776" s="3" t="s">
        <v>2627</v>
      </c>
    </row>
    <row r="2777" spans="1:16" x14ac:dyDescent="0.3">
      <c r="A2777" s="3" t="s">
        <v>181</v>
      </c>
      <c r="B2777" s="3" t="s">
        <v>2632</v>
      </c>
      <c r="C2777" s="3" t="s">
        <v>2336</v>
      </c>
      <c r="D2777" s="3" t="s">
        <v>41</v>
      </c>
      <c r="E2777" s="3" t="s">
        <v>31</v>
      </c>
      <c r="F2777" s="3" t="b">
        <v>0</v>
      </c>
      <c r="G2777" s="3" t="s">
        <v>597</v>
      </c>
      <c r="H2777" s="6">
        <v>44944.93074074074</v>
      </c>
      <c r="I2777" s="3" t="b">
        <v>0</v>
      </c>
      <c r="J2777" s="3" t="b">
        <v>0</v>
      </c>
      <c r="K2777" s="3" t="s">
        <v>597</v>
      </c>
      <c r="L2777" s="3" t="s">
        <v>34</v>
      </c>
      <c r="M2777" s="8">
        <v>89100</v>
      </c>
      <c r="N2777" s="11"/>
      <c r="O2777" s="3" t="s">
        <v>356</v>
      </c>
      <c r="P2777" s="3" t="s">
        <v>1837</v>
      </c>
    </row>
    <row r="2778" spans="1:16" x14ac:dyDescent="0.3">
      <c r="A2778" s="3" t="s">
        <v>181</v>
      </c>
      <c r="B2778" s="3" t="s">
        <v>2645</v>
      </c>
      <c r="C2778" s="3" t="s">
        <v>2646</v>
      </c>
      <c r="D2778" s="3" t="s">
        <v>1194</v>
      </c>
      <c r="E2778" s="3" t="s">
        <v>31</v>
      </c>
      <c r="F2778" s="3" t="b">
        <v>0</v>
      </c>
      <c r="G2778" s="3" t="s">
        <v>140</v>
      </c>
      <c r="H2778" s="6">
        <v>44931.006608796299</v>
      </c>
      <c r="I2778" s="3" t="b">
        <v>0</v>
      </c>
      <c r="J2778" s="3" t="b">
        <v>0</v>
      </c>
      <c r="K2778" s="3" t="s">
        <v>33</v>
      </c>
      <c r="L2778" s="3" t="s">
        <v>34</v>
      </c>
      <c r="M2778" s="8">
        <v>170672</v>
      </c>
      <c r="N2778" s="11"/>
      <c r="O2778" s="3" t="s">
        <v>238</v>
      </c>
      <c r="P2778" s="3" t="s">
        <v>1088</v>
      </c>
    </row>
    <row r="2779" spans="1:16" x14ac:dyDescent="0.3">
      <c r="A2779" s="3" t="s">
        <v>181</v>
      </c>
      <c r="B2779" s="3" t="s">
        <v>235</v>
      </c>
      <c r="C2779" s="3" t="s">
        <v>83</v>
      </c>
      <c r="D2779" s="3" t="s">
        <v>350</v>
      </c>
      <c r="E2779" s="3" t="s">
        <v>31</v>
      </c>
      <c r="F2779" s="3" t="b">
        <v>0</v>
      </c>
      <c r="G2779" s="3" t="s">
        <v>32</v>
      </c>
      <c r="H2779" s="6">
        <v>44937.422430555547</v>
      </c>
      <c r="I2779" s="3" t="b">
        <v>0</v>
      </c>
      <c r="J2779" s="3" t="b">
        <v>0</v>
      </c>
      <c r="K2779" s="3" t="s">
        <v>33</v>
      </c>
      <c r="L2779" s="3" t="s">
        <v>34</v>
      </c>
      <c r="M2779" s="8">
        <v>156596</v>
      </c>
      <c r="N2779" s="11"/>
      <c r="O2779" s="3" t="s">
        <v>238</v>
      </c>
      <c r="P2779" s="3" t="s">
        <v>239</v>
      </c>
    </row>
    <row r="2780" spans="1:16" x14ac:dyDescent="0.3">
      <c r="A2780" s="3" t="s">
        <v>181</v>
      </c>
      <c r="B2780" s="3" t="s">
        <v>2972</v>
      </c>
      <c r="C2780" s="3" t="s">
        <v>2973</v>
      </c>
      <c r="D2780" s="3" t="s">
        <v>41</v>
      </c>
      <c r="E2780" s="3" t="s">
        <v>31</v>
      </c>
      <c r="F2780" s="3" t="b">
        <v>0</v>
      </c>
      <c r="G2780" s="3" t="s">
        <v>2974</v>
      </c>
      <c r="H2780" s="6">
        <v>44953.971122685187</v>
      </c>
      <c r="I2780" s="3" t="b">
        <v>0</v>
      </c>
      <c r="J2780" s="3" t="b">
        <v>0</v>
      </c>
      <c r="K2780" s="3" t="s">
        <v>2974</v>
      </c>
      <c r="L2780" s="3" t="s">
        <v>34</v>
      </c>
      <c r="M2780" s="8">
        <v>147500</v>
      </c>
      <c r="N2780" s="11"/>
      <c r="O2780" s="3" t="s">
        <v>533</v>
      </c>
      <c r="P2780" s="3" t="s">
        <v>1585</v>
      </c>
    </row>
    <row r="2781" spans="1:16" x14ac:dyDescent="0.3">
      <c r="A2781" s="3" t="s">
        <v>181</v>
      </c>
      <c r="B2781" s="3" t="s">
        <v>449</v>
      </c>
      <c r="C2781" s="3" t="s">
        <v>83</v>
      </c>
      <c r="D2781" s="3" t="s">
        <v>627</v>
      </c>
      <c r="E2781" s="3" t="s">
        <v>31</v>
      </c>
      <c r="F2781" s="3" t="b">
        <v>0</v>
      </c>
      <c r="G2781" s="3" t="s">
        <v>64</v>
      </c>
      <c r="H2781" s="6">
        <v>44931.295960648153</v>
      </c>
      <c r="I2781" s="3" t="b">
        <v>0</v>
      </c>
      <c r="J2781" s="3" t="b">
        <v>0</v>
      </c>
      <c r="K2781" s="3" t="s">
        <v>33</v>
      </c>
      <c r="L2781" s="3" t="s">
        <v>34</v>
      </c>
      <c r="M2781" s="8">
        <v>156596</v>
      </c>
      <c r="N2781" s="11"/>
      <c r="O2781" s="3" t="s">
        <v>238</v>
      </c>
      <c r="P2781" s="3" t="s">
        <v>1088</v>
      </c>
    </row>
    <row r="2782" spans="1:16" x14ac:dyDescent="0.3">
      <c r="A2782" s="3" t="s">
        <v>181</v>
      </c>
      <c r="B2782" s="3" t="s">
        <v>181</v>
      </c>
      <c r="C2782" s="3" t="s">
        <v>475</v>
      </c>
      <c r="D2782" s="3" t="s">
        <v>30</v>
      </c>
      <c r="E2782" s="3" t="s">
        <v>31</v>
      </c>
      <c r="F2782" s="3" t="b">
        <v>0</v>
      </c>
      <c r="G2782" s="3" t="s">
        <v>32</v>
      </c>
      <c r="H2782" s="6">
        <v>44937.710127314807</v>
      </c>
      <c r="I2782" s="3" t="b">
        <v>0</v>
      </c>
      <c r="J2782" s="3" t="b">
        <v>0</v>
      </c>
      <c r="K2782" s="3" t="s">
        <v>33</v>
      </c>
      <c r="L2782" s="3" t="s">
        <v>34</v>
      </c>
      <c r="M2782" s="8">
        <v>150000</v>
      </c>
      <c r="N2782" s="11"/>
      <c r="O2782" s="3" t="s">
        <v>3002</v>
      </c>
      <c r="P2782" s="3" t="s">
        <v>3003</v>
      </c>
    </row>
    <row r="2783" spans="1:16" x14ac:dyDescent="0.3">
      <c r="A2783" s="3" t="s">
        <v>181</v>
      </c>
      <c r="B2783" s="3" t="s">
        <v>3009</v>
      </c>
      <c r="C2783" s="3" t="s">
        <v>3010</v>
      </c>
      <c r="D2783" s="3" t="s">
        <v>237</v>
      </c>
      <c r="E2783" s="3" t="s">
        <v>31</v>
      </c>
      <c r="F2783" s="3" t="b">
        <v>0</v>
      </c>
      <c r="G2783" s="3" t="s">
        <v>140</v>
      </c>
      <c r="H2783" s="6">
        <v>44953.687083333331</v>
      </c>
      <c r="I2783" s="3" t="b">
        <v>0</v>
      </c>
      <c r="J2783" s="3" t="b">
        <v>1</v>
      </c>
      <c r="K2783" s="3" t="s">
        <v>33</v>
      </c>
      <c r="L2783" s="3" t="s">
        <v>34</v>
      </c>
      <c r="M2783" s="8">
        <v>170672</v>
      </c>
      <c r="N2783" s="11"/>
      <c r="O2783" s="3" t="s">
        <v>238</v>
      </c>
      <c r="P2783" s="3" t="s">
        <v>3011</v>
      </c>
    </row>
    <row r="2784" spans="1:16" x14ac:dyDescent="0.3">
      <c r="A2784" s="3" t="s">
        <v>181</v>
      </c>
      <c r="B2784" s="3" t="s">
        <v>181</v>
      </c>
      <c r="C2784" s="3" t="s">
        <v>3061</v>
      </c>
      <c r="D2784" s="3" t="s">
        <v>30</v>
      </c>
      <c r="E2784" s="3" t="s">
        <v>31</v>
      </c>
      <c r="F2784" s="3" t="b">
        <v>0</v>
      </c>
      <c r="G2784" s="3" t="s">
        <v>140</v>
      </c>
      <c r="H2784" s="6">
        <v>44945.075254629628</v>
      </c>
      <c r="I2784" s="3" t="b">
        <v>0</v>
      </c>
      <c r="J2784" s="3" t="b">
        <v>0</v>
      </c>
      <c r="K2784" s="3" t="s">
        <v>33</v>
      </c>
      <c r="L2784" s="3" t="s">
        <v>34</v>
      </c>
      <c r="M2784" s="8">
        <v>116500</v>
      </c>
      <c r="N2784" s="11"/>
      <c r="O2784" s="3" t="s">
        <v>589</v>
      </c>
      <c r="P2784" s="3" t="s">
        <v>3062</v>
      </c>
    </row>
    <row r="2785" spans="1:16" x14ac:dyDescent="0.3">
      <c r="A2785" s="3" t="s">
        <v>181</v>
      </c>
      <c r="B2785" s="3" t="s">
        <v>181</v>
      </c>
      <c r="C2785" s="3" t="s">
        <v>504</v>
      </c>
      <c r="D2785" s="3" t="s">
        <v>41</v>
      </c>
      <c r="E2785" s="3" t="s">
        <v>31</v>
      </c>
      <c r="F2785" s="3" t="b">
        <v>0</v>
      </c>
      <c r="G2785" s="3" t="s">
        <v>505</v>
      </c>
      <c r="H2785" s="6">
        <v>44943.639525462961</v>
      </c>
      <c r="I2785" s="3" t="b">
        <v>1</v>
      </c>
      <c r="J2785" s="3" t="b">
        <v>0</v>
      </c>
      <c r="K2785" s="3" t="s">
        <v>505</v>
      </c>
      <c r="L2785" s="3" t="s">
        <v>34</v>
      </c>
      <c r="M2785" s="8">
        <v>147500</v>
      </c>
      <c r="N2785" s="11"/>
      <c r="O2785" s="3" t="s">
        <v>1222</v>
      </c>
      <c r="P2785" s="3" t="s">
        <v>3067</v>
      </c>
    </row>
    <row r="2786" spans="1:16" x14ac:dyDescent="0.3">
      <c r="A2786" s="3" t="s">
        <v>181</v>
      </c>
      <c r="B2786" s="3" t="s">
        <v>3069</v>
      </c>
      <c r="C2786" s="3" t="s">
        <v>87</v>
      </c>
      <c r="D2786" s="3" t="s">
        <v>30</v>
      </c>
      <c r="E2786" s="3" t="s">
        <v>133</v>
      </c>
      <c r="F2786" s="3" t="b">
        <v>1</v>
      </c>
      <c r="G2786" s="3" t="s">
        <v>110</v>
      </c>
      <c r="H2786" s="6">
        <v>44935.650069444448</v>
      </c>
      <c r="I2786" s="3" t="b">
        <v>1</v>
      </c>
      <c r="J2786" s="3" t="b">
        <v>0</v>
      </c>
      <c r="K2786" s="3" t="s">
        <v>110</v>
      </c>
      <c r="L2786" s="3" t="s">
        <v>48</v>
      </c>
      <c r="M2786" s="8"/>
      <c r="N2786" s="11">
        <v>67.5</v>
      </c>
      <c r="O2786" s="3" t="s">
        <v>1894</v>
      </c>
      <c r="P2786" s="3" t="s">
        <v>3070</v>
      </c>
    </row>
    <row r="2787" spans="1:16" x14ac:dyDescent="0.3">
      <c r="A2787" s="3" t="s">
        <v>181</v>
      </c>
      <c r="B2787" s="3" t="s">
        <v>3071</v>
      </c>
      <c r="C2787" s="3" t="s">
        <v>212</v>
      </c>
      <c r="D2787" s="3" t="s">
        <v>41</v>
      </c>
      <c r="E2787" s="3" t="s">
        <v>31</v>
      </c>
      <c r="F2787" s="3" t="b">
        <v>0</v>
      </c>
      <c r="G2787" s="3" t="s">
        <v>213</v>
      </c>
      <c r="H2787" s="6">
        <v>44928.810648148137</v>
      </c>
      <c r="I2787" s="3" t="b">
        <v>0</v>
      </c>
      <c r="J2787" s="3" t="b">
        <v>0</v>
      </c>
      <c r="K2787" s="3" t="s">
        <v>213</v>
      </c>
      <c r="L2787" s="3" t="s">
        <v>34</v>
      </c>
      <c r="M2787" s="8">
        <v>56700</v>
      </c>
      <c r="N2787" s="11"/>
      <c r="O2787" s="3" t="s">
        <v>356</v>
      </c>
      <c r="P2787" s="3"/>
    </row>
    <row r="2788" spans="1:16" x14ac:dyDescent="0.3">
      <c r="A2788" s="3" t="s">
        <v>181</v>
      </c>
      <c r="B2788" s="3" t="s">
        <v>1192</v>
      </c>
      <c r="C2788" s="3" t="s">
        <v>75</v>
      </c>
      <c r="D2788" s="3" t="s">
        <v>93</v>
      </c>
      <c r="E2788" s="3" t="s">
        <v>31</v>
      </c>
      <c r="F2788" s="3" t="b">
        <v>0</v>
      </c>
      <c r="G2788" s="3" t="s">
        <v>32</v>
      </c>
      <c r="H2788" s="6">
        <v>44944.464687500003</v>
      </c>
      <c r="I2788" s="3" t="b">
        <v>0</v>
      </c>
      <c r="J2788" s="3" t="b">
        <v>0</v>
      </c>
      <c r="K2788" s="3" t="s">
        <v>33</v>
      </c>
      <c r="L2788" s="3" t="s">
        <v>34</v>
      </c>
      <c r="M2788" s="8">
        <v>150000</v>
      </c>
      <c r="N2788" s="11"/>
      <c r="O2788" s="3" t="s">
        <v>1084</v>
      </c>
      <c r="P2788" s="3" t="s">
        <v>239</v>
      </c>
    </row>
    <row r="2789" spans="1:16" x14ac:dyDescent="0.3">
      <c r="A2789" s="3" t="s">
        <v>181</v>
      </c>
      <c r="B2789" s="3" t="s">
        <v>3185</v>
      </c>
      <c r="C2789" s="3" t="s">
        <v>3186</v>
      </c>
      <c r="D2789" s="3" t="s">
        <v>1261</v>
      </c>
      <c r="E2789" s="3" t="s">
        <v>31</v>
      </c>
      <c r="F2789" s="3" t="b">
        <v>0</v>
      </c>
      <c r="G2789" s="3" t="s">
        <v>64</v>
      </c>
      <c r="H2789" s="6">
        <v>44928.295555555553</v>
      </c>
      <c r="I2789" s="3" t="b">
        <v>0</v>
      </c>
      <c r="J2789" s="3" t="b">
        <v>1</v>
      </c>
      <c r="K2789" s="3" t="s">
        <v>33</v>
      </c>
      <c r="L2789" s="3" t="s">
        <v>34</v>
      </c>
      <c r="M2789" s="8">
        <v>122470.5</v>
      </c>
      <c r="N2789" s="11"/>
      <c r="O2789" s="3" t="s">
        <v>724</v>
      </c>
      <c r="P2789" s="3" t="s">
        <v>3003</v>
      </c>
    </row>
    <row r="2790" spans="1:16" x14ac:dyDescent="0.3">
      <c r="A2790" s="3" t="s">
        <v>181</v>
      </c>
      <c r="B2790" s="3" t="s">
        <v>181</v>
      </c>
      <c r="C2790" s="3" t="s">
        <v>33</v>
      </c>
      <c r="D2790" s="3" t="s">
        <v>30</v>
      </c>
      <c r="E2790" s="3" t="s">
        <v>31</v>
      </c>
      <c r="F2790" s="3" t="b">
        <v>0</v>
      </c>
      <c r="G2790" s="3" t="s">
        <v>32</v>
      </c>
      <c r="H2790" s="6">
        <v>44951.93273148148</v>
      </c>
      <c r="I2790" s="3" t="b">
        <v>0</v>
      </c>
      <c r="J2790" s="3" t="b">
        <v>0</v>
      </c>
      <c r="K2790" s="3" t="s">
        <v>33</v>
      </c>
      <c r="L2790" s="3" t="s">
        <v>34</v>
      </c>
      <c r="M2790" s="8">
        <v>145000</v>
      </c>
      <c r="N2790" s="11"/>
      <c r="O2790" s="3" t="s">
        <v>284</v>
      </c>
      <c r="P2790" s="3" t="s">
        <v>439</v>
      </c>
    </row>
    <row r="2791" spans="1:16" x14ac:dyDescent="0.3">
      <c r="A2791" s="3" t="s">
        <v>181</v>
      </c>
      <c r="B2791" s="3" t="s">
        <v>181</v>
      </c>
      <c r="C2791" s="3" t="s">
        <v>87</v>
      </c>
      <c r="D2791" s="3" t="s">
        <v>30</v>
      </c>
      <c r="E2791" s="3" t="s">
        <v>31</v>
      </c>
      <c r="F2791" s="3" t="b">
        <v>1</v>
      </c>
      <c r="G2791" s="3" t="s">
        <v>58</v>
      </c>
      <c r="H2791" s="6">
        <v>44946.812858796293</v>
      </c>
      <c r="I2791" s="3" t="b">
        <v>0</v>
      </c>
      <c r="J2791" s="3" t="b">
        <v>0</v>
      </c>
      <c r="K2791" s="3" t="s">
        <v>33</v>
      </c>
      <c r="L2791" s="3" t="s">
        <v>34</v>
      </c>
      <c r="M2791" s="8">
        <v>172500</v>
      </c>
      <c r="N2791" s="11"/>
      <c r="O2791" s="3" t="s">
        <v>344</v>
      </c>
      <c r="P2791" s="3" t="s">
        <v>3231</v>
      </c>
    </row>
    <row r="2792" spans="1:16" x14ac:dyDescent="0.3">
      <c r="A2792" s="3" t="s">
        <v>181</v>
      </c>
      <c r="B2792" s="3" t="s">
        <v>3312</v>
      </c>
      <c r="C2792" s="3" t="s">
        <v>882</v>
      </c>
      <c r="D2792" s="3" t="s">
        <v>30</v>
      </c>
      <c r="E2792" s="3" t="s">
        <v>31</v>
      </c>
      <c r="F2792" s="3" t="b">
        <v>0</v>
      </c>
      <c r="G2792" s="3" t="s">
        <v>58</v>
      </c>
      <c r="H2792" s="6">
        <v>44932.042974537027</v>
      </c>
      <c r="I2792" s="3" t="b">
        <v>0</v>
      </c>
      <c r="J2792" s="3" t="b">
        <v>0</v>
      </c>
      <c r="K2792" s="3" t="s">
        <v>33</v>
      </c>
      <c r="L2792" s="3" t="s">
        <v>34</v>
      </c>
      <c r="M2792" s="8">
        <v>122500</v>
      </c>
      <c r="N2792" s="11"/>
      <c r="O2792" s="3" t="s">
        <v>114</v>
      </c>
      <c r="P2792" s="3" t="s">
        <v>3313</v>
      </c>
    </row>
    <row r="2793" spans="1:16" x14ac:dyDescent="0.3">
      <c r="A2793" s="3" t="s">
        <v>181</v>
      </c>
      <c r="B2793" s="3" t="s">
        <v>181</v>
      </c>
      <c r="C2793" s="3" t="s">
        <v>87</v>
      </c>
      <c r="D2793" s="3" t="s">
        <v>30</v>
      </c>
      <c r="E2793" s="3" t="s">
        <v>31</v>
      </c>
      <c r="F2793" s="3" t="b">
        <v>1</v>
      </c>
      <c r="G2793" s="3" t="s">
        <v>58</v>
      </c>
      <c r="H2793" s="6">
        <v>44930.56826388889</v>
      </c>
      <c r="I2793" s="3" t="b">
        <v>0</v>
      </c>
      <c r="J2793" s="3" t="b">
        <v>0</v>
      </c>
      <c r="K2793" s="3" t="s">
        <v>33</v>
      </c>
      <c r="L2793" s="3" t="s">
        <v>34</v>
      </c>
      <c r="M2793" s="8">
        <v>135000</v>
      </c>
      <c r="N2793" s="11"/>
      <c r="O2793" s="3" t="s">
        <v>3328</v>
      </c>
      <c r="P2793" s="3" t="s">
        <v>3329</v>
      </c>
    </row>
    <row r="2794" spans="1:16" x14ac:dyDescent="0.3">
      <c r="A2794" s="3" t="s">
        <v>181</v>
      </c>
      <c r="B2794" s="3" t="s">
        <v>3348</v>
      </c>
      <c r="C2794" s="3" t="s">
        <v>3349</v>
      </c>
      <c r="D2794" s="3" t="s">
        <v>1194</v>
      </c>
      <c r="E2794" s="3" t="s">
        <v>31</v>
      </c>
      <c r="F2794" s="3" t="b">
        <v>0</v>
      </c>
      <c r="G2794" s="3" t="s">
        <v>84</v>
      </c>
      <c r="H2794" s="6">
        <v>44928.630243055559</v>
      </c>
      <c r="I2794" s="3" t="b">
        <v>1</v>
      </c>
      <c r="J2794" s="3" t="b">
        <v>1</v>
      </c>
      <c r="K2794" s="3" t="s">
        <v>33</v>
      </c>
      <c r="L2794" s="3" t="s">
        <v>34</v>
      </c>
      <c r="M2794" s="8">
        <v>202500</v>
      </c>
      <c r="N2794" s="11"/>
      <c r="O2794" s="3" t="s">
        <v>418</v>
      </c>
      <c r="P2794" s="3" t="s">
        <v>3350</v>
      </c>
    </row>
    <row r="2795" spans="1:16" x14ac:dyDescent="0.3">
      <c r="A2795" s="3" t="s">
        <v>181</v>
      </c>
      <c r="B2795" s="3" t="s">
        <v>3365</v>
      </c>
      <c r="C2795" s="3" t="s">
        <v>164</v>
      </c>
      <c r="D2795" s="3" t="s">
        <v>41</v>
      </c>
      <c r="E2795" s="3" t="s">
        <v>31</v>
      </c>
      <c r="F2795" s="3" t="b">
        <v>0</v>
      </c>
      <c r="G2795" s="3" t="s">
        <v>64</v>
      </c>
      <c r="H2795" s="6">
        <v>44947.463125000002</v>
      </c>
      <c r="I2795" s="3" t="b">
        <v>1</v>
      </c>
      <c r="J2795" s="3" t="b">
        <v>1</v>
      </c>
      <c r="K2795" s="3" t="s">
        <v>33</v>
      </c>
      <c r="L2795" s="3" t="s">
        <v>34</v>
      </c>
      <c r="M2795" s="8">
        <v>157500</v>
      </c>
      <c r="N2795" s="11"/>
      <c r="O2795" s="3" t="s">
        <v>2633</v>
      </c>
      <c r="P2795" s="3" t="s">
        <v>3366</v>
      </c>
    </row>
    <row r="2796" spans="1:16" x14ac:dyDescent="0.3">
      <c r="A2796" s="3" t="s">
        <v>181</v>
      </c>
      <c r="B2796" s="3" t="s">
        <v>3385</v>
      </c>
      <c r="C2796" s="3" t="s">
        <v>3386</v>
      </c>
      <c r="D2796" s="3" t="s">
        <v>41</v>
      </c>
      <c r="E2796" s="3" t="s">
        <v>31</v>
      </c>
      <c r="F2796" s="3" t="b">
        <v>0</v>
      </c>
      <c r="G2796" s="3" t="s">
        <v>69</v>
      </c>
      <c r="H2796" s="6">
        <v>44933.592916666668</v>
      </c>
      <c r="I2796" s="3" t="b">
        <v>1</v>
      </c>
      <c r="J2796" s="3" t="b">
        <v>0</v>
      </c>
      <c r="K2796" s="3" t="s">
        <v>69</v>
      </c>
      <c r="L2796" s="3" t="s">
        <v>34</v>
      </c>
      <c r="M2796" s="8">
        <v>89100</v>
      </c>
      <c r="N2796" s="11"/>
      <c r="O2796" s="3" t="s">
        <v>3387</v>
      </c>
      <c r="P2796" s="3" t="s">
        <v>3388</v>
      </c>
    </row>
    <row r="2797" spans="1:16" x14ac:dyDescent="0.3">
      <c r="A2797" s="3" t="s">
        <v>181</v>
      </c>
      <c r="B2797" s="3" t="s">
        <v>3185</v>
      </c>
      <c r="C2797" s="3" t="s">
        <v>1488</v>
      </c>
      <c r="D2797" s="3" t="s">
        <v>106</v>
      </c>
      <c r="E2797" s="3" t="s">
        <v>31</v>
      </c>
      <c r="F2797" s="3" t="b">
        <v>0</v>
      </c>
      <c r="G2797" s="3" t="s">
        <v>32</v>
      </c>
      <c r="H2797" s="6">
        <v>44928.962638888886</v>
      </c>
      <c r="I2797" s="3" t="b">
        <v>0</v>
      </c>
      <c r="J2797" s="3" t="b">
        <v>1</v>
      </c>
      <c r="K2797" s="3" t="s">
        <v>33</v>
      </c>
      <c r="L2797" s="3" t="s">
        <v>34</v>
      </c>
      <c r="M2797" s="8">
        <v>122470.5</v>
      </c>
      <c r="N2797" s="11"/>
      <c r="O2797" s="3" t="s">
        <v>107</v>
      </c>
      <c r="P2797" s="3" t="s">
        <v>3003</v>
      </c>
    </row>
    <row r="2798" spans="1:16" x14ac:dyDescent="0.3">
      <c r="A2798" s="3" t="s">
        <v>181</v>
      </c>
      <c r="B2798" s="3" t="s">
        <v>3508</v>
      </c>
      <c r="C2798" s="3" t="s">
        <v>1628</v>
      </c>
      <c r="D2798" s="3" t="s">
        <v>41</v>
      </c>
      <c r="E2798" s="3" t="s">
        <v>31</v>
      </c>
      <c r="F2798" s="3" t="b">
        <v>0</v>
      </c>
      <c r="G2798" s="3" t="s">
        <v>88</v>
      </c>
      <c r="H2798" s="6">
        <v>44937.252604166657</v>
      </c>
      <c r="I2798" s="3" t="b">
        <v>0</v>
      </c>
      <c r="J2798" s="3" t="b">
        <v>0</v>
      </c>
      <c r="K2798" s="3" t="s">
        <v>33</v>
      </c>
      <c r="L2798" s="3" t="s">
        <v>34</v>
      </c>
      <c r="M2798" s="8">
        <v>147500</v>
      </c>
      <c r="N2798" s="11"/>
      <c r="O2798" s="3" t="s">
        <v>3509</v>
      </c>
      <c r="P2798" s="3" t="s">
        <v>3510</v>
      </c>
    </row>
    <row r="2799" spans="1:16" x14ac:dyDescent="0.3">
      <c r="A2799" s="3" t="s">
        <v>181</v>
      </c>
      <c r="B2799" s="3" t="s">
        <v>3602</v>
      </c>
      <c r="C2799" s="3" t="s">
        <v>407</v>
      </c>
      <c r="D2799" s="3" t="s">
        <v>41</v>
      </c>
      <c r="E2799" s="3" t="s">
        <v>31</v>
      </c>
      <c r="F2799" s="3" t="b">
        <v>0</v>
      </c>
      <c r="G2799" s="3" t="s">
        <v>407</v>
      </c>
      <c r="H2799" s="6">
        <v>44951.917824074073</v>
      </c>
      <c r="I2799" s="3" t="b">
        <v>0</v>
      </c>
      <c r="J2799" s="3" t="b">
        <v>0</v>
      </c>
      <c r="K2799" s="3" t="s">
        <v>407</v>
      </c>
      <c r="L2799" s="3" t="s">
        <v>34</v>
      </c>
      <c r="M2799" s="8">
        <v>147500</v>
      </c>
      <c r="N2799" s="11"/>
      <c r="O2799" s="3" t="s">
        <v>604</v>
      </c>
      <c r="P2799" s="3" t="s">
        <v>605</v>
      </c>
    </row>
    <row r="2800" spans="1:16" x14ac:dyDescent="0.3">
      <c r="A2800" s="3" t="s">
        <v>181</v>
      </c>
      <c r="B2800" s="3" t="s">
        <v>3628</v>
      </c>
      <c r="C2800" s="3" t="s">
        <v>3386</v>
      </c>
      <c r="D2800" s="3" t="s">
        <v>41</v>
      </c>
      <c r="E2800" s="3" t="s">
        <v>31</v>
      </c>
      <c r="F2800" s="3" t="b">
        <v>0</v>
      </c>
      <c r="G2800" s="3" t="s">
        <v>69</v>
      </c>
      <c r="H2800" s="6">
        <v>44935.679618055547</v>
      </c>
      <c r="I2800" s="3" t="b">
        <v>1</v>
      </c>
      <c r="J2800" s="3" t="b">
        <v>0</v>
      </c>
      <c r="K2800" s="3" t="s">
        <v>69</v>
      </c>
      <c r="L2800" s="3" t="s">
        <v>34</v>
      </c>
      <c r="M2800" s="8">
        <v>89100</v>
      </c>
      <c r="N2800" s="11"/>
      <c r="O2800" s="3" t="s">
        <v>3387</v>
      </c>
      <c r="P2800" s="3" t="s">
        <v>3388</v>
      </c>
    </row>
    <row r="2801" spans="1:16" x14ac:dyDescent="0.3">
      <c r="A2801" s="3" t="s">
        <v>181</v>
      </c>
      <c r="B2801" s="3" t="s">
        <v>181</v>
      </c>
      <c r="C2801" s="3" t="s">
        <v>1001</v>
      </c>
      <c r="D2801" s="3" t="s">
        <v>41</v>
      </c>
      <c r="E2801" s="3" t="s">
        <v>31</v>
      </c>
      <c r="F2801" s="3" t="b">
        <v>0</v>
      </c>
      <c r="G2801" s="3" t="s">
        <v>317</v>
      </c>
      <c r="H2801" s="6">
        <v>44931.028703703712</v>
      </c>
      <c r="I2801" s="3" t="b">
        <v>0</v>
      </c>
      <c r="J2801" s="3" t="b">
        <v>0</v>
      </c>
      <c r="K2801" s="3" t="s">
        <v>317</v>
      </c>
      <c r="L2801" s="3" t="s">
        <v>34</v>
      </c>
      <c r="M2801" s="8">
        <v>147500</v>
      </c>
      <c r="N2801" s="11"/>
      <c r="O2801" s="3" t="s">
        <v>1026</v>
      </c>
      <c r="P2801" s="3" t="s">
        <v>1961</v>
      </c>
    </row>
    <row r="2802" spans="1:16" x14ac:dyDescent="0.3">
      <c r="A2802" s="3" t="s">
        <v>181</v>
      </c>
      <c r="B2802" s="3" t="s">
        <v>181</v>
      </c>
      <c r="C2802" s="3" t="s">
        <v>164</v>
      </c>
      <c r="D2802" s="3" t="s">
        <v>30</v>
      </c>
      <c r="E2802" s="3" t="s">
        <v>31</v>
      </c>
      <c r="F2802" s="3" t="b">
        <v>0</v>
      </c>
      <c r="G2802" s="3" t="s">
        <v>140</v>
      </c>
      <c r="H2802" s="6">
        <v>44949.893229166657</v>
      </c>
      <c r="I2802" s="3" t="b">
        <v>0</v>
      </c>
      <c r="J2802" s="3" t="b">
        <v>0</v>
      </c>
      <c r="K2802" s="3" t="s">
        <v>33</v>
      </c>
      <c r="L2802" s="3" t="s">
        <v>34</v>
      </c>
      <c r="M2802" s="8">
        <v>132500</v>
      </c>
      <c r="N2802" s="11"/>
      <c r="O2802" s="3" t="s">
        <v>284</v>
      </c>
      <c r="P2802" s="3" t="s">
        <v>3692</v>
      </c>
    </row>
    <row r="2803" spans="1:16" x14ac:dyDescent="0.3">
      <c r="A2803" s="3" t="s">
        <v>181</v>
      </c>
      <c r="B2803" s="3" t="s">
        <v>181</v>
      </c>
      <c r="C2803" s="3" t="s">
        <v>33</v>
      </c>
      <c r="D2803" s="3" t="s">
        <v>705</v>
      </c>
      <c r="E2803" s="3" t="s">
        <v>31</v>
      </c>
      <c r="F2803" s="3" t="b">
        <v>0</v>
      </c>
      <c r="G2803" s="3" t="s">
        <v>32</v>
      </c>
      <c r="H2803" s="6">
        <v>44955.588831018518</v>
      </c>
      <c r="I2803" s="3" t="b">
        <v>1</v>
      </c>
      <c r="J2803" s="3" t="b">
        <v>1</v>
      </c>
      <c r="K2803" s="3" t="s">
        <v>33</v>
      </c>
      <c r="L2803" s="3" t="s">
        <v>34</v>
      </c>
      <c r="M2803" s="8">
        <v>185000</v>
      </c>
      <c r="N2803" s="11"/>
      <c r="O2803" s="3" t="s">
        <v>196</v>
      </c>
      <c r="P2803" s="3" t="s">
        <v>3732</v>
      </c>
    </row>
    <row r="2804" spans="1:16" x14ac:dyDescent="0.3">
      <c r="A2804" s="3" t="s">
        <v>181</v>
      </c>
      <c r="B2804" s="3" t="s">
        <v>3787</v>
      </c>
      <c r="C2804" s="3" t="s">
        <v>314</v>
      </c>
      <c r="D2804" s="3" t="s">
        <v>1419</v>
      </c>
      <c r="E2804" s="3" t="s">
        <v>31</v>
      </c>
      <c r="F2804" s="3" t="b">
        <v>0</v>
      </c>
      <c r="G2804" s="3" t="s">
        <v>110</v>
      </c>
      <c r="H2804" s="6">
        <v>44939.015844907408</v>
      </c>
      <c r="I2804" s="3" t="b">
        <v>0</v>
      </c>
      <c r="J2804" s="3" t="b">
        <v>0</v>
      </c>
      <c r="K2804" s="3" t="s">
        <v>110</v>
      </c>
      <c r="L2804" s="3" t="s">
        <v>34</v>
      </c>
      <c r="M2804" s="8">
        <v>170672</v>
      </c>
      <c r="N2804" s="11"/>
      <c r="O2804" s="3" t="s">
        <v>238</v>
      </c>
      <c r="P2804" s="3" t="s">
        <v>3788</v>
      </c>
    </row>
    <row r="2805" spans="1:16" x14ac:dyDescent="0.3">
      <c r="A2805" s="3" t="s">
        <v>181</v>
      </c>
      <c r="B2805" s="3" t="s">
        <v>3823</v>
      </c>
      <c r="C2805" s="3" t="s">
        <v>447</v>
      </c>
      <c r="D2805" s="3" t="s">
        <v>940</v>
      </c>
      <c r="E2805" s="3" t="s">
        <v>31</v>
      </c>
      <c r="F2805" s="3" t="b">
        <v>0</v>
      </c>
      <c r="G2805" s="3" t="s">
        <v>140</v>
      </c>
      <c r="H2805" s="6">
        <v>44936.792210648149</v>
      </c>
      <c r="I2805" s="3" t="b">
        <v>1</v>
      </c>
      <c r="J2805" s="3" t="b">
        <v>1</v>
      </c>
      <c r="K2805" s="3" t="s">
        <v>33</v>
      </c>
      <c r="L2805" s="3" t="s">
        <v>34</v>
      </c>
      <c r="M2805" s="8">
        <v>180000</v>
      </c>
      <c r="N2805" s="11"/>
      <c r="O2805" s="3" t="s">
        <v>1746</v>
      </c>
      <c r="P2805" s="3" t="s">
        <v>3824</v>
      </c>
    </row>
    <row r="2806" spans="1:16" x14ac:dyDescent="0.3">
      <c r="A2806" s="3" t="s">
        <v>181</v>
      </c>
      <c r="B2806" s="3" t="s">
        <v>181</v>
      </c>
      <c r="C2806" s="3" t="s">
        <v>3880</v>
      </c>
      <c r="D2806" s="3" t="s">
        <v>76</v>
      </c>
      <c r="E2806" s="3" t="s">
        <v>31</v>
      </c>
      <c r="F2806" s="3" t="b">
        <v>0</v>
      </c>
      <c r="G2806" s="3" t="s">
        <v>32</v>
      </c>
      <c r="H2806" s="6">
        <v>44927.255659722221</v>
      </c>
      <c r="I2806" s="3" t="b">
        <v>1</v>
      </c>
      <c r="J2806" s="3" t="b">
        <v>1</v>
      </c>
      <c r="K2806" s="3" t="s">
        <v>33</v>
      </c>
      <c r="L2806" s="3" t="s">
        <v>34</v>
      </c>
      <c r="M2806" s="8">
        <v>105000</v>
      </c>
      <c r="N2806" s="11"/>
      <c r="O2806" s="3" t="s">
        <v>80</v>
      </c>
      <c r="P2806" s="3" t="s">
        <v>3881</v>
      </c>
    </row>
    <row r="2807" spans="1:16" x14ac:dyDescent="0.3">
      <c r="A2807" s="3" t="s">
        <v>181</v>
      </c>
      <c r="B2807" s="3" t="s">
        <v>181</v>
      </c>
      <c r="C2807" s="3" t="s">
        <v>3057</v>
      </c>
      <c r="D2807" s="3" t="s">
        <v>93</v>
      </c>
      <c r="E2807" s="3" t="s">
        <v>31</v>
      </c>
      <c r="F2807" s="3" t="b">
        <v>0</v>
      </c>
      <c r="G2807" s="3" t="s">
        <v>317</v>
      </c>
      <c r="H2807" s="6">
        <v>44952.30541666667</v>
      </c>
      <c r="I2807" s="3" t="b">
        <v>0</v>
      </c>
      <c r="J2807" s="3" t="b">
        <v>0</v>
      </c>
      <c r="K2807" s="3" t="s">
        <v>317</v>
      </c>
      <c r="L2807" s="3" t="s">
        <v>34</v>
      </c>
      <c r="M2807" s="8">
        <v>90000</v>
      </c>
      <c r="N2807" s="11"/>
      <c r="O2807" s="3" t="s">
        <v>1873</v>
      </c>
      <c r="P2807" s="3" t="s">
        <v>3895</v>
      </c>
    </row>
    <row r="2808" spans="1:16" x14ac:dyDescent="0.3">
      <c r="A2808" s="3" t="s">
        <v>181</v>
      </c>
      <c r="B2808" s="3" t="s">
        <v>3365</v>
      </c>
      <c r="C2808" s="3" t="s">
        <v>69</v>
      </c>
      <c r="D2808" s="3" t="s">
        <v>41</v>
      </c>
      <c r="E2808" s="3" t="s">
        <v>31</v>
      </c>
      <c r="F2808" s="3" t="b">
        <v>0</v>
      </c>
      <c r="G2808" s="3" t="s">
        <v>69</v>
      </c>
      <c r="H2808" s="6">
        <v>44955.140104166669</v>
      </c>
      <c r="I2808" s="3" t="b">
        <v>1</v>
      </c>
      <c r="J2808" s="3" t="b">
        <v>0</v>
      </c>
      <c r="K2808" s="3" t="s">
        <v>69</v>
      </c>
      <c r="L2808" s="3" t="s">
        <v>34</v>
      </c>
      <c r="M2808" s="8">
        <v>147500</v>
      </c>
      <c r="N2808" s="11"/>
      <c r="O2808" s="3" t="s">
        <v>2633</v>
      </c>
      <c r="P2808" s="3" t="s">
        <v>3984</v>
      </c>
    </row>
    <row r="2809" spans="1:16" x14ac:dyDescent="0.3">
      <c r="A2809" s="3" t="s">
        <v>181</v>
      </c>
      <c r="B2809" s="3" t="s">
        <v>4080</v>
      </c>
      <c r="C2809" s="3" t="s">
        <v>1547</v>
      </c>
      <c r="D2809" s="3" t="s">
        <v>41</v>
      </c>
      <c r="E2809" s="3" t="s">
        <v>31</v>
      </c>
      <c r="F2809" s="3" t="b">
        <v>0</v>
      </c>
      <c r="G2809" s="3" t="s">
        <v>1548</v>
      </c>
      <c r="H2809" s="6">
        <v>44945.142824074072</v>
      </c>
      <c r="I2809" s="3" t="b">
        <v>0</v>
      </c>
      <c r="J2809" s="3" t="b">
        <v>0</v>
      </c>
      <c r="K2809" s="3" t="s">
        <v>1548</v>
      </c>
      <c r="L2809" s="3" t="s">
        <v>34</v>
      </c>
      <c r="M2809" s="8">
        <v>147500</v>
      </c>
      <c r="N2809" s="11"/>
      <c r="O2809" s="3" t="s">
        <v>1549</v>
      </c>
      <c r="P2809" s="3" t="s">
        <v>4081</v>
      </c>
    </row>
    <row r="2810" spans="1:16" x14ac:dyDescent="0.3">
      <c r="A2810" s="3" t="s">
        <v>181</v>
      </c>
      <c r="B2810" s="3" t="s">
        <v>181</v>
      </c>
      <c r="C2810" s="3" t="s">
        <v>2600</v>
      </c>
      <c r="D2810" s="3" t="s">
        <v>41</v>
      </c>
      <c r="E2810" s="3" t="s">
        <v>31</v>
      </c>
      <c r="F2810" s="3" t="b">
        <v>0</v>
      </c>
      <c r="G2810" s="3" t="s">
        <v>1911</v>
      </c>
      <c r="H2810" s="6">
        <v>44951.918981481482</v>
      </c>
      <c r="I2810" s="3" t="b">
        <v>0</v>
      </c>
      <c r="J2810" s="3" t="b">
        <v>0</v>
      </c>
      <c r="K2810" s="3" t="s">
        <v>1911</v>
      </c>
      <c r="L2810" s="3" t="s">
        <v>34</v>
      </c>
      <c r="M2810" s="8">
        <v>147500</v>
      </c>
      <c r="N2810" s="11"/>
      <c r="O2810" s="3" t="s">
        <v>4213</v>
      </c>
      <c r="P2810" s="3" t="s">
        <v>3153</v>
      </c>
    </row>
    <row r="2811" spans="1:16" x14ac:dyDescent="0.3">
      <c r="A2811" s="3" t="s">
        <v>181</v>
      </c>
      <c r="B2811" s="3" t="s">
        <v>181</v>
      </c>
      <c r="C2811" s="3" t="s">
        <v>475</v>
      </c>
      <c r="D2811" s="3" t="s">
        <v>30</v>
      </c>
      <c r="E2811" s="3" t="s">
        <v>133</v>
      </c>
      <c r="F2811" s="3" t="b">
        <v>0</v>
      </c>
      <c r="G2811" s="3" t="s">
        <v>32</v>
      </c>
      <c r="H2811" s="6">
        <v>44937.797372685192</v>
      </c>
      <c r="I2811" s="3" t="b">
        <v>0</v>
      </c>
      <c r="J2811" s="3" t="b">
        <v>0</v>
      </c>
      <c r="K2811" s="3" t="s">
        <v>33</v>
      </c>
      <c r="L2811" s="3" t="s">
        <v>48</v>
      </c>
      <c r="M2811" s="8"/>
      <c r="N2811" s="11">
        <v>73</v>
      </c>
      <c r="O2811" s="3" t="s">
        <v>114</v>
      </c>
      <c r="P2811" s="3" t="s">
        <v>4262</v>
      </c>
    </row>
    <row r="2812" spans="1:16" x14ac:dyDescent="0.3">
      <c r="A2812" s="3" t="s">
        <v>181</v>
      </c>
      <c r="B2812" s="3" t="s">
        <v>181</v>
      </c>
      <c r="C2812" s="3" t="s">
        <v>903</v>
      </c>
      <c r="D2812" s="3" t="s">
        <v>41</v>
      </c>
      <c r="E2812" s="3" t="s">
        <v>31</v>
      </c>
      <c r="F2812" s="3" t="b">
        <v>0</v>
      </c>
      <c r="G2812" s="3" t="s">
        <v>436</v>
      </c>
      <c r="H2812" s="6">
        <v>44948.633263888893</v>
      </c>
      <c r="I2812" s="3" t="b">
        <v>0</v>
      </c>
      <c r="J2812" s="3" t="b">
        <v>0</v>
      </c>
      <c r="K2812" s="3" t="s">
        <v>436</v>
      </c>
      <c r="L2812" s="3" t="s">
        <v>34</v>
      </c>
      <c r="M2812" s="8">
        <v>147500</v>
      </c>
      <c r="N2812" s="11"/>
      <c r="O2812" s="3" t="s">
        <v>310</v>
      </c>
      <c r="P2812" s="3" t="s">
        <v>4310</v>
      </c>
    </row>
    <row r="2813" spans="1:16" x14ac:dyDescent="0.3">
      <c r="A2813" s="3" t="s">
        <v>181</v>
      </c>
      <c r="B2813" s="3" t="s">
        <v>2179</v>
      </c>
      <c r="C2813" s="3" t="s">
        <v>33</v>
      </c>
      <c r="D2813" s="3" t="s">
        <v>106</v>
      </c>
      <c r="E2813" s="3" t="s">
        <v>31</v>
      </c>
      <c r="F2813" s="3" t="b">
        <v>0</v>
      </c>
      <c r="G2813" s="3" t="s">
        <v>110</v>
      </c>
      <c r="H2813" s="6">
        <v>44944.617685185192</v>
      </c>
      <c r="I2813" s="3" t="b">
        <v>0</v>
      </c>
      <c r="J2813" s="3" t="b">
        <v>0</v>
      </c>
      <c r="K2813" s="3" t="s">
        <v>110</v>
      </c>
      <c r="L2813" s="3" t="s">
        <v>34</v>
      </c>
      <c r="M2813" s="8">
        <v>185000</v>
      </c>
      <c r="N2813" s="11"/>
      <c r="O2813" s="3" t="s">
        <v>196</v>
      </c>
      <c r="P2813" s="3" t="s">
        <v>2180</v>
      </c>
    </row>
    <row r="2814" spans="1:16" x14ac:dyDescent="0.3">
      <c r="A2814" s="3" t="s">
        <v>181</v>
      </c>
      <c r="B2814" s="3" t="s">
        <v>4383</v>
      </c>
      <c r="C2814" s="3" t="s">
        <v>2343</v>
      </c>
      <c r="D2814" s="3" t="s">
        <v>41</v>
      </c>
      <c r="E2814" s="3" t="s">
        <v>31</v>
      </c>
      <c r="F2814" s="3" t="b">
        <v>0</v>
      </c>
      <c r="G2814" s="3" t="s">
        <v>32</v>
      </c>
      <c r="H2814" s="6">
        <v>44936.833981481483</v>
      </c>
      <c r="I2814" s="3" t="b">
        <v>1</v>
      </c>
      <c r="J2814" s="3" t="b">
        <v>0</v>
      </c>
      <c r="K2814" s="3" t="s">
        <v>33</v>
      </c>
      <c r="L2814" s="3" t="s">
        <v>34</v>
      </c>
      <c r="M2814" s="8">
        <v>180000</v>
      </c>
      <c r="N2814" s="11"/>
      <c r="O2814" s="3" t="s">
        <v>1746</v>
      </c>
      <c r="P2814" s="3" t="s">
        <v>3824</v>
      </c>
    </row>
    <row r="2815" spans="1:16" x14ac:dyDescent="0.3">
      <c r="A2815" s="3" t="s">
        <v>181</v>
      </c>
      <c r="B2815" s="3" t="s">
        <v>4521</v>
      </c>
      <c r="C2815" s="3" t="s">
        <v>505</v>
      </c>
      <c r="D2815" s="3" t="s">
        <v>2516</v>
      </c>
      <c r="E2815" s="3" t="s">
        <v>31</v>
      </c>
      <c r="F2815" s="3" t="b">
        <v>0</v>
      </c>
      <c r="G2815" s="3" t="s">
        <v>505</v>
      </c>
      <c r="H2815" s="6">
        <v>44956.848356481481</v>
      </c>
      <c r="I2815" s="3" t="b">
        <v>0</v>
      </c>
      <c r="J2815" s="3" t="b">
        <v>0</v>
      </c>
      <c r="K2815" s="3" t="s">
        <v>505</v>
      </c>
      <c r="L2815" s="3" t="s">
        <v>34</v>
      </c>
      <c r="M2815" s="8">
        <v>161160</v>
      </c>
      <c r="N2815" s="11"/>
      <c r="O2815" s="3" t="s">
        <v>356</v>
      </c>
      <c r="P2815" s="3" t="s">
        <v>4522</v>
      </c>
    </row>
    <row r="2816" spans="1:16" x14ac:dyDescent="0.3">
      <c r="A2816" s="3" t="s">
        <v>181</v>
      </c>
      <c r="B2816" s="3" t="s">
        <v>4566</v>
      </c>
      <c r="C2816" s="3" t="s">
        <v>29</v>
      </c>
      <c r="D2816" s="3" t="s">
        <v>41</v>
      </c>
      <c r="E2816" s="3" t="s">
        <v>31</v>
      </c>
      <c r="F2816" s="3" t="b">
        <v>0</v>
      </c>
      <c r="G2816" s="3" t="s">
        <v>32</v>
      </c>
      <c r="H2816" s="6">
        <v>44935.919606481482</v>
      </c>
      <c r="I2816" s="3" t="b">
        <v>0</v>
      </c>
      <c r="J2816" s="3" t="b">
        <v>1</v>
      </c>
      <c r="K2816" s="3" t="s">
        <v>33</v>
      </c>
      <c r="L2816" s="3" t="s">
        <v>34</v>
      </c>
      <c r="M2816" s="8">
        <v>274500</v>
      </c>
      <c r="N2816" s="11"/>
      <c r="O2816" s="3" t="s">
        <v>382</v>
      </c>
      <c r="P2816" s="3" t="s">
        <v>4567</v>
      </c>
    </row>
    <row r="2817" spans="1:16" x14ac:dyDescent="0.3">
      <c r="A2817" s="3" t="s">
        <v>181</v>
      </c>
      <c r="B2817" s="3" t="s">
        <v>4643</v>
      </c>
      <c r="C2817" s="3" t="s">
        <v>2039</v>
      </c>
      <c r="D2817" s="3" t="s">
        <v>30</v>
      </c>
      <c r="E2817" s="3" t="s">
        <v>31</v>
      </c>
      <c r="F2817" s="3" t="b">
        <v>0</v>
      </c>
      <c r="G2817" s="3" t="s">
        <v>651</v>
      </c>
      <c r="H2817" s="6">
        <v>44936.72991898148</v>
      </c>
      <c r="I2817" s="3" t="b">
        <v>1</v>
      </c>
      <c r="J2817" s="3" t="b">
        <v>0</v>
      </c>
      <c r="K2817" s="3" t="s">
        <v>651</v>
      </c>
      <c r="L2817" s="3" t="s">
        <v>34</v>
      </c>
      <c r="M2817" s="8">
        <v>125000</v>
      </c>
      <c r="N2817" s="11"/>
      <c r="O2817" s="3" t="s">
        <v>4644</v>
      </c>
      <c r="P2817" s="3" t="s">
        <v>4645</v>
      </c>
    </row>
    <row r="2818" spans="1:16" x14ac:dyDescent="0.3">
      <c r="A2818" s="3" t="s">
        <v>181</v>
      </c>
      <c r="B2818" s="3" t="s">
        <v>181</v>
      </c>
      <c r="C2818" s="3" t="s">
        <v>2039</v>
      </c>
      <c r="D2818" s="3" t="s">
        <v>41</v>
      </c>
      <c r="E2818" s="3" t="s">
        <v>31</v>
      </c>
      <c r="F2818" s="3" t="b">
        <v>0</v>
      </c>
      <c r="G2818" s="3" t="s">
        <v>651</v>
      </c>
      <c r="H2818" s="6">
        <v>44933.228541666656</v>
      </c>
      <c r="I2818" s="3" t="b">
        <v>1</v>
      </c>
      <c r="J2818" s="3" t="b">
        <v>0</v>
      </c>
      <c r="K2818" s="3" t="s">
        <v>651</v>
      </c>
      <c r="L2818" s="3" t="s">
        <v>34</v>
      </c>
      <c r="M2818" s="8">
        <v>147500</v>
      </c>
      <c r="N2818" s="11"/>
      <c r="O2818" s="3" t="s">
        <v>4736</v>
      </c>
      <c r="P2818" s="3" t="s">
        <v>4737</v>
      </c>
    </row>
    <row r="2819" spans="1:16" x14ac:dyDescent="0.3">
      <c r="A2819" s="3" t="s">
        <v>181</v>
      </c>
      <c r="B2819" s="3" t="s">
        <v>5123</v>
      </c>
      <c r="C2819" s="3" t="s">
        <v>87</v>
      </c>
      <c r="D2819" s="3" t="s">
        <v>5124</v>
      </c>
      <c r="E2819" s="3" t="s">
        <v>31</v>
      </c>
      <c r="F2819" s="3" t="b">
        <v>1</v>
      </c>
      <c r="G2819" s="3" t="s">
        <v>140</v>
      </c>
      <c r="H2819" s="6">
        <v>44957.815115740741</v>
      </c>
      <c r="I2819" s="3" t="b">
        <v>1</v>
      </c>
      <c r="J2819" s="3" t="b">
        <v>0</v>
      </c>
      <c r="K2819" s="3" t="s">
        <v>33</v>
      </c>
      <c r="L2819" s="3" t="s">
        <v>34</v>
      </c>
      <c r="M2819" s="8">
        <v>127500</v>
      </c>
      <c r="N2819" s="11"/>
      <c r="O2819" s="3" t="s">
        <v>5125</v>
      </c>
      <c r="P2819" s="3" t="s">
        <v>5126</v>
      </c>
    </row>
    <row r="2820" spans="1:16" x14ac:dyDescent="0.3">
      <c r="A2820" s="3" t="s">
        <v>181</v>
      </c>
      <c r="B2820" s="3" t="s">
        <v>5135</v>
      </c>
      <c r="C2820" s="3" t="s">
        <v>87</v>
      </c>
      <c r="D2820" s="3" t="s">
        <v>30</v>
      </c>
      <c r="E2820" s="3" t="s">
        <v>133</v>
      </c>
      <c r="F2820" s="3" t="b">
        <v>1</v>
      </c>
      <c r="G2820" s="3" t="s">
        <v>140</v>
      </c>
      <c r="H2820" s="6">
        <v>44957.856863425928</v>
      </c>
      <c r="I2820" s="3" t="b">
        <v>0</v>
      </c>
      <c r="J2820" s="3" t="b">
        <v>0</v>
      </c>
      <c r="K2820" s="3" t="s">
        <v>33</v>
      </c>
      <c r="L2820" s="3" t="s">
        <v>48</v>
      </c>
      <c r="M2820" s="8"/>
      <c r="N2820" s="11">
        <v>105</v>
      </c>
      <c r="O2820" s="3" t="s">
        <v>2782</v>
      </c>
      <c r="P2820" s="3" t="s">
        <v>5136</v>
      </c>
    </row>
    <row r="2821" spans="1:16" x14ac:dyDescent="0.3">
      <c r="A2821" s="3" t="s">
        <v>181</v>
      </c>
      <c r="B2821" s="3" t="s">
        <v>5171</v>
      </c>
      <c r="C2821" s="3" t="s">
        <v>2256</v>
      </c>
      <c r="D2821" s="3" t="s">
        <v>93</v>
      </c>
      <c r="E2821" s="3" t="s">
        <v>31</v>
      </c>
      <c r="F2821" s="3" t="b">
        <v>0</v>
      </c>
      <c r="G2821" s="3" t="s">
        <v>317</v>
      </c>
      <c r="H2821" s="6">
        <v>44946.541365740741</v>
      </c>
      <c r="I2821" s="3" t="b">
        <v>1</v>
      </c>
      <c r="J2821" s="3" t="b">
        <v>0</v>
      </c>
      <c r="K2821" s="3" t="s">
        <v>317</v>
      </c>
      <c r="L2821" s="3" t="s">
        <v>34</v>
      </c>
      <c r="M2821" s="8">
        <v>90000</v>
      </c>
      <c r="N2821" s="11"/>
      <c r="O2821" s="3" t="s">
        <v>5172</v>
      </c>
      <c r="P2821" s="3" t="s">
        <v>5173</v>
      </c>
    </row>
    <row r="2822" spans="1:16" x14ac:dyDescent="0.3">
      <c r="A2822" s="3" t="s">
        <v>181</v>
      </c>
      <c r="B2822" s="3" t="s">
        <v>181</v>
      </c>
      <c r="C2822" s="3" t="s">
        <v>1347</v>
      </c>
      <c r="D2822" s="3" t="s">
        <v>41</v>
      </c>
      <c r="E2822" s="3" t="s">
        <v>31</v>
      </c>
      <c r="F2822" s="3" t="b">
        <v>0</v>
      </c>
      <c r="G2822" s="3" t="s">
        <v>42</v>
      </c>
      <c r="H2822" s="6">
        <v>44950.55265046296</v>
      </c>
      <c r="I2822" s="3" t="b">
        <v>0</v>
      </c>
      <c r="J2822" s="3" t="b">
        <v>0</v>
      </c>
      <c r="K2822" s="3" t="s">
        <v>42</v>
      </c>
      <c r="L2822" s="3" t="s">
        <v>34</v>
      </c>
      <c r="M2822" s="8">
        <v>147500</v>
      </c>
      <c r="N2822" s="11"/>
      <c r="O2822" s="3" t="s">
        <v>5209</v>
      </c>
      <c r="P2822" s="3" t="s">
        <v>5210</v>
      </c>
    </row>
    <row r="2823" spans="1:16" x14ac:dyDescent="0.3">
      <c r="A2823" s="3" t="s">
        <v>181</v>
      </c>
      <c r="B2823" s="3" t="s">
        <v>181</v>
      </c>
      <c r="C2823" s="3" t="s">
        <v>5229</v>
      </c>
      <c r="D2823" s="3" t="s">
        <v>93</v>
      </c>
      <c r="E2823" s="3" t="s">
        <v>31</v>
      </c>
      <c r="F2823" s="3" t="b">
        <v>0</v>
      </c>
      <c r="G2823" s="3" t="s">
        <v>317</v>
      </c>
      <c r="H2823" s="6">
        <v>44936.053888888891</v>
      </c>
      <c r="I2823" s="3" t="b">
        <v>1</v>
      </c>
      <c r="J2823" s="3" t="b">
        <v>0</v>
      </c>
      <c r="K2823" s="3" t="s">
        <v>317</v>
      </c>
      <c r="L2823" s="3" t="s">
        <v>34</v>
      </c>
      <c r="M2823" s="8">
        <v>90000</v>
      </c>
      <c r="N2823" s="11"/>
      <c r="O2823" s="3" t="s">
        <v>196</v>
      </c>
      <c r="P2823" s="3" t="s">
        <v>5230</v>
      </c>
    </row>
    <row r="2824" spans="1:16" x14ac:dyDescent="0.3">
      <c r="A2824" s="3" t="s">
        <v>181</v>
      </c>
      <c r="B2824" s="3" t="s">
        <v>181</v>
      </c>
      <c r="C2824" s="3" t="s">
        <v>2666</v>
      </c>
      <c r="D2824" s="3" t="s">
        <v>30</v>
      </c>
      <c r="E2824" s="3" t="s">
        <v>31</v>
      </c>
      <c r="F2824" s="3" t="b">
        <v>0</v>
      </c>
      <c r="G2824" s="3" t="s">
        <v>317</v>
      </c>
      <c r="H2824" s="6">
        <v>44938.611087962963</v>
      </c>
      <c r="I2824" s="3" t="b">
        <v>0</v>
      </c>
      <c r="J2824" s="3" t="b">
        <v>0</v>
      </c>
      <c r="K2824" s="3" t="s">
        <v>317</v>
      </c>
      <c r="L2824" s="3" t="s">
        <v>34</v>
      </c>
      <c r="M2824" s="8">
        <v>140000</v>
      </c>
      <c r="N2824" s="11"/>
      <c r="O2824" s="3" t="s">
        <v>1764</v>
      </c>
      <c r="P2824" s="3" t="s">
        <v>5238</v>
      </c>
    </row>
    <row r="2825" spans="1:16" x14ac:dyDescent="0.3">
      <c r="A2825" s="3" t="s">
        <v>181</v>
      </c>
      <c r="B2825" s="3" t="s">
        <v>181</v>
      </c>
      <c r="C2825" s="3" t="s">
        <v>2039</v>
      </c>
      <c r="D2825" s="3" t="s">
        <v>41</v>
      </c>
      <c r="E2825" s="3" t="s">
        <v>31</v>
      </c>
      <c r="F2825" s="3" t="b">
        <v>0</v>
      </c>
      <c r="G2825" s="3" t="s">
        <v>651</v>
      </c>
      <c r="H2825" s="6">
        <v>44936.604849537027</v>
      </c>
      <c r="I2825" s="3" t="b">
        <v>1</v>
      </c>
      <c r="J2825" s="3" t="b">
        <v>0</v>
      </c>
      <c r="K2825" s="3" t="s">
        <v>651</v>
      </c>
      <c r="L2825" s="3" t="s">
        <v>34</v>
      </c>
      <c r="M2825" s="8">
        <v>96760.5</v>
      </c>
      <c r="N2825" s="11"/>
      <c r="O2825" s="3" t="s">
        <v>5400</v>
      </c>
      <c r="P2825" s="3" t="s">
        <v>5401</v>
      </c>
    </row>
    <row r="2826" spans="1:16" x14ac:dyDescent="0.3">
      <c r="A2826" s="3" t="s">
        <v>181</v>
      </c>
      <c r="B2826" s="3" t="s">
        <v>4080</v>
      </c>
      <c r="C2826" s="3" t="s">
        <v>1547</v>
      </c>
      <c r="D2826" s="3" t="s">
        <v>41</v>
      </c>
      <c r="E2826" s="3" t="s">
        <v>31</v>
      </c>
      <c r="F2826" s="3" t="b">
        <v>0</v>
      </c>
      <c r="G2826" s="3" t="s">
        <v>1548</v>
      </c>
      <c r="H2826" s="6">
        <v>44953.185486111113</v>
      </c>
      <c r="I2826" s="3" t="b">
        <v>0</v>
      </c>
      <c r="J2826" s="3" t="b">
        <v>0</v>
      </c>
      <c r="K2826" s="3" t="s">
        <v>1548</v>
      </c>
      <c r="L2826" s="3" t="s">
        <v>34</v>
      </c>
      <c r="M2826" s="8">
        <v>147500</v>
      </c>
      <c r="N2826" s="11"/>
      <c r="O2826" s="3" t="s">
        <v>1549</v>
      </c>
      <c r="P2826" s="3" t="s">
        <v>4081</v>
      </c>
    </row>
    <row r="2827" spans="1:16" x14ac:dyDescent="0.3">
      <c r="A2827" s="3" t="s">
        <v>181</v>
      </c>
      <c r="B2827" s="3" t="s">
        <v>181</v>
      </c>
      <c r="C2827" s="3" t="s">
        <v>2215</v>
      </c>
      <c r="D2827" s="3" t="s">
        <v>76</v>
      </c>
      <c r="E2827" s="3" t="s">
        <v>31</v>
      </c>
      <c r="F2827" s="3" t="b">
        <v>0</v>
      </c>
      <c r="G2827" s="3" t="s">
        <v>140</v>
      </c>
      <c r="H2827" s="6">
        <v>44940.364930555559</v>
      </c>
      <c r="I2827" s="3" t="b">
        <v>0</v>
      </c>
      <c r="J2827" s="3" t="b">
        <v>0</v>
      </c>
      <c r="K2827" s="3" t="s">
        <v>33</v>
      </c>
      <c r="L2827" s="3" t="s">
        <v>48</v>
      </c>
      <c r="M2827" s="8"/>
      <c r="N2827" s="11">
        <v>55.389999389648438</v>
      </c>
      <c r="O2827" s="3" t="s">
        <v>5831</v>
      </c>
      <c r="P2827" s="3" t="s">
        <v>5832</v>
      </c>
    </row>
    <row r="2828" spans="1:16" x14ac:dyDescent="0.3">
      <c r="A2828" s="3" t="s">
        <v>181</v>
      </c>
      <c r="B2828" s="3" t="s">
        <v>5850</v>
      </c>
      <c r="C2828" s="3" t="s">
        <v>565</v>
      </c>
      <c r="D2828" s="3" t="s">
        <v>30</v>
      </c>
      <c r="E2828" s="3" t="s">
        <v>133</v>
      </c>
      <c r="F2828" s="3" t="b">
        <v>0</v>
      </c>
      <c r="G2828" s="3" t="s">
        <v>140</v>
      </c>
      <c r="H2828" s="6">
        <v>44937.657557870371</v>
      </c>
      <c r="I2828" s="3" t="b">
        <v>1</v>
      </c>
      <c r="J2828" s="3" t="b">
        <v>0</v>
      </c>
      <c r="K2828" s="3" t="s">
        <v>33</v>
      </c>
      <c r="L2828" s="3" t="s">
        <v>48</v>
      </c>
      <c r="M2828" s="8"/>
      <c r="N2828" s="11">
        <v>70</v>
      </c>
      <c r="O2828" s="3" t="s">
        <v>5851</v>
      </c>
      <c r="P2828" s="3"/>
    </row>
    <row r="2829" spans="1:16" x14ac:dyDescent="0.3">
      <c r="A2829" s="3" t="s">
        <v>181</v>
      </c>
      <c r="B2829" s="3" t="s">
        <v>181</v>
      </c>
      <c r="C2829" s="3" t="s">
        <v>40</v>
      </c>
      <c r="D2829" s="3" t="s">
        <v>41</v>
      </c>
      <c r="E2829" s="3" t="s">
        <v>31</v>
      </c>
      <c r="F2829" s="3" t="b">
        <v>0</v>
      </c>
      <c r="G2829" s="3" t="s">
        <v>42</v>
      </c>
      <c r="H2829" s="6">
        <v>44938.553136574083</v>
      </c>
      <c r="I2829" s="3" t="b">
        <v>0</v>
      </c>
      <c r="J2829" s="3" t="b">
        <v>0</v>
      </c>
      <c r="K2829" s="3" t="s">
        <v>42</v>
      </c>
      <c r="L2829" s="3" t="s">
        <v>34</v>
      </c>
      <c r="M2829" s="8">
        <v>147500</v>
      </c>
      <c r="N2829" s="11"/>
      <c r="O2829" s="3" t="s">
        <v>2137</v>
      </c>
      <c r="P2829" s="3" t="s">
        <v>5999</v>
      </c>
    </row>
    <row r="2830" spans="1:16" x14ac:dyDescent="0.3">
      <c r="A2830" s="3" t="s">
        <v>181</v>
      </c>
      <c r="B2830" s="3" t="s">
        <v>181</v>
      </c>
      <c r="C2830" s="3" t="s">
        <v>79</v>
      </c>
      <c r="D2830" s="3" t="s">
        <v>41</v>
      </c>
      <c r="E2830" s="3" t="s">
        <v>31</v>
      </c>
      <c r="F2830" s="3" t="b">
        <v>0</v>
      </c>
      <c r="G2830" s="3" t="s">
        <v>58</v>
      </c>
      <c r="H2830" s="6">
        <v>44953.376747685194</v>
      </c>
      <c r="I2830" s="3" t="b">
        <v>0</v>
      </c>
      <c r="J2830" s="3" t="b">
        <v>0</v>
      </c>
      <c r="K2830" s="3" t="s">
        <v>33</v>
      </c>
      <c r="L2830" s="3" t="s">
        <v>34</v>
      </c>
      <c r="M2830" s="8">
        <v>147500</v>
      </c>
      <c r="N2830" s="11"/>
      <c r="O2830" s="3" t="s">
        <v>598</v>
      </c>
      <c r="P2830" s="3" t="s">
        <v>6061</v>
      </c>
    </row>
    <row r="2831" spans="1:16" x14ac:dyDescent="0.3">
      <c r="A2831" s="3" t="s">
        <v>181</v>
      </c>
      <c r="B2831" s="3" t="s">
        <v>181</v>
      </c>
      <c r="C2831" s="3" t="s">
        <v>903</v>
      </c>
      <c r="D2831" s="3" t="s">
        <v>41</v>
      </c>
      <c r="E2831" s="3" t="s">
        <v>31</v>
      </c>
      <c r="F2831" s="3" t="b">
        <v>0</v>
      </c>
      <c r="G2831" s="3" t="s">
        <v>436</v>
      </c>
      <c r="H2831" s="6">
        <v>44946.900613425933</v>
      </c>
      <c r="I2831" s="3" t="b">
        <v>0</v>
      </c>
      <c r="J2831" s="3" t="b">
        <v>0</v>
      </c>
      <c r="K2831" s="3" t="s">
        <v>436</v>
      </c>
      <c r="L2831" s="3" t="s">
        <v>34</v>
      </c>
      <c r="M2831" s="8">
        <v>147500</v>
      </c>
      <c r="N2831" s="11"/>
      <c r="O2831" s="3" t="s">
        <v>6206</v>
      </c>
      <c r="P2831" s="3" t="s">
        <v>6207</v>
      </c>
    </row>
    <row r="2832" spans="1:16" x14ac:dyDescent="0.3">
      <c r="A2832" s="3" t="s">
        <v>181</v>
      </c>
      <c r="B2832" s="3" t="s">
        <v>181</v>
      </c>
      <c r="C2832" s="3" t="s">
        <v>435</v>
      </c>
      <c r="D2832" s="3" t="s">
        <v>41</v>
      </c>
      <c r="E2832" s="3" t="s">
        <v>31</v>
      </c>
      <c r="F2832" s="3" t="b">
        <v>0</v>
      </c>
      <c r="G2832" s="3" t="s">
        <v>436</v>
      </c>
      <c r="H2832" s="6">
        <v>44952.158171296287</v>
      </c>
      <c r="I2832" s="3" t="b">
        <v>0</v>
      </c>
      <c r="J2832" s="3" t="b">
        <v>0</v>
      </c>
      <c r="K2832" s="3" t="s">
        <v>436</v>
      </c>
      <c r="L2832" s="3" t="s">
        <v>34</v>
      </c>
      <c r="M2832" s="8">
        <v>147500</v>
      </c>
      <c r="N2832" s="11"/>
      <c r="O2832" s="3" t="s">
        <v>6219</v>
      </c>
      <c r="P2832" s="3" t="s">
        <v>6220</v>
      </c>
    </row>
    <row r="2833" spans="1:16" x14ac:dyDescent="0.3">
      <c r="A2833" s="3" t="s">
        <v>181</v>
      </c>
      <c r="B2833" s="3" t="s">
        <v>181</v>
      </c>
      <c r="C2833" s="3" t="s">
        <v>2666</v>
      </c>
      <c r="D2833" s="3" t="s">
        <v>93</v>
      </c>
      <c r="E2833" s="3" t="s">
        <v>31</v>
      </c>
      <c r="F2833" s="3" t="b">
        <v>0</v>
      </c>
      <c r="G2833" s="3" t="s">
        <v>317</v>
      </c>
      <c r="H2833" s="6">
        <v>44937.272060185183</v>
      </c>
      <c r="I2833" s="3" t="b">
        <v>0</v>
      </c>
      <c r="J2833" s="3" t="b">
        <v>0</v>
      </c>
      <c r="K2833" s="3" t="s">
        <v>317</v>
      </c>
      <c r="L2833" s="3" t="s">
        <v>34</v>
      </c>
      <c r="M2833" s="8">
        <v>150000</v>
      </c>
      <c r="N2833" s="11"/>
      <c r="O2833" s="3" t="s">
        <v>196</v>
      </c>
      <c r="P2833" s="3" t="s">
        <v>6227</v>
      </c>
    </row>
    <row r="2834" spans="1:16" x14ac:dyDescent="0.3">
      <c r="A2834" s="3" t="s">
        <v>72</v>
      </c>
      <c r="B2834" s="3" t="s">
        <v>72</v>
      </c>
      <c r="C2834" s="3" t="s">
        <v>73</v>
      </c>
      <c r="D2834" s="3" t="s">
        <v>53</v>
      </c>
      <c r="E2834" s="3" t="s">
        <v>31</v>
      </c>
      <c r="F2834" s="3" t="b">
        <v>0</v>
      </c>
      <c r="G2834" s="3" t="s">
        <v>32</v>
      </c>
      <c r="H2834" s="6">
        <v>44955.420046296298</v>
      </c>
      <c r="I2834" s="3" t="b">
        <v>0</v>
      </c>
      <c r="J2834" s="3" t="b">
        <v>1</v>
      </c>
      <c r="K2834" s="3" t="s">
        <v>33</v>
      </c>
      <c r="L2834" s="3" t="s">
        <v>34</v>
      </c>
      <c r="M2834" s="8">
        <v>116700</v>
      </c>
      <c r="N2834" s="11"/>
      <c r="O2834" s="3" t="s">
        <v>54</v>
      </c>
      <c r="P2834" s="3" t="s">
        <v>74</v>
      </c>
    </row>
    <row r="2835" spans="1:16" x14ac:dyDescent="0.3">
      <c r="A2835" s="3" t="s">
        <v>72</v>
      </c>
      <c r="B2835" s="3" t="s">
        <v>72</v>
      </c>
      <c r="C2835" s="3" t="s">
        <v>79</v>
      </c>
      <c r="D2835" s="3" t="s">
        <v>76</v>
      </c>
      <c r="E2835" s="3" t="s">
        <v>31</v>
      </c>
      <c r="F2835" s="3" t="b">
        <v>0</v>
      </c>
      <c r="G2835" s="3" t="s">
        <v>58</v>
      </c>
      <c r="H2835" s="6">
        <v>44930.919699074067</v>
      </c>
      <c r="I2835" s="3" t="b">
        <v>0</v>
      </c>
      <c r="J2835" s="3" t="b">
        <v>1</v>
      </c>
      <c r="K2835" s="3" t="s">
        <v>33</v>
      </c>
      <c r="L2835" s="3" t="s">
        <v>34</v>
      </c>
      <c r="M2835" s="8">
        <v>145000</v>
      </c>
      <c r="N2835" s="11"/>
      <c r="O2835" s="3" t="s">
        <v>80</v>
      </c>
      <c r="P2835" s="3" t="s">
        <v>81</v>
      </c>
    </row>
    <row r="2836" spans="1:16" x14ac:dyDescent="0.3">
      <c r="A2836" s="3" t="s">
        <v>72</v>
      </c>
      <c r="B2836" s="3" t="s">
        <v>121</v>
      </c>
      <c r="C2836" s="3" t="s">
        <v>122</v>
      </c>
      <c r="D2836" s="3" t="s">
        <v>123</v>
      </c>
      <c r="E2836" s="3" t="s">
        <v>31</v>
      </c>
      <c r="F2836" s="3" t="b">
        <v>0</v>
      </c>
      <c r="G2836" s="3" t="s">
        <v>32</v>
      </c>
      <c r="H2836" s="6">
        <v>44938.753912037027</v>
      </c>
      <c r="I2836" s="3" t="b">
        <v>0</v>
      </c>
      <c r="J2836" s="3" t="b">
        <v>1</v>
      </c>
      <c r="K2836" s="3" t="s">
        <v>33</v>
      </c>
      <c r="L2836" s="3" t="s">
        <v>34</v>
      </c>
      <c r="M2836" s="8">
        <v>173000</v>
      </c>
      <c r="N2836" s="11"/>
      <c r="O2836" s="3" t="s">
        <v>124</v>
      </c>
      <c r="P2836" s="3"/>
    </row>
    <row r="2837" spans="1:16" x14ac:dyDescent="0.3">
      <c r="A2837" s="3" t="s">
        <v>72</v>
      </c>
      <c r="B2837" s="3" t="s">
        <v>157</v>
      </c>
      <c r="C2837" s="3" t="s">
        <v>87</v>
      </c>
      <c r="D2837" s="3" t="s">
        <v>76</v>
      </c>
      <c r="E2837" s="3" t="s">
        <v>31</v>
      </c>
      <c r="F2837" s="3" t="b">
        <v>1</v>
      </c>
      <c r="G2837" s="3" t="s">
        <v>84</v>
      </c>
      <c r="H2837" s="6">
        <v>44942.904583333337</v>
      </c>
      <c r="I2837" s="3" t="b">
        <v>0</v>
      </c>
      <c r="J2837" s="3" t="b">
        <v>1</v>
      </c>
      <c r="K2837" s="3" t="s">
        <v>33</v>
      </c>
      <c r="L2837" s="3" t="s">
        <v>34</v>
      </c>
      <c r="M2837" s="8">
        <v>135000</v>
      </c>
      <c r="N2837" s="11"/>
      <c r="O2837" s="3" t="s">
        <v>158</v>
      </c>
      <c r="P2837" s="3" t="s">
        <v>159</v>
      </c>
    </row>
    <row r="2838" spans="1:16" x14ac:dyDescent="0.3">
      <c r="A2838" s="3" t="s">
        <v>72</v>
      </c>
      <c r="B2838" s="3" t="s">
        <v>191</v>
      </c>
      <c r="C2838" s="3" t="s">
        <v>192</v>
      </c>
      <c r="D2838" s="3" t="s">
        <v>193</v>
      </c>
      <c r="E2838" s="3" t="s">
        <v>31</v>
      </c>
      <c r="F2838" s="3" t="b">
        <v>0</v>
      </c>
      <c r="G2838" s="3" t="s">
        <v>88</v>
      </c>
      <c r="H2838" s="6">
        <v>44929.98265046296</v>
      </c>
      <c r="I2838" s="3" t="b">
        <v>0</v>
      </c>
      <c r="J2838" s="3" t="b">
        <v>0</v>
      </c>
      <c r="K2838" s="3" t="s">
        <v>33</v>
      </c>
      <c r="L2838" s="3" t="s">
        <v>48</v>
      </c>
      <c r="M2838" s="8"/>
      <c r="N2838" s="11">
        <v>24</v>
      </c>
      <c r="O2838" s="3" t="s">
        <v>194</v>
      </c>
      <c r="P2838" s="3" t="s">
        <v>195</v>
      </c>
    </row>
    <row r="2839" spans="1:16" x14ac:dyDescent="0.3">
      <c r="A2839" s="3" t="s">
        <v>72</v>
      </c>
      <c r="B2839" s="3" t="s">
        <v>72</v>
      </c>
      <c r="C2839" s="3" t="s">
        <v>79</v>
      </c>
      <c r="D2839" s="3" t="s">
        <v>30</v>
      </c>
      <c r="E2839" s="3" t="s">
        <v>31</v>
      </c>
      <c r="F2839" s="3" t="b">
        <v>0</v>
      </c>
      <c r="G2839" s="3" t="s">
        <v>58</v>
      </c>
      <c r="H2839" s="6">
        <v>44937.962083333332</v>
      </c>
      <c r="I2839" s="3" t="b">
        <v>0</v>
      </c>
      <c r="J2839" s="3" t="b">
        <v>1</v>
      </c>
      <c r="K2839" s="3" t="s">
        <v>33</v>
      </c>
      <c r="L2839" s="3" t="s">
        <v>34</v>
      </c>
      <c r="M2839" s="8">
        <v>160000</v>
      </c>
      <c r="N2839" s="11"/>
      <c r="O2839" s="3" t="s">
        <v>299</v>
      </c>
      <c r="P2839" s="3" t="s">
        <v>300</v>
      </c>
    </row>
    <row r="2840" spans="1:16" x14ac:dyDescent="0.3">
      <c r="A2840" s="3" t="s">
        <v>72</v>
      </c>
      <c r="B2840" s="3" t="s">
        <v>72</v>
      </c>
      <c r="C2840" s="3" t="s">
        <v>309</v>
      </c>
      <c r="D2840" s="3" t="s">
        <v>41</v>
      </c>
      <c r="E2840" s="3" t="s">
        <v>31</v>
      </c>
      <c r="F2840" s="3" t="b">
        <v>0</v>
      </c>
      <c r="G2840" s="3" t="s">
        <v>32</v>
      </c>
      <c r="H2840" s="6">
        <v>44932.252789351849</v>
      </c>
      <c r="I2840" s="3" t="b">
        <v>0</v>
      </c>
      <c r="J2840" s="3" t="b">
        <v>1</v>
      </c>
      <c r="K2840" s="3" t="s">
        <v>33</v>
      </c>
      <c r="L2840" s="3" t="s">
        <v>34</v>
      </c>
      <c r="M2840" s="8">
        <v>161000</v>
      </c>
      <c r="N2840" s="11"/>
      <c r="O2840" s="3" t="s">
        <v>310</v>
      </c>
      <c r="P2840" s="3" t="s">
        <v>311</v>
      </c>
    </row>
    <row r="2841" spans="1:16" x14ac:dyDescent="0.3">
      <c r="A2841" s="3" t="s">
        <v>72</v>
      </c>
      <c r="B2841" s="3" t="s">
        <v>72</v>
      </c>
      <c r="C2841" s="3" t="s">
        <v>329</v>
      </c>
      <c r="D2841" s="3" t="s">
        <v>76</v>
      </c>
      <c r="E2841" s="3" t="s">
        <v>31</v>
      </c>
      <c r="F2841" s="3" t="b">
        <v>0</v>
      </c>
      <c r="G2841" s="3" t="s">
        <v>84</v>
      </c>
      <c r="H2841" s="6">
        <v>44932.587152777778</v>
      </c>
      <c r="I2841" s="3" t="b">
        <v>0</v>
      </c>
      <c r="J2841" s="3" t="b">
        <v>1</v>
      </c>
      <c r="K2841" s="3" t="s">
        <v>33</v>
      </c>
      <c r="L2841" s="3" t="s">
        <v>34</v>
      </c>
      <c r="M2841" s="8">
        <v>140000</v>
      </c>
      <c r="N2841" s="11"/>
      <c r="O2841" s="3" t="s">
        <v>330</v>
      </c>
      <c r="P2841" s="3" t="s">
        <v>331</v>
      </c>
    </row>
    <row r="2842" spans="1:16" x14ac:dyDescent="0.3">
      <c r="A2842" s="3" t="s">
        <v>72</v>
      </c>
      <c r="B2842" s="3" t="s">
        <v>341</v>
      </c>
      <c r="C2842" s="3" t="s">
        <v>87</v>
      </c>
      <c r="D2842" s="3" t="s">
        <v>30</v>
      </c>
      <c r="E2842" s="3" t="s">
        <v>31</v>
      </c>
      <c r="F2842" s="3" t="b">
        <v>1</v>
      </c>
      <c r="G2842" s="3" t="s">
        <v>110</v>
      </c>
      <c r="H2842" s="6">
        <v>44936.709907407407</v>
      </c>
      <c r="I2842" s="3" t="b">
        <v>0</v>
      </c>
      <c r="J2842" s="3" t="b">
        <v>0</v>
      </c>
      <c r="K2842" s="3" t="s">
        <v>110</v>
      </c>
      <c r="L2842" s="3" t="s">
        <v>34</v>
      </c>
      <c r="M2842" s="8">
        <v>165000</v>
      </c>
      <c r="N2842" s="11"/>
      <c r="O2842" s="3" t="s">
        <v>196</v>
      </c>
      <c r="P2842" s="3" t="s">
        <v>342</v>
      </c>
    </row>
    <row r="2843" spans="1:16" x14ac:dyDescent="0.3">
      <c r="A2843" s="3" t="s">
        <v>72</v>
      </c>
      <c r="B2843" s="3" t="s">
        <v>392</v>
      </c>
      <c r="C2843" s="3" t="s">
        <v>87</v>
      </c>
      <c r="D2843" s="3" t="s">
        <v>30</v>
      </c>
      <c r="E2843" s="3" t="s">
        <v>31</v>
      </c>
      <c r="F2843" s="3" t="b">
        <v>1</v>
      </c>
      <c r="G2843" s="3" t="s">
        <v>58</v>
      </c>
      <c r="H2843" s="6">
        <v>44944.837997685187</v>
      </c>
      <c r="I2843" s="3" t="b">
        <v>0</v>
      </c>
      <c r="J2843" s="3" t="b">
        <v>0</v>
      </c>
      <c r="K2843" s="3" t="s">
        <v>33</v>
      </c>
      <c r="L2843" s="3" t="s">
        <v>34</v>
      </c>
      <c r="M2843" s="8">
        <v>160000</v>
      </c>
      <c r="N2843" s="11"/>
      <c r="O2843" s="3" t="s">
        <v>393</v>
      </c>
      <c r="P2843" s="3" t="s">
        <v>394</v>
      </c>
    </row>
    <row r="2844" spans="1:16" x14ac:dyDescent="0.3">
      <c r="A2844" s="3" t="s">
        <v>72</v>
      </c>
      <c r="B2844" s="3" t="s">
        <v>72</v>
      </c>
      <c r="C2844" s="3" t="s">
        <v>399</v>
      </c>
      <c r="D2844" s="3" t="s">
        <v>41</v>
      </c>
      <c r="E2844" s="3" t="s">
        <v>31</v>
      </c>
      <c r="F2844" s="3" t="b">
        <v>0</v>
      </c>
      <c r="G2844" s="3" t="s">
        <v>42</v>
      </c>
      <c r="H2844" s="6">
        <v>44939.261481481481</v>
      </c>
      <c r="I2844" s="3" t="b">
        <v>0</v>
      </c>
      <c r="J2844" s="3" t="b">
        <v>0</v>
      </c>
      <c r="K2844" s="3" t="s">
        <v>42</v>
      </c>
      <c r="L2844" s="3" t="s">
        <v>34</v>
      </c>
      <c r="M2844" s="8">
        <v>157500</v>
      </c>
      <c r="N2844" s="11"/>
      <c r="O2844" s="3" t="s">
        <v>400</v>
      </c>
      <c r="P2844" s="3" t="s">
        <v>401</v>
      </c>
    </row>
    <row r="2845" spans="1:16" x14ac:dyDescent="0.3">
      <c r="A2845" s="3" t="s">
        <v>72</v>
      </c>
      <c r="B2845" s="3" t="s">
        <v>432</v>
      </c>
      <c r="C2845" s="3" t="s">
        <v>87</v>
      </c>
      <c r="D2845" s="3" t="s">
        <v>53</v>
      </c>
      <c r="E2845" s="3" t="s">
        <v>133</v>
      </c>
      <c r="F2845" s="3" t="b">
        <v>1</v>
      </c>
      <c r="G2845" s="3" t="s">
        <v>32</v>
      </c>
      <c r="H2845" s="6">
        <v>44933.418576388889</v>
      </c>
      <c r="I2845" s="3" t="b">
        <v>0</v>
      </c>
      <c r="J2845" s="3" t="b">
        <v>0</v>
      </c>
      <c r="K2845" s="3" t="s">
        <v>33</v>
      </c>
      <c r="L2845" s="3" t="s">
        <v>48</v>
      </c>
      <c r="M2845" s="8"/>
      <c r="N2845" s="11">
        <v>90</v>
      </c>
      <c r="O2845" s="3" t="s">
        <v>196</v>
      </c>
      <c r="P2845" s="3" t="s">
        <v>433</v>
      </c>
    </row>
    <row r="2846" spans="1:16" x14ac:dyDescent="0.3">
      <c r="A2846" s="3" t="s">
        <v>72</v>
      </c>
      <c r="B2846" s="3" t="s">
        <v>72</v>
      </c>
      <c r="C2846" s="3" t="s">
        <v>447</v>
      </c>
      <c r="D2846" s="3" t="s">
        <v>220</v>
      </c>
      <c r="E2846" s="3" t="s">
        <v>31</v>
      </c>
      <c r="F2846" s="3" t="b">
        <v>0</v>
      </c>
      <c r="G2846" s="3" t="s">
        <v>32</v>
      </c>
      <c r="H2846" s="6">
        <v>44929.168680555558</v>
      </c>
      <c r="I2846" s="3" t="b">
        <v>0</v>
      </c>
      <c r="J2846" s="3" t="b">
        <v>1</v>
      </c>
      <c r="K2846" s="3" t="s">
        <v>33</v>
      </c>
      <c r="L2846" s="3" t="s">
        <v>34</v>
      </c>
      <c r="M2846" s="8">
        <v>145000</v>
      </c>
      <c r="N2846" s="11"/>
      <c r="O2846" s="3" t="s">
        <v>80</v>
      </c>
      <c r="P2846" s="3" t="s">
        <v>448</v>
      </c>
    </row>
    <row r="2847" spans="1:16" x14ac:dyDescent="0.3">
      <c r="A2847" s="3" t="s">
        <v>72</v>
      </c>
      <c r="B2847" s="3" t="s">
        <v>451</v>
      </c>
      <c r="C2847" s="3" t="s">
        <v>87</v>
      </c>
      <c r="D2847" s="3" t="s">
        <v>30</v>
      </c>
      <c r="E2847" s="3" t="s">
        <v>31</v>
      </c>
      <c r="F2847" s="3" t="b">
        <v>1</v>
      </c>
      <c r="G2847" s="3" t="s">
        <v>84</v>
      </c>
      <c r="H2847" s="6">
        <v>44952.421400462961</v>
      </c>
      <c r="I2847" s="3" t="b">
        <v>0</v>
      </c>
      <c r="J2847" s="3" t="b">
        <v>0</v>
      </c>
      <c r="K2847" s="3" t="s">
        <v>33</v>
      </c>
      <c r="L2847" s="3" t="s">
        <v>34</v>
      </c>
      <c r="M2847" s="8">
        <v>225000</v>
      </c>
      <c r="N2847" s="11"/>
      <c r="O2847" s="3" t="s">
        <v>452</v>
      </c>
      <c r="P2847" s="3" t="s">
        <v>453</v>
      </c>
    </row>
    <row r="2848" spans="1:16" x14ac:dyDescent="0.3">
      <c r="A2848" s="3" t="s">
        <v>72</v>
      </c>
      <c r="B2848" s="3" t="s">
        <v>500</v>
      </c>
      <c r="C2848" s="3" t="s">
        <v>314</v>
      </c>
      <c r="D2848" s="3" t="s">
        <v>370</v>
      </c>
      <c r="E2848" s="3" t="s">
        <v>31</v>
      </c>
      <c r="F2848" s="3" t="b">
        <v>0</v>
      </c>
      <c r="G2848" s="3" t="s">
        <v>64</v>
      </c>
      <c r="H2848" s="6">
        <v>44928.50167824074</v>
      </c>
      <c r="I2848" s="3" t="b">
        <v>0</v>
      </c>
      <c r="J2848" s="3" t="b">
        <v>0</v>
      </c>
      <c r="K2848" s="3" t="s">
        <v>33</v>
      </c>
      <c r="L2848" s="3" t="s">
        <v>34</v>
      </c>
      <c r="M2848" s="8">
        <v>222589</v>
      </c>
      <c r="N2848" s="11"/>
      <c r="O2848" s="3" t="s">
        <v>238</v>
      </c>
      <c r="P2848" s="3" t="s">
        <v>501</v>
      </c>
    </row>
    <row r="2849" spans="1:16" x14ac:dyDescent="0.3">
      <c r="A2849" s="3" t="s">
        <v>72</v>
      </c>
      <c r="B2849" s="3" t="s">
        <v>72</v>
      </c>
      <c r="C2849" s="3" t="s">
        <v>87</v>
      </c>
      <c r="D2849" s="3" t="s">
        <v>30</v>
      </c>
      <c r="E2849" s="3" t="s">
        <v>31</v>
      </c>
      <c r="F2849" s="3" t="b">
        <v>1</v>
      </c>
      <c r="G2849" s="3" t="s">
        <v>110</v>
      </c>
      <c r="H2849" s="6">
        <v>44939.599131944437</v>
      </c>
      <c r="I2849" s="3" t="b">
        <v>0</v>
      </c>
      <c r="J2849" s="3" t="b">
        <v>1</v>
      </c>
      <c r="K2849" s="3" t="s">
        <v>110</v>
      </c>
      <c r="L2849" s="3" t="s">
        <v>34</v>
      </c>
      <c r="M2849" s="8">
        <v>200000</v>
      </c>
      <c r="N2849" s="11"/>
      <c r="O2849" s="3" t="s">
        <v>507</v>
      </c>
      <c r="P2849" s="3"/>
    </row>
    <row r="2850" spans="1:16" x14ac:dyDescent="0.3">
      <c r="A2850" s="3" t="s">
        <v>72</v>
      </c>
      <c r="B2850" s="3" t="s">
        <v>72</v>
      </c>
      <c r="C2850" s="3" t="s">
        <v>549</v>
      </c>
      <c r="D2850" s="3" t="s">
        <v>93</v>
      </c>
      <c r="E2850" s="3" t="s">
        <v>31</v>
      </c>
      <c r="F2850" s="3" t="b">
        <v>0</v>
      </c>
      <c r="G2850" s="3" t="s">
        <v>140</v>
      </c>
      <c r="H2850" s="6">
        <v>44938.514120370368</v>
      </c>
      <c r="I2850" s="3" t="b">
        <v>0</v>
      </c>
      <c r="J2850" s="3" t="b">
        <v>1</v>
      </c>
      <c r="K2850" s="3" t="s">
        <v>33</v>
      </c>
      <c r="L2850" s="3" t="s">
        <v>34</v>
      </c>
      <c r="M2850" s="8">
        <v>375000</v>
      </c>
      <c r="N2850" s="11"/>
      <c r="O2850" s="3" t="s">
        <v>550</v>
      </c>
      <c r="P2850" s="3" t="s">
        <v>551</v>
      </c>
    </row>
    <row r="2851" spans="1:16" x14ac:dyDescent="0.3">
      <c r="A2851" s="3" t="s">
        <v>72</v>
      </c>
      <c r="B2851" s="3" t="s">
        <v>558</v>
      </c>
      <c r="C2851" s="3" t="s">
        <v>87</v>
      </c>
      <c r="D2851" s="3" t="s">
        <v>30</v>
      </c>
      <c r="E2851" s="3" t="s">
        <v>31</v>
      </c>
      <c r="F2851" s="3" t="b">
        <v>1</v>
      </c>
      <c r="G2851" s="3" t="s">
        <v>84</v>
      </c>
      <c r="H2851" s="6">
        <v>44952.754849537043</v>
      </c>
      <c r="I2851" s="3" t="b">
        <v>0</v>
      </c>
      <c r="J2851" s="3" t="b">
        <v>0</v>
      </c>
      <c r="K2851" s="3" t="s">
        <v>33</v>
      </c>
      <c r="L2851" s="3" t="s">
        <v>34</v>
      </c>
      <c r="M2851" s="8">
        <v>315000</v>
      </c>
      <c r="N2851" s="11"/>
      <c r="O2851" s="3" t="s">
        <v>559</v>
      </c>
      <c r="P2851" s="3"/>
    </row>
    <row r="2852" spans="1:16" x14ac:dyDescent="0.3">
      <c r="A2852" s="3" t="s">
        <v>72</v>
      </c>
      <c r="B2852" s="3" t="s">
        <v>577</v>
      </c>
      <c r="C2852" s="3" t="s">
        <v>578</v>
      </c>
      <c r="D2852" s="3" t="s">
        <v>41</v>
      </c>
      <c r="E2852" s="3" t="s">
        <v>31</v>
      </c>
      <c r="F2852" s="3" t="b">
        <v>0</v>
      </c>
      <c r="G2852" s="3" t="s">
        <v>505</v>
      </c>
      <c r="H2852" s="6">
        <v>44940.05777777778</v>
      </c>
      <c r="I2852" s="3" t="b">
        <v>0</v>
      </c>
      <c r="J2852" s="3" t="b">
        <v>0</v>
      </c>
      <c r="K2852" s="3" t="s">
        <v>505</v>
      </c>
      <c r="L2852" s="3" t="s">
        <v>34</v>
      </c>
      <c r="M2852" s="8">
        <v>79200</v>
      </c>
      <c r="N2852" s="11"/>
      <c r="O2852" s="3" t="s">
        <v>579</v>
      </c>
      <c r="P2852" s="3" t="s">
        <v>580</v>
      </c>
    </row>
    <row r="2853" spans="1:16" x14ac:dyDescent="0.3">
      <c r="A2853" s="3" t="s">
        <v>72</v>
      </c>
      <c r="B2853" s="3" t="s">
        <v>640</v>
      </c>
      <c r="C2853" s="3" t="s">
        <v>641</v>
      </c>
      <c r="D2853" s="3" t="s">
        <v>93</v>
      </c>
      <c r="E2853" s="3" t="s">
        <v>31</v>
      </c>
      <c r="F2853" s="3" t="b">
        <v>0</v>
      </c>
      <c r="G2853" s="3" t="s">
        <v>88</v>
      </c>
      <c r="H2853" s="6">
        <v>44945.263194444437</v>
      </c>
      <c r="I2853" s="3" t="b">
        <v>0</v>
      </c>
      <c r="J2853" s="3" t="b">
        <v>0</v>
      </c>
      <c r="K2853" s="3" t="s">
        <v>33</v>
      </c>
      <c r="L2853" s="3" t="s">
        <v>34</v>
      </c>
      <c r="M2853" s="8">
        <v>150000</v>
      </c>
      <c r="N2853" s="11"/>
      <c r="O2853" s="3" t="s">
        <v>267</v>
      </c>
      <c r="P2853" s="3" t="s">
        <v>642</v>
      </c>
    </row>
    <row r="2854" spans="1:16" x14ac:dyDescent="0.3">
      <c r="A2854" s="3" t="s">
        <v>72</v>
      </c>
      <c r="B2854" s="3" t="s">
        <v>72</v>
      </c>
      <c r="C2854" s="3" t="s">
        <v>164</v>
      </c>
      <c r="D2854" s="3" t="s">
        <v>53</v>
      </c>
      <c r="E2854" s="3" t="s">
        <v>31</v>
      </c>
      <c r="F2854" s="3" t="b">
        <v>0</v>
      </c>
      <c r="G2854" s="3" t="s">
        <v>64</v>
      </c>
      <c r="H2854" s="6">
        <v>44935.460543981477</v>
      </c>
      <c r="I2854" s="3" t="b">
        <v>0</v>
      </c>
      <c r="J2854" s="3" t="b">
        <v>0</v>
      </c>
      <c r="K2854" s="3" t="s">
        <v>33</v>
      </c>
      <c r="L2854" s="3" t="s">
        <v>34</v>
      </c>
      <c r="M2854" s="8">
        <v>157500</v>
      </c>
      <c r="N2854" s="11"/>
      <c r="O2854" s="3" t="s">
        <v>662</v>
      </c>
      <c r="P2854" s="3"/>
    </row>
    <row r="2855" spans="1:16" x14ac:dyDescent="0.3">
      <c r="A2855" s="3" t="s">
        <v>72</v>
      </c>
      <c r="B2855" s="3" t="s">
        <v>685</v>
      </c>
      <c r="C2855" s="3" t="s">
        <v>87</v>
      </c>
      <c r="D2855" s="3" t="s">
        <v>30</v>
      </c>
      <c r="E2855" s="3" t="s">
        <v>31</v>
      </c>
      <c r="F2855" s="3" t="b">
        <v>1</v>
      </c>
      <c r="G2855" s="3" t="s">
        <v>58</v>
      </c>
      <c r="H2855" s="6">
        <v>44944.83803240741</v>
      </c>
      <c r="I2855" s="3" t="b">
        <v>0</v>
      </c>
      <c r="J2855" s="3" t="b">
        <v>0</v>
      </c>
      <c r="K2855" s="3" t="s">
        <v>33</v>
      </c>
      <c r="L2855" s="3" t="s">
        <v>34</v>
      </c>
      <c r="M2855" s="8">
        <v>115000</v>
      </c>
      <c r="N2855" s="11"/>
      <c r="O2855" s="3" t="s">
        <v>686</v>
      </c>
      <c r="P2855" s="3" t="s">
        <v>687</v>
      </c>
    </row>
    <row r="2856" spans="1:16" x14ac:dyDescent="0.3">
      <c r="A2856" s="3" t="s">
        <v>72</v>
      </c>
      <c r="B2856" s="3" t="s">
        <v>692</v>
      </c>
      <c r="C2856" s="3" t="s">
        <v>693</v>
      </c>
      <c r="D2856" s="3" t="s">
        <v>41</v>
      </c>
      <c r="E2856" s="3" t="s">
        <v>31</v>
      </c>
      <c r="F2856" s="3" t="b">
        <v>0</v>
      </c>
      <c r="G2856" s="3" t="s">
        <v>651</v>
      </c>
      <c r="H2856" s="6">
        <v>44937.885567129633</v>
      </c>
      <c r="I2856" s="3" t="b">
        <v>0</v>
      </c>
      <c r="J2856" s="3" t="b">
        <v>0</v>
      </c>
      <c r="K2856" s="3" t="s">
        <v>651</v>
      </c>
      <c r="L2856" s="3" t="s">
        <v>34</v>
      </c>
      <c r="M2856" s="8">
        <v>130500</v>
      </c>
      <c r="N2856" s="11"/>
      <c r="O2856" s="3" t="s">
        <v>694</v>
      </c>
      <c r="P2856" s="3" t="s">
        <v>695</v>
      </c>
    </row>
    <row r="2857" spans="1:16" x14ac:dyDescent="0.3">
      <c r="A2857" s="3" t="s">
        <v>72</v>
      </c>
      <c r="B2857" s="3" t="s">
        <v>701</v>
      </c>
      <c r="C2857" s="3" t="s">
        <v>702</v>
      </c>
      <c r="D2857" s="3" t="s">
        <v>93</v>
      </c>
      <c r="E2857" s="3" t="s">
        <v>31</v>
      </c>
      <c r="F2857" s="3" t="b">
        <v>0</v>
      </c>
      <c r="G2857" s="3" t="s">
        <v>64</v>
      </c>
      <c r="H2857" s="6">
        <v>44942.305300925917</v>
      </c>
      <c r="I2857" s="3" t="b">
        <v>0</v>
      </c>
      <c r="J2857" s="3" t="b">
        <v>0</v>
      </c>
      <c r="K2857" s="3" t="s">
        <v>33</v>
      </c>
      <c r="L2857" s="3" t="s">
        <v>34</v>
      </c>
      <c r="M2857" s="8">
        <v>90000</v>
      </c>
      <c r="N2857" s="11"/>
      <c r="O2857" s="3" t="s">
        <v>703</v>
      </c>
      <c r="P2857" s="3" t="s">
        <v>704</v>
      </c>
    </row>
    <row r="2858" spans="1:16" x14ac:dyDescent="0.3">
      <c r="A2858" s="3" t="s">
        <v>72</v>
      </c>
      <c r="B2858" s="3" t="s">
        <v>711</v>
      </c>
      <c r="C2858" s="3" t="s">
        <v>164</v>
      </c>
      <c r="D2858" s="3" t="s">
        <v>712</v>
      </c>
      <c r="E2858" s="3" t="s">
        <v>31</v>
      </c>
      <c r="F2858" s="3" t="b">
        <v>0</v>
      </c>
      <c r="G2858" s="3" t="s">
        <v>64</v>
      </c>
      <c r="H2858" s="6">
        <v>44947.962754629632</v>
      </c>
      <c r="I2858" s="3" t="b">
        <v>0</v>
      </c>
      <c r="J2858" s="3" t="b">
        <v>1</v>
      </c>
      <c r="K2858" s="3" t="s">
        <v>33</v>
      </c>
      <c r="L2858" s="3" t="s">
        <v>34</v>
      </c>
      <c r="M2858" s="8">
        <v>202000</v>
      </c>
      <c r="N2858" s="11"/>
      <c r="O2858" s="3" t="s">
        <v>713</v>
      </c>
      <c r="P2858" s="3" t="s">
        <v>714</v>
      </c>
    </row>
    <row r="2859" spans="1:16" x14ac:dyDescent="0.3">
      <c r="A2859" s="3" t="s">
        <v>72</v>
      </c>
      <c r="B2859" s="3" t="s">
        <v>72</v>
      </c>
      <c r="C2859" s="3" t="s">
        <v>87</v>
      </c>
      <c r="D2859" s="3" t="s">
        <v>76</v>
      </c>
      <c r="E2859" s="3" t="s">
        <v>31</v>
      </c>
      <c r="F2859" s="3" t="b">
        <v>1</v>
      </c>
      <c r="G2859" s="3" t="s">
        <v>58</v>
      </c>
      <c r="H2859" s="6">
        <v>44931.586261574077</v>
      </c>
      <c r="I2859" s="3" t="b">
        <v>0</v>
      </c>
      <c r="J2859" s="3" t="b">
        <v>1</v>
      </c>
      <c r="K2859" s="3" t="s">
        <v>33</v>
      </c>
      <c r="L2859" s="3" t="s">
        <v>34</v>
      </c>
      <c r="M2859" s="8">
        <v>58500</v>
      </c>
      <c r="N2859" s="11"/>
      <c r="O2859" s="3" t="s">
        <v>747</v>
      </c>
      <c r="P2859" s="3" t="s">
        <v>748</v>
      </c>
    </row>
    <row r="2860" spans="1:16" x14ac:dyDescent="0.3">
      <c r="A2860" s="3" t="s">
        <v>72</v>
      </c>
      <c r="B2860" s="3" t="s">
        <v>749</v>
      </c>
      <c r="C2860" s="3" t="s">
        <v>87</v>
      </c>
      <c r="D2860" s="3" t="s">
        <v>30</v>
      </c>
      <c r="E2860" s="3" t="s">
        <v>31</v>
      </c>
      <c r="F2860" s="3" t="b">
        <v>1</v>
      </c>
      <c r="G2860" s="3" t="s">
        <v>64</v>
      </c>
      <c r="H2860" s="6">
        <v>44944.336944444447</v>
      </c>
      <c r="I2860" s="3" t="b">
        <v>0</v>
      </c>
      <c r="J2860" s="3" t="b">
        <v>1</v>
      </c>
      <c r="K2860" s="3" t="s">
        <v>33</v>
      </c>
      <c r="L2860" s="3" t="s">
        <v>34</v>
      </c>
      <c r="M2860" s="8">
        <v>172500</v>
      </c>
      <c r="N2860" s="11"/>
      <c r="O2860" s="3" t="s">
        <v>158</v>
      </c>
      <c r="P2860" s="3" t="s">
        <v>750</v>
      </c>
    </row>
    <row r="2861" spans="1:16" x14ac:dyDescent="0.3">
      <c r="A2861" s="3" t="s">
        <v>72</v>
      </c>
      <c r="B2861" s="3" t="s">
        <v>72</v>
      </c>
      <c r="C2861" s="3" t="s">
        <v>33</v>
      </c>
      <c r="D2861" s="3" t="s">
        <v>627</v>
      </c>
      <c r="E2861" s="3" t="s">
        <v>31</v>
      </c>
      <c r="F2861" s="3" t="b">
        <v>0</v>
      </c>
      <c r="G2861" s="3" t="s">
        <v>110</v>
      </c>
      <c r="H2861" s="6">
        <v>44930.539768518523</v>
      </c>
      <c r="I2861" s="3" t="b">
        <v>0</v>
      </c>
      <c r="J2861" s="3" t="b">
        <v>1</v>
      </c>
      <c r="K2861" s="3" t="s">
        <v>110</v>
      </c>
      <c r="L2861" s="3" t="s">
        <v>34</v>
      </c>
      <c r="M2861" s="8">
        <v>140000</v>
      </c>
      <c r="N2861" s="11"/>
      <c r="O2861" s="3" t="s">
        <v>196</v>
      </c>
      <c r="P2861" s="3" t="s">
        <v>841</v>
      </c>
    </row>
    <row r="2862" spans="1:16" x14ac:dyDescent="0.3">
      <c r="A2862" s="3" t="s">
        <v>72</v>
      </c>
      <c r="B2862" s="3" t="s">
        <v>881</v>
      </c>
      <c r="C2862" s="3" t="s">
        <v>882</v>
      </c>
      <c r="D2862" s="3" t="s">
        <v>76</v>
      </c>
      <c r="E2862" s="3" t="s">
        <v>31</v>
      </c>
      <c r="F2862" s="3" t="b">
        <v>0</v>
      </c>
      <c r="G2862" s="3" t="s">
        <v>110</v>
      </c>
      <c r="H2862" s="6">
        <v>44930.664826388893</v>
      </c>
      <c r="I2862" s="3" t="b">
        <v>0</v>
      </c>
      <c r="J2862" s="3" t="b">
        <v>1</v>
      </c>
      <c r="K2862" s="3" t="s">
        <v>110</v>
      </c>
      <c r="L2862" s="3" t="s">
        <v>34</v>
      </c>
      <c r="M2862" s="8">
        <v>127000</v>
      </c>
      <c r="N2862" s="11"/>
      <c r="O2862" s="3" t="s">
        <v>883</v>
      </c>
      <c r="P2862" s="3" t="s">
        <v>884</v>
      </c>
    </row>
    <row r="2863" spans="1:16" x14ac:dyDescent="0.3">
      <c r="A2863" s="3" t="s">
        <v>72</v>
      </c>
      <c r="B2863" s="3" t="s">
        <v>895</v>
      </c>
      <c r="C2863" s="3" t="s">
        <v>896</v>
      </c>
      <c r="D2863" s="3" t="s">
        <v>41</v>
      </c>
      <c r="E2863" s="3" t="s">
        <v>31</v>
      </c>
      <c r="F2863" s="3" t="b">
        <v>0</v>
      </c>
      <c r="G2863" s="3" t="s">
        <v>897</v>
      </c>
      <c r="H2863" s="6">
        <v>44930.125486111108</v>
      </c>
      <c r="I2863" s="3" t="b">
        <v>1</v>
      </c>
      <c r="J2863" s="3" t="b">
        <v>0</v>
      </c>
      <c r="K2863" s="3" t="s">
        <v>897</v>
      </c>
      <c r="L2863" s="3" t="s">
        <v>34</v>
      </c>
      <c r="M2863" s="8">
        <v>79200</v>
      </c>
      <c r="N2863" s="11"/>
      <c r="O2863" s="3" t="s">
        <v>898</v>
      </c>
      <c r="P2863" s="3" t="s">
        <v>899</v>
      </c>
    </row>
    <row r="2864" spans="1:16" x14ac:dyDescent="0.3">
      <c r="A2864" s="3" t="s">
        <v>72</v>
      </c>
      <c r="B2864" s="3" t="s">
        <v>959</v>
      </c>
      <c r="C2864" s="3" t="s">
        <v>960</v>
      </c>
      <c r="D2864" s="3" t="s">
        <v>41</v>
      </c>
      <c r="E2864" s="3" t="s">
        <v>31</v>
      </c>
      <c r="F2864" s="3" t="b">
        <v>0</v>
      </c>
      <c r="G2864" s="3" t="s">
        <v>961</v>
      </c>
      <c r="H2864" s="6">
        <v>44952.438483796293</v>
      </c>
      <c r="I2864" s="3" t="b">
        <v>0</v>
      </c>
      <c r="J2864" s="3" t="b">
        <v>0</v>
      </c>
      <c r="K2864" s="3" t="s">
        <v>961</v>
      </c>
      <c r="L2864" s="3" t="s">
        <v>34</v>
      </c>
      <c r="M2864" s="8">
        <v>72900</v>
      </c>
      <c r="N2864" s="11"/>
      <c r="O2864" s="3" t="s">
        <v>962</v>
      </c>
      <c r="P2864" s="3" t="s">
        <v>963</v>
      </c>
    </row>
    <row r="2865" spans="1:16" x14ac:dyDescent="0.3">
      <c r="A2865" s="3" t="s">
        <v>72</v>
      </c>
      <c r="B2865" s="3" t="s">
        <v>72</v>
      </c>
      <c r="C2865" s="3" t="s">
        <v>1145</v>
      </c>
      <c r="D2865" s="3" t="s">
        <v>93</v>
      </c>
      <c r="E2865" s="3" t="s">
        <v>31</v>
      </c>
      <c r="F2865" s="3" t="b">
        <v>0</v>
      </c>
      <c r="G2865" s="3" t="s">
        <v>84</v>
      </c>
      <c r="H2865" s="6">
        <v>44950.295729166668</v>
      </c>
      <c r="I2865" s="3" t="b">
        <v>0</v>
      </c>
      <c r="J2865" s="3" t="b">
        <v>1</v>
      </c>
      <c r="K2865" s="3" t="s">
        <v>33</v>
      </c>
      <c r="L2865" s="3" t="s">
        <v>34</v>
      </c>
      <c r="M2865" s="8">
        <v>125000</v>
      </c>
      <c r="N2865" s="11"/>
      <c r="O2865" s="3" t="s">
        <v>277</v>
      </c>
      <c r="P2865" s="3" t="s">
        <v>1146</v>
      </c>
    </row>
    <row r="2866" spans="1:16" x14ac:dyDescent="0.3">
      <c r="A2866" s="3" t="s">
        <v>72</v>
      </c>
      <c r="B2866" s="3" t="s">
        <v>1256</v>
      </c>
      <c r="C2866" s="3" t="s">
        <v>40</v>
      </c>
      <c r="D2866" s="3" t="s">
        <v>41</v>
      </c>
      <c r="E2866" s="3" t="s">
        <v>31</v>
      </c>
      <c r="F2866" s="3" t="b">
        <v>0</v>
      </c>
      <c r="G2866" s="3" t="s">
        <v>42</v>
      </c>
      <c r="H2866" s="6">
        <v>44932.983680555553</v>
      </c>
      <c r="I2866" s="3" t="b">
        <v>0</v>
      </c>
      <c r="J2866" s="3" t="b">
        <v>0</v>
      </c>
      <c r="K2866" s="3" t="s">
        <v>42</v>
      </c>
      <c r="L2866" s="3" t="s">
        <v>34</v>
      </c>
      <c r="M2866" s="8">
        <v>89100</v>
      </c>
      <c r="N2866" s="11"/>
      <c r="O2866" s="3" t="s">
        <v>875</v>
      </c>
      <c r="P2866" s="3" t="s">
        <v>1257</v>
      </c>
    </row>
    <row r="2867" spans="1:16" x14ac:dyDescent="0.3">
      <c r="A2867" s="3" t="s">
        <v>72</v>
      </c>
      <c r="B2867" s="3" t="s">
        <v>72</v>
      </c>
      <c r="C2867" s="3" t="s">
        <v>413</v>
      </c>
      <c r="D2867" s="3" t="s">
        <v>41</v>
      </c>
      <c r="E2867" s="3" t="s">
        <v>31</v>
      </c>
      <c r="F2867" s="3" t="b">
        <v>0</v>
      </c>
      <c r="G2867" s="3" t="s">
        <v>407</v>
      </c>
      <c r="H2867" s="6">
        <v>44943.641597222217</v>
      </c>
      <c r="I2867" s="3" t="b">
        <v>0</v>
      </c>
      <c r="J2867" s="3" t="b">
        <v>0</v>
      </c>
      <c r="K2867" s="3" t="s">
        <v>407</v>
      </c>
      <c r="L2867" s="3" t="s">
        <v>34</v>
      </c>
      <c r="M2867" s="8">
        <v>157500</v>
      </c>
      <c r="N2867" s="11"/>
      <c r="O2867" s="3" t="s">
        <v>414</v>
      </c>
      <c r="P2867" s="3"/>
    </row>
    <row r="2868" spans="1:16" x14ac:dyDescent="0.3">
      <c r="A2868" s="3" t="s">
        <v>72</v>
      </c>
      <c r="B2868" s="3" t="s">
        <v>1407</v>
      </c>
      <c r="C2868" s="3" t="s">
        <v>321</v>
      </c>
      <c r="D2868" s="3" t="s">
        <v>1408</v>
      </c>
      <c r="E2868" s="3" t="s">
        <v>31</v>
      </c>
      <c r="F2868" s="3" t="b">
        <v>0</v>
      </c>
      <c r="G2868" s="3" t="s">
        <v>64</v>
      </c>
      <c r="H2868" s="6">
        <v>44929.980439814812</v>
      </c>
      <c r="I2868" s="3" t="b">
        <v>0</v>
      </c>
      <c r="J2868" s="3" t="b">
        <v>0</v>
      </c>
      <c r="K2868" s="3" t="s">
        <v>33</v>
      </c>
      <c r="L2868" s="3" t="s">
        <v>48</v>
      </c>
      <c r="M2868" s="8"/>
      <c r="N2868" s="11">
        <v>24</v>
      </c>
      <c r="O2868" s="3" t="s">
        <v>1409</v>
      </c>
      <c r="P2868" s="3" t="s">
        <v>1410</v>
      </c>
    </row>
    <row r="2869" spans="1:16" x14ac:dyDescent="0.3">
      <c r="A2869" s="3" t="s">
        <v>72</v>
      </c>
      <c r="B2869" s="3" t="s">
        <v>1433</v>
      </c>
      <c r="C2869" s="3" t="s">
        <v>1321</v>
      </c>
      <c r="D2869" s="3" t="s">
        <v>350</v>
      </c>
      <c r="E2869" s="3" t="s">
        <v>31</v>
      </c>
      <c r="F2869" s="3" t="b">
        <v>0</v>
      </c>
      <c r="G2869" s="3" t="s">
        <v>32</v>
      </c>
      <c r="H2869" s="6">
        <v>44928.585289351853</v>
      </c>
      <c r="I2869" s="3" t="b">
        <v>0</v>
      </c>
      <c r="J2869" s="3" t="b">
        <v>0</v>
      </c>
      <c r="K2869" s="3" t="s">
        <v>33</v>
      </c>
      <c r="L2869" s="3" t="s">
        <v>34</v>
      </c>
      <c r="M2869" s="8">
        <v>215000</v>
      </c>
      <c r="N2869" s="11"/>
      <c r="O2869" s="3" t="s">
        <v>196</v>
      </c>
      <c r="P2869" s="3" t="s">
        <v>1434</v>
      </c>
    </row>
    <row r="2870" spans="1:16" x14ac:dyDescent="0.3">
      <c r="A2870" s="3" t="s">
        <v>72</v>
      </c>
      <c r="B2870" s="3" t="s">
        <v>1455</v>
      </c>
      <c r="C2870" s="3" t="s">
        <v>79</v>
      </c>
      <c r="D2870" s="3" t="s">
        <v>296</v>
      </c>
      <c r="E2870" s="3" t="s">
        <v>31</v>
      </c>
      <c r="F2870" s="3" t="b">
        <v>0</v>
      </c>
      <c r="G2870" s="3" t="s">
        <v>110</v>
      </c>
      <c r="H2870" s="6">
        <v>44952.994155092587</v>
      </c>
      <c r="I2870" s="3" t="b">
        <v>0</v>
      </c>
      <c r="J2870" s="3" t="b">
        <v>0</v>
      </c>
      <c r="K2870" s="3" t="s">
        <v>110</v>
      </c>
      <c r="L2870" s="3" t="s">
        <v>48</v>
      </c>
      <c r="M2870" s="8"/>
      <c r="N2870" s="11">
        <v>24</v>
      </c>
      <c r="O2870" s="3" t="s">
        <v>1456</v>
      </c>
      <c r="P2870" s="3" t="s">
        <v>374</v>
      </c>
    </row>
    <row r="2871" spans="1:16" x14ac:dyDescent="0.3">
      <c r="A2871" s="3" t="s">
        <v>72</v>
      </c>
      <c r="B2871" s="3" t="s">
        <v>1506</v>
      </c>
      <c r="C2871" s="3" t="s">
        <v>491</v>
      </c>
      <c r="D2871" s="3" t="s">
        <v>30</v>
      </c>
      <c r="E2871" s="3" t="s">
        <v>31</v>
      </c>
      <c r="F2871" s="3" t="b">
        <v>0</v>
      </c>
      <c r="G2871" s="3" t="s">
        <v>32</v>
      </c>
      <c r="H2871" s="6">
        <v>44939.04587962963</v>
      </c>
      <c r="I2871" s="3" t="b">
        <v>0</v>
      </c>
      <c r="J2871" s="3" t="b">
        <v>0</v>
      </c>
      <c r="K2871" s="3" t="s">
        <v>33</v>
      </c>
      <c r="L2871" s="3" t="s">
        <v>34</v>
      </c>
      <c r="M2871" s="8">
        <v>165000</v>
      </c>
      <c r="N2871" s="11"/>
      <c r="O2871" s="3" t="s">
        <v>196</v>
      </c>
      <c r="P2871" s="3" t="s">
        <v>1055</v>
      </c>
    </row>
    <row r="2872" spans="1:16" x14ac:dyDescent="0.3">
      <c r="A2872" s="3" t="s">
        <v>72</v>
      </c>
      <c r="B2872" s="3" t="s">
        <v>1570</v>
      </c>
      <c r="C2872" s="3" t="s">
        <v>87</v>
      </c>
      <c r="D2872" s="3" t="s">
        <v>860</v>
      </c>
      <c r="E2872" s="3" t="s">
        <v>31</v>
      </c>
      <c r="F2872" s="3" t="b">
        <v>1</v>
      </c>
      <c r="G2872" s="3" t="s">
        <v>84</v>
      </c>
      <c r="H2872" s="6">
        <v>44937.712719907409</v>
      </c>
      <c r="I2872" s="3" t="b">
        <v>0</v>
      </c>
      <c r="J2872" s="3" t="b">
        <v>1</v>
      </c>
      <c r="K2872" s="3" t="s">
        <v>33</v>
      </c>
      <c r="L2872" s="3" t="s">
        <v>34</v>
      </c>
      <c r="M2872" s="8">
        <v>185000</v>
      </c>
      <c r="N2872" s="11"/>
      <c r="O2872" s="3" t="s">
        <v>1571</v>
      </c>
      <c r="P2872" s="3" t="s">
        <v>1572</v>
      </c>
    </row>
    <row r="2873" spans="1:16" x14ac:dyDescent="0.3">
      <c r="A2873" s="3" t="s">
        <v>72</v>
      </c>
      <c r="B2873" s="3" t="s">
        <v>1657</v>
      </c>
      <c r="C2873" s="3" t="s">
        <v>164</v>
      </c>
      <c r="D2873" s="3" t="s">
        <v>93</v>
      </c>
      <c r="E2873" s="3" t="s">
        <v>31</v>
      </c>
      <c r="F2873" s="3" t="b">
        <v>0</v>
      </c>
      <c r="G2873" s="3" t="s">
        <v>64</v>
      </c>
      <c r="H2873" s="6">
        <v>44944.085902777777</v>
      </c>
      <c r="I2873" s="3" t="b">
        <v>0</v>
      </c>
      <c r="J2873" s="3" t="b">
        <v>1</v>
      </c>
      <c r="K2873" s="3" t="s">
        <v>33</v>
      </c>
      <c r="L2873" s="3" t="s">
        <v>34</v>
      </c>
      <c r="M2873" s="8">
        <v>115000</v>
      </c>
      <c r="N2873" s="11"/>
      <c r="O2873" s="3" t="s">
        <v>1204</v>
      </c>
      <c r="P2873" s="3" t="s">
        <v>661</v>
      </c>
    </row>
    <row r="2874" spans="1:16" x14ac:dyDescent="0.3">
      <c r="A2874" s="3" t="s">
        <v>72</v>
      </c>
      <c r="B2874" s="3" t="s">
        <v>72</v>
      </c>
      <c r="C2874" s="3" t="s">
        <v>1672</v>
      </c>
      <c r="D2874" s="3" t="s">
        <v>41</v>
      </c>
      <c r="E2874" s="3" t="s">
        <v>31</v>
      </c>
      <c r="F2874" s="3" t="b">
        <v>0</v>
      </c>
      <c r="G2874" s="3" t="s">
        <v>64</v>
      </c>
      <c r="H2874" s="6">
        <v>44957.668275462973</v>
      </c>
      <c r="I2874" s="3" t="b">
        <v>0</v>
      </c>
      <c r="J2874" s="3" t="b">
        <v>0</v>
      </c>
      <c r="K2874" s="3" t="s">
        <v>33</v>
      </c>
      <c r="L2874" s="3" t="s">
        <v>34</v>
      </c>
      <c r="M2874" s="8">
        <v>157500</v>
      </c>
      <c r="N2874" s="11"/>
      <c r="O2874" s="3" t="s">
        <v>1673</v>
      </c>
      <c r="P2874" s="3" t="s">
        <v>1674</v>
      </c>
    </row>
    <row r="2875" spans="1:16" x14ac:dyDescent="0.3">
      <c r="A2875" s="3" t="s">
        <v>72</v>
      </c>
      <c r="B2875" s="3" t="s">
        <v>1685</v>
      </c>
      <c r="C2875" s="3" t="s">
        <v>1686</v>
      </c>
      <c r="D2875" s="3" t="s">
        <v>41</v>
      </c>
      <c r="E2875" s="3" t="s">
        <v>31</v>
      </c>
      <c r="F2875" s="3" t="b">
        <v>0</v>
      </c>
      <c r="G2875" s="3" t="s">
        <v>359</v>
      </c>
      <c r="H2875" s="6">
        <v>44932.657858796287</v>
      </c>
      <c r="I2875" s="3" t="b">
        <v>0</v>
      </c>
      <c r="J2875" s="3" t="b">
        <v>0</v>
      </c>
      <c r="K2875" s="3" t="s">
        <v>359</v>
      </c>
      <c r="L2875" s="3" t="s">
        <v>34</v>
      </c>
      <c r="M2875" s="8">
        <v>89100</v>
      </c>
      <c r="N2875" s="11"/>
      <c r="O2875" s="3" t="s">
        <v>1687</v>
      </c>
      <c r="P2875" s="3"/>
    </row>
    <row r="2876" spans="1:16" x14ac:dyDescent="0.3">
      <c r="A2876" s="3" t="s">
        <v>72</v>
      </c>
      <c r="B2876" s="3" t="s">
        <v>1698</v>
      </c>
      <c r="C2876" s="3" t="s">
        <v>1338</v>
      </c>
      <c r="D2876" s="3" t="s">
        <v>41</v>
      </c>
      <c r="E2876" s="3" t="s">
        <v>31</v>
      </c>
      <c r="F2876" s="3" t="b">
        <v>0</v>
      </c>
      <c r="G2876" s="3" t="s">
        <v>213</v>
      </c>
      <c r="H2876" s="6">
        <v>44937.111168981479</v>
      </c>
      <c r="I2876" s="3" t="b">
        <v>0</v>
      </c>
      <c r="J2876" s="3" t="b">
        <v>0</v>
      </c>
      <c r="K2876" s="3" t="s">
        <v>213</v>
      </c>
      <c r="L2876" s="3" t="s">
        <v>34</v>
      </c>
      <c r="M2876" s="8">
        <v>56700</v>
      </c>
      <c r="N2876" s="11"/>
      <c r="O2876" s="3" t="s">
        <v>1339</v>
      </c>
      <c r="P2876" s="3"/>
    </row>
    <row r="2877" spans="1:16" x14ac:dyDescent="0.3">
      <c r="A2877" s="3" t="s">
        <v>72</v>
      </c>
      <c r="B2877" s="3" t="s">
        <v>1724</v>
      </c>
      <c r="C2877" s="3" t="s">
        <v>1001</v>
      </c>
      <c r="D2877" s="3" t="s">
        <v>30</v>
      </c>
      <c r="E2877" s="3" t="s">
        <v>31</v>
      </c>
      <c r="F2877" s="3" t="b">
        <v>0</v>
      </c>
      <c r="G2877" s="3" t="s">
        <v>317</v>
      </c>
      <c r="H2877" s="6">
        <v>44937.76185185185</v>
      </c>
      <c r="I2877" s="3" t="b">
        <v>0</v>
      </c>
      <c r="J2877" s="3" t="b">
        <v>0</v>
      </c>
      <c r="K2877" s="3" t="s">
        <v>317</v>
      </c>
      <c r="L2877" s="3" t="s">
        <v>34</v>
      </c>
      <c r="M2877" s="8">
        <v>157000</v>
      </c>
      <c r="N2877" s="11"/>
      <c r="O2877" s="3" t="s">
        <v>1725</v>
      </c>
      <c r="P2877" s="3" t="s">
        <v>1726</v>
      </c>
    </row>
    <row r="2878" spans="1:16" x14ac:dyDescent="0.3">
      <c r="A2878" s="3" t="s">
        <v>72</v>
      </c>
      <c r="B2878" s="3" t="s">
        <v>72</v>
      </c>
      <c r="C2878" s="3" t="s">
        <v>87</v>
      </c>
      <c r="D2878" s="3" t="s">
        <v>30</v>
      </c>
      <c r="E2878" s="3" t="s">
        <v>133</v>
      </c>
      <c r="F2878" s="3" t="b">
        <v>1</v>
      </c>
      <c r="G2878" s="3" t="s">
        <v>58</v>
      </c>
      <c r="H2878" s="6">
        <v>44949.79519675926</v>
      </c>
      <c r="I2878" s="3" t="b">
        <v>0</v>
      </c>
      <c r="J2878" s="3" t="b">
        <v>0</v>
      </c>
      <c r="K2878" s="3" t="s">
        <v>33</v>
      </c>
      <c r="L2878" s="3" t="s">
        <v>48</v>
      </c>
      <c r="M2878" s="8"/>
      <c r="N2878" s="11">
        <v>72.5</v>
      </c>
      <c r="O2878" s="3" t="s">
        <v>1744</v>
      </c>
      <c r="P2878" s="3" t="s">
        <v>1745</v>
      </c>
    </row>
    <row r="2879" spans="1:16" x14ac:dyDescent="0.3">
      <c r="A2879" s="3" t="s">
        <v>72</v>
      </c>
      <c r="B2879" s="3" t="s">
        <v>1778</v>
      </c>
      <c r="C2879" s="3" t="s">
        <v>87</v>
      </c>
      <c r="D2879" s="3" t="s">
        <v>1779</v>
      </c>
      <c r="E2879" s="3" t="s">
        <v>31</v>
      </c>
      <c r="F2879" s="3" t="b">
        <v>1</v>
      </c>
      <c r="G2879" s="3" t="s">
        <v>110</v>
      </c>
      <c r="H2879" s="6">
        <v>44946.821469907409</v>
      </c>
      <c r="I2879" s="3" t="b">
        <v>0</v>
      </c>
      <c r="J2879" s="3" t="b">
        <v>1</v>
      </c>
      <c r="K2879" s="3" t="s">
        <v>110</v>
      </c>
      <c r="L2879" s="3" t="s">
        <v>34</v>
      </c>
      <c r="M2879" s="8">
        <v>126000</v>
      </c>
      <c r="N2879" s="11"/>
      <c r="O2879" s="3" t="s">
        <v>49</v>
      </c>
      <c r="P2879" s="3" t="s">
        <v>180</v>
      </c>
    </row>
    <row r="2880" spans="1:16" x14ac:dyDescent="0.3">
      <c r="A2880" s="3" t="s">
        <v>72</v>
      </c>
      <c r="B2880" s="3" t="s">
        <v>1782</v>
      </c>
      <c r="C2880" s="3" t="s">
        <v>79</v>
      </c>
      <c r="D2880" s="3" t="s">
        <v>296</v>
      </c>
      <c r="E2880" s="3" t="s">
        <v>31</v>
      </c>
      <c r="F2880" s="3" t="b">
        <v>0</v>
      </c>
      <c r="G2880" s="3" t="s">
        <v>58</v>
      </c>
      <c r="H2880" s="6">
        <v>44929.981666666667</v>
      </c>
      <c r="I2880" s="3" t="b">
        <v>0</v>
      </c>
      <c r="J2880" s="3" t="b">
        <v>0</v>
      </c>
      <c r="K2880" s="3" t="s">
        <v>33</v>
      </c>
      <c r="L2880" s="3" t="s">
        <v>48</v>
      </c>
      <c r="M2880" s="8"/>
      <c r="N2880" s="11">
        <v>24</v>
      </c>
      <c r="O2880" s="3" t="s">
        <v>657</v>
      </c>
      <c r="P2880" s="3" t="s">
        <v>439</v>
      </c>
    </row>
    <row r="2881" spans="1:16" x14ac:dyDescent="0.3">
      <c r="A2881" s="3" t="s">
        <v>72</v>
      </c>
      <c r="B2881" s="3" t="s">
        <v>1803</v>
      </c>
      <c r="C2881" s="3" t="s">
        <v>87</v>
      </c>
      <c r="D2881" s="3" t="s">
        <v>336</v>
      </c>
      <c r="E2881" s="3" t="s">
        <v>31</v>
      </c>
      <c r="F2881" s="3" t="b">
        <v>1</v>
      </c>
      <c r="G2881" s="3" t="s">
        <v>58</v>
      </c>
      <c r="H2881" s="6">
        <v>44950.21166666667</v>
      </c>
      <c r="I2881" s="3" t="b">
        <v>0</v>
      </c>
      <c r="J2881" s="3" t="b">
        <v>1</v>
      </c>
      <c r="K2881" s="3" t="s">
        <v>33</v>
      </c>
      <c r="L2881" s="3" t="s">
        <v>34</v>
      </c>
      <c r="M2881" s="8">
        <v>220500</v>
      </c>
      <c r="N2881" s="11"/>
      <c r="O2881" s="3" t="s">
        <v>1804</v>
      </c>
      <c r="P2881" s="3" t="s">
        <v>1805</v>
      </c>
    </row>
    <row r="2882" spans="1:16" x14ac:dyDescent="0.3">
      <c r="A2882" s="3" t="s">
        <v>72</v>
      </c>
      <c r="B2882" s="3" t="s">
        <v>1822</v>
      </c>
      <c r="C2882" s="3" t="s">
        <v>1458</v>
      </c>
      <c r="D2882" s="3" t="s">
        <v>41</v>
      </c>
      <c r="E2882" s="3" t="s">
        <v>31</v>
      </c>
      <c r="F2882" s="3" t="b">
        <v>0</v>
      </c>
      <c r="G2882" s="3" t="s">
        <v>32</v>
      </c>
      <c r="H2882" s="6">
        <v>44952.044085648151</v>
      </c>
      <c r="I2882" s="3" t="b">
        <v>0</v>
      </c>
      <c r="J2882" s="3" t="b">
        <v>1</v>
      </c>
      <c r="K2882" s="3" t="s">
        <v>33</v>
      </c>
      <c r="L2882" s="3" t="s">
        <v>34</v>
      </c>
      <c r="M2882" s="8">
        <v>157500</v>
      </c>
      <c r="N2882" s="11"/>
      <c r="O2882" s="3" t="s">
        <v>1823</v>
      </c>
      <c r="P2882" s="3" t="s">
        <v>1824</v>
      </c>
    </row>
    <row r="2883" spans="1:16" x14ac:dyDescent="0.3">
      <c r="A2883" s="3" t="s">
        <v>72</v>
      </c>
      <c r="B2883" s="3" t="s">
        <v>1838</v>
      </c>
      <c r="C2883" s="3" t="s">
        <v>1839</v>
      </c>
      <c r="D2883" s="3" t="s">
        <v>1840</v>
      </c>
      <c r="E2883" s="3" t="s">
        <v>31</v>
      </c>
      <c r="F2883" s="3" t="b">
        <v>0</v>
      </c>
      <c r="G2883" s="3" t="s">
        <v>32</v>
      </c>
      <c r="H2883" s="6">
        <v>44929.981111111112</v>
      </c>
      <c r="I2883" s="3" t="b">
        <v>0</v>
      </c>
      <c r="J2883" s="3" t="b">
        <v>0</v>
      </c>
      <c r="K2883" s="3" t="s">
        <v>33</v>
      </c>
      <c r="L2883" s="3" t="s">
        <v>48</v>
      </c>
      <c r="M2883" s="8"/>
      <c r="N2883" s="11">
        <v>24</v>
      </c>
      <c r="O2883" s="3" t="s">
        <v>1841</v>
      </c>
      <c r="P2883" s="3" t="s">
        <v>1842</v>
      </c>
    </row>
    <row r="2884" spans="1:16" x14ac:dyDescent="0.3">
      <c r="A2884" s="3" t="s">
        <v>72</v>
      </c>
      <c r="B2884" s="3" t="s">
        <v>1844</v>
      </c>
      <c r="C2884" s="3" t="s">
        <v>33</v>
      </c>
      <c r="D2884" s="3" t="s">
        <v>41</v>
      </c>
      <c r="E2884" s="3" t="s">
        <v>31</v>
      </c>
      <c r="F2884" s="3" t="b">
        <v>0</v>
      </c>
      <c r="G2884" s="3" t="s">
        <v>58</v>
      </c>
      <c r="H2884" s="6">
        <v>44951.294814814813</v>
      </c>
      <c r="I2884" s="3" t="b">
        <v>0</v>
      </c>
      <c r="J2884" s="3" t="b">
        <v>1</v>
      </c>
      <c r="K2884" s="3" t="s">
        <v>33</v>
      </c>
      <c r="L2884" s="3" t="s">
        <v>34</v>
      </c>
      <c r="M2884" s="8">
        <v>157500</v>
      </c>
      <c r="N2884" s="11"/>
      <c r="O2884" s="3" t="s">
        <v>1845</v>
      </c>
      <c r="P2884" s="3" t="s">
        <v>1846</v>
      </c>
    </row>
    <row r="2885" spans="1:16" x14ac:dyDescent="0.3">
      <c r="A2885" s="3" t="s">
        <v>72</v>
      </c>
      <c r="B2885" s="3" t="s">
        <v>1890</v>
      </c>
      <c r="C2885" s="3" t="s">
        <v>87</v>
      </c>
      <c r="D2885" s="3" t="s">
        <v>76</v>
      </c>
      <c r="E2885" s="3" t="s">
        <v>31</v>
      </c>
      <c r="F2885" s="3" t="b">
        <v>1</v>
      </c>
      <c r="G2885" s="3" t="s">
        <v>58</v>
      </c>
      <c r="H2885" s="6">
        <v>44937.712164351848</v>
      </c>
      <c r="I2885" s="3" t="b">
        <v>0</v>
      </c>
      <c r="J2885" s="3" t="b">
        <v>1</v>
      </c>
      <c r="K2885" s="3" t="s">
        <v>33</v>
      </c>
      <c r="L2885" s="3" t="s">
        <v>34</v>
      </c>
      <c r="M2885" s="8">
        <v>177500</v>
      </c>
      <c r="N2885" s="11"/>
      <c r="O2885" s="3" t="s">
        <v>1891</v>
      </c>
      <c r="P2885" s="3" t="s">
        <v>1892</v>
      </c>
    </row>
    <row r="2886" spans="1:16" x14ac:dyDescent="0.3">
      <c r="A2886" s="3" t="s">
        <v>72</v>
      </c>
      <c r="B2886" s="3" t="s">
        <v>1803</v>
      </c>
      <c r="C2886" s="3" t="s">
        <v>87</v>
      </c>
      <c r="D2886" s="3" t="s">
        <v>1013</v>
      </c>
      <c r="E2886" s="3" t="s">
        <v>31</v>
      </c>
      <c r="F2886" s="3" t="b">
        <v>1</v>
      </c>
      <c r="G2886" s="3" t="s">
        <v>84</v>
      </c>
      <c r="H2886" s="6">
        <v>44957.170266203713</v>
      </c>
      <c r="I2886" s="3" t="b">
        <v>0</v>
      </c>
      <c r="J2886" s="3" t="b">
        <v>1</v>
      </c>
      <c r="K2886" s="3" t="s">
        <v>33</v>
      </c>
      <c r="L2886" s="3" t="s">
        <v>34</v>
      </c>
      <c r="M2886" s="8">
        <v>157500</v>
      </c>
      <c r="N2886" s="11"/>
      <c r="O2886" s="3" t="s">
        <v>1945</v>
      </c>
      <c r="P2886" s="3" t="s">
        <v>1946</v>
      </c>
    </row>
    <row r="2887" spans="1:16" x14ac:dyDescent="0.3">
      <c r="A2887" s="3" t="s">
        <v>72</v>
      </c>
      <c r="B2887" s="3" t="s">
        <v>72</v>
      </c>
      <c r="C2887" s="3" t="s">
        <v>33</v>
      </c>
      <c r="D2887" s="3" t="s">
        <v>30</v>
      </c>
      <c r="E2887" s="3" t="s">
        <v>31</v>
      </c>
      <c r="F2887" s="3" t="b">
        <v>0</v>
      </c>
      <c r="G2887" s="3" t="s">
        <v>58</v>
      </c>
      <c r="H2887" s="6">
        <v>44952.462627314817</v>
      </c>
      <c r="I2887" s="3" t="b">
        <v>0</v>
      </c>
      <c r="J2887" s="3" t="b">
        <v>0</v>
      </c>
      <c r="K2887" s="3" t="s">
        <v>33</v>
      </c>
      <c r="L2887" s="3" t="s">
        <v>34</v>
      </c>
      <c r="M2887" s="8">
        <v>135000</v>
      </c>
      <c r="N2887" s="11"/>
      <c r="O2887" s="3" t="s">
        <v>1568</v>
      </c>
      <c r="P2887" s="3" t="s">
        <v>1948</v>
      </c>
    </row>
    <row r="2888" spans="1:16" x14ac:dyDescent="0.3">
      <c r="A2888" s="3" t="s">
        <v>72</v>
      </c>
      <c r="B2888" s="3" t="s">
        <v>72</v>
      </c>
      <c r="C2888" s="3" t="s">
        <v>136</v>
      </c>
      <c r="D2888" s="3" t="s">
        <v>93</v>
      </c>
      <c r="E2888" s="3" t="s">
        <v>31</v>
      </c>
      <c r="F2888" s="3" t="b">
        <v>0</v>
      </c>
      <c r="G2888" s="3" t="s">
        <v>32</v>
      </c>
      <c r="H2888" s="6">
        <v>44951.044756944437</v>
      </c>
      <c r="I2888" s="3" t="b">
        <v>0</v>
      </c>
      <c r="J2888" s="3" t="b">
        <v>1</v>
      </c>
      <c r="K2888" s="3" t="s">
        <v>33</v>
      </c>
      <c r="L2888" s="3" t="s">
        <v>34</v>
      </c>
      <c r="M2888" s="8">
        <v>90000</v>
      </c>
      <c r="N2888" s="11"/>
      <c r="O2888" s="3" t="s">
        <v>1967</v>
      </c>
      <c r="P2888" s="3" t="s">
        <v>1968</v>
      </c>
    </row>
    <row r="2889" spans="1:16" x14ac:dyDescent="0.3">
      <c r="A2889" s="3" t="s">
        <v>72</v>
      </c>
      <c r="B2889" s="3" t="s">
        <v>72</v>
      </c>
      <c r="C2889" s="3" t="s">
        <v>87</v>
      </c>
      <c r="D2889" s="3" t="s">
        <v>30</v>
      </c>
      <c r="E2889" s="3" t="s">
        <v>31</v>
      </c>
      <c r="F2889" s="3" t="b">
        <v>1</v>
      </c>
      <c r="G2889" s="3" t="s">
        <v>84</v>
      </c>
      <c r="H2889" s="6">
        <v>44933.087268518517</v>
      </c>
      <c r="I2889" s="3" t="b">
        <v>0</v>
      </c>
      <c r="J2889" s="3" t="b">
        <v>0</v>
      </c>
      <c r="K2889" s="3" t="s">
        <v>33</v>
      </c>
      <c r="L2889" s="3" t="s">
        <v>34</v>
      </c>
      <c r="M2889" s="8">
        <v>160000</v>
      </c>
      <c r="N2889" s="11"/>
      <c r="O2889" s="3" t="s">
        <v>196</v>
      </c>
      <c r="P2889" s="3" t="s">
        <v>1974</v>
      </c>
    </row>
    <row r="2890" spans="1:16" x14ac:dyDescent="0.3">
      <c r="A2890" s="3" t="s">
        <v>72</v>
      </c>
      <c r="B2890" s="3" t="s">
        <v>1979</v>
      </c>
      <c r="C2890" s="3" t="s">
        <v>1458</v>
      </c>
      <c r="D2890" s="3" t="s">
        <v>41</v>
      </c>
      <c r="E2890" s="3" t="s">
        <v>31</v>
      </c>
      <c r="F2890" s="3" t="b">
        <v>0</v>
      </c>
      <c r="G2890" s="3" t="s">
        <v>32</v>
      </c>
      <c r="H2890" s="6">
        <v>44951.752685185187</v>
      </c>
      <c r="I2890" s="3" t="b">
        <v>0</v>
      </c>
      <c r="J2890" s="3" t="b">
        <v>1</v>
      </c>
      <c r="K2890" s="3" t="s">
        <v>33</v>
      </c>
      <c r="L2890" s="3" t="s">
        <v>34</v>
      </c>
      <c r="M2890" s="8">
        <v>157500</v>
      </c>
      <c r="N2890" s="11"/>
      <c r="O2890" s="3" t="s">
        <v>1823</v>
      </c>
      <c r="P2890" s="3" t="s">
        <v>1980</v>
      </c>
    </row>
    <row r="2891" spans="1:16" x14ac:dyDescent="0.3">
      <c r="A2891" s="3" t="s">
        <v>72</v>
      </c>
      <c r="B2891" s="3" t="s">
        <v>1982</v>
      </c>
      <c r="C2891" s="3" t="s">
        <v>87</v>
      </c>
      <c r="D2891" s="3" t="s">
        <v>30</v>
      </c>
      <c r="E2891" s="3" t="s">
        <v>31</v>
      </c>
      <c r="F2891" s="3" t="b">
        <v>1</v>
      </c>
      <c r="G2891" s="3" t="s">
        <v>110</v>
      </c>
      <c r="H2891" s="6">
        <v>44946.61341435185</v>
      </c>
      <c r="I2891" s="3" t="b">
        <v>0</v>
      </c>
      <c r="J2891" s="3" t="b">
        <v>0</v>
      </c>
      <c r="K2891" s="3" t="s">
        <v>110</v>
      </c>
      <c r="L2891" s="3" t="s">
        <v>34</v>
      </c>
      <c r="M2891" s="8">
        <v>157500</v>
      </c>
      <c r="N2891" s="11"/>
      <c r="O2891" s="3" t="s">
        <v>327</v>
      </c>
      <c r="P2891" s="3" t="s">
        <v>1983</v>
      </c>
    </row>
    <row r="2892" spans="1:16" x14ac:dyDescent="0.3">
      <c r="A2892" s="3" t="s">
        <v>72</v>
      </c>
      <c r="B2892" s="3" t="s">
        <v>72</v>
      </c>
      <c r="C2892" s="3" t="s">
        <v>1996</v>
      </c>
      <c r="D2892" s="3" t="s">
        <v>41</v>
      </c>
      <c r="E2892" s="3" t="s">
        <v>31</v>
      </c>
      <c r="F2892" s="3" t="b">
        <v>0</v>
      </c>
      <c r="G2892" s="3" t="s">
        <v>797</v>
      </c>
      <c r="H2892" s="6">
        <v>44945.181793981479</v>
      </c>
      <c r="I2892" s="3" t="b">
        <v>0</v>
      </c>
      <c r="J2892" s="3" t="b">
        <v>0</v>
      </c>
      <c r="K2892" s="3" t="s">
        <v>797</v>
      </c>
      <c r="L2892" s="3" t="s">
        <v>34</v>
      </c>
      <c r="M2892" s="8">
        <v>157500</v>
      </c>
      <c r="N2892" s="11"/>
      <c r="O2892" s="3" t="s">
        <v>793</v>
      </c>
      <c r="P2892" s="3" t="s">
        <v>777</v>
      </c>
    </row>
    <row r="2893" spans="1:16" x14ac:dyDescent="0.3">
      <c r="A2893" s="3" t="s">
        <v>72</v>
      </c>
      <c r="B2893" s="3" t="s">
        <v>2011</v>
      </c>
      <c r="C2893" s="3" t="s">
        <v>270</v>
      </c>
      <c r="D2893" s="3" t="s">
        <v>30</v>
      </c>
      <c r="E2893" s="3" t="s">
        <v>31</v>
      </c>
      <c r="F2893" s="3" t="b">
        <v>0</v>
      </c>
      <c r="G2893" s="3" t="s">
        <v>32</v>
      </c>
      <c r="H2893" s="6">
        <v>44937.25341435185</v>
      </c>
      <c r="I2893" s="3" t="b">
        <v>0</v>
      </c>
      <c r="J2893" s="3" t="b">
        <v>1</v>
      </c>
      <c r="K2893" s="3" t="s">
        <v>33</v>
      </c>
      <c r="L2893" s="3" t="s">
        <v>34</v>
      </c>
      <c r="M2893" s="8">
        <v>186960</v>
      </c>
      <c r="N2893" s="11"/>
      <c r="O2893" s="3" t="s">
        <v>35</v>
      </c>
      <c r="P2893" s="3" t="s">
        <v>38</v>
      </c>
    </row>
    <row r="2894" spans="1:16" x14ac:dyDescent="0.3">
      <c r="A2894" s="3" t="s">
        <v>72</v>
      </c>
      <c r="B2894" s="3" t="s">
        <v>2062</v>
      </c>
      <c r="C2894" s="3" t="s">
        <v>491</v>
      </c>
      <c r="D2894" s="3" t="s">
        <v>994</v>
      </c>
      <c r="E2894" s="3" t="s">
        <v>31</v>
      </c>
      <c r="F2894" s="3" t="b">
        <v>0</v>
      </c>
      <c r="G2894" s="3" t="s">
        <v>32</v>
      </c>
      <c r="H2894" s="6">
        <v>44929.981145833342</v>
      </c>
      <c r="I2894" s="3" t="b">
        <v>0</v>
      </c>
      <c r="J2894" s="3" t="b">
        <v>0</v>
      </c>
      <c r="K2894" s="3" t="s">
        <v>33</v>
      </c>
      <c r="L2894" s="3" t="s">
        <v>48</v>
      </c>
      <c r="M2894" s="8"/>
      <c r="N2894" s="11">
        <v>24</v>
      </c>
      <c r="O2894" s="3" t="s">
        <v>2063</v>
      </c>
      <c r="P2894" s="3" t="s">
        <v>2064</v>
      </c>
    </row>
    <row r="2895" spans="1:16" x14ac:dyDescent="0.3">
      <c r="A2895" s="3" t="s">
        <v>72</v>
      </c>
      <c r="B2895" s="3" t="s">
        <v>2066</v>
      </c>
      <c r="C2895" s="3" t="s">
        <v>413</v>
      </c>
      <c r="D2895" s="3" t="s">
        <v>41</v>
      </c>
      <c r="E2895" s="3" t="s">
        <v>31</v>
      </c>
      <c r="F2895" s="3" t="b">
        <v>0</v>
      </c>
      <c r="G2895" s="3" t="s">
        <v>407</v>
      </c>
      <c r="H2895" s="6">
        <v>44953.628101851849</v>
      </c>
      <c r="I2895" s="3" t="b">
        <v>0</v>
      </c>
      <c r="J2895" s="3" t="b">
        <v>0</v>
      </c>
      <c r="K2895" s="3" t="s">
        <v>407</v>
      </c>
      <c r="L2895" s="3" t="s">
        <v>34</v>
      </c>
      <c r="M2895" s="8">
        <v>157500</v>
      </c>
      <c r="N2895" s="11"/>
      <c r="O2895" s="3" t="s">
        <v>793</v>
      </c>
      <c r="P2895" s="3" t="s">
        <v>2067</v>
      </c>
    </row>
    <row r="2896" spans="1:16" x14ac:dyDescent="0.3">
      <c r="A2896" s="3" t="s">
        <v>72</v>
      </c>
      <c r="B2896" s="3" t="s">
        <v>2068</v>
      </c>
      <c r="C2896" s="3" t="s">
        <v>1649</v>
      </c>
      <c r="D2896" s="3" t="s">
        <v>93</v>
      </c>
      <c r="E2896" s="3" t="s">
        <v>31</v>
      </c>
      <c r="F2896" s="3" t="b">
        <v>0</v>
      </c>
      <c r="G2896" s="3" t="s">
        <v>140</v>
      </c>
      <c r="H2896" s="6">
        <v>44944.324652777781</v>
      </c>
      <c r="I2896" s="3" t="b">
        <v>0</v>
      </c>
      <c r="J2896" s="3" t="b">
        <v>0</v>
      </c>
      <c r="K2896" s="3" t="s">
        <v>33</v>
      </c>
      <c r="L2896" s="3" t="s">
        <v>34</v>
      </c>
      <c r="M2896" s="8">
        <v>90000</v>
      </c>
      <c r="N2896" s="11"/>
      <c r="O2896" s="3" t="s">
        <v>98</v>
      </c>
      <c r="P2896" s="3" t="s">
        <v>2069</v>
      </c>
    </row>
    <row r="2897" spans="1:16" x14ac:dyDescent="0.3">
      <c r="A2897" s="3" t="s">
        <v>72</v>
      </c>
      <c r="B2897" s="3" t="s">
        <v>72</v>
      </c>
      <c r="C2897" s="3" t="s">
        <v>2106</v>
      </c>
      <c r="D2897" s="3" t="s">
        <v>76</v>
      </c>
      <c r="E2897" s="3" t="s">
        <v>31</v>
      </c>
      <c r="F2897" s="3" t="b">
        <v>0</v>
      </c>
      <c r="G2897" s="3" t="s">
        <v>64</v>
      </c>
      <c r="H2897" s="6">
        <v>44928.918425925927</v>
      </c>
      <c r="I2897" s="3" t="b">
        <v>0</v>
      </c>
      <c r="J2897" s="3" t="b">
        <v>0</v>
      </c>
      <c r="K2897" s="3" t="s">
        <v>33</v>
      </c>
      <c r="L2897" s="3" t="s">
        <v>34</v>
      </c>
      <c r="M2897" s="8">
        <v>155000</v>
      </c>
      <c r="N2897" s="11"/>
      <c r="O2897" s="3" t="s">
        <v>80</v>
      </c>
      <c r="P2897" s="3" t="s">
        <v>2107</v>
      </c>
    </row>
    <row r="2898" spans="1:16" x14ac:dyDescent="0.3">
      <c r="A2898" s="3" t="s">
        <v>72</v>
      </c>
      <c r="B2898" s="3" t="s">
        <v>2177</v>
      </c>
      <c r="C2898" s="3" t="s">
        <v>33</v>
      </c>
      <c r="D2898" s="3" t="s">
        <v>1013</v>
      </c>
      <c r="E2898" s="3" t="s">
        <v>31</v>
      </c>
      <c r="F2898" s="3" t="b">
        <v>0</v>
      </c>
      <c r="G2898" s="3" t="s">
        <v>58</v>
      </c>
      <c r="H2898" s="6">
        <v>44930.628078703703</v>
      </c>
      <c r="I2898" s="3" t="b">
        <v>0</v>
      </c>
      <c r="J2898" s="3" t="b">
        <v>1</v>
      </c>
      <c r="K2898" s="3" t="s">
        <v>33</v>
      </c>
      <c r="L2898" s="3" t="s">
        <v>34</v>
      </c>
      <c r="M2898" s="8">
        <v>150000</v>
      </c>
      <c r="N2898" s="11"/>
      <c r="O2898" s="3" t="s">
        <v>2178</v>
      </c>
      <c r="P2898" s="3" t="s">
        <v>661</v>
      </c>
    </row>
    <row r="2899" spans="1:16" x14ac:dyDescent="0.3">
      <c r="A2899" s="3" t="s">
        <v>72</v>
      </c>
      <c r="B2899" s="3" t="s">
        <v>2283</v>
      </c>
      <c r="C2899" s="3" t="s">
        <v>1612</v>
      </c>
      <c r="D2899" s="3" t="s">
        <v>2284</v>
      </c>
      <c r="E2899" s="3" t="s">
        <v>31</v>
      </c>
      <c r="F2899" s="3" t="b">
        <v>0</v>
      </c>
      <c r="G2899" s="3" t="s">
        <v>64</v>
      </c>
      <c r="H2899" s="6">
        <v>44940.585729166669</v>
      </c>
      <c r="I2899" s="3" t="b">
        <v>0</v>
      </c>
      <c r="J2899" s="3" t="b">
        <v>1</v>
      </c>
      <c r="K2899" s="3" t="s">
        <v>33</v>
      </c>
      <c r="L2899" s="3" t="s">
        <v>34</v>
      </c>
      <c r="M2899" s="8">
        <v>125500</v>
      </c>
      <c r="N2899" s="11"/>
      <c r="O2899" s="3" t="s">
        <v>2285</v>
      </c>
      <c r="P2899" s="3" t="s">
        <v>2286</v>
      </c>
    </row>
    <row r="2900" spans="1:16" x14ac:dyDescent="0.3">
      <c r="A2900" s="3" t="s">
        <v>72</v>
      </c>
      <c r="B2900" s="3" t="s">
        <v>2295</v>
      </c>
      <c r="C2900" s="3" t="s">
        <v>187</v>
      </c>
      <c r="D2900" s="3" t="s">
        <v>93</v>
      </c>
      <c r="E2900" s="3" t="s">
        <v>31</v>
      </c>
      <c r="F2900" s="3" t="b">
        <v>0</v>
      </c>
      <c r="G2900" s="3" t="s">
        <v>64</v>
      </c>
      <c r="H2900" s="6">
        <v>44957.293229166673</v>
      </c>
      <c r="I2900" s="3" t="b">
        <v>0</v>
      </c>
      <c r="J2900" s="3" t="b">
        <v>0</v>
      </c>
      <c r="K2900" s="3" t="s">
        <v>33</v>
      </c>
      <c r="L2900" s="3" t="s">
        <v>34</v>
      </c>
      <c r="M2900" s="8">
        <v>125000</v>
      </c>
      <c r="N2900" s="11"/>
      <c r="O2900" s="3" t="s">
        <v>1438</v>
      </c>
      <c r="P2900" s="3" t="s">
        <v>2296</v>
      </c>
    </row>
    <row r="2901" spans="1:16" x14ac:dyDescent="0.3">
      <c r="A2901" s="3" t="s">
        <v>72</v>
      </c>
      <c r="B2901" s="3" t="s">
        <v>2311</v>
      </c>
      <c r="C2901" s="3" t="s">
        <v>2312</v>
      </c>
      <c r="D2901" s="3" t="s">
        <v>41</v>
      </c>
      <c r="E2901" s="3" t="s">
        <v>31</v>
      </c>
      <c r="F2901" s="3" t="b">
        <v>0</v>
      </c>
      <c r="G2901" s="3" t="s">
        <v>2313</v>
      </c>
      <c r="H2901" s="6">
        <v>44957.47934027778</v>
      </c>
      <c r="I2901" s="3" t="b">
        <v>0</v>
      </c>
      <c r="J2901" s="3" t="b">
        <v>0</v>
      </c>
      <c r="K2901" s="3" t="s">
        <v>2313</v>
      </c>
      <c r="L2901" s="3" t="s">
        <v>34</v>
      </c>
      <c r="M2901" s="8">
        <v>88128</v>
      </c>
      <c r="N2901" s="11"/>
      <c r="O2901" s="3" t="s">
        <v>2314</v>
      </c>
      <c r="P2901" s="3" t="s">
        <v>347</v>
      </c>
    </row>
    <row r="2902" spans="1:16" x14ac:dyDescent="0.3">
      <c r="A2902" s="3" t="s">
        <v>72</v>
      </c>
      <c r="B2902" s="3" t="s">
        <v>72</v>
      </c>
      <c r="C2902" s="3" t="s">
        <v>1879</v>
      </c>
      <c r="D2902" s="3" t="s">
        <v>41</v>
      </c>
      <c r="E2902" s="3" t="s">
        <v>31</v>
      </c>
      <c r="F2902" s="3" t="b">
        <v>0</v>
      </c>
      <c r="G2902" s="3" t="s">
        <v>69</v>
      </c>
      <c r="H2902" s="6">
        <v>44951.416203703702</v>
      </c>
      <c r="I2902" s="3" t="b">
        <v>0</v>
      </c>
      <c r="J2902" s="3" t="b">
        <v>0</v>
      </c>
      <c r="K2902" s="3" t="s">
        <v>69</v>
      </c>
      <c r="L2902" s="3" t="s">
        <v>34</v>
      </c>
      <c r="M2902" s="8">
        <v>157500</v>
      </c>
      <c r="N2902" s="11"/>
      <c r="O2902" s="3" t="s">
        <v>598</v>
      </c>
      <c r="P2902" s="3" t="s">
        <v>2328</v>
      </c>
    </row>
    <row r="2903" spans="1:16" x14ac:dyDescent="0.3">
      <c r="A2903" s="3" t="s">
        <v>72</v>
      </c>
      <c r="B2903" s="3" t="s">
        <v>2342</v>
      </c>
      <c r="C2903" s="3" t="s">
        <v>2343</v>
      </c>
      <c r="D2903" s="3" t="s">
        <v>93</v>
      </c>
      <c r="E2903" s="3" t="s">
        <v>31</v>
      </c>
      <c r="F2903" s="3" t="b">
        <v>0</v>
      </c>
      <c r="G2903" s="3" t="s">
        <v>32</v>
      </c>
      <c r="H2903" s="6">
        <v>44950.461493055547</v>
      </c>
      <c r="I2903" s="3" t="b">
        <v>0</v>
      </c>
      <c r="J2903" s="3" t="b">
        <v>1</v>
      </c>
      <c r="K2903" s="3" t="s">
        <v>33</v>
      </c>
      <c r="L2903" s="3" t="s">
        <v>34</v>
      </c>
      <c r="M2903" s="8">
        <v>150000</v>
      </c>
      <c r="N2903" s="11"/>
      <c r="O2903" s="3" t="s">
        <v>124</v>
      </c>
      <c r="P2903" s="3" t="s">
        <v>2344</v>
      </c>
    </row>
    <row r="2904" spans="1:16" x14ac:dyDescent="0.3">
      <c r="A2904" s="3" t="s">
        <v>72</v>
      </c>
      <c r="B2904" s="3" t="s">
        <v>2373</v>
      </c>
      <c r="C2904" s="3" t="s">
        <v>87</v>
      </c>
      <c r="D2904" s="3" t="s">
        <v>336</v>
      </c>
      <c r="E2904" s="3" t="s">
        <v>31</v>
      </c>
      <c r="F2904" s="3" t="b">
        <v>1</v>
      </c>
      <c r="G2904" s="3" t="s">
        <v>110</v>
      </c>
      <c r="H2904" s="6">
        <v>44943.825798611113</v>
      </c>
      <c r="I2904" s="3" t="b">
        <v>0</v>
      </c>
      <c r="J2904" s="3" t="b">
        <v>1</v>
      </c>
      <c r="K2904" s="3" t="s">
        <v>110</v>
      </c>
      <c r="L2904" s="3" t="s">
        <v>34</v>
      </c>
      <c r="M2904" s="8">
        <v>113450</v>
      </c>
      <c r="N2904" s="11"/>
      <c r="O2904" s="3" t="s">
        <v>2374</v>
      </c>
      <c r="P2904" s="3" t="s">
        <v>347</v>
      </c>
    </row>
    <row r="2905" spans="1:16" x14ac:dyDescent="0.3">
      <c r="A2905" s="3" t="s">
        <v>72</v>
      </c>
      <c r="B2905" s="3" t="s">
        <v>2429</v>
      </c>
      <c r="C2905" s="3" t="s">
        <v>87</v>
      </c>
      <c r="D2905" s="3" t="s">
        <v>30</v>
      </c>
      <c r="E2905" s="3" t="s">
        <v>31</v>
      </c>
      <c r="F2905" s="3" t="b">
        <v>1</v>
      </c>
      <c r="G2905" s="3" t="s">
        <v>84</v>
      </c>
      <c r="H2905" s="6">
        <v>44949.795590277783</v>
      </c>
      <c r="I2905" s="3" t="b">
        <v>0</v>
      </c>
      <c r="J2905" s="3" t="b">
        <v>1</v>
      </c>
      <c r="K2905" s="3" t="s">
        <v>33</v>
      </c>
      <c r="L2905" s="3" t="s">
        <v>34</v>
      </c>
      <c r="M2905" s="8">
        <v>160000</v>
      </c>
      <c r="N2905" s="11"/>
      <c r="O2905" s="3" t="s">
        <v>779</v>
      </c>
      <c r="P2905" s="3" t="s">
        <v>2430</v>
      </c>
    </row>
    <row r="2906" spans="1:16" x14ac:dyDescent="0.3">
      <c r="A2906" s="3" t="s">
        <v>72</v>
      </c>
      <c r="B2906" s="3" t="s">
        <v>72</v>
      </c>
      <c r="C2906" s="3" t="s">
        <v>2451</v>
      </c>
      <c r="D2906" s="3" t="s">
        <v>30</v>
      </c>
      <c r="E2906" s="3" t="s">
        <v>31</v>
      </c>
      <c r="F2906" s="3" t="b">
        <v>0</v>
      </c>
      <c r="G2906" s="3" t="s">
        <v>64</v>
      </c>
      <c r="H2906" s="6">
        <v>44949.669270833343</v>
      </c>
      <c r="I2906" s="3" t="b">
        <v>0</v>
      </c>
      <c r="J2906" s="3" t="b">
        <v>0</v>
      </c>
      <c r="K2906" s="3" t="s">
        <v>33</v>
      </c>
      <c r="L2906" s="3" t="s">
        <v>34</v>
      </c>
      <c r="M2906" s="8">
        <v>185000</v>
      </c>
      <c r="N2906" s="11"/>
      <c r="O2906" s="3" t="s">
        <v>2452</v>
      </c>
      <c r="P2906" s="3" t="s">
        <v>2453</v>
      </c>
    </row>
    <row r="2907" spans="1:16" x14ac:dyDescent="0.3">
      <c r="A2907" s="3" t="s">
        <v>72</v>
      </c>
      <c r="B2907" s="3" t="s">
        <v>1778</v>
      </c>
      <c r="C2907" s="3" t="s">
        <v>565</v>
      </c>
      <c r="D2907" s="3" t="s">
        <v>93</v>
      </c>
      <c r="E2907" s="3" t="s">
        <v>31</v>
      </c>
      <c r="F2907" s="3" t="b">
        <v>0</v>
      </c>
      <c r="G2907" s="3" t="s">
        <v>84</v>
      </c>
      <c r="H2907" s="6">
        <v>44936.264791666668</v>
      </c>
      <c r="I2907" s="3" t="b">
        <v>0</v>
      </c>
      <c r="J2907" s="3" t="b">
        <v>1</v>
      </c>
      <c r="K2907" s="3" t="s">
        <v>33</v>
      </c>
      <c r="L2907" s="3" t="s">
        <v>34</v>
      </c>
      <c r="M2907" s="8">
        <v>125000</v>
      </c>
      <c r="N2907" s="11"/>
      <c r="O2907" s="3" t="s">
        <v>541</v>
      </c>
      <c r="P2907" s="3" t="s">
        <v>2533</v>
      </c>
    </row>
    <row r="2908" spans="1:16" x14ac:dyDescent="0.3">
      <c r="A2908" s="3" t="s">
        <v>72</v>
      </c>
      <c r="B2908" s="3" t="s">
        <v>2534</v>
      </c>
      <c r="C2908" s="3" t="s">
        <v>87</v>
      </c>
      <c r="D2908" s="3" t="s">
        <v>53</v>
      </c>
      <c r="E2908" s="3" t="s">
        <v>31</v>
      </c>
      <c r="F2908" s="3" t="b">
        <v>1</v>
      </c>
      <c r="G2908" s="3" t="s">
        <v>32</v>
      </c>
      <c r="H2908" s="6">
        <v>44935.877962962957</v>
      </c>
      <c r="I2908" s="3" t="b">
        <v>0</v>
      </c>
      <c r="J2908" s="3" t="b">
        <v>0</v>
      </c>
      <c r="K2908" s="3" t="s">
        <v>33</v>
      </c>
      <c r="L2908" s="3" t="s">
        <v>48</v>
      </c>
      <c r="M2908" s="8"/>
      <c r="N2908" s="11">
        <v>61</v>
      </c>
      <c r="O2908" s="3" t="s">
        <v>2535</v>
      </c>
      <c r="P2908" s="3" t="s">
        <v>2536</v>
      </c>
    </row>
    <row r="2909" spans="1:16" x14ac:dyDescent="0.3">
      <c r="A2909" s="3" t="s">
        <v>72</v>
      </c>
      <c r="B2909" s="3" t="s">
        <v>2550</v>
      </c>
      <c r="C2909" s="3" t="s">
        <v>87</v>
      </c>
      <c r="D2909" s="3" t="s">
        <v>287</v>
      </c>
      <c r="E2909" s="3" t="s">
        <v>31</v>
      </c>
      <c r="F2909" s="3" t="b">
        <v>1</v>
      </c>
      <c r="G2909" s="3" t="s">
        <v>110</v>
      </c>
      <c r="H2909" s="6">
        <v>44935.982476851852</v>
      </c>
      <c r="I2909" s="3" t="b">
        <v>0</v>
      </c>
      <c r="J2909" s="3" t="b">
        <v>0</v>
      </c>
      <c r="K2909" s="3" t="s">
        <v>110</v>
      </c>
      <c r="L2909" s="3" t="s">
        <v>34</v>
      </c>
      <c r="M2909" s="8">
        <v>98856</v>
      </c>
      <c r="N2909" s="11"/>
      <c r="O2909" s="3" t="s">
        <v>2551</v>
      </c>
      <c r="P2909" s="3" t="s">
        <v>374</v>
      </c>
    </row>
    <row r="2910" spans="1:16" x14ac:dyDescent="0.3">
      <c r="A2910" s="3" t="s">
        <v>72</v>
      </c>
      <c r="B2910" s="3" t="s">
        <v>72</v>
      </c>
      <c r="C2910" s="3" t="s">
        <v>87</v>
      </c>
      <c r="D2910" s="3" t="s">
        <v>76</v>
      </c>
      <c r="E2910" s="3" t="s">
        <v>31</v>
      </c>
      <c r="F2910" s="3" t="b">
        <v>1</v>
      </c>
      <c r="G2910" s="3" t="s">
        <v>58</v>
      </c>
      <c r="H2910" s="6">
        <v>44931.003136574072</v>
      </c>
      <c r="I2910" s="3" t="b">
        <v>0</v>
      </c>
      <c r="J2910" s="3" t="b">
        <v>0</v>
      </c>
      <c r="K2910" s="3" t="s">
        <v>33</v>
      </c>
      <c r="L2910" s="3" t="s">
        <v>34</v>
      </c>
      <c r="M2910" s="8">
        <v>181950</v>
      </c>
      <c r="N2910" s="11"/>
      <c r="O2910" s="3" t="s">
        <v>2554</v>
      </c>
      <c r="P2910" s="3" t="s">
        <v>2555</v>
      </c>
    </row>
    <row r="2911" spans="1:16" x14ac:dyDescent="0.3">
      <c r="A2911" s="3" t="s">
        <v>72</v>
      </c>
      <c r="B2911" s="3" t="s">
        <v>2556</v>
      </c>
      <c r="C2911" s="3" t="s">
        <v>29</v>
      </c>
      <c r="D2911" s="3" t="s">
        <v>30</v>
      </c>
      <c r="E2911" s="3" t="s">
        <v>31</v>
      </c>
      <c r="F2911" s="3" t="b">
        <v>0</v>
      </c>
      <c r="G2911" s="3" t="s">
        <v>32</v>
      </c>
      <c r="H2911" s="6">
        <v>44937.253564814811</v>
      </c>
      <c r="I2911" s="3" t="b">
        <v>0</v>
      </c>
      <c r="J2911" s="3" t="b">
        <v>1</v>
      </c>
      <c r="K2911" s="3" t="s">
        <v>33</v>
      </c>
      <c r="L2911" s="3" t="s">
        <v>34</v>
      </c>
      <c r="M2911" s="8">
        <v>211511</v>
      </c>
      <c r="N2911" s="11"/>
      <c r="O2911" s="3" t="s">
        <v>35</v>
      </c>
      <c r="P2911" s="3" t="s">
        <v>1477</v>
      </c>
    </row>
    <row r="2912" spans="1:16" x14ac:dyDescent="0.3">
      <c r="A2912" s="3" t="s">
        <v>72</v>
      </c>
      <c r="B2912" s="3" t="s">
        <v>2568</v>
      </c>
      <c r="C2912" s="3" t="s">
        <v>87</v>
      </c>
      <c r="D2912" s="3" t="s">
        <v>830</v>
      </c>
      <c r="E2912" s="3" t="s">
        <v>133</v>
      </c>
      <c r="F2912" s="3" t="b">
        <v>1</v>
      </c>
      <c r="G2912" s="3" t="s">
        <v>764</v>
      </c>
      <c r="H2912" s="6">
        <v>44938.862766203703</v>
      </c>
      <c r="I2912" s="3" t="b">
        <v>0</v>
      </c>
      <c r="J2912" s="3" t="b">
        <v>0</v>
      </c>
      <c r="K2912" s="3" t="s">
        <v>764</v>
      </c>
      <c r="L2912" s="3" t="s">
        <v>34</v>
      </c>
      <c r="M2912" s="8">
        <v>75000</v>
      </c>
      <c r="N2912" s="11"/>
      <c r="O2912" s="3" t="s">
        <v>2569</v>
      </c>
      <c r="P2912" s="3" t="s">
        <v>2570</v>
      </c>
    </row>
    <row r="2913" spans="1:16" x14ac:dyDescent="0.3">
      <c r="A2913" s="3" t="s">
        <v>72</v>
      </c>
      <c r="B2913" s="3" t="s">
        <v>2574</v>
      </c>
      <c r="C2913" s="3" t="s">
        <v>87</v>
      </c>
      <c r="D2913" s="3" t="s">
        <v>263</v>
      </c>
      <c r="E2913" s="3" t="s">
        <v>133</v>
      </c>
      <c r="F2913" s="3" t="b">
        <v>1</v>
      </c>
      <c r="G2913" s="3" t="s">
        <v>58</v>
      </c>
      <c r="H2913" s="6">
        <v>44931.919560185182</v>
      </c>
      <c r="I2913" s="3" t="b">
        <v>0</v>
      </c>
      <c r="J2913" s="3" t="b">
        <v>0</v>
      </c>
      <c r="K2913" s="3" t="s">
        <v>33</v>
      </c>
      <c r="L2913" s="3" t="s">
        <v>48</v>
      </c>
      <c r="M2913" s="8"/>
      <c r="N2913" s="11">
        <v>50</v>
      </c>
      <c r="O2913" s="3" t="s">
        <v>264</v>
      </c>
      <c r="P2913" s="3"/>
    </row>
    <row r="2914" spans="1:16" x14ac:dyDescent="0.3">
      <c r="A2914" s="3" t="s">
        <v>72</v>
      </c>
      <c r="B2914" s="3" t="s">
        <v>2599</v>
      </c>
      <c r="C2914" s="3" t="s">
        <v>2600</v>
      </c>
      <c r="D2914" s="3" t="s">
        <v>41</v>
      </c>
      <c r="E2914" s="3" t="s">
        <v>31</v>
      </c>
      <c r="F2914" s="3" t="b">
        <v>0</v>
      </c>
      <c r="G2914" s="3" t="s">
        <v>1911</v>
      </c>
      <c r="H2914" s="6">
        <v>44938.407743055563</v>
      </c>
      <c r="I2914" s="3" t="b">
        <v>0</v>
      </c>
      <c r="J2914" s="3" t="b">
        <v>0</v>
      </c>
      <c r="K2914" s="3" t="s">
        <v>1911</v>
      </c>
      <c r="L2914" s="3" t="s">
        <v>34</v>
      </c>
      <c r="M2914" s="8">
        <v>79200</v>
      </c>
      <c r="N2914" s="11"/>
      <c r="O2914" s="3" t="s">
        <v>310</v>
      </c>
      <c r="P2914" s="3" t="s">
        <v>2601</v>
      </c>
    </row>
    <row r="2915" spans="1:16" x14ac:dyDescent="0.3">
      <c r="A2915" s="3" t="s">
        <v>72</v>
      </c>
      <c r="B2915" s="3" t="s">
        <v>2617</v>
      </c>
      <c r="C2915" s="3" t="s">
        <v>1877</v>
      </c>
      <c r="D2915" s="3" t="s">
        <v>1013</v>
      </c>
      <c r="E2915" s="3" t="s">
        <v>31</v>
      </c>
      <c r="F2915" s="3" t="b">
        <v>0</v>
      </c>
      <c r="G2915" s="3" t="s">
        <v>64</v>
      </c>
      <c r="H2915" s="6">
        <v>44956.210370370369</v>
      </c>
      <c r="I2915" s="3" t="b">
        <v>0</v>
      </c>
      <c r="J2915" s="3" t="b">
        <v>1</v>
      </c>
      <c r="K2915" s="3" t="s">
        <v>33</v>
      </c>
      <c r="L2915" s="3" t="s">
        <v>34</v>
      </c>
      <c r="M2915" s="8">
        <v>152650</v>
      </c>
      <c r="N2915" s="11"/>
      <c r="O2915" s="3" t="s">
        <v>784</v>
      </c>
      <c r="P2915" s="3" t="s">
        <v>2618</v>
      </c>
    </row>
    <row r="2916" spans="1:16" x14ac:dyDescent="0.3">
      <c r="A2916" s="3" t="s">
        <v>72</v>
      </c>
      <c r="B2916" s="3" t="s">
        <v>2630</v>
      </c>
      <c r="C2916" s="3" t="s">
        <v>1321</v>
      </c>
      <c r="D2916" s="3" t="s">
        <v>1599</v>
      </c>
      <c r="E2916" s="3" t="s">
        <v>31</v>
      </c>
      <c r="F2916" s="3" t="b">
        <v>0</v>
      </c>
      <c r="G2916" s="3" t="s">
        <v>32</v>
      </c>
      <c r="H2916" s="6">
        <v>44933.793553240743</v>
      </c>
      <c r="I2916" s="3" t="b">
        <v>0</v>
      </c>
      <c r="J2916" s="3" t="b">
        <v>1</v>
      </c>
      <c r="K2916" s="3" t="s">
        <v>33</v>
      </c>
      <c r="L2916" s="3" t="s">
        <v>34</v>
      </c>
      <c r="M2916" s="8">
        <v>245000</v>
      </c>
      <c r="N2916" s="11"/>
      <c r="O2916" s="3" t="s">
        <v>2377</v>
      </c>
      <c r="P2916" s="3" t="s">
        <v>210</v>
      </c>
    </row>
    <row r="2917" spans="1:16" x14ac:dyDescent="0.3">
      <c r="A2917" s="3" t="s">
        <v>72</v>
      </c>
      <c r="B2917" s="3" t="s">
        <v>2679</v>
      </c>
      <c r="C2917" s="3" t="s">
        <v>2680</v>
      </c>
      <c r="D2917" s="3" t="s">
        <v>41</v>
      </c>
      <c r="E2917" s="3" t="s">
        <v>31</v>
      </c>
      <c r="F2917" s="3" t="b">
        <v>0</v>
      </c>
      <c r="G2917" s="3" t="s">
        <v>836</v>
      </c>
      <c r="H2917" s="6">
        <v>44940.987442129634</v>
      </c>
      <c r="I2917" s="3" t="b">
        <v>0</v>
      </c>
      <c r="J2917" s="3" t="b">
        <v>0</v>
      </c>
      <c r="K2917" s="3" t="s">
        <v>836</v>
      </c>
      <c r="L2917" s="3" t="s">
        <v>34</v>
      </c>
      <c r="M2917" s="8">
        <v>79200</v>
      </c>
      <c r="N2917" s="11"/>
      <c r="O2917" s="3" t="s">
        <v>2681</v>
      </c>
      <c r="P2917" s="3" t="s">
        <v>2682</v>
      </c>
    </row>
    <row r="2918" spans="1:16" x14ac:dyDescent="0.3">
      <c r="A2918" s="3" t="s">
        <v>72</v>
      </c>
      <c r="B2918" s="3" t="s">
        <v>2725</v>
      </c>
      <c r="C2918" s="3" t="s">
        <v>1649</v>
      </c>
      <c r="D2918" s="3" t="s">
        <v>76</v>
      </c>
      <c r="E2918" s="3" t="s">
        <v>31</v>
      </c>
      <c r="F2918" s="3" t="b">
        <v>0</v>
      </c>
      <c r="G2918" s="3" t="s">
        <v>140</v>
      </c>
      <c r="H2918" s="6">
        <v>44929.857893518521</v>
      </c>
      <c r="I2918" s="3" t="b">
        <v>0</v>
      </c>
      <c r="J2918" s="3" t="b">
        <v>1</v>
      </c>
      <c r="K2918" s="3" t="s">
        <v>33</v>
      </c>
      <c r="L2918" s="3" t="s">
        <v>34</v>
      </c>
      <c r="M2918" s="8">
        <v>205000</v>
      </c>
      <c r="N2918" s="11"/>
      <c r="O2918" s="3" t="s">
        <v>2726</v>
      </c>
      <c r="P2918" s="3" t="s">
        <v>2727</v>
      </c>
    </row>
    <row r="2919" spans="1:16" x14ac:dyDescent="0.3">
      <c r="A2919" s="3" t="s">
        <v>72</v>
      </c>
      <c r="B2919" s="3" t="s">
        <v>2746</v>
      </c>
      <c r="C2919" s="3" t="s">
        <v>33</v>
      </c>
      <c r="D2919" s="3" t="s">
        <v>41</v>
      </c>
      <c r="E2919" s="3" t="s">
        <v>31</v>
      </c>
      <c r="F2919" s="3" t="b">
        <v>0</v>
      </c>
      <c r="G2919" s="3" t="s">
        <v>58</v>
      </c>
      <c r="H2919" s="6">
        <v>44943.029108796298</v>
      </c>
      <c r="I2919" s="3" t="b">
        <v>0</v>
      </c>
      <c r="J2919" s="3" t="b">
        <v>0</v>
      </c>
      <c r="K2919" s="3" t="s">
        <v>33</v>
      </c>
      <c r="L2919" s="3" t="s">
        <v>34</v>
      </c>
      <c r="M2919" s="8">
        <v>183000</v>
      </c>
      <c r="N2919" s="11"/>
      <c r="O2919" s="3" t="s">
        <v>2747</v>
      </c>
      <c r="P2919" s="3" t="s">
        <v>2748</v>
      </c>
    </row>
    <row r="2920" spans="1:16" x14ac:dyDescent="0.3">
      <c r="A2920" s="3" t="s">
        <v>72</v>
      </c>
      <c r="B2920" s="3" t="s">
        <v>2753</v>
      </c>
      <c r="C2920" s="3" t="s">
        <v>1458</v>
      </c>
      <c r="D2920" s="3" t="s">
        <v>2754</v>
      </c>
      <c r="E2920" s="3" t="s">
        <v>31</v>
      </c>
      <c r="F2920" s="3" t="b">
        <v>0</v>
      </c>
      <c r="G2920" s="3" t="s">
        <v>32</v>
      </c>
      <c r="H2920" s="6">
        <v>44945.765023148153</v>
      </c>
      <c r="I2920" s="3" t="b">
        <v>0</v>
      </c>
      <c r="J2920" s="3" t="b">
        <v>1</v>
      </c>
      <c r="K2920" s="3" t="s">
        <v>33</v>
      </c>
      <c r="L2920" s="3" t="s">
        <v>34</v>
      </c>
      <c r="M2920" s="8">
        <v>239080</v>
      </c>
      <c r="N2920" s="11"/>
      <c r="O2920" s="3" t="s">
        <v>1823</v>
      </c>
      <c r="P2920" s="3" t="s">
        <v>2755</v>
      </c>
    </row>
    <row r="2921" spans="1:16" x14ac:dyDescent="0.3">
      <c r="A2921" s="3" t="s">
        <v>72</v>
      </c>
      <c r="B2921" s="3" t="s">
        <v>2816</v>
      </c>
      <c r="C2921" s="3" t="s">
        <v>236</v>
      </c>
      <c r="D2921" s="3" t="s">
        <v>1013</v>
      </c>
      <c r="E2921" s="3" t="s">
        <v>31</v>
      </c>
      <c r="F2921" s="3" t="b">
        <v>0</v>
      </c>
      <c r="G2921" s="3" t="s">
        <v>140</v>
      </c>
      <c r="H2921" s="6">
        <v>44954.427997685183</v>
      </c>
      <c r="I2921" s="3" t="b">
        <v>0</v>
      </c>
      <c r="J2921" s="3" t="b">
        <v>1</v>
      </c>
      <c r="K2921" s="3" t="s">
        <v>33</v>
      </c>
      <c r="L2921" s="3" t="s">
        <v>34</v>
      </c>
      <c r="M2921" s="8">
        <v>242597</v>
      </c>
      <c r="N2921" s="11"/>
      <c r="O2921" s="3" t="s">
        <v>238</v>
      </c>
      <c r="P2921" s="3" t="s">
        <v>501</v>
      </c>
    </row>
    <row r="2922" spans="1:16" x14ac:dyDescent="0.3">
      <c r="A2922" s="3" t="s">
        <v>72</v>
      </c>
      <c r="B2922" s="3" t="s">
        <v>72</v>
      </c>
      <c r="C2922" s="3" t="s">
        <v>87</v>
      </c>
      <c r="D2922" s="3" t="s">
        <v>30</v>
      </c>
      <c r="E2922" s="3" t="s">
        <v>31</v>
      </c>
      <c r="F2922" s="3" t="b">
        <v>1</v>
      </c>
      <c r="G2922" s="3" t="s">
        <v>110</v>
      </c>
      <c r="H2922" s="6">
        <v>44937.909375000003</v>
      </c>
      <c r="I2922" s="3" t="b">
        <v>0</v>
      </c>
      <c r="J2922" s="3" t="b">
        <v>1</v>
      </c>
      <c r="K2922" s="3" t="s">
        <v>110</v>
      </c>
      <c r="L2922" s="3" t="s">
        <v>34</v>
      </c>
      <c r="M2922" s="8">
        <v>175000</v>
      </c>
      <c r="N2922" s="11"/>
      <c r="O2922" s="3" t="s">
        <v>196</v>
      </c>
      <c r="P2922" s="3" t="s">
        <v>2835</v>
      </c>
    </row>
    <row r="2923" spans="1:16" x14ac:dyDescent="0.3">
      <c r="A2923" s="3" t="s">
        <v>72</v>
      </c>
      <c r="B2923" s="3" t="s">
        <v>72</v>
      </c>
      <c r="C2923" s="3" t="s">
        <v>1462</v>
      </c>
      <c r="D2923" s="3" t="s">
        <v>93</v>
      </c>
      <c r="E2923" s="3" t="s">
        <v>31</v>
      </c>
      <c r="F2923" s="3" t="b">
        <v>0</v>
      </c>
      <c r="G2923" s="3" t="s">
        <v>110</v>
      </c>
      <c r="H2923" s="6">
        <v>44939.182118055563</v>
      </c>
      <c r="I2923" s="3" t="b">
        <v>0</v>
      </c>
      <c r="J2923" s="3" t="b">
        <v>0</v>
      </c>
      <c r="K2923" s="3" t="s">
        <v>110</v>
      </c>
      <c r="L2923" s="3" t="s">
        <v>34</v>
      </c>
      <c r="M2923" s="8">
        <v>90000</v>
      </c>
      <c r="N2923" s="11"/>
      <c r="O2923" s="3" t="s">
        <v>1438</v>
      </c>
      <c r="P2923" s="3"/>
    </row>
    <row r="2924" spans="1:16" x14ac:dyDescent="0.3">
      <c r="A2924" s="3" t="s">
        <v>72</v>
      </c>
      <c r="B2924" s="3" t="s">
        <v>711</v>
      </c>
      <c r="C2924" s="3" t="s">
        <v>164</v>
      </c>
      <c r="D2924" s="3" t="s">
        <v>712</v>
      </c>
      <c r="E2924" s="3" t="s">
        <v>31</v>
      </c>
      <c r="F2924" s="3" t="b">
        <v>0</v>
      </c>
      <c r="G2924" s="3" t="s">
        <v>64</v>
      </c>
      <c r="H2924" s="6">
        <v>44937.669409722221</v>
      </c>
      <c r="I2924" s="3" t="b">
        <v>0</v>
      </c>
      <c r="J2924" s="3" t="b">
        <v>1</v>
      </c>
      <c r="K2924" s="3" t="s">
        <v>33</v>
      </c>
      <c r="L2924" s="3" t="s">
        <v>34</v>
      </c>
      <c r="M2924" s="8">
        <v>176500</v>
      </c>
      <c r="N2924" s="11"/>
      <c r="O2924" s="3" t="s">
        <v>2881</v>
      </c>
      <c r="P2924" s="3" t="s">
        <v>2316</v>
      </c>
    </row>
    <row r="2925" spans="1:16" x14ac:dyDescent="0.3">
      <c r="A2925" s="3" t="s">
        <v>72</v>
      </c>
      <c r="B2925" s="3" t="s">
        <v>2891</v>
      </c>
      <c r="C2925" s="3" t="s">
        <v>92</v>
      </c>
      <c r="D2925" s="3" t="s">
        <v>93</v>
      </c>
      <c r="E2925" s="3" t="s">
        <v>31</v>
      </c>
      <c r="F2925" s="3" t="b">
        <v>0</v>
      </c>
      <c r="G2925" s="3" t="s">
        <v>84</v>
      </c>
      <c r="H2925" s="6">
        <v>44931.461597222216</v>
      </c>
      <c r="I2925" s="3" t="b">
        <v>0</v>
      </c>
      <c r="J2925" s="3" t="b">
        <v>1</v>
      </c>
      <c r="K2925" s="3" t="s">
        <v>33</v>
      </c>
      <c r="L2925" s="3" t="s">
        <v>34</v>
      </c>
      <c r="M2925" s="8">
        <v>150000</v>
      </c>
      <c r="N2925" s="11"/>
      <c r="O2925" s="3" t="s">
        <v>2892</v>
      </c>
      <c r="P2925" s="3" t="s">
        <v>2893</v>
      </c>
    </row>
    <row r="2926" spans="1:16" x14ac:dyDescent="0.3">
      <c r="A2926" s="3" t="s">
        <v>72</v>
      </c>
      <c r="B2926" s="3" t="s">
        <v>1506</v>
      </c>
      <c r="C2926" s="3" t="s">
        <v>87</v>
      </c>
      <c r="D2926" s="3" t="s">
        <v>30</v>
      </c>
      <c r="E2926" s="3" t="s">
        <v>31</v>
      </c>
      <c r="F2926" s="3" t="b">
        <v>1</v>
      </c>
      <c r="G2926" s="3" t="s">
        <v>110</v>
      </c>
      <c r="H2926" s="6">
        <v>44945.622604166667</v>
      </c>
      <c r="I2926" s="3" t="b">
        <v>0</v>
      </c>
      <c r="J2926" s="3" t="b">
        <v>0</v>
      </c>
      <c r="K2926" s="3" t="s">
        <v>110</v>
      </c>
      <c r="L2926" s="3" t="s">
        <v>34</v>
      </c>
      <c r="M2926" s="8">
        <v>165000</v>
      </c>
      <c r="N2926" s="11"/>
      <c r="O2926" s="3" t="s">
        <v>196</v>
      </c>
      <c r="P2926" s="3" t="s">
        <v>2940</v>
      </c>
    </row>
    <row r="2927" spans="1:16" x14ac:dyDescent="0.3">
      <c r="A2927" s="3" t="s">
        <v>72</v>
      </c>
      <c r="B2927" s="3" t="s">
        <v>72</v>
      </c>
      <c r="C2927" s="3" t="s">
        <v>2039</v>
      </c>
      <c r="D2927" s="3" t="s">
        <v>41</v>
      </c>
      <c r="E2927" s="3" t="s">
        <v>31</v>
      </c>
      <c r="F2927" s="3" t="b">
        <v>0</v>
      </c>
      <c r="G2927" s="3" t="s">
        <v>651</v>
      </c>
      <c r="H2927" s="6">
        <v>44953.484097222223</v>
      </c>
      <c r="I2927" s="3" t="b">
        <v>0</v>
      </c>
      <c r="J2927" s="3" t="b">
        <v>0</v>
      </c>
      <c r="K2927" s="3" t="s">
        <v>651</v>
      </c>
      <c r="L2927" s="3" t="s">
        <v>34</v>
      </c>
      <c r="M2927" s="8">
        <v>157500</v>
      </c>
      <c r="N2927" s="11"/>
      <c r="O2927" s="3" t="s">
        <v>360</v>
      </c>
      <c r="P2927" s="3" t="s">
        <v>2975</v>
      </c>
    </row>
    <row r="2928" spans="1:16" x14ac:dyDescent="0.3">
      <c r="A2928" s="3" t="s">
        <v>72</v>
      </c>
      <c r="B2928" s="3" t="s">
        <v>2982</v>
      </c>
      <c r="C2928" s="3" t="s">
        <v>2039</v>
      </c>
      <c r="D2928" s="3" t="s">
        <v>41</v>
      </c>
      <c r="E2928" s="3" t="s">
        <v>31</v>
      </c>
      <c r="F2928" s="3" t="b">
        <v>0</v>
      </c>
      <c r="G2928" s="3" t="s">
        <v>651</v>
      </c>
      <c r="H2928" s="6">
        <v>44931.149884259263</v>
      </c>
      <c r="I2928" s="3" t="b">
        <v>0</v>
      </c>
      <c r="J2928" s="3" t="b">
        <v>0</v>
      </c>
      <c r="K2928" s="3" t="s">
        <v>651</v>
      </c>
      <c r="L2928" s="3" t="s">
        <v>34</v>
      </c>
      <c r="M2928" s="8">
        <v>157500</v>
      </c>
      <c r="N2928" s="11"/>
      <c r="O2928" s="3" t="s">
        <v>2983</v>
      </c>
      <c r="P2928" s="3" t="s">
        <v>2984</v>
      </c>
    </row>
    <row r="2929" spans="1:16" x14ac:dyDescent="0.3">
      <c r="A2929" s="3" t="s">
        <v>72</v>
      </c>
      <c r="B2929" s="3" t="s">
        <v>3044</v>
      </c>
      <c r="C2929" s="3" t="s">
        <v>87</v>
      </c>
      <c r="D2929" s="3" t="s">
        <v>30</v>
      </c>
      <c r="E2929" s="3" t="s">
        <v>31</v>
      </c>
      <c r="F2929" s="3" t="b">
        <v>1</v>
      </c>
      <c r="G2929" s="3" t="s">
        <v>84</v>
      </c>
      <c r="H2929" s="6">
        <v>44943.33766203704</v>
      </c>
      <c r="I2929" s="3" t="b">
        <v>0</v>
      </c>
      <c r="J2929" s="3" t="b">
        <v>1</v>
      </c>
      <c r="K2929" s="3" t="s">
        <v>33</v>
      </c>
      <c r="L2929" s="3" t="s">
        <v>34</v>
      </c>
      <c r="M2929" s="8">
        <v>135000</v>
      </c>
      <c r="N2929" s="11"/>
      <c r="O2929" s="3" t="s">
        <v>158</v>
      </c>
      <c r="P2929" s="3" t="s">
        <v>3045</v>
      </c>
    </row>
    <row r="2930" spans="1:16" x14ac:dyDescent="0.3">
      <c r="A2930" s="3" t="s">
        <v>72</v>
      </c>
      <c r="B2930" s="3" t="s">
        <v>1506</v>
      </c>
      <c r="C2930" s="3" t="s">
        <v>87</v>
      </c>
      <c r="D2930" s="3" t="s">
        <v>30</v>
      </c>
      <c r="E2930" s="3" t="s">
        <v>31</v>
      </c>
      <c r="F2930" s="3" t="b">
        <v>1</v>
      </c>
      <c r="G2930" s="3" t="s">
        <v>110</v>
      </c>
      <c r="H2930" s="6">
        <v>44943.743078703701</v>
      </c>
      <c r="I2930" s="3" t="b">
        <v>0</v>
      </c>
      <c r="J2930" s="3" t="b">
        <v>0</v>
      </c>
      <c r="K2930" s="3" t="s">
        <v>110</v>
      </c>
      <c r="L2930" s="3" t="s">
        <v>34</v>
      </c>
      <c r="M2930" s="8">
        <v>165000</v>
      </c>
      <c r="N2930" s="11"/>
      <c r="O2930" s="3" t="s">
        <v>196</v>
      </c>
      <c r="P2930" s="3" t="s">
        <v>2940</v>
      </c>
    </row>
    <row r="2931" spans="1:16" x14ac:dyDescent="0.3">
      <c r="A2931" s="3" t="s">
        <v>72</v>
      </c>
      <c r="B2931" s="3" t="s">
        <v>3048</v>
      </c>
      <c r="C2931" s="3" t="s">
        <v>651</v>
      </c>
      <c r="D2931" s="3" t="s">
        <v>41</v>
      </c>
      <c r="E2931" s="3" t="s">
        <v>31</v>
      </c>
      <c r="F2931" s="3" t="b">
        <v>0</v>
      </c>
      <c r="G2931" s="3" t="s">
        <v>651</v>
      </c>
      <c r="H2931" s="6">
        <v>44947.431377314817</v>
      </c>
      <c r="I2931" s="3" t="b">
        <v>1</v>
      </c>
      <c r="J2931" s="3" t="b">
        <v>0</v>
      </c>
      <c r="K2931" s="3" t="s">
        <v>651</v>
      </c>
      <c r="L2931" s="3" t="s">
        <v>34</v>
      </c>
      <c r="M2931" s="8">
        <v>157500</v>
      </c>
      <c r="N2931" s="11"/>
      <c r="O2931" s="3" t="s">
        <v>2368</v>
      </c>
      <c r="P2931" s="3" t="s">
        <v>3049</v>
      </c>
    </row>
    <row r="2932" spans="1:16" x14ac:dyDescent="0.3">
      <c r="A2932" s="3" t="s">
        <v>72</v>
      </c>
      <c r="B2932" s="3" t="s">
        <v>3080</v>
      </c>
      <c r="C2932" s="3" t="s">
        <v>305</v>
      </c>
      <c r="D2932" s="3" t="s">
        <v>1194</v>
      </c>
      <c r="E2932" s="3" t="s">
        <v>31</v>
      </c>
      <c r="F2932" s="3" t="b">
        <v>0</v>
      </c>
      <c r="G2932" s="3" t="s">
        <v>32</v>
      </c>
      <c r="H2932" s="6">
        <v>44949.544571759259</v>
      </c>
      <c r="I2932" s="3" t="b">
        <v>0</v>
      </c>
      <c r="J2932" s="3" t="b">
        <v>1</v>
      </c>
      <c r="K2932" s="3" t="s">
        <v>33</v>
      </c>
      <c r="L2932" s="3" t="s">
        <v>34</v>
      </c>
      <c r="M2932" s="8">
        <v>155000</v>
      </c>
      <c r="N2932" s="11"/>
      <c r="O2932" s="3" t="s">
        <v>196</v>
      </c>
      <c r="P2932" s="3" t="s">
        <v>979</v>
      </c>
    </row>
    <row r="2933" spans="1:16" x14ac:dyDescent="0.3">
      <c r="A2933" s="3" t="s">
        <v>72</v>
      </c>
      <c r="B2933" s="3" t="s">
        <v>3095</v>
      </c>
      <c r="C2933" s="3" t="s">
        <v>3096</v>
      </c>
      <c r="D2933" s="3" t="s">
        <v>827</v>
      </c>
      <c r="E2933" s="3" t="s">
        <v>31</v>
      </c>
      <c r="F2933" s="3" t="b">
        <v>0</v>
      </c>
      <c r="G2933" s="3" t="s">
        <v>64</v>
      </c>
      <c r="H2933" s="6">
        <v>44928.251608796287</v>
      </c>
      <c r="I2933" s="3" t="b">
        <v>0</v>
      </c>
      <c r="J2933" s="3" t="b">
        <v>0</v>
      </c>
      <c r="K2933" s="3" t="s">
        <v>33</v>
      </c>
      <c r="L2933" s="3" t="s">
        <v>34</v>
      </c>
      <c r="M2933" s="8">
        <v>222589</v>
      </c>
      <c r="N2933" s="11"/>
      <c r="O2933" s="3" t="s">
        <v>238</v>
      </c>
      <c r="P2933" s="3" t="s">
        <v>501</v>
      </c>
    </row>
    <row r="2934" spans="1:16" x14ac:dyDescent="0.3">
      <c r="A2934" s="3" t="s">
        <v>72</v>
      </c>
      <c r="B2934" s="3" t="s">
        <v>2062</v>
      </c>
      <c r="C2934" s="3" t="s">
        <v>3099</v>
      </c>
      <c r="D2934" s="3" t="s">
        <v>93</v>
      </c>
      <c r="E2934" s="3" t="s">
        <v>31</v>
      </c>
      <c r="F2934" s="3" t="b">
        <v>0</v>
      </c>
      <c r="G2934" s="3" t="s">
        <v>64</v>
      </c>
      <c r="H2934" s="6">
        <v>44938.252071759263</v>
      </c>
      <c r="I2934" s="3" t="b">
        <v>0</v>
      </c>
      <c r="J2934" s="3" t="b">
        <v>1</v>
      </c>
      <c r="K2934" s="3" t="s">
        <v>33</v>
      </c>
      <c r="L2934" s="3" t="s">
        <v>34</v>
      </c>
      <c r="M2934" s="8">
        <v>125000</v>
      </c>
      <c r="N2934" s="11"/>
      <c r="O2934" s="3" t="s">
        <v>3100</v>
      </c>
      <c r="P2934" s="3" t="s">
        <v>3101</v>
      </c>
    </row>
    <row r="2935" spans="1:16" x14ac:dyDescent="0.3">
      <c r="A2935" s="3" t="s">
        <v>72</v>
      </c>
      <c r="B2935" s="3" t="s">
        <v>3102</v>
      </c>
      <c r="C2935" s="3" t="s">
        <v>1159</v>
      </c>
      <c r="D2935" s="3" t="s">
        <v>93</v>
      </c>
      <c r="E2935" s="3" t="s">
        <v>31</v>
      </c>
      <c r="F2935" s="3" t="b">
        <v>0</v>
      </c>
      <c r="G2935" s="3" t="s">
        <v>64</v>
      </c>
      <c r="H2935" s="6">
        <v>44938.460451388892</v>
      </c>
      <c r="I2935" s="3" t="b">
        <v>0</v>
      </c>
      <c r="J2935" s="3" t="b">
        <v>1</v>
      </c>
      <c r="K2935" s="3" t="s">
        <v>33</v>
      </c>
      <c r="L2935" s="3" t="s">
        <v>34</v>
      </c>
      <c r="M2935" s="8">
        <v>125000</v>
      </c>
      <c r="N2935" s="11"/>
      <c r="O2935" s="3" t="s">
        <v>3042</v>
      </c>
      <c r="P2935" s="3" t="s">
        <v>3103</v>
      </c>
    </row>
    <row r="2936" spans="1:16" x14ac:dyDescent="0.3">
      <c r="A2936" s="3" t="s">
        <v>72</v>
      </c>
      <c r="B2936" s="3" t="s">
        <v>72</v>
      </c>
      <c r="C2936" s="3" t="s">
        <v>164</v>
      </c>
      <c r="D2936" s="3" t="s">
        <v>30</v>
      </c>
      <c r="E2936" s="3" t="s">
        <v>31</v>
      </c>
      <c r="F2936" s="3" t="b">
        <v>0</v>
      </c>
      <c r="G2936" s="3" t="s">
        <v>64</v>
      </c>
      <c r="H2936" s="6">
        <v>44946.597488425927</v>
      </c>
      <c r="I2936" s="3" t="b">
        <v>0</v>
      </c>
      <c r="J2936" s="3" t="b">
        <v>0</v>
      </c>
      <c r="K2936" s="3" t="s">
        <v>33</v>
      </c>
      <c r="L2936" s="3" t="s">
        <v>34</v>
      </c>
      <c r="M2936" s="8">
        <v>180000</v>
      </c>
      <c r="N2936" s="11"/>
      <c r="O2936" s="3" t="s">
        <v>617</v>
      </c>
      <c r="P2936" s="3"/>
    </row>
    <row r="2937" spans="1:16" x14ac:dyDescent="0.3">
      <c r="A2937" s="3" t="s">
        <v>72</v>
      </c>
      <c r="B2937" s="3" t="s">
        <v>3169</v>
      </c>
      <c r="C2937" s="3" t="s">
        <v>1368</v>
      </c>
      <c r="D2937" s="3" t="s">
        <v>3170</v>
      </c>
      <c r="E2937" s="3" t="s">
        <v>31</v>
      </c>
      <c r="F2937" s="3" t="b">
        <v>0</v>
      </c>
      <c r="G2937" s="3" t="s">
        <v>88</v>
      </c>
      <c r="H2937" s="6">
        <v>44929.982905092591</v>
      </c>
      <c r="I2937" s="3" t="b">
        <v>0</v>
      </c>
      <c r="J2937" s="3" t="b">
        <v>0</v>
      </c>
      <c r="K2937" s="3" t="s">
        <v>33</v>
      </c>
      <c r="L2937" s="3" t="s">
        <v>48</v>
      </c>
      <c r="M2937" s="8"/>
      <c r="N2937" s="11">
        <v>24</v>
      </c>
      <c r="O2937" s="3" t="s">
        <v>194</v>
      </c>
      <c r="P2937" s="3" t="s">
        <v>3171</v>
      </c>
    </row>
    <row r="2938" spans="1:16" x14ac:dyDescent="0.3">
      <c r="A2938" s="3" t="s">
        <v>72</v>
      </c>
      <c r="B2938" s="3" t="s">
        <v>72</v>
      </c>
      <c r="C2938" s="3" t="s">
        <v>87</v>
      </c>
      <c r="D2938" s="3" t="s">
        <v>30</v>
      </c>
      <c r="E2938" s="3" t="s">
        <v>133</v>
      </c>
      <c r="F2938" s="3" t="b">
        <v>1</v>
      </c>
      <c r="G2938" s="3" t="s">
        <v>84</v>
      </c>
      <c r="H2938" s="6">
        <v>44931.795127314806</v>
      </c>
      <c r="I2938" s="3" t="b">
        <v>0</v>
      </c>
      <c r="J2938" s="3" t="b">
        <v>0</v>
      </c>
      <c r="K2938" s="3" t="s">
        <v>33</v>
      </c>
      <c r="L2938" s="3" t="s">
        <v>48</v>
      </c>
      <c r="M2938" s="8"/>
      <c r="N2938" s="11">
        <v>106.5</v>
      </c>
      <c r="O2938" s="3" t="s">
        <v>3183</v>
      </c>
      <c r="P2938" s="3" t="s">
        <v>3184</v>
      </c>
    </row>
    <row r="2939" spans="1:16" x14ac:dyDescent="0.3">
      <c r="A2939" s="3" t="s">
        <v>72</v>
      </c>
      <c r="B2939" s="3" t="s">
        <v>3187</v>
      </c>
      <c r="C2939" s="3" t="s">
        <v>358</v>
      </c>
      <c r="D2939" s="3" t="s">
        <v>41</v>
      </c>
      <c r="E2939" s="3" t="s">
        <v>31</v>
      </c>
      <c r="F2939" s="3" t="b">
        <v>0</v>
      </c>
      <c r="G2939" s="3" t="s">
        <v>359</v>
      </c>
      <c r="H2939" s="6">
        <v>44951.563159722216</v>
      </c>
      <c r="I2939" s="3" t="b">
        <v>0</v>
      </c>
      <c r="J2939" s="3" t="b">
        <v>0</v>
      </c>
      <c r="K2939" s="3" t="s">
        <v>359</v>
      </c>
      <c r="L2939" s="3" t="s">
        <v>34</v>
      </c>
      <c r="M2939" s="8">
        <v>89100</v>
      </c>
      <c r="N2939" s="11"/>
      <c r="O2939" s="3" t="s">
        <v>3188</v>
      </c>
      <c r="P2939" s="3" t="s">
        <v>3189</v>
      </c>
    </row>
    <row r="2940" spans="1:16" x14ac:dyDescent="0.3">
      <c r="A2940" s="3" t="s">
        <v>72</v>
      </c>
      <c r="B2940" s="3" t="s">
        <v>72</v>
      </c>
      <c r="C2940" s="3" t="s">
        <v>83</v>
      </c>
      <c r="D2940" s="3" t="s">
        <v>30</v>
      </c>
      <c r="E2940" s="3" t="s">
        <v>31</v>
      </c>
      <c r="F2940" s="3" t="b">
        <v>0</v>
      </c>
      <c r="G2940" s="3" t="s">
        <v>64</v>
      </c>
      <c r="H2940" s="6">
        <v>44932.419282407413</v>
      </c>
      <c r="I2940" s="3" t="b">
        <v>0</v>
      </c>
      <c r="J2940" s="3" t="b">
        <v>1</v>
      </c>
      <c r="K2940" s="3" t="s">
        <v>33</v>
      </c>
      <c r="L2940" s="3" t="s">
        <v>34</v>
      </c>
      <c r="M2940" s="8">
        <v>170000</v>
      </c>
      <c r="N2940" s="11"/>
      <c r="O2940" s="3" t="s">
        <v>507</v>
      </c>
      <c r="P2940" s="3"/>
    </row>
    <row r="2941" spans="1:16" x14ac:dyDescent="0.3">
      <c r="A2941" s="3" t="s">
        <v>72</v>
      </c>
      <c r="B2941" s="3" t="s">
        <v>72</v>
      </c>
      <c r="C2941" s="3" t="s">
        <v>178</v>
      </c>
      <c r="D2941" s="3" t="s">
        <v>41</v>
      </c>
      <c r="E2941" s="3" t="s">
        <v>31</v>
      </c>
      <c r="F2941" s="3" t="b">
        <v>0</v>
      </c>
      <c r="G2941" s="3" t="s">
        <v>32</v>
      </c>
      <c r="H2941" s="6">
        <v>44952.127592592587</v>
      </c>
      <c r="I2941" s="3" t="b">
        <v>0</v>
      </c>
      <c r="J2941" s="3" t="b">
        <v>0</v>
      </c>
      <c r="K2941" s="3" t="s">
        <v>33</v>
      </c>
      <c r="L2941" s="3" t="s">
        <v>34</v>
      </c>
      <c r="M2941" s="8">
        <v>157500</v>
      </c>
      <c r="N2941" s="11"/>
      <c r="O2941" s="3" t="s">
        <v>3200</v>
      </c>
      <c r="P2941" s="3" t="s">
        <v>1968</v>
      </c>
    </row>
    <row r="2942" spans="1:16" x14ac:dyDescent="0.3">
      <c r="A2942" s="3" t="s">
        <v>72</v>
      </c>
      <c r="B2942" s="3" t="s">
        <v>157</v>
      </c>
      <c r="C2942" s="3" t="s">
        <v>87</v>
      </c>
      <c r="D2942" s="3" t="s">
        <v>30</v>
      </c>
      <c r="E2942" s="3" t="s">
        <v>31</v>
      </c>
      <c r="F2942" s="3" t="b">
        <v>1</v>
      </c>
      <c r="G2942" s="3" t="s">
        <v>110</v>
      </c>
      <c r="H2942" s="6">
        <v>44943.326365740737</v>
      </c>
      <c r="I2942" s="3" t="b">
        <v>0</v>
      </c>
      <c r="J2942" s="3" t="b">
        <v>1</v>
      </c>
      <c r="K2942" s="3" t="s">
        <v>110</v>
      </c>
      <c r="L2942" s="3" t="s">
        <v>34</v>
      </c>
      <c r="M2942" s="8">
        <v>135000</v>
      </c>
      <c r="N2942" s="11"/>
      <c r="O2942" s="3" t="s">
        <v>158</v>
      </c>
      <c r="P2942" s="3" t="s">
        <v>159</v>
      </c>
    </row>
    <row r="2943" spans="1:16" x14ac:dyDescent="0.3">
      <c r="A2943" s="3" t="s">
        <v>72</v>
      </c>
      <c r="B2943" s="3" t="s">
        <v>3222</v>
      </c>
      <c r="C2943" s="3" t="s">
        <v>87</v>
      </c>
      <c r="D2943" s="3" t="s">
        <v>30</v>
      </c>
      <c r="E2943" s="3" t="s">
        <v>31</v>
      </c>
      <c r="F2943" s="3" t="b">
        <v>1</v>
      </c>
      <c r="G2943" s="3" t="s">
        <v>32</v>
      </c>
      <c r="H2943" s="6">
        <v>44932.752835648149</v>
      </c>
      <c r="I2943" s="3" t="b">
        <v>0</v>
      </c>
      <c r="J2943" s="3" t="b">
        <v>0</v>
      </c>
      <c r="K2943" s="3" t="s">
        <v>33</v>
      </c>
      <c r="L2943" s="3" t="s">
        <v>34</v>
      </c>
      <c r="M2943" s="8">
        <v>167500</v>
      </c>
      <c r="N2943" s="11"/>
      <c r="O2943" s="3" t="s">
        <v>646</v>
      </c>
      <c r="P2943" s="3" t="s">
        <v>3223</v>
      </c>
    </row>
    <row r="2944" spans="1:16" x14ac:dyDescent="0.3">
      <c r="A2944" s="3" t="s">
        <v>72</v>
      </c>
      <c r="B2944" s="3" t="s">
        <v>3236</v>
      </c>
      <c r="C2944" s="3" t="s">
        <v>3237</v>
      </c>
      <c r="D2944" s="3" t="s">
        <v>3238</v>
      </c>
      <c r="E2944" s="3" t="s">
        <v>31</v>
      </c>
      <c r="F2944" s="3" t="b">
        <v>0</v>
      </c>
      <c r="G2944" s="3" t="s">
        <v>110</v>
      </c>
      <c r="H2944" s="6">
        <v>44945.997511574067</v>
      </c>
      <c r="I2944" s="3" t="b">
        <v>0</v>
      </c>
      <c r="J2944" s="3" t="b">
        <v>1</v>
      </c>
      <c r="K2944" s="3" t="s">
        <v>110</v>
      </c>
      <c r="L2944" s="3" t="s">
        <v>48</v>
      </c>
      <c r="M2944" s="8"/>
      <c r="N2944" s="11">
        <v>24</v>
      </c>
      <c r="O2944" s="3" t="s">
        <v>541</v>
      </c>
      <c r="P2944" s="3" t="s">
        <v>3239</v>
      </c>
    </row>
    <row r="2945" spans="1:16" x14ac:dyDescent="0.3">
      <c r="A2945" s="3" t="s">
        <v>72</v>
      </c>
      <c r="B2945" s="3" t="s">
        <v>72</v>
      </c>
      <c r="C2945" s="3" t="s">
        <v>87</v>
      </c>
      <c r="D2945" s="3" t="s">
        <v>30</v>
      </c>
      <c r="E2945" s="3" t="s">
        <v>31</v>
      </c>
      <c r="F2945" s="3" t="b">
        <v>1</v>
      </c>
      <c r="G2945" s="3" t="s">
        <v>110</v>
      </c>
      <c r="H2945" s="6">
        <v>44930.664930555547</v>
      </c>
      <c r="I2945" s="3" t="b">
        <v>0</v>
      </c>
      <c r="J2945" s="3" t="b">
        <v>0</v>
      </c>
      <c r="K2945" s="3" t="s">
        <v>110</v>
      </c>
      <c r="L2945" s="3" t="s">
        <v>34</v>
      </c>
      <c r="M2945" s="8">
        <v>140000</v>
      </c>
      <c r="N2945" s="11"/>
      <c r="O2945" s="3" t="s">
        <v>1679</v>
      </c>
      <c r="P2945" s="3" t="s">
        <v>3254</v>
      </c>
    </row>
    <row r="2946" spans="1:16" x14ac:dyDescent="0.3">
      <c r="A2946" s="3" t="s">
        <v>72</v>
      </c>
      <c r="B2946" s="3" t="s">
        <v>72</v>
      </c>
      <c r="C2946" s="3" t="s">
        <v>3258</v>
      </c>
      <c r="D2946" s="3" t="s">
        <v>830</v>
      </c>
      <c r="E2946" s="3" t="s">
        <v>31</v>
      </c>
      <c r="F2946" s="3" t="b">
        <v>0</v>
      </c>
      <c r="G2946" s="3" t="s">
        <v>64</v>
      </c>
      <c r="H2946" s="6">
        <v>44930.646909722222</v>
      </c>
      <c r="I2946" s="3" t="b">
        <v>0</v>
      </c>
      <c r="J2946" s="3" t="b">
        <v>0</v>
      </c>
      <c r="K2946" s="3" t="s">
        <v>33</v>
      </c>
      <c r="L2946" s="3" t="s">
        <v>34</v>
      </c>
      <c r="M2946" s="8">
        <v>107500</v>
      </c>
      <c r="N2946" s="11"/>
      <c r="O2946" s="3" t="s">
        <v>3259</v>
      </c>
      <c r="P2946" s="3" t="s">
        <v>3260</v>
      </c>
    </row>
    <row r="2947" spans="1:16" x14ac:dyDescent="0.3">
      <c r="A2947" s="3" t="s">
        <v>72</v>
      </c>
      <c r="B2947" s="3" t="s">
        <v>72</v>
      </c>
      <c r="C2947" s="3" t="s">
        <v>164</v>
      </c>
      <c r="D2947" s="3" t="s">
        <v>93</v>
      </c>
      <c r="E2947" s="3" t="s">
        <v>31</v>
      </c>
      <c r="F2947" s="3" t="b">
        <v>0</v>
      </c>
      <c r="G2947" s="3" t="s">
        <v>64</v>
      </c>
      <c r="H2947" s="6">
        <v>44938.293668981481</v>
      </c>
      <c r="I2947" s="3" t="b">
        <v>0</v>
      </c>
      <c r="J2947" s="3" t="b">
        <v>0</v>
      </c>
      <c r="K2947" s="3" t="s">
        <v>33</v>
      </c>
      <c r="L2947" s="3" t="s">
        <v>34</v>
      </c>
      <c r="M2947" s="8">
        <v>90000</v>
      </c>
      <c r="N2947" s="11"/>
      <c r="O2947" s="3" t="s">
        <v>3279</v>
      </c>
      <c r="P2947" s="3" t="s">
        <v>1255</v>
      </c>
    </row>
    <row r="2948" spans="1:16" x14ac:dyDescent="0.3">
      <c r="A2948" s="3" t="s">
        <v>72</v>
      </c>
      <c r="B2948" s="3" t="s">
        <v>3284</v>
      </c>
      <c r="C2948" s="3" t="s">
        <v>321</v>
      </c>
      <c r="D2948" s="3" t="s">
        <v>53</v>
      </c>
      <c r="E2948" s="3" t="s">
        <v>31</v>
      </c>
      <c r="F2948" s="3" t="b">
        <v>0</v>
      </c>
      <c r="G2948" s="3" t="s">
        <v>140</v>
      </c>
      <c r="H2948" s="6">
        <v>44940.822280092587</v>
      </c>
      <c r="I2948" s="3" t="b">
        <v>0</v>
      </c>
      <c r="J2948" s="3" t="b">
        <v>1</v>
      </c>
      <c r="K2948" s="3" t="s">
        <v>33</v>
      </c>
      <c r="L2948" s="3" t="s">
        <v>34</v>
      </c>
      <c r="M2948" s="8">
        <v>131900</v>
      </c>
      <c r="N2948" s="11"/>
      <c r="O2948" s="3" t="s">
        <v>245</v>
      </c>
      <c r="P2948" s="3" t="s">
        <v>3285</v>
      </c>
    </row>
    <row r="2949" spans="1:16" x14ac:dyDescent="0.3">
      <c r="A2949" s="3" t="s">
        <v>72</v>
      </c>
      <c r="B2949" s="3" t="s">
        <v>711</v>
      </c>
      <c r="C2949" s="3" t="s">
        <v>164</v>
      </c>
      <c r="D2949" s="3" t="s">
        <v>712</v>
      </c>
      <c r="E2949" s="3" t="s">
        <v>31</v>
      </c>
      <c r="F2949" s="3" t="b">
        <v>0</v>
      </c>
      <c r="G2949" s="3" t="s">
        <v>64</v>
      </c>
      <c r="H2949" s="6">
        <v>44936.971828703703</v>
      </c>
      <c r="I2949" s="3" t="b">
        <v>0</v>
      </c>
      <c r="J2949" s="3" t="b">
        <v>1</v>
      </c>
      <c r="K2949" s="3" t="s">
        <v>33</v>
      </c>
      <c r="L2949" s="3" t="s">
        <v>34</v>
      </c>
      <c r="M2949" s="8">
        <v>150000</v>
      </c>
      <c r="N2949" s="11"/>
      <c r="O2949" s="3" t="s">
        <v>2178</v>
      </c>
      <c r="P2949" s="3" t="s">
        <v>661</v>
      </c>
    </row>
    <row r="2950" spans="1:16" x14ac:dyDescent="0.3">
      <c r="A2950" s="3" t="s">
        <v>72</v>
      </c>
      <c r="B2950" s="3" t="s">
        <v>3294</v>
      </c>
      <c r="C2950" s="3" t="s">
        <v>447</v>
      </c>
      <c r="D2950" s="3" t="s">
        <v>41</v>
      </c>
      <c r="E2950" s="3" t="s">
        <v>31</v>
      </c>
      <c r="F2950" s="3" t="b">
        <v>0</v>
      </c>
      <c r="G2950" s="3" t="s">
        <v>32</v>
      </c>
      <c r="H2950" s="6">
        <v>44951.377650462957</v>
      </c>
      <c r="I2950" s="3" t="b">
        <v>0</v>
      </c>
      <c r="J2950" s="3" t="b">
        <v>1</v>
      </c>
      <c r="K2950" s="3" t="s">
        <v>33</v>
      </c>
      <c r="L2950" s="3" t="s">
        <v>34</v>
      </c>
      <c r="M2950" s="8">
        <v>158500</v>
      </c>
      <c r="N2950" s="11"/>
      <c r="O2950" s="3" t="s">
        <v>3295</v>
      </c>
      <c r="P2950" s="3" t="s">
        <v>3296</v>
      </c>
    </row>
    <row r="2951" spans="1:16" x14ac:dyDescent="0.3">
      <c r="A2951" s="3" t="s">
        <v>72</v>
      </c>
      <c r="B2951" s="3" t="s">
        <v>3307</v>
      </c>
      <c r="C2951" s="3" t="s">
        <v>87</v>
      </c>
      <c r="D2951" s="3" t="s">
        <v>30</v>
      </c>
      <c r="E2951" s="3" t="s">
        <v>133</v>
      </c>
      <c r="F2951" s="3" t="b">
        <v>1</v>
      </c>
      <c r="G2951" s="3" t="s">
        <v>32</v>
      </c>
      <c r="H2951" s="6">
        <v>44943.792962962973</v>
      </c>
      <c r="I2951" s="3" t="b">
        <v>1</v>
      </c>
      <c r="J2951" s="3" t="b">
        <v>0</v>
      </c>
      <c r="K2951" s="3" t="s">
        <v>33</v>
      </c>
      <c r="L2951" s="3" t="s">
        <v>48</v>
      </c>
      <c r="M2951" s="8"/>
      <c r="N2951" s="11">
        <v>71</v>
      </c>
      <c r="O2951" s="3" t="s">
        <v>3308</v>
      </c>
      <c r="P2951" s="3" t="s">
        <v>3309</v>
      </c>
    </row>
    <row r="2952" spans="1:16" x14ac:dyDescent="0.3">
      <c r="A2952" s="3" t="s">
        <v>72</v>
      </c>
      <c r="B2952" s="3" t="s">
        <v>72</v>
      </c>
      <c r="C2952" s="3" t="s">
        <v>87</v>
      </c>
      <c r="D2952" s="3" t="s">
        <v>30</v>
      </c>
      <c r="E2952" s="3" t="s">
        <v>31</v>
      </c>
      <c r="F2952" s="3" t="b">
        <v>1</v>
      </c>
      <c r="G2952" s="3" t="s">
        <v>84</v>
      </c>
      <c r="H2952" s="6">
        <v>44938.713541666657</v>
      </c>
      <c r="I2952" s="3" t="b">
        <v>0</v>
      </c>
      <c r="J2952" s="3" t="b">
        <v>0</v>
      </c>
      <c r="K2952" s="3" t="s">
        <v>33</v>
      </c>
      <c r="L2952" s="3" t="s">
        <v>34</v>
      </c>
      <c r="M2952" s="8">
        <v>153000</v>
      </c>
      <c r="N2952" s="11"/>
      <c r="O2952" s="3" t="s">
        <v>3332</v>
      </c>
      <c r="P2952" s="3" t="s">
        <v>3333</v>
      </c>
    </row>
    <row r="2953" spans="1:16" x14ac:dyDescent="0.3">
      <c r="A2953" s="3" t="s">
        <v>72</v>
      </c>
      <c r="B2953" s="3" t="s">
        <v>72</v>
      </c>
      <c r="C2953" s="3" t="s">
        <v>33</v>
      </c>
      <c r="D2953" s="3" t="s">
        <v>41</v>
      </c>
      <c r="E2953" s="3" t="s">
        <v>31</v>
      </c>
      <c r="F2953" s="3" t="b">
        <v>0</v>
      </c>
      <c r="G2953" s="3" t="s">
        <v>110</v>
      </c>
      <c r="H2953" s="6">
        <v>44935.607314814813</v>
      </c>
      <c r="I2953" s="3" t="b">
        <v>0</v>
      </c>
      <c r="J2953" s="3" t="b">
        <v>0</v>
      </c>
      <c r="K2953" s="3" t="s">
        <v>110</v>
      </c>
      <c r="L2953" s="3" t="s">
        <v>34</v>
      </c>
      <c r="M2953" s="8">
        <v>157500</v>
      </c>
      <c r="N2953" s="11"/>
      <c r="O2953" s="3" t="s">
        <v>3346</v>
      </c>
      <c r="P2953" s="3" t="s">
        <v>3347</v>
      </c>
    </row>
    <row r="2954" spans="1:16" x14ac:dyDescent="0.3">
      <c r="A2954" s="3" t="s">
        <v>72</v>
      </c>
      <c r="B2954" s="3" t="s">
        <v>72</v>
      </c>
      <c r="C2954" s="3" t="s">
        <v>87</v>
      </c>
      <c r="D2954" s="3" t="s">
        <v>53</v>
      </c>
      <c r="E2954" s="3" t="s">
        <v>31</v>
      </c>
      <c r="F2954" s="3" t="b">
        <v>1</v>
      </c>
      <c r="G2954" s="3" t="s">
        <v>32</v>
      </c>
      <c r="H2954" s="6">
        <v>44936.639085648138</v>
      </c>
      <c r="I2954" s="3" t="b">
        <v>0</v>
      </c>
      <c r="J2954" s="3" t="b">
        <v>0</v>
      </c>
      <c r="K2954" s="3" t="s">
        <v>33</v>
      </c>
      <c r="L2954" s="3" t="s">
        <v>34</v>
      </c>
      <c r="M2954" s="8">
        <v>145000</v>
      </c>
      <c r="N2954" s="11"/>
      <c r="O2954" s="3" t="s">
        <v>255</v>
      </c>
      <c r="P2954" s="3" t="s">
        <v>3396</v>
      </c>
    </row>
    <row r="2955" spans="1:16" x14ac:dyDescent="0.3">
      <c r="A2955" s="3" t="s">
        <v>72</v>
      </c>
      <c r="B2955" s="3" t="s">
        <v>3441</v>
      </c>
      <c r="C2955" s="3" t="s">
        <v>305</v>
      </c>
      <c r="D2955" s="3" t="s">
        <v>370</v>
      </c>
      <c r="E2955" s="3" t="s">
        <v>31</v>
      </c>
      <c r="F2955" s="3" t="b">
        <v>0</v>
      </c>
      <c r="G2955" s="3" t="s">
        <v>32</v>
      </c>
      <c r="H2955" s="6">
        <v>44946.681504629632</v>
      </c>
      <c r="I2955" s="3" t="b">
        <v>0</v>
      </c>
      <c r="J2955" s="3" t="b">
        <v>0</v>
      </c>
      <c r="K2955" s="3" t="s">
        <v>33</v>
      </c>
      <c r="L2955" s="3" t="s">
        <v>34</v>
      </c>
      <c r="M2955" s="8">
        <v>212500</v>
      </c>
      <c r="N2955" s="11"/>
      <c r="O2955" s="3" t="s">
        <v>196</v>
      </c>
      <c r="P2955" s="3" t="s">
        <v>328</v>
      </c>
    </row>
    <row r="2956" spans="1:16" x14ac:dyDescent="0.3">
      <c r="A2956" s="3" t="s">
        <v>72</v>
      </c>
      <c r="B2956" s="3" t="s">
        <v>3448</v>
      </c>
      <c r="C2956" s="3" t="s">
        <v>97</v>
      </c>
      <c r="D2956" s="3" t="s">
        <v>3449</v>
      </c>
      <c r="E2956" s="3" t="s">
        <v>31</v>
      </c>
      <c r="F2956" s="3" t="b">
        <v>0</v>
      </c>
      <c r="G2956" s="3" t="s">
        <v>32</v>
      </c>
      <c r="H2956" s="6">
        <v>44929.98101851852</v>
      </c>
      <c r="I2956" s="3" t="b">
        <v>0</v>
      </c>
      <c r="J2956" s="3" t="b">
        <v>0</v>
      </c>
      <c r="K2956" s="3" t="s">
        <v>33</v>
      </c>
      <c r="L2956" s="3" t="s">
        <v>48</v>
      </c>
      <c r="M2956" s="8"/>
      <c r="N2956" s="11">
        <v>24</v>
      </c>
      <c r="O2956" s="3" t="s">
        <v>3450</v>
      </c>
      <c r="P2956" s="3" t="s">
        <v>3451</v>
      </c>
    </row>
    <row r="2957" spans="1:16" x14ac:dyDescent="0.3">
      <c r="A2957" s="3" t="s">
        <v>72</v>
      </c>
      <c r="B2957" s="3" t="s">
        <v>72</v>
      </c>
      <c r="C2957" s="3" t="s">
        <v>3452</v>
      </c>
      <c r="D2957" s="3" t="s">
        <v>93</v>
      </c>
      <c r="E2957" s="3" t="s">
        <v>31</v>
      </c>
      <c r="F2957" s="3" t="b">
        <v>0</v>
      </c>
      <c r="G2957" s="3" t="s">
        <v>84</v>
      </c>
      <c r="H2957" s="6">
        <v>44933.294247685182</v>
      </c>
      <c r="I2957" s="3" t="b">
        <v>0</v>
      </c>
      <c r="J2957" s="3" t="b">
        <v>0</v>
      </c>
      <c r="K2957" s="3" t="s">
        <v>33</v>
      </c>
      <c r="L2957" s="3" t="s">
        <v>34</v>
      </c>
      <c r="M2957" s="8">
        <v>90000</v>
      </c>
      <c r="N2957" s="11"/>
      <c r="O2957" s="3" t="s">
        <v>3453</v>
      </c>
      <c r="P2957" s="3" t="s">
        <v>3454</v>
      </c>
    </row>
    <row r="2958" spans="1:16" x14ac:dyDescent="0.3">
      <c r="A2958" s="3" t="s">
        <v>72</v>
      </c>
      <c r="B2958" s="3" t="s">
        <v>3458</v>
      </c>
      <c r="C2958" s="3" t="s">
        <v>87</v>
      </c>
      <c r="D2958" s="3" t="s">
        <v>867</v>
      </c>
      <c r="E2958" s="3" t="s">
        <v>31</v>
      </c>
      <c r="F2958" s="3" t="b">
        <v>1</v>
      </c>
      <c r="G2958" s="3" t="s">
        <v>84</v>
      </c>
      <c r="H2958" s="6">
        <v>44955.003634259258</v>
      </c>
      <c r="I2958" s="3" t="b">
        <v>0</v>
      </c>
      <c r="J2958" s="3" t="b">
        <v>1</v>
      </c>
      <c r="K2958" s="3" t="s">
        <v>33</v>
      </c>
      <c r="L2958" s="3" t="s">
        <v>34</v>
      </c>
      <c r="M2958" s="8">
        <v>200000</v>
      </c>
      <c r="N2958" s="11"/>
      <c r="O2958" s="3" t="s">
        <v>3352</v>
      </c>
      <c r="P2958" s="3" t="s">
        <v>3459</v>
      </c>
    </row>
    <row r="2959" spans="1:16" x14ac:dyDescent="0.3">
      <c r="A2959" s="3" t="s">
        <v>72</v>
      </c>
      <c r="B2959" s="3" t="s">
        <v>72</v>
      </c>
      <c r="C2959" s="3" t="s">
        <v>87</v>
      </c>
      <c r="D2959" s="3" t="s">
        <v>30</v>
      </c>
      <c r="E2959" s="3" t="s">
        <v>31</v>
      </c>
      <c r="F2959" s="3" t="b">
        <v>1</v>
      </c>
      <c r="G2959" s="3" t="s">
        <v>110</v>
      </c>
      <c r="H2959" s="6">
        <v>44957.690810185188</v>
      </c>
      <c r="I2959" s="3" t="b">
        <v>0</v>
      </c>
      <c r="J2959" s="3" t="b">
        <v>0</v>
      </c>
      <c r="K2959" s="3" t="s">
        <v>110</v>
      </c>
      <c r="L2959" s="3" t="s">
        <v>34</v>
      </c>
      <c r="M2959" s="8">
        <v>475000</v>
      </c>
      <c r="N2959" s="11"/>
      <c r="O2959" s="3" t="s">
        <v>3483</v>
      </c>
      <c r="P2959" s="3"/>
    </row>
    <row r="2960" spans="1:16" x14ac:dyDescent="0.3">
      <c r="A2960" s="3" t="s">
        <v>72</v>
      </c>
      <c r="B2960" s="3" t="s">
        <v>3500</v>
      </c>
      <c r="C2960" s="3" t="s">
        <v>1908</v>
      </c>
      <c r="D2960" s="3" t="s">
        <v>867</v>
      </c>
      <c r="E2960" s="3" t="s">
        <v>31</v>
      </c>
      <c r="F2960" s="3" t="b">
        <v>0</v>
      </c>
      <c r="G2960" s="3" t="s">
        <v>32</v>
      </c>
      <c r="H2960" s="6">
        <v>44955.002812500003</v>
      </c>
      <c r="I2960" s="3" t="b">
        <v>0</v>
      </c>
      <c r="J2960" s="3" t="b">
        <v>0</v>
      </c>
      <c r="K2960" s="3" t="s">
        <v>33</v>
      </c>
      <c r="L2960" s="3" t="s">
        <v>34</v>
      </c>
      <c r="M2960" s="8">
        <v>200000</v>
      </c>
      <c r="N2960" s="11"/>
      <c r="O2960" s="3" t="s">
        <v>3501</v>
      </c>
      <c r="P2960" s="3" t="s">
        <v>3502</v>
      </c>
    </row>
    <row r="2961" spans="1:16" x14ac:dyDescent="0.3">
      <c r="A2961" s="3" t="s">
        <v>72</v>
      </c>
      <c r="B2961" s="3" t="s">
        <v>3503</v>
      </c>
      <c r="C2961" s="3" t="s">
        <v>3504</v>
      </c>
      <c r="D2961" s="3" t="s">
        <v>76</v>
      </c>
      <c r="E2961" s="3" t="s">
        <v>31</v>
      </c>
      <c r="F2961" s="3" t="b">
        <v>0</v>
      </c>
      <c r="G2961" s="3" t="s">
        <v>88</v>
      </c>
      <c r="H2961" s="6">
        <v>44938.171354166669</v>
      </c>
      <c r="I2961" s="3" t="b">
        <v>0</v>
      </c>
      <c r="J2961" s="3" t="b">
        <v>1</v>
      </c>
      <c r="K2961" s="3" t="s">
        <v>33</v>
      </c>
      <c r="L2961" s="3" t="s">
        <v>34</v>
      </c>
      <c r="M2961" s="8">
        <v>154000</v>
      </c>
      <c r="N2961" s="11"/>
      <c r="O2961" s="3" t="s">
        <v>665</v>
      </c>
      <c r="P2961" s="3" t="s">
        <v>3505</v>
      </c>
    </row>
    <row r="2962" spans="1:16" x14ac:dyDescent="0.3">
      <c r="A2962" s="3" t="s">
        <v>72</v>
      </c>
      <c r="B2962" s="3" t="s">
        <v>3506</v>
      </c>
      <c r="C2962" s="3" t="s">
        <v>164</v>
      </c>
      <c r="D2962" s="3" t="s">
        <v>93</v>
      </c>
      <c r="E2962" s="3" t="s">
        <v>31</v>
      </c>
      <c r="F2962" s="3" t="b">
        <v>0</v>
      </c>
      <c r="G2962" s="3" t="s">
        <v>64</v>
      </c>
      <c r="H2962" s="6">
        <v>44945.555462962962</v>
      </c>
      <c r="I2962" s="3" t="b">
        <v>0</v>
      </c>
      <c r="J2962" s="3" t="b">
        <v>1</v>
      </c>
      <c r="K2962" s="3" t="s">
        <v>33</v>
      </c>
      <c r="L2962" s="3" t="s">
        <v>34</v>
      </c>
      <c r="M2962" s="8">
        <v>150000</v>
      </c>
      <c r="N2962" s="11"/>
      <c r="O2962" s="3" t="s">
        <v>3090</v>
      </c>
      <c r="P2962" s="3" t="s">
        <v>3507</v>
      </c>
    </row>
    <row r="2963" spans="1:16" x14ac:dyDescent="0.3">
      <c r="A2963" s="3" t="s">
        <v>72</v>
      </c>
      <c r="B2963" s="3" t="s">
        <v>432</v>
      </c>
      <c r="C2963" s="3" t="s">
        <v>33</v>
      </c>
      <c r="D2963" s="3" t="s">
        <v>705</v>
      </c>
      <c r="E2963" s="3" t="s">
        <v>31</v>
      </c>
      <c r="F2963" s="3" t="b">
        <v>0</v>
      </c>
      <c r="G2963" s="3" t="s">
        <v>58</v>
      </c>
      <c r="H2963" s="6">
        <v>44943.670231481483</v>
      </c>
      <c r="I2963" s="3" t="b">
        <v>0</v>
      </c>
      <c r="J2963" s="3" t="b">
        <v>0</v>
      </c>
      <c r="K2963" s="3" t="s">
        <v>33</v>
      </c>
      <c r="L2963" s="3" t="s">
        <v>48</v>
      </c>
      <c r="M2963" s="8"/>
      <c r="N2963" s="11">
        <v>90</v>
      </c>
      <c r="O2963" s="3" t="s">
        <v>196</v>
      </c>
      <c r="P2963" s="3" t="s">
        <v>433</v>
      </c>
    </row>
    <row r="2964" spans="1:16" x14ac:dyDescent="0.3">
      <c r="A2964" s="3" t="s">
        <v>72</v>
      </c>
      <c r="B2964" s="3" t="s">
        <v>72</v>
      </c>
      <c r="C2964" s="3" t="s">
        <v>3573</v>
      </c>
      <c r="D2964" s="3" t="s">
        <v>1666</v>
      </c>
      <c r="E2964" s="3" t="s">
        <v>31</v>
      </c>
      <c r="F2964" s="3" t="b">
        <v>0</v>
      </c>
      <c r="G2964" s="3" t="s">
        <v>64</v>
      </c>
      <c r="H2964" s="6">
        <v>44937.586192129631</v>
      </c>
      <c r="I2964" s="3" t="b">
        <v>0</v>
      </c>
      <c r="J2964" s="3" t="b">
        <v>1</v>
      </c>
      <c r="K2964" s="3" t="s">
        <v>33</v>
      </c>
      <c r="L2964" s="3" t="s">
        <v>34</v>
      </c>
      <c r="M2964" s="8">
        <v>130000</v>
      </c>
      <c r="N2964" s="11"/>
      <c r="O2964" s="3" t="s">
        <v>3574</v>
      </c>
      <c r="P2964" s="3" t="s">
        <v>3575</v>
      </c>
    </row>
    <row r="2965" spans="1:16" x14ac:dyDescent="0.3">
      <c r="A2965" s="3" t="s">
        <v>72</v>
      </c>
      <c r="B2965" s="3" t="s">
        <v>3597</v>
      </c>
      <c r="C2965" s="3" t="s">
        <v>1330</v>
      </c>
      <c r="D2965" s="3" t="s">
        <v>3598</v>
      </c>
      <c r="E2965" s="3" t="s">
        <v>31</v>
      </c>
      <c r="F2965" s="3" t="b">
        <v>0</v>
      </c>
      <c r="G2965" s="3" t="s">
        <v>32</v>
      </c>
      <c r="H2965" s="6">
        <v>44929.981041666673</v>
      </c>
      <c r="I2965" s="3" t="b">
        <v>0</v>
      </c>
      <c r="J2965" s="3" t="b">
        <v>0</v>
      </c>
      <c r="K2965" s="3" t="s">
        <v>33</v>
      </c>
      <c r="L2965" s="3" t="s">
        <v>48</v>
      </c>
      <c r="M2965" s="8"/>
      <c r="N2965" s="11">
        <v>24</v>
      </c>
      <c r="O2965" s="3" t="s">
        <v>3599</v>
      </c>
      <c r="P2965" s="3" t="s">
        <v>1255</v>
      </c>
    </row>
    <row r="2966" spans="1:16" x14ac:dyDescent="0.3">
      <c r="A2966" s="3" t="s">
        <v>72</v>
      </c>
      <c r="B2966" s="3" t="s">
        <v>3607</v>
      </c>
      <c r="C2966" s="3" t="s">
        <v>87</v>
      </c>
      <c r="D2966" s="3" t="s">
        <v>1013</v>
      </c>
      <c r="E2966" s="3" t="s">
        <v>31</v>
      </c>
      <c r="F2966" s="3" t="b">
        <v>1</v>
      </c>
      <c r="G2966" s="3" t="s">
        <v>32</v>
      </c>
      <c r="H2966" s="6">
        <v>44940.503009259257</v>
      </c>
      <c r="I2966" s="3" t="b">
        <v>0</v>
      </c>
      <c r="J2966" s="3" t="b">
        <v>1</v>
      </c>
      <c r="K2966" s="3" t="s">
        <v>33</v>
      </c>
      <c r="L2966" s="3" t="s">
        <v>34</v>
      </c>
      <c r="M2966" s="8">
        <v>86150</v>
      </c>
      <c r="N2966" s="11"/>
      <c r="O2966" s="3" t="s">
        <v>3608</v>
      </c>
      <c r="P2966" s="3" t="s">
        <v>3609</v>
      </c>
    </row>
    <row r="2967" spans="1:16" x14ac:dyDescent="0.3">
      <c r="A2967" s="3" t="s">
        <v>72</v>
      </c>
      <c r="B2967" s="3" t="s">
        <v>72</v>
      </c>
      <c r="C2967" s="3" t="s">
        <v>549</v>
      </c>
      <c r="D2967" s="3" t="s">
        <v>30</v>
      </c>
      <c r="E2967" s="3" t="s">
        <v>31</v>
      </c>
      <c r="F2967" s="3" t="b">
        <v>0</v>
      </c>
      <c r="G2967" s="3" t="s">
        <v>64</v>
      </c>
      <c r="H2967" s="6">
        <v>44931.835555555554</v>
      </c>
      <c r="I2967" s="3" t="b">
        <v>0</v>
      </c>
      <c r="J2967" s="3" t="b">
        <v>1</v>
      </c>
      <c r="K2967" s="3" t="s">
        <v>33</v>
      </c>
      <c r="L2967" s="3" t="s">
        <v>34</v>
      </c>
      <c r="M2967" s="8">
        <v>177495</v>
      </c>
      <c r="N2967" s="11"/>
      <c r="O2967" s="3" t="s">
        <v>550</v>
      </c>
      <c r="P2967" s="3" t="s">
        <v>551</v>
      </c>
    </row>
    <row r="2968" spans="1:16" x14ac:dyDescent="0.3">
      <c r="A2968" s="3" t="s">
        <v>72</v>
      </c>
      <c r="B2968" s="3" t="s">
        <v>3664</v>
      </c>
      <c r="C2968" s="3" t="s">
        <v>79</v>
      </c>
      <c r="D2968" s="3" t="s">
        <v>296</v>
      </c>
      <c r="E2968" s="3" t="s">
        <v>31</v>
      </c>
      <c r="F2968" s="3" t="b">
        <v>0</v>
      </c>
      <c r="G2968" s="3" t="s">
        <v>58</v>
      </c>
      <c r="H2968" s="6">
        <v>44929.981574074067</v>
      </c>
      <c r="I2968" s="3" t="b">
        <v>0</v>
      </c>
      <c r="J2968" s="3" t="b">
        <v>1</v>
      </c>
      <c r="K2968" s="3" t="s">
        <v>33</v>
      </c>
      <c r="L2968" s="3" t="s">
        <v>48</v>
      </c>
      <c r="M2968" s="8"/>
      <c r="N2968" s="11">
        <v>24</v>
      </c>
      <c r="O2968" s="3" t="s">
        <v>3352</v>
      </c>
      <c r="P2968" s="3" t="s">
        <v>3665</v>
      </c>
    </row>
    <row r="2969" spans="1:16" x14ac:dyDescent="0.3">
      <c r="A2969" s="3" t="s">
        <v>72</v>
      </c>
      <c r="B2969" s="3" t="s">
        <v>3674</v>
      </c>
      <c r="C2969" s="3" t="s">
        <v>2343</v>
      </c>
      <c r="D2969" s="3" t="s">
        <v>93</v>
      </c>
      <c r="E2969" s="3" t="s">
        <v>31</v>
      </c>
      <c r="F2969" s="3" t="b">
        <v>0</v>
      </c>
      <c r="G2969" s="3" t="s">
        <v>32</v>
      </c>
      <c r="H2969" s="6">
        <v>44928.293622685182</v>
      </c>
      <c r="I2969" s="3" t="b">
        <v>0</v>
      </c>
      <c r="J2969" s="3" t="b">
        <v>1</v>
      </c>
      <c r="K2969" s="3" t="s">
        <v>33</v>
      </c>
      <c r="L2969" s="3" t="s">
        <v>34</v>
      </c>
      <c r="M2969" s="8">
        <v>175000</v>
      </c>
      <c r="N2969" s="11"/>
      <c r="O2969" s="3" t="s">
        <v>124</v>
      </c>
      <c r="P2969" s="3"/>
    </row>
    <row r="2970" spans="1:16" x14ac:dyDescent="0.3">
      <c r="A2970" s="3" t="s">
        <v>72</v>
      </c>
      <c r="B2970" s="3" t="s">
        <v>72</v>
      </c>
      <c r="C2970" s="3" t="s">
        <v>1476</v>
      </c>
      <c r="D2970" s="3" t="s">
        <v>76</v>
      </c>
      <c r="E2970" s="3" t="s">
        <v>31</v>
      </c>
      <c r="F2970" s="3" t="b">
        <v>0</v>
      </c>
      <c r="G2970" s="3" t="s">
        <v>64</v>
      </c>
      <c r="H2970" s="6">
        <v>44929.646944444437</v>
      </c>
      <c r="I2970" s="3" t="b">
        <v>0</v>
      </c>
      <c r="J2970" s="3" t="b">
        <v>1</v>
      </c>
      <c r="K2970" s="3" t="s">
        <v>33</v>
      </c>
      <c r="L2970" s="3" t="s">
        <v>34</v>
      </c>
      <c r="M2970" s="8">
        <v>120000</v>
      </c>
      <c r="N2970" s="11"/>
      <c r="O2970" s="3" t="s">
        <v>3727</v>
      </c>
      <c r="P2970" s="3" t="s">
        <v>275</v>
      </c>
    </row>
    <row r="2971" spans="1:16" x14ac:dyDescent="0.3">
      <c r="A2971" s="3" t="s">
        <v>72</v>
      </c>
      <c r="B2971" s="3" t="s">
        <v>72</v>
      </c>
      <c r="C2971" s="3" t="s">
        <v>3024</v>
      </c>
      <c r="D2971" s="3" t="s">
        <v>76</v>
      </c>
      <c r="E2971" s="3" t="s">
        <v>31</v>
      </c>
      <c r="F2971" s="3" t="b">
        <v>0</v>
      </c>
      <c r="G2971" s="3" t="s">
        <v>32</v>
      </c>
      <c r="H2971" s="6">
        <v>44936.12777777778</v>
      </c>
      <c r="I2971" s="3" t="b">
        <v>0</v>
      </c>
      <c r="J2971" s="3" t="b">
        <v>1</v>
      </c>
      <c r="K2971" s="3" t="s">
        <v>33</v>
      </c>
      <c r="L2971" s="3" t="s">
        <v>34</v>
      </c>
      <c r="M2971" s="8">
        <v>168000</v>
      </c>
      <c r="N2971" s="11"/>
      <c r="O2971" s="3" t="s">
        <v>3742</v>
      </c>
      <c r="P2971" s="3" t="s">
        <v>3743</v>
      </c>
    </row>
    <row r="2972" spans="1:16" x14ac:dyDescent="0.3">
      <c r="A2972" s="3" t="s">
        <v>72</v>
      </c>
      <c r="B2972" s="3" t="s">
        <v>3783</v>
      </c>
      <c r="C2972" s="3" t="s">
        <v>164</v>
      </c>
      <c r="D2972" s="3" t="s">
        <v>712</v>
      </c>
      <c r="E2972" s="3" t="s">
        <v>31</v>
      </c>
      <c r="F2972" s="3" t="b">
        <v>0</v>
      </c>
      <c r="G2972" s="3" t="s">
        <v>64</v>
      </c>
      <c r="H2972" s="6">
        <v>44933.668032407397</v>
      </c>
      <c r="I2972" s="3" t="b">
        <v>0</v>
      </c>
      <c r="J2972" s="3" t="b">
        <v>1</v>
      </c>
      <c r="K2972" s="3" t="s">
        <v>33</v>
      </c>
      <c r="L2972" s="3" t="s">
        <v>34</v>
      </c>
      <c r="M2972" s="8">
        <v>245000</v>
      </c>
      <c r="N2972" s="11"/>
      <c r="O2972" s="3" t="s">
        <v>2377</v>
      </c>
      <c r="P2972" s="3" t="s">
        <v>210</v>
      </c>
    </row>
    <row r="2973" spans="1:16" x14ac:dyDescent="0.3">
      <c r="A2973" s="3" t="s">
        <v>72</v>
      </c>
      <c r="B2973" s="3" t="s">
        <v>72</v>
      </c>
      <c r="C2973" s="3" t="s">
        <v>164</v>
      </c>
      <c r="D2973" s="3" t="s">
        <v>3814</v>
      </c>
      <c r="E2973" s="3" t="s">
        <v>31</v>
      </c>
      <c r="F2973" s="3" t="b">
        <v>0</v>
      </c>
      <c r="G2973" s="3" t="s">
        <v>64</v>
      </c>
      <c r="H2973" s="6">
        <v>44947.58798611111</v>
      </c>
      <c r="I2973" s="3" t="b">
        <v>0</v>
      </c>
      <c r="J2973" s="3" t="b">
        <v>0</v>
      </c>
      <c r="K2973" s="3" t="s">
        <v>33</v>
      </c>
      <c r="L2973" s="3" t="s">
        <v>48</v>
      </c>
      <c r="M2973" s="8"/>
      <c r="N2973" s="11">
        <v>67.5</v>
      </c>
      <c r="O2973" s="3" t="s">
        <v>196</v>
      </c>
      <c r="P2973" s="3"/>
    </row>
    <row r="2974" spans="1:16" x14ac:dyDescent="0.3">
      <c r="A2974" s="3" t="s">
        <v>72</v>
      </c>
      <c r="B2974" s="3" t="s">
        <v>72</v>
      </c>
      <c r="C2974" s="3" t="s">
        <v>417</v>
      </c>
      <c r="D2974" s="3" t="s">
        <v>76</v>
      </c>
      <c r="E2974" s="3" t="s">
        <v>31</v>
      </c>
      <c r="F2974" s="3" t="b">
        <v>0</v>
      </c>
      <c r="G2974" s="3" t="s">
        <v>110</v>
      </c>
      <c r="H2974" s="6">
        <v>44957.98232638889</v>
      </c>
      <c r="I2974" s="3" t="b">
        <v>0</v>
      </c>
      <c r="J2974" s="3" t="b">
        <v>1</v>
      </c>
      <c r="K2974" s="3" t="s">
        <v>110</v>
      </c>
      <c r="L2974" s="3" t="s">
        <v>34</v>
      </c>
      <c r="M2974" s="8">
        <v>124702.53125</v>
      </c>
      <c r="N2974" s="11"/>
      <c r="O2974" s="3" t="s">
        <v>3835</v>
      </c>
      <c r="P2974" s="3" t="s">
        <v>3836</v>
      </c>
    </row>
    <row r="2975" spans="1:16" x14ac:dyDescent="0.3">
      <c r="A2975" s="3" t="s">
        <v>72</v>
      </c>
      <c r="B2975" s="3" t="s">
        <v>72</v>
      </c>
      <c r="C2975" s="3" t="s">
        <v>33</v>
      </c>
      <c r="D2975" s="3" t="s">
        <v>30</v>
      </c>
      <c r="E2975" s="3" t="s">
        <v>31</v>
      </c>
      <c r="F2975" s="3" t="b">
        <v>0</v>
      </c>
      <c r="G2975" s="3" t="s">
        <v>110</v>
      </c>
      <c r="H2975" s="6">
        <v>44956.58798611111</v>
      </c>
      <c r="I2975" s="3" t="b">
        <v>0</v>
      </c>
      <c r="J2975" s="3" t="b">
        <v>1</v>
      </c>
      <c r="K2975" s="3" t="s">
        <v>110</v>
      </c>
      <c r="L2975" s="3" t="s">
        <v>34</v>
      </c>
      <c r="M2975" s="8">
        <v>250000</v>
      </c>
      <c r="N2975" s="11"/>
      <c r="O2975" s="3" t="s">
        <v>3483</v>
      </c>
      <c r="P2975" s="3" t="s">
        <v>3843</v>
      </c>
    </row>
    <row r="2976" spans="1:16" x14ac:dyDescent="0.3">
      <c r="A2976" s="3" t="s">
        <v>72</v>
      </c>
      <c r="B2976" s="3" t="s">
        <v>3876</v>
      </c>
      <c r="C2976" s="3" t="s">
        <v>270</v>
      </c>
      <c r="D2976" s="3" t="s">
        <v>30</v>
      </c>
      <c r="E2976" s="3" t="s">
        <v>31</v>
      </c>
      <c r="F2976" s="3" t="b">
        <v>0</v>
      </c>
      <c r="G2976" s="3" t="s">
        <v>32</v>
      </c>
      <c r="H2976" s="6">
        <v>44937.264270833337</v>
      </c>
      <c r="I2976" s="3" t="b">
        <v>0</v>
      </c>
      <c r="J2976" s="3" t="b">
        <v>1</v>
      </c>
      <c r="K2976" s="3" t="s">
        <v>33</v>
      </c>
      <c r="L2976" s="3" t="s">
        <v>34</v>
      </c>
      <c r="M2976" s="8">
        <v>200935.5</v>
      </c>
      <c r="N2976" s="11"/>
      <c r="O2976" s="3" t="s">
        <v>35</v>
      </c>
      <c r="P2976" s="3" t="s">
        <v>661</v>
      </c>
    </row>
    <row r="2977" spans="1:16" x14ac:dyDescent="0.3">
      <c r="A2977" s="3" t="s">
        <v>72</v>
      </c>
      <c r="B2977" s="3" t="s">
        <v>3877</v>
      </c>
      <c r="C2977" s="3" t="s">
        <v>87</v>
      </c>
      <c r="D2977" s="3" t="s">
        <v>712</v>
      </c>
      <c r="E2977" s="3" t="s">
        <v>31</v>
      </c>
      <c r="F2977" s="3" t="b">
        <v>1</v>
      </c>
      <c r="G2977" s="3" t="s">
        <v>64</v>
      </c>
      <c r="H2977" s="6">
        <v>44954.169432870367</v>
      </c>
      <c r="I2977" s="3" t="b">
        <v>0</v>
      </c>
      <c r="J2977" s="3" t="b">
        <v>0</v>
      </c>
      <c r="K2977" s="3" t="s">
        <v>33</v>
      </c>
      <c r="L2977" s="3" t="s">
        <v>34</v>
      </c>
      <c r="M2977" s="8">
        <v>205000</v>
      </c>
      <c r="N2977" s="11"/>
      <c r="O2977" s="3" t="s">
        <v>3878</v>
      </c>
      <c r="P2977" s="3" t="s">
        <v>3879</v>
      </c>
    </row>
    <row r="2978" spans="1:16" x14ac:dyDescent="0.3">
      <c r="A2978" s="3" t="s">
        <v>72</v>
      </c>
      <c r="B2978" s="3" t="s">
        <v>72</v>
      </c>
      <c r="C2978" s="3" t="s">
        <v>3882</v>
      </c>
      <c r="D2978" s="3" t="s">
        <v>867</v>
      </c>
      <c r="E2978" s="3" t="s">
        <v>31</v>
      </c>
      <c r="F2978" s="3" t="b">
        <v>0</v>
      </c>
      <c r="G2978" s="3" t="s">
        <v>32</v>
      </c>
      <c r="H2978" s="6">
        <v>44954.003611111111</v>
      </c>
      <c r="I2978" s="3" t="b">
        <v>0</v>
      </c>
      <c r="J2978" s="3" t="b">
        <v>0</v>
      </c>
      <c r="K2978" s="3" t="s">
        <v>33</v>
      </c>
      <c r="L2978" s="3" t="s">
        <v>34</v>
      </c>
      <c r="M2978" s="8">
        <v>200000</v>
      </c>
      <c r="N2978" s="11"/>
      <c r="O2978" s="3" t="s">
        <v>3883</v>
      </c>
      <c r="P2978" s="3" t="s">
        <v>3884</v>
      </c>
    </row>
    <row r="2979" spans="1:16" x14ac:dyDescent="0.3">
      <c r="A2979" s="3" t="s">
        <v>72</v>
      </c>
      <c r="B2979" s="3" t="s">
        <v>3911</v>
      </c>
      <c r="C2979" s="3" t="s">
        <v>87</v>
      </c>
      <c r="D2979" s="3" t="s">
        <v>263</v>
      </c>
      <c r="E2979" s="3" t="s">
        <v>133</v>
      </c>
      <c r="F2979" s="3" t="b">
        <v>1</v>
      </c>
      <c r="G2979" s="3" t="s">
        <v>110</v>
      </c>
      <c r="H2979" s="6">
        <v>44945.955601851849</v>
      </c>
      <c r="I2979" s="3" t="b">
        <v>0</v>
      </c>
      <c r="J2979" s="3" t="b">
        <v>0</v>
      </c>
      <c r="K2979" s="3" t="s">
        <v>110</v>
      </c>
      <c r="L2979" s="3" t="s">
        <v>48</v>
      </c>
      <c r="M2979" s="8"/>
      <c r="N2979" s="11">
        <v>55</v>
      </c>
      <c r="O2979" s="3" t="s">
        <v>264</v>
      </c>
      <c r="P2979" s="3"/>
    </row>
    <row r="2980" spans="1:16" x14ac:dyDescent="0.3">
      <c r="A2980" s="3" t="s">
        <v>72</v>
      </c>
      <c r="B2980" s="3" t="s">
        <v>72</v>
      </c>
      <c r="C2980" s="3" t="s">
        <v>896</v>
      </c>
      <c r="D2980" s="3" t="s">
        <v>41</v>
      </c>
      <c r="E2980" s="3" t="s">
        <v>31</v>
      </c>
      <c r="F2980" s="3" t="b">
        <v>0</v>
      </c>
      <c r="G2980" s="3" t="s">
        <v>897</v>
      </c>
      <c r="H2980" s="6">
        <v>44952.736238425918</v>
      </c>
      <c r="I2980" s="3" t="b">
        <v>0</v>
      </c>
      <c r="J2980" s="3" t="b">
        <v>0</v>
      </c>
      <c r="K2980" s="3" t="s">
        <v>897</v>
      </c>
      <c r="L2980" s="3" t="s">
        <v>34</v>
      </c>
      <c r="M2980" s="8">
        <v>157500</v>
      </c>
      <c r="N2980" s="11"/>
      <c r="O2980" s="3" t="s">
        <v>3919</v>
      </c>
      <c r="P2980" s="3" t="s">
        <v>979</v>
      </c>
    </row>
    <row r="2981" spans="1:16" x14ac:dyDescent="0.3">
      <c r="A2981" s="3" t="s">
        <v>72</v>
      </c>
      <c r="B2981" s="3" t="s">
        <v>4004</v>
      </c>
      <c r="C2981" s="3" t="s">
        <v>800</v>
      </c>
      <c r="D2981" s="3" t="s">
        <v>390</v>
      </c>
      <c r="E2981" s="3" t="s">
        <v>31</v>
      </c>
      <c r="F2981" s="3" t="b">
        <v>0</v>
      </c>
      <c r="G2981" s="3" t="s">
        <v>110</v>
      </c>
      <c r="H2981" s="6">
        <v>44928.822557870371</v>
      </c>
      <c r="I2981" s="3" t="b">
        <v>0</v>
      </c>
      <c r="J2981" s="3" t="b">
        <v>0</v>
      </c>
      <c r="K2981" s="3" t="s">
        <v>110</v>
      </c>
      <c r="L2981" s="3" t="s">
        <v>34</v>
      </c>
      <c r="M2981" s="8">
        <v>105515</v>
      </c>
      <c r="N2981" s="11"/>
      <c r="O2981" s="3" t="s">
        <v>119</v>
      </c>
      <c r="P2981" s="3"/>
    </row>
    <row r="2982" spans="1:16" x14ac:dyDescent="0.3">
      <c r="A2982" s="3" t="s">
        <v>72</v>
      </c>
      <c r="B2982" s="3" t="s">
        <v>4177</v>
      </c>
      <c r="C2982" s="3" t="s">
        <v>164</v>
      </c>
      <c r="D2982" s="3" t="s">
        <v>41</v>
      </c>
      <c r="E2982" s="3" t="s">
        <v>31</v>
      </c>
      <c r="F2982" s="3" t="b">
        <v>0</v>
      </c>
      <c r="G2982" s="3" t="s">
        <v>64</v>
      </c>
      <c r="H2982" s="6">
        <v>44948.835578703707</v>
      </c>
      <c r="I2982" s="3" t="b">
        <v>0</v>
      </c>
      <c r="J2982" s="3" t="b">
        <v>0</v>
      </c>
      <c r="K2982" s="3" t="s">
        <v>33</v>
      </c>
      <c r="L2982" s="3" t="s">
        <v>34</v>
      </c>
      <c r="M2982" s="8">
        <v>160000</v>
      </c>
      <c r="N2982" s="11"/>
      <c r="O2982" s="3" t="s">
        <v>1600</v>
      </c>
      <c r="P2982" s="3" t="s">
        <v>4178</v>
      </c>
    </row>
    <row r="2983" spans="1:16" x14ac:dyDescent="0.3">
      <c r="A2983" s="3" t="s">
        <v>72</v>
      </c>
      <c r="B2983" s="3" t="s">
        <v>577</v>
      </c>
      <c r="C2983" s="3" t="s">
        <v>164</v>
      </c>
      <c r="D2983" s="3" t="s">
        <v>93</v>
      </c>
      <c r="E2983" s="3" t="s">
        <v>31</v>
      </c>
      <c r="F2983" s="3" t="b">
        <v>0</v>
      </c>
      <c r="G2983" s="3" t="s">
        <v>64</v>
      </c>
      <c r="H2983" s="6">
        <v>44940.294074074067</v>
      </c>
      <c r="I2983" s="3" t="b">
        <v>0</v>
      </c>
      <c r="J2983" s="3" t="b">
        <v>1</v>
      </c>
      <c r="K2983" s="3" t="s">
        <v>33</v>
      </c>
      <c r="L2983" s="3" t="s">
        <v>34</v>
      </c>
      <c r="M2983" s="8">
        <v>175000</v>
      </c>
      <c r="N2983" s="11"/>
      <c r="O2983" s="3" t="s">
        <v>158</v>
      </c>
      <c r="P2983" s="3" t="s">
        <v>4236</v>
      </c>
    </row>
    <row r="2984" spans="1:16" x14ac:dyDescent="0.3">
      <c r="A2984" s="3" t="s">
        <v>72</v>
      </c>
      <c r="B2984" s="3" t="s">
        <v>1778</v>
      </c>
      <c r="C2984" s="3" t="s">
        <v>87</v>
      </c>
      <c r="D2984" s="3" t="s">
        <v>76</v>
      </c>
      <c r="E2984" s="3" t="s">
        <v>31</v>
      </c>
      <c r="F2984" s="3" t="b">
        <v>1</v>
      </c>
      <c r="G2984" s="3" t="s">
        <v>32</v>
      </c>
      <c r="H2984" s="6">
        <v>44946.973182870373</v>
      </c>
      <c r="I2984" s="3" t="b">
        <v>0</v>
      </c>
      <c r="J2984" s="3" t="b">
        <v>1</v>
      </c>
      <c r="K2984" s="3" t="s">
        <v>33</v>
      </c>
      <c r="L2984" s="3" t="s">
        <v>34</v>
      </c>
      <c r="M2984" s="8">
        <v>126000</v>
      </c>
      <c r="N2984" s="11"/>
      <c r="O2984" s="3" t="s">
        <v>49</v>
      </c>
      <c r="P2984" s="3" t="s">
        <v>4252</v>
      </c>
    </row>
    <row r="2985" spans="1:16" x14ac:dyDescent="0.3">
      <c r="A2985" s="3" t="s">
        <v>72</v>
      </c>
      <c r="B2985" s="3" t="s">
        <v>4281</v>
      </c>
      <c r="C2985" s="3" t="s">
        <v>57</v>
      </c>
      <c r="D2985" s="3" t="s">
        <v>4282</v>
      </c>
      <c r="E2985" s="3" t="s">
        <v>31</v>
      </c>
      <c r="F2985" s="3" t="b">
        <v>0</v>
      </c>
      <c r="G2985" s="3" t="s">
        <v>110</v>
      </c>
      <c r="H2985" s="6">
        <v>44930.00576388889</v>
      </c>
      <c r="I2985" s="3" t="b">
        <v>0</v>
      </c>
      <c r="J2985" s="3" t="b">
        <v>0</v>
      </c>
      <c r="K2985" s="3" t="s">
        <v>110</v>
      </c>
      <c r="L2985" s="3" t="s">
        <v>48</v>
      </c>
      <c r="M2985" s="8"/>
      <c r="N2985" s="11">
        <v>24</v>
      </c>
      <c r="O2985" s="3" t="s">
        <v>4283</v>
      </c>
      <c r="P2985" s="3" t="s">
        <v>4284</v>
      </c>
    </row>
    <row r="2986" spans="1:16" x14ac:dyDescent="0.3">
      <c r="A2986" s="3" t="s">
        <v>72</v>
      </c>
      <c r="B2986" s="3" t="s">
        <v>72</v>
      </c>
      <c r="C2986" s="3" t="s">
        <v>75</v>
      </c>
      <c r="D2986" s="3" t="s">
        <v>93</v>
      </c>
      <c r="E2986" s="3" t="s">
        <v>31</v>
      </c>
      <c r="F2986" s="3" t="b">
        <v>0</v>
      </c>
      <c r="G2986" s="3" t="s">
        <v>84</v>
      </c>
      <c r="H2986" s="6">
        <v>44953.29619212963</v>
      </c>
      <c r="I2986" s="3" t="b">
        <v>0</v>
      </c>
      <c r="J2986" s="3" t="b">
        <v>0</v>
      </c>
      <c r="K2986" s="3" t="s">
        <v>33</v>
      </c>
      <c r="L2986" s="3" t="s">
        <v>34</v>
      </c>
      <c r="M2986" s="8">
        <v>90000</v>
      </c>
      <c r="N2986" s="11"/>
      <c r="O2986" s="3" t="s">
        <v>4287</v>
      </c>
      <c r="P2986" s="3" t="s">
        <v>4288</v>
      </c>
    </row>
    <row r="2987" spans="1:16" x14ac:dyDescent="0.3">
      <c r="A2987" s="3" t="s">
        <v>72</v>
      </c>
      <c r="B2987" s="3" t="s">
        <v>4289</v>
      </c>
      <c r="C2987" s="3" t="s">
        <v>4290</v>
      </c>
      <c r="D2987" s="3" t="s">
        <v>30</v>
      </c>
      <c r="E2987" s="3" t="s">
        <v>31</v>
      </c>
      <c r="F2987" s="3" t="b">
        <v>0</v>
      </c>
      <c r="G2987" s="3" t="s">
        <v>64</v>
      </c>
      <c r="H2987" s="6">
        <v>44955.835289351853</v>
      </c>
      <c r="I2987" s="3" t="b">
        <v>0</v>
      </c>
      <c r="J2987" s="3" t="b">
        <v>0</v>
      </c>
      <c r="K2987" s="3" t="s">
        <v>33</v>
      </c>
      <c r="L2987" s="3" t="s">
        <v>34</v>
      </c>
      <c r="M2987" s="8">
        <v>112500</v>
      </c>
      <c r="N2987" s="11"/>
      <c r="O2987" s="3" t="s">
        <v>1568</v>
      </c>
      <c r="P2987" s="3" t="s">
        <v>4291</v>
      </c>
    </row>
    <row r="2988" spans="1:16" x14ac:dyDescent="0.3">
      <c r="A2988" s="3" t="s">
        <v>72</v>
      </c>
      <c r="B2988" s="3" t="s">
        <v>4327</v>
      </c>
      <c r="C2988" s="3" t="s">
        <v>1996</v>
      </c>
      <c r="D2988" s="3" t="s">
        <v>41</v>
      </c>
      <c r="E2988" s="3" t="s">
        <v>31</v>
      </c>
      <c r="F2988" s="3" t="b">
        <v>0</v>
      </c>
      <c r="G2988" s="3" t="s">
        <v>797</v>
      </c>
      <c r="H2988" s="6">
        <v>44946.919803240737</v>
      </c>
      <c r="I2988" s="3" t="b">
        <v>0</v>
      </c>
      <c r="J2988" s="3" t="b">
        <v>0</v>
      </c>
      <c r="K2988" s="3" t="s">
        <v>797</v>
      </c>
      <c r="L2988" s="3" t="s">
        <v>34</v>
      </c>
      <c r="M2988" s="8">
        <v>157500</v>
      </c>
      <c r="N2988" s="11"/>
      <c r="O2988" s="3" t="s">
        <v>4328</v>
      </c>
      <c r="P2988" s="3" t="s">
        <v>4329</v>
      </c>
    </row>
    <row r="2989" spans="1:16" x14ac:dyDescent="0.3">
      <c r="A2989" s="3" t="s">
        <v>72</v>
      </c>
      <c r="B2989" s="3" t="s">
        <v>72</v>
      </c>
      <c r="C2989" s="3" t="s">
        <v>2651</v>
      </c>
      <c r="D2989" s="3" t="s">
        <v>93</v>
      </c>
      <c r="E2989" s="3" t="s">
        <v>31</v>
      </c>
      <c r="F2989" s="3" t="b">
        <v>0</v>
      </c>
      <c r="G2989" s="3" t="s">
        <v>84</v>
      </c>
      <c r="H2989" s="6">
        <v>44936.264861111107</v>
      </c>
      <c r="I2989" s="3" t="b">
        <v>0</v>
      </c>
      <c r="J2989" s="3" t="b">
        <v>1</v>
      </c>
      <c r="K2989" s="3" t="s">
        <v>33</v>
      </c>
      <c r="L2989" s="3" t="s">
        <v>34</v>
      </c>
      <c r="M2989" s="8">
        <v>90000</v>
      </c>
      <c r="N2989" s="11"/>
      <c r="O2989" s="3" t="s">
        <v>541</v>
      </c>
      <c r="P2989" s="3" t="s">
        <v>4343</v>
      </c>
    </row>
    <row r="2990" spans="1:16" x14ac:dyDescent="0.3">
      <c r="A2990" s="3" t="s">
        <v>72</v>
      </c>
      <c r="B2990" s="3" t="s">
        <v>4376</v>
      </c>
      <c r="C2990" s="3" t="s">
        <v>573</v>
      </c>
      <c r="D2990" s="3" t="s">
        <v>3814</v>
      </c>
      <c r="E2990" s="3" t="s">
        <v>31</v>
      </c>
      <c r="F2990" s="3" t="b">
        <v>0</v>
      </c>
      <c r="G2990" s="3" t="s">
        <v>88</v>
      </c>
      <c r="H2990" s="6">
        <v>44953.880624999998</v>
      </c>
      <c r="I2990" s="3" t="b">
        <v>0</v>
      </c>
      <c r="J2990" s="3" t="b">
        <v>1</v>
      </c>
      <c r="K2990" s="3" t="s">
        <v>33</v>
      </c>
      <c r="L2990" s="3" t="s">
        <v>34</v>
      </c>
      <c r="M2990" s="8">
        <v>150000</v>
      </c>
      <c r="N2990" s="11"/>
      <c r="O2990" s="3" t="s">
        <v>665</v>
      </c>
      <c r="P2990" s="3" t="s">
        <v>4377</v>
      </c>
    </row>
    <row r="2991" spans="1:16" x14ac:dyDescent="0.3">
      <c r="A2991" s="3" t="s">
        <v>72</v>
      </c>
      <c r="B2991" s="3" t="s">
        <v>1433</v>
      </c>
      <c r="C2991" s="3" t="s">
        <v>1321</v>
      </c>
      <c r="D2991" s="3" t="s">
        <v>237</v>
      </c>
      <c r="E2991" s="3" t="s">
        <v>31</v>
      </c>
      <c r="F2991" s="3" t="b">
        <v>0</v>
      </c>
      <c r="G2991" s="3" t="s">
        <v>32</v>
      </c>
      <c r="H2991" s="6">
        <v>44937.586655092593</v>
      </c>
      <c r="I2991" s="3" t="b">
        <v>0</v>
      </c>
      <c r="J2991" s="3" t="b">
        <v>0</v>
      </c>
      <c r="K2991" s="3" t="s">
        <v>33</v>
      </c>
      <c r="L2991" s="3" t="s">
        <v>34</v>
      </c>
      <c r="M2991" s="8">
        <v>215000</v>
      </c>
      <c r="N2991" s="11"/>
      <c r="O2991" s="3" t="s">
        <v>196</v>
      </c>
      <c r="P2991" s="3" t="s">
        <v>4389</v>
      </c>
    </row>
    <row r="2992" spans="1:16" x14ac:dyDescent="0.3">
      <c r="A2992" s="3" t="s">
        <v>72</v>
      </c>
      <c r="B2992" s="3" t="s">
        <v>72</v>
      </c>
      <c r="C2992" s="3" t="s">
        <v>182</v>
      </c>
      <c r="D2992" s="3" t="s">
        <v>93</v>
      </c>
      <c r="E2992" s="3" t="s">
        <v>31</v>
      </c>
      <c r="F2992" s="3" t="b">
        <v>0</v>
      </c>
      <c r="G2992" s="3" t="s">
        <v>64</v>
      </c>
      <c r="H2992" s="6">
        <v>44939.295266203713</v>
      </c>
      <c r="I2992" s="3" t="b">
        <v>0</v>
      </c>
      <c r="J2992" s="3" t="b">
        <v>1</v>
      </c>
      <c r="K2992" s="3" t="s">
        <v>33</v>
      </c>
      <c r="L2992" s="3" t="s">
        <v>34</v>
      </c>
      <c r="M2992" s="8">
        <v>115000</v>
      </c>
      <c r="N2992" s="11"/>
      <c r="O2992" s="3" t="s">
        <v>158</v>
      </c>
      <c r="P2992" s="3" t="s">
        <v>4454</v>
      </c>
    </row>
    <row r="2993" spans="1:16" x14ac:dyDescent="0.3">
      <c r="A2993" s="3" t="s">
        <v>72</v>
      </c>
      <c r="B2993" s="3" t="s">
        <v>4455</v>
      </c>
      <c r="C2993" s="3" t="s">
        <v>903</v>
      </c>
      <c r="D2993" s="3" t="s">
        <v>41</v>
      </c>
      <c r="E2993" s="3" t="s">
        <v>31</v>
      </c>
      <c r="F2993" s="3" t="b">
        <v>0</v>
      </c>
      <c r="G2993" s="3" t="s">
        <v>436</v>
      </c>
      <c r="H2993" s="6">
        <v>44945.910879629628</v>
      </c>
      <c r="I2993" s="3" t="b">
        <v>1</v>
      </c>
      <c r="J2993" s="3" t="b">
        <v>0</v>
      </c>
      <c r="K2993" s="3" t="s">
        <v>436</v>
      </c>
      <c r="L2993" s="3" t="s">
        <v>34</v>
      </c>
      <c r="M2993" s="8">
        <v>79200</v>
      </c>
      <c r="N2993" s="11"/>
      <c r="O2993" s="3" t="s">
        <v>1804</v>
      </c>
      <c r="P2993" s="3" t="s">
        <v>4456</v>
      </c>
    </row>
    <row r="2994" spans="1:16" x14ac:dyDescent="0.3">
      <c r="A2994" s="3" t="s">
        <v>72</v>
      </c>
      <c r="B2994" s="3" t="s">
        <v>4532</v>
      </c>
      <c r="C2994" s="3" t="s">
        <v>164</v>
      </c>
      <c r="D2994" s="3" t="s">
        <v>93</v>
      </c>
      <c r="E2994" s="3" t="s">
        <v>31</v>
      </c>
      <c r="F2994" s="3" t="b">
        <v>0</v>
      </c>
      <c r="G2994" s="3" t="s">
        <v>64</v>
      </c>
      <c r="H2994" s="6">
        <v>44936.305243055547</v>
      </c>
      <c r="I2994" s="3" t="b">
        <v>0</v>
      </c>
      <c r="J2994" s="3" t="b">
        <v>1</v>
      </c>
      <c r="K2994" s="3" t="s">
        <v>33</v>
      </c>
      <c r="L2994" s="3" t="s">
        <v>34</v>
      </c>
      <c r="M2994" s="8">
        <v>90000</v>
      </c>
      <c r="N2994" s="11"/>
      <c r="O2994" s="3" t="s">
        <v>4533</v>
      </c>
      <c r="P2994" s="3" t="s">
        <v>4534</v>
      </c>
    </row>
    <row r="2995" spans="1:16" x14ac:dyDescent="0.3">
      <c r="A2995" s="3" t="s">
        <v>72</v>
      </c>
      <c r="B2995" s="3" t="s">
        <v>4536</v>
      </c>
      <c r="C2995" s="3" t="s">
        <v>641</v>
      </c>
      <c r="D2995" s="3" t="s">
        <v>93</v>
      </c>
      <c r="E2995" s="3" t="s">
        <v>31</v>
      </c>
      <c r="F2995" s="3" t="b">
        <v>0</v>
      </c>
      <c r="G2995" s="3" t="s">
        <v>88</v>
      </c>
      <c r="H2995" s="6">
        <v>44930.295972222222</v>
      </c>
      <c r="I2995" s="3" t="b">
        <v>0</v>
      </c>
      <c r="J2995" s="3" t="b">
        <v>1</v>
      </c>
      <c r="K2995" s="3" t="s">
        <v>33</v>
      </c>
      <c r="L2995" s="3" t="s">
        <v>34</v>
      </c>
      <c r="M2995" s="8">
        <v>90000</v>
      </c>
      <c r="N2995" s="11"/>
      <c r="O2995" s="3" t="s">
        <v>784</v>
      </c>
      <c r="P2995" s="3" t="s">
        <v>4537</v>
      </c>
    </row>
    <row r="2996" spans="1:16" x14ac:dyDescent="0.3">
      <c r="A2996" s="3" t="s">
        <v>72</v>
      </c>
      <c r="B2996" s="3" t="s">
        <v>72</v>
      </c>
      <c r="C2996" s="3" t="s">
        <v>87</v>
      </c>
      <c r="D2996" s="3" t="s">
        <v>30</v>
      </c>
      <c r="E2996" s="3" t="s">
        <v>31</v>
      </c>
      <c r="F2996" s="3" t="b">
        <v>1</v>
      </c>
      <c r="G2996" s="3" t="s">
        <v>110</v>
      </c>
      <c r="H2996" s="6">
        <v>44935.60728009259</v>
      </c>
      <c r="I2996" s="3" t="b">
        <v>0</v>
      </c>
      <c r="J2996" s="3" t="b">
        <v>0</v>
      </c>
      <c r="K2996" s="3" t="s">
        <v>110</v>
      </c>
      <c r="L2996" s="3" t="s">
        <v>34</v>
      </c>
      <c r="M2996" s="8">
        <v>150000</v>
      </c>
      <c r="N2996" s="11"/>
      <c r="O2996" s="3" t="s">
        <v>4579</v>
      </c>
      <c r="P2996" s="3" t="s">
        <v>4580</v>
      </c>
    </row>
    <row r="2997" spans="1:16" x14ac:dyDescent="0.3">
      <c r="A2997" s="3" t="s">
        <v>72</v>
      </c>
      <c r="B2997" s="3" t="s">
        <v>4591</v>
      </c>
      <c r="C2997" s="3" t="s">
        <v>1458</v>
      </c>
      <c r="D2997" s="3" t="s">
        <v>41</v>
      </c>
      <c r="E2997" s="3" t="s">
        <v>31</v>
      </c>
      <c r="F2997" s="3" t="b">
        <v>0</v>
      </c>
      <c r="G2997" s="3" t="s">
        <v>32</v>
      </c>
      <c r="H2997" s="6">
        <v>44952.169340277767</v>
      </c>
      <c r="I2997" s="3" t="b">
        <v>0</v>
      </c>
      <c r="J2997" s="3" t="b">
        <v>1</v>
      </c>
      <c r="K2997" s="3" t="s">
        <v>33</v>
      </c>
      <c r="L2997" s="3" t="s">
        <v>34</v>
      </c>
      <c r="M2997" s="8">
        <v>157500</v>
      </c>
      <c r="N2997" s="11"/>
      <c r="O2997" s="3" t="s">
        <v>1823</v>
      </c>
      <c r="P2997" s="3" t="s">
        <v>1824</v>
      </c>
    </row>
    <row r="2998" spans="1:16" x14ac:dyDescent="0.3">
      <c r="A2998" s="3" t="s">
        <v>72</v>
      </c>
      <c r="B2998" s="3" t="s">
        <v>4602</v>
      </c>
      <c r="C2998" s="3" t="s">
        <v>2039</v>
      </c>
      <c r="D2998" s="3" t="s">
        <v>41</v>
      </c>
      <c r="E2998" s="3" t="s">
        <v>31</v>
      </c>
      <c r="F2998" s="3" t="b">
        <v>0</v>
      </c>
      <c r="G2998" s="3" t="s">
        <v>651</v>
      </c>
      <c r="H2998" s="6">
        <v>44951.368692129632</v>
      </c>
      <c r="I2998" s="3" t="b">
        <v>0</v>
      </c>
      <c r="J2998" s="3" t="b">
        <v>0</v>
      </c>
      <c r="K2998" s="3" t="s">
        <v>651</v>
      </c>
      <c r="L2998" s="3" t="s">
        <v>34</v>
      </c>
      <c r="M2998" s="8">
        <v>105300</v>
      </c>
      <c r="N2998" s="11"/>
      <c r="O2998" s="3" t="s">
        <v>1600</v>
      </c>
      <c r="P2998" s="3" t="s">
        <v>4603</v>
      </c>
    </row>
    <row r="2999" spans="1:16" x14ac:dyDescent="0.3">
      <c r="A2999" s="3" t="s">
        <v>72</v>
      </c>
      <c r="B2999" s="3" t="s">
        <v>4639</v>
      </c>
      <c r="C2999" s="3" t="s">
        <v>87</v>
      </c>
      <c r="D2999" s="3" t="s">
        <v>30</v>
      </c>
      <c r="E2999" s="3" t="s">
        <v>31</v>
      </c>
      <c r="F2999" s="3" t="b">
        <v>1</v>
      </c>
      <c r="G2999" s="3" t="s">
        <v>84</v>
      </c>
      <c r="H2999" s="6">
        <v>44932.753981481481</v>
      </c>
      <c r="I2999" s="3" t="b">
        <v>0</v>
      </c>
      <c r="J2999" s="3" t="b">
        <v>1</v>
      </c>
      <c r="K2999" s="3" t="s">
        <v>33</v>
      </c>
      <c r="L2999" s="3" t="s">
        <v>34</v>
      </c>
      <c r="M2999" s="8">
        <v>190000</v>
      </c>
      <c r="N2999" s="11"/>
      <c r="O2999" s="3" t="s">
        <v>2059</v>
      </c>
      <c r="P2999" s="3" t="s">
        <v>756</v>
      </c>
    </row>
    <row r="3000" spans="1:16" x14ac:dyDescent="0.3">
      <c r="A3000" s="3" t="s">
        <v>72</v>
      </c>
      <c r="B3000" s="3" t="s">
        <v>4673</v>
      </c>
      <c r="C3000" s="3" t="s">
        <v>1244</v>
      </c>
      <c r="D3000" s="3" t="s">
        <v>30</v>
      </c>
      <c r="E3000" s="3" t="s">
        <v>31</v>
      </c>
      <c r="F3000" s="3" t="b">
        <v>0</v>
      </c>
      <c r="G3000" s="3" t="s">
        <v>32</v>
      </c>
      <c r="H3000" s="6">
        <v>44936.002939814818</v>
      </c>
      <c r="I3000" s="3" t="b">
        <v>0</v>
      </c>
      <c r="J3000" s="3" t="b">
        <v>0</v>
      </c>
      <c r="K3000" s="3" t="s">
        <v>33</v>
      </c>
      <c r="L3000" s="3" t="s">
        <v>34</v>
      </c>
      <c r="M3000" s="8">
        <v>170000</v>
      </c>
      <c r="N3000" s="11"/>
      <c r="O3000" s="3" t="s">
        <v>4674</v>
      </c>
      <c r="P3000" s="3" t="s">
        <v>4675</v>
      </c>
    </row>
    <row r="3001" spans="1:16" x14ac:dyDescent="0.3">
      <c r="A3001" s="3" t="s">
        <v>72</v>
      </c>
      <c r="B3001" s="3" t="s">
        <v>4714</v>
      </c>
      <c r="C3001" s="3" t="s">
        <v>87</v>
      </c>
      <c r="D3001" s="3" t="s">
        <v>30</v>
      </c>
      <c r="E3001" s="3" t="s">
        <v>31</v>
      </c>
      <c r="F3001" s="3" t="b">
        <v>1</v>
      </c>
      <c r="G3001" s="3" t="s">
        <v>84</v>
      </c>
      <c r="H3001" s="6">
        <v>44948.920474537037</v>
      </c>
      <c r="I3001" s="3" t="b">
        <v>0</v>
      </c>
      <c r="J3001" s="3" t="b">
        <v>0</v>
      </c>
      <c r="K3001" s="3" t="s">
        <v>33</v>
      </c>
      <c r="L3001" s="3" t="s">
        <v>34</v>
      </c>
      <c r="M3001" s="8">
        <v>157500</v>
      </c>
      <c r="N3001" s="11"/>
      <c r="O3001" s="3" t="s">
        <v>4189</v>
      </c>
      <c r="P3001" s="3" t="s">
        <v>3799</v>
      </c>
    </row>
    <row r="3002" spans="1:16" x14ac:dyDescent="0.3">
      <c r="A3002" s="3" t="s">
        <v>72</v>
      </c>
      <c r="B3002" s="3" t="s">
        <v>72</v>
      </c>
      <c r="C3002" s="3" t="s">
        <v>75</v>
      </c>
      <c r="D3002" s="3" t="s">
        <v>93</v>
      </c>
      <c r="E3002" s="3" t="s">
        <v>31</v>
      </c>
      <c r="F3002" s="3" t="b">
        <v>0</v>
      </c>
      <c r="G3002" s="3" t="s">
        <v>84</v>
      </c>
      <c r="H3002" s="6">
        <v>44950.29582175926</v>
      </c>
      <c r="I3002" s="3" t="b">
        <v>0</v>
      </c>
      <c r="J3002" s="3" t="b">
        <v>0</v>
      </c>
      <c r="K3002" s="3" t="s">
        <v>33</v>
      </c>
      <c r="L3002" s="3" t="s">
        <v>34</v>
      </c>
      <c r="M3002" s="8">
        <v>125000</v>
      </c>
      <c r="N3002" s="11"/>
      <c r="O3002" s="3" t="s">
        <v>277</v>
      </c>
      <c r="P3002" s="3" t="s">
        <v>4725</v>
      </c>
    </row>
    <row r="3003" spans="1:16" x14ac:dyDescent="0.3">
      <c r="A3003" s="3" t="s">
        <v>72</v>
      </c>
      <c r="B3003" s="3" t="s">
        <v>72</v>
      </c>
      <c r="C3003" s="3" t="s">
        <v>83</v>
      </c>
      <c r="D3003" s="3" t="s">
        <v>93</v>
      </c>
      <c r="E3003" s="3" t="s">
        <v>31</v>
      </c>
      <c r="F3003" s="3" t="b">
        <v>0</v>
      </c>
      <c r="G3003" s="3" t="s">
        <v>64</v>
      </c>
      <c r="H3003" s="6">
        <v>44941.293634259258</v>
      </c>
      <c r="I3003" s="3" t="b">
        <v>0</v>
      </c>
      <c r="J3003" s="3" t="b">
        <v>0</v>
      </c>
      <c r="K3003" s="3" t="s">
        <v>33</v>
      </c>
      <c r="L3003" s="3" t="s">
        <v>34</v>
      </c>
      <c r="M3003" s="8">
        <v>90000</v>
      </c>
      <c r="N3003" s="11"/>
      <c r="O3003" s="3" t="s">
        <v>4741</v>
      </c>
      <c r="P3003" s="3" t="s">
        <v>4742</v>
      </c>
    </row>
    <row r="3004" spans="1:16" x14ac:dyDescent="0.3">
      <c r="A3004" s="3" t="s">
        <v>72</v>
      </c>
      <c r="B3004" s="3" t="s">
        <v>577</v>
      </c>
      <c r="C3004" s="3" t="s">
        <v>2197</v>
      </c>
      <c r="D3004" s="3" t="s">
        <v>41</v>
      </c>
      <c r="E3004" s="3" t="s">
        <v>31</v>
      </c>
      <c r="F3004" s="3" t="b">
        <v>0</v>
      </c>
      <c r="G3004" s="3" t="s">
        <v>1252</v>
      </c>
      <c r="H3004" s="6">
        <v>44952.84814814815</v>
      </c>
      <c r="I3004" s="3" t="b">
        <v>0</v>
      </c>
      <c r="J3004" s="3" t="b">
        <v>0</v>
      </c>
      <c r="K3004" s="3" t="s">
        <v>1252</v>
      </c>
      <c r="L3004" s="3" t="s">
        <v>34</v>
      </c>
      <c r="M3004" s="8">
        <v>79200</v>
      </c>
      <c r="N3004" s="11"/>
      <c r="O3004" s="3" t="s">
        <v>310</v>
      </c>
      <c r="P3004" s="3"/>
    </row>
    <row r="3005" spans="1:16" x14ac:dyDescent="0.3">
      <c r="A3005" s="3" t="s">
        <v>72</v>
      </c>
      <c r="B3005" s="3" t="s">
        <v>1803</v>
      </c>
      <c r="C3005" s="3" t="s">
        <v>87</v>
      </c>
      <c r="D3005" s="3" t="s">
        <v>1013</v>
      </c>
      <c r="E3005" s="3" t="s">
        <v>31</v>
      </c>
      <c r="F3005" s="3" t="b">
        <v>1</v>
      </c>
      <c r="G3005" s="3" t="s">
        <v>110</v>
      </c>
      <c r="H3005" s="6">
        <v>44939.015173611107</v>
      </c>
      <c r="I3005" s="3" t="b">
        <v>0</v>
      </c>
      <c r="J3005" s="3" t="b">
        <v>1</v>
      </c>
      <c r="K3005" s="3" t="s">
        <v>110</v>
      </c>
      <c r="L3005" s="3" t="s">
        <v>34</v>
      </c>
      <c r="M3005" s="8">
        <v>191000</v>
      </c>
      <c r="N3005" s="11"/>
      <c r="O3005" s="3" t="s">
        <v>4259</v>
      </c>
      <c r="P3005" s="3" t="s">
        <v>4773</v>
      </c>
    </row>
    <row r="3006" spans="1:16" x14ac:dyDescent="0.3">
      <c r="A3006" s="3" t="s">
        <v>72</v>
      </c>
      <c r="B3006" s="3" t="s">
        <v>4782</v>
      </c>
      <c r="C3006" s="3" t="s">
        <v>87</v>
      </c>
      <c r="D3006" s="3" t="s">
        <v>76</v>
      </c>
      <c r="E3006" s="3" t="s">
        <v>31</v>
      </c>
      <c r="F3006" s="3" t="b">
        <v>1</v>
      </c>
      <c r="G3006" s="3" t="s">
        <v>3940</v>
      </c>
      <c r="H3006" s="6">
        <v>44944.531435185178</v>
      </c>
      <c r="I3006" s="3" t="b">
        <v>0</v>
      </c>
      <c r="J3006" s="3" t="b">
        <v>0</v>
      </c>
      <c r="K3006" s="3" t="s">
        <v>3940</v>
      </c>
      <c r="L3006" s="3" t="s">
        <v>34</v>
      </c>
      <c r="M3006" s="8">
        <v>137500</v>
      </c>
      <c r="N3006" s="11"/>
      <c r="O3006" s="3" t="s">
        <v>1376</v>
      </c>
      <c r="P3006" s="3" t="s">
        <v>4783</v>
      </c>
    </row>
    <row r="3007" spans="1:16" x14ac:dyDescent="0.3">
      <c r="A3007" s="3" t="s">
        <v>72</v>
      </c>
      <c r="B3007" s="3" t="s">
        <v>4786</v>
      </c>
      <c r="C3007" s="3" t="s">
        <v>447</v>
      </c>
      <c r="D3007" s="3" t="s">
        <v>106</v>
      </c>
      <c r="E3007" s="3" t="s">
        <v>31</v>
      </c>
      <c r="F3007" s="3" t="b">
        <v>0</v>
      </c>
      <c r="G3007" s="3" t="s">
        <v>32</v>
      </c>
      <c r="H3007" s="6">
        <v>44936.847384259258</v>
      </c>
      <c r="I3007" s="3" t="b">
        <v>0</v>
      </c>
      <c r="J3007" s="3" t="b">
        <v>0</v>
      </c>
      <c r="K3007" s="3" t="s">
        <v>33</v>
      </c>
      <c r="L3007" s="3" t="s">
        <v>34</v>
      </c>
      <c r="M3007" s="8">
        <v>175000</v>
      </c>
      <c r="N3007" s="11"/>
      <c r="O3007" s="3" t="s">
        <v>196</v>
      </c>
      <c r="P3007" s="3" t="s">
        <v>958</v>
      </c>
    </row>
    <row r="3008" spans="1:16" x14ac:dyDescent="0.3">
      <c r="A3008" s="3" t="s">
        <v>72</v>
      </c>
      <c r="B3008" s="3" t="s">
        <v>4532</v>
      </c>
      <c r="C3008" s="3" t="s">
        <v>33</v>
      </c>
      <c r="D3008" s="3" t="s">
        <v>41</v>
      </c>
      <c r="E3008" s="3" t="s">
        <v>31</v>
      </c>
      <c r="F3008" s="3" t="b">
        <v>0</v>
      </c>
      <c r="G3008" s="3" t="s">
        <v>58</v>
      </c>
      <c r="H3008" s="6">
        <v>44938.462743055563</v>
      </c>
      <c r="I3008" s="3" t="b">
        <v>0</v>
      </c>
      <c r="J3008" s="3" t="b">
        <v>1</v>
      </c>
      <c r="K3008" s="3" t="s">
        <v>33</v>
      </c>
      <c r="L3008" s="3" t="s">
        <v>34</v>
      </c>
      <c r="M3008" s="8">
        <v>198000</v>
      </c>
      <c r="N3008" s="11"/>
      <c r="O3008" s="3" t="s">
        <v>4816</v>
      </c>
      <c r="P3008" s="3" t="s">
        <v>4534</v>
      </c>
    </row>
    <row r="3009" spans="1:16" x14ac:dyDescent="0.3">
      <c r="A3009" s="3" t="s">
        <v>72</v>
      </c>
      <c r="B3009" s="3" t="s">
        <v>4838</v>
      </c>
      <c r="C3009" s="3" t="s">
        <v>87</v>
      </c>
      <c r="D3009" s="3" t="s">
        <v>30</v>
      </c>
      <c r="E3009" s="3" t="s">
        <v>31</v>
      </c>
      <c r="F3009" s="3" t="b">
        <v>1</v>
      </c>
      <c r="G3009" s="3" t="s">
        <v>110</v>
      </c>
      <c r="H3009" s="6">
        <v>44934.61451388889</v>
      </c>
      <c r="I3009" s="3" t="b">
        <v>0</v>
      </c>
      <c r="J3009" s="3" t="b">
        <v>0</v>
      </c>
      <c r="K3009" s="3" t="s">
        <v>110</v>
      </c>
      <c r="L3009" s="3" t="s">
        <v>34</v>
      </c>
      <c r="M3009" s="8">
        <v>210000</v>
      </c>
      <c r="N3009" s="11"/>
      <c r="O3009" s="3" t="s">
        <v>452</v>
      </c>
      <c r="P3009" s="3" t="s">
        <v>453</v>
      </c>
    </row>
    <row r="3010" spans="1:16" x14ac:dyDescent="0.3">
      <c r="A3010" s="3" t="s">
        <v>72</v>
      </c>
      <c r="B3010" s="3" t="s">
        <v>4874</v>
      </c>
      <c r="C3010" s="3" t="s">
        <v>1458</v>
      </c>
      <c r="D3010" s="3" t="s">
        <v>2449</v>
      </c>
      <c r="E3010" s="3" t="s">
        <v>31</v>
      </c>
      <c r="F3010" s="3" t="b">
        <v>0</v>
      </c>
      <c r="G3010" s="3" t="s">
        <v>32</v>
      </c>
      <c r="H3010" s="6">
        <v>44949.46130787037</v>
      </c>
      <c r="I3010" s="3" t="b">
        <v>0</v>
      </c>
      <c r="J3010" s="3" t="b">
        <v>1</v>
      </c>
      <c r="K3010" s="3" t="s">
        <v>33</v>
      </c>
      <c r="L3010" s="3" t="s">
        <v>34</v>
      </c>
      <c r="M3010" s="8">
        <v>302880</v>
      </c>
      <c r="N3010" s="11"/>
      <c r="O3010" s="3" t="s">
        <v>1823</v>
      </c>
      <c r="P3010" s="3" t="s">
        <v>4875</v>
      </c>
    </row>
    <row r="3011" spans="1:16" x14ac:dyDescent="0.3">
      <c r="A3011" s="3" t="s">
        <v>72</v>
      </c>
      <c r="B3011" s="3" t="s">
        <v>4887</v>
      </c>
      <c r="C3011" s="3" t="s">
        <v>212</v>
      </c>
      <c r="D3011" s="3" t="s">
        <v>41</v>
      </c>
      <c r="E3011" s="3" t="s">
        <v>31</v>
      </c>
      <c r="F3011" s="3" t="b">
        <v>0</v>
      </c>
      <c r="G3011" s="3" t="s">
        <v>213</v>
      </c>
      <c r="H3011" s="6">
        <v>44938.822881944441</v>
      </c>
      <c r="I3011" s="3" t="b">
        <v>0</v>
      </c>
      <c r="J3011" s="3" t="b">
        <v>0</v>
      </c>
      <c r="K3011" s="3" t="s">
        <v>213</v>
      </c>
      <c r="L3011" s="3" t="s">
        <v>34</v>
      </c>
      <c r="M3011" s="8">
        <v>147500</v>
      </c>
      <c r="N3011" s="11"/>
      <c r="O3011" s="3" t="s">
        <v>2876</v>
      </c>
      <c r="P3011" s="3" t="s">
        <v>4888</v>
      </c>
    </row>
    <row r="3012" spans="1:16" x14ac:dyDescent="0.3">
      <c r="A3012" s="3" t="s">
        <v>72</v>
      </c>
      <c r="B3012" s="3" t="s">
        <v>72</v>
      </c>
      <c r="C3012" s="3" t="s">
        <v>87</v>
      </c>
      <c r="D3012" s="3" t="s">
        <v>30</v>
      </c>
      <c r="E3012" s="3" t="s">
        <v>133</v>
      </c>
      <c r="F3012" s="3" t="b">
        <v>1</v>
      </c>
      <c r="G3012" s="3" t="s">
        <v>110</v>
      </c>
      <c r="H3012" s="6">
        <v>44957.732407407413</v>
      </c>
      <c r="I3012" s="3" t="b">
        <v>0</v>
      </c>
      <c r="J3012" s="3" t="b">
        <v>0</v>
      </c>
      <c r="K3012" s="3" t="s">
        <v>110</v>
      </c>
      <c r="L3012" s="3" t="s">
        <v>48</v>
      </c>
      <c r="M3012" s="8"/>
      <c r="N3012" s="11">
        <v>70</v>
      </c>
      <c r="O3012" s="3" t="s">
        <v>4322</v>
      </c>
      <c r="P3012" s="3" t="s">
        <v>4934</v>
      </c>
    </row>
    <row r="3013" spans="1:16" x14ac:dyDescent="0.3">
      <c r="A3013" s="3" t="s">
        <v>72</v>
      </c>
      <c r="B3013" s="3" t="s">
        <v>4935</v>
      </c>
      <c r="C3013" s="3" t="s">
        <v>369</v>
      </c>
      <c r="D3013" s="3" t="s">
        <v>53</v>
      </c>
      <c r="E3013" s="3" t="s">
        <v>31</v>
      </c>
      <c r="F3013" s="3" t="b">
        <v>0</v>
      </c>
      <c r="G3013" s="3" t="s">
        <v>64</v>
      </c>
      <c r="H3013" s="6">
        <v>44949.502349537041</v>
      </c>
      <c r="I3013" s="3" t="b">
        <v>0</v>
      </c>
      <c r="J3013" s="3" t="b">
        <v>0</v>
      </c>
      <c r="K3013" s="3" t="s">
        <v>33</v>
      </c>
      <c r="L3013" s="3" t="s">
        <v>34</v>
      </c>
      <c r="M3013" s="8">
        <v>134000</v>
      </c>
      <c r="N3013" s="11"/>
      <c r="O3013" s="3" t="s">
        <v>224</v>
      </c>
      <c r="P3013" s="3" t="s">
        <v>4936</v>
      </c>
    </row>
    <row r="3014" spans="1:16" x14ac:dyDescent="0.3">
      <c r="A3014" s="3" t="s">
        <v>72</v>
      </c>
      <c r="B3014" s="3" t="s">
        <v>2062</v>
      </c>
      <c r="C3014" s="3" t="s">
        <v>1383</v>
      </c>
      <c r="D3014" s="3" t="s">
        <v>287</v>
      </c>
      <c r="E3014" s="3" t="s">
        <v>31</v>
      </c>
      <c r="F3014" s="3" t="b">
        <v>0</v>
      </c>
      <c r="G3014" s="3" t="s">
        <v>84</v>
      </c>
      <c r="H3014" s="6">
        <v>44953.004502314812</v>
      </c>
      <c r="I3014" s="3" t="b">
        <v>0</v>
      </c>
      <c r="J3014" s="3" t="b">
        <v>0</v>
      </c>
      <c r="K3014" s="3" t="s">
        <v>33</v>
      </c>
      <c r="L3014" s="3" t="s">
        <v>34</v>
      </c>
      <c r="M3014" s="8">
        <v>76839</v>
      </c>
      <c r="N3014" s="11"/>
      <c r="O3014" s="3" t="s">
        <v>4937</v>
      </c>
      <c r="P3014" s="3"/>
    </row>
    <row r="3015" spans="1:16" x14ac:dyDescent="0.3">
      <c r="A3015" s="3" t="s">
        <v>72</v>
      </c>
      <c r="B3015" s="3" t="s">
        <v>72</v>
      </c>
      <c r="C3015" s="3" t="s">
        <v>87</v>
      </c>
      <c r="D3015" s="3" t="s">
        <v>30</v>
      </c>
      <c r="E3015" s="3" t="s">
        <v>31</v>
      </c>
      <c r="F3015" s="3" t="b">
        <v>1</v>
      </c>
      <c r="G3015" s="3" t="s">
        <v>58</v>
      </c>
      <c r="H3015" s="6">
        <v>44937.878912037027</v>
      </c>
      <c r="I3015" s="3" t="b">
        <v>0</v>
      </c>
      <c r="J3015" s="3" t="b">
        <v>0</v>
      </c>
      <c r="K3015" s="3" t="s">
        <v>33</v>
      </c>
      <c r="L3015" s="3" t="s">
        <v>34</v>
      </c>
      <c r="M3015" s="8">
        <v>200000</v>
      </c>
      <c r="N3015" s="11"/>
      <c r="O3015" s="3" t="s">
        <v>344</v>
      </c>
      <c r="P3015" s="3" t="s">
        <v>4955</v>
      </c>
    </row>
    <row r="3016" spans="1:16" x14ac:dyDescent="0.3">
      <c r="A3016" s="3" t="s">
        <v>72</v>
      </c>
      <c r="B3016" s="3" t="s">
        <v>72</v>
      </c>
      <c r="C3016" s="3" t="s">
        <v>87</v>
      </c>
      <c r="D3016" s="3" t="s">
        <v>76</v>
      </c>
      <c r="E3016" s="3" t="s">
        <v>1861</v>
      </c>
      <c r="F3016" s="3" t="b">
        <v>1</v>
      </c>
      <c r="G3016" s="3" t="s">
        <v>58</v>
      </c>
      <c r="H3016" s="6">
        <v>44936.806157407409</v>
      </c>
      <c r="I3016" s="3" t="b">
        <v>0</v>
      </c>
      <c r="J3016" s="3" t="b">
        <v>0</v>
      </c>
      <c r="K3016" s="3" t="s">
        <v>33</v>
      </c>
      <c r="L3016" s="3" t="s">
        <v>48</v>
      </c>
      <c r="M3016" s="8"/>
      <c r="N3016" s="11">
        <v>75</v>
      </c>
      <c r="O3016" s="3" t="s">
        <v>4966</v>
      </c>
      <c r="P3016" s="3" t="s">
        <v>4967</v>
      </c>
    </row>
    <row r="3017" spans="1:16" x14ac:dyDescent="0.3">
      <c r="A3017" s="3" t="s">
        <v>72</v>
      </c>
      <c r="B3017" s="3" t="s">
        <v>4992</v>
      </c>
      <c r="C3017" s="3" t="s">
        <v>87</v>
      </c>
      <c r="D3017" s="3" t="s">
        <v>712</v>
      </c>
      <c r="E3017" s="3" t="s">
        <v>31</v>
      </c>
      <c r="F3017" s="3" t="b">
        <v>1</v>
      </c>
      <c r="G3017" s="3" t="s">
        <v>64</v>
      </c>
      <c r="H3017" s="6">
        <v>44937.669456018521</v>
      </c>
      <c r="I3017" s="3" t="b">
        <v>0</v>
      </c>
      <c r="J3017" s="3" t="b">
        <v>1</v>
      </c>
      <c r="K3017" s="3" t="s">
        <v>33</v>
      </c>
      <c r="L3017" s="3" t="s">
        <v>34</v>
      </c>
      <c r="M3017" s="8">
        <v>198000</v>
      </c>
      <c r="N3017" s="11"/>
      <c r="O3017" s="3" t="s">
        <v>4816</v>
      </c>
      <c r="P3017" s="3" t="s">
        <v>4534</v>
      </c>
    </row>
    <row r="3018" spans="1:16" x14ac:dyDescent="0.3">
      <c r="A3018" s="3" t="s">
        <v>72</v>
      </c>
      <c r="B3018" s="3" t="s">
        <v>5003</v>
      </c>
      <c r="C3018" s="3" t="s">
        <v>5004</v>
      </c>
      <c r="D3018" s="3" t="s">
        <v>5005</v>
      </c>
      <c r="E3018" s="3" t="s">
        <v>31</v>
      </c>
      <c r="F3018" s="3" t="b">
        <v>0</v>
      </c>
      <c r="G3018" s="3" t="s">
        <v>32</v>
      </c>
      <c r="H3018" s="6">
        <v>44929.980949074074</v>
      </c>
      <c r="I3018" s="3" t="b">
        <v>0</v>
      </c>
      <c r="J3018" s="3" t="b">
        <v>0</v>
      </c>
      <c r="K3018" s="3" t="s">
        <v>33</v>
      </c>
      <c r="L3018" s="3" t="s">
        <v>48</v>
      </c>
      <c r="M3018" s="8"/>
      <c r="N3018" s="11">
        <v>24</v>
      </c>
      <c r="O3018" s="3" t="s">
        <v>3599</v>
      </c>
      <c r="P3018" s="3" t="s">
        <v>661</v>
      </c>
    </row>
    <row r="3019" spans="1:16" x14ac:dyDescent="0.3">
      <c r="A3019" s="3" t="s">
        <v>72</v>
      </c>
      <c r="B3019" s="3" t="s">
        <v>5027</v>
      </c>
      <c r="C3019" s="3" t="s">
        <v>173</v>
      </c>
      <c r="D3019" s="3" t="s">
        <v>76</v>
      </c>
      <c r="E3019" s="3" t="s">
        <v>31</v>
      </c>
      <c r="F3019" s="3" t="b">
        <v>0</v>
      </c>
      <c r="G3019" s="3" t="s">
        <v>140</v>
      </c>
      <c r="H3019" s="6">
        <v>44932.757407407407</v>
      </c>
      <c r="I3019" s="3" t="b">
        <v>0</v>
      </c>
      <c r="J3019" s="3" t="b">
        <v>1</v>
      </c>
      <c r="K3019" s="3" t="s">
        <v>33</v>
      </c>
      <c r="L3019" s="3" t="s">
        <v>34</v>
      </c>
      <c r="M3019" s="8">
        <v>210000</v>
      </c>
      <c r="N3019" s="11"/>
      <c r="O3019" s="3" t="s">
        <v>5028</v>
      </c>
      <c r="P3019" s="3" t="s">
        <v>958</v>
      </c>
    </row>
    <row r="3020" spans="1:16" x14ac:dyDescent="0.3">
      <c r="A3020" s="3" t="s">
        <v>72</v>
      </c>
      <c r="B3020" s="3" t="s">
        <v>5062</v>
      </c>
      <c r="C3020" s="3" t="s">
        <v>903</v>
      </c>
      <c r="D3020" s="3" t="s">
        <v>41</v>
      </c>
      <c r="E3020" s="3" t="s">
        <v>31</v>
      </c>
      <c r="F3020" s="3" t="b">
        <v>0</v>
      </c>
      <c r="G3020" s="3" t="s">
        <v>436</v>
      </c>
      <c r="H3020" s="6">
        <v>44944.467789351853</v>
      </c>
      <c r="I3020" s="3" t="b">
        <v>0</v>
      </c>
      <c r="J3020" s="3" t="b">
        <v>0</v>
      </c>
      <c r="K3020" s="3" t="s">
        <v>436</v>
      </c>
      <c r="L3020" s="3" t="s">
        <v>34</v>
      </c>
      <c r="M3020" s="8">
        <v>105650</v>
      </c>
      <c r="N3020" s="11"/>
      <c r="O3020" s="3" t="s">
        <v>5063</v>
      </c>
      <c r="P3020" s="3"/>
    </row>
    <row r="3021" spans="1:16" x14ac:dyDescent="0.3">
      <c r="A3021" s="3" t="s">
        <v>72</v>
      </c>
      <c r="B3021" s="3" t="s">
        <v>72</v>
      </c>
      <c r="C3021" s="3" t="s">
        <v>87</v>
      </c>
      <c r="D3021" s="3" t="s">
        <v>76</v>
      </c>
      <c r="E3021" s="3" t="s">
        <v>31</v>
      </c>
      <c r="F3021" s="3" t="b">
        <v>1</v>
      </c>
      <c r="G3021" s="3" t="s">
        <v>110</v>
      </c>
      <c r="H3021" s="6">
        <v>44931.871527777781</v>
      </c>
      <c r="I3021" s="3" t="b">
        <v>0</v>
      </c>
      <c r="J3021" s="3" t="b">
        <v>0</v>
      </c>
      <c r="K3021" s="3" t="s">
        <v>110</v>
      </c>
      <c r="L3021" s="3" t="s">
        <v>34</v>
      </c>
      <c r="M3021" s="8">
        <v>152500</v>
      </c>
      <c r="N3021" s="11"/>
      <c r="O3021" s="3" t="s">
        <v>5071</v>
      </c>
      <c r="P3021" s="3" t="s">
        <v>5072</v>
      </c>
    </row>
    <row r="3022" spans="1:16" x14ac:dyDescent="0.3">
      <c r="A3022" s="3" t="s">
        <v>72</v>
      </c>
      <c r="B3022" s="3" t="s">
        <v>72</v>
      </c>
      <c r="C3022" s="3" t="s">
        <v>1462</v>
      </c>
      <c r="D3022" s="3" t="s">
        <v>30</v>
      </c>
      <c r="E3022" s="3" t="s">
        <v>31</v>
      </c>
      <c r="F3022" s="3" t="b">
        <v>0</v>
      </c>
      <c r="G3022" s="3" t="s">
        <v>110</v>
      </c>
      <c r="H3022" s="6">
        <v>44951.653784722221</v>
      </c>
      <c r="I3022" s="3" t="b">
        <v>0</v>
      </c>
      <c r="J3022" s="3" t="b">
        <v>0</v>
      </c>
      <c r="K3022" s="3" t="s">
        <v>110</v>
      </c>
      <c r="L3022" s="3" t="s">
        <v>34</v>
      </c>
      <c r="M3022" s="8">
        <v>130000</v>
      </c>
      <c r="N3022" s="11"/>
      <c r="O3022" s="3" t="s">
        <v>5112</v>
      </c>
      <c r="P3022" s="3" t="s">
        <v>995</v>
      </c>
    </row>
    <row r="3023" spans="1:16" x14ac:dyDescent="0.3">
      <c r="A3023" s="3" t="s">
        <v>72</v>
      </c>
      <c r="B3023" s="3" t="s">
        <v>5130</v>
      </c>
      <c r="C3023" s="3" t="s">
        <v>447</v>
      </c>
      <c r="D3023" s="3" t="s">
        <v>41</v>
      </c>
      <c r="E3023" s="3" t="s">
        <v>31</v>
      </c>
      <c r="F3023" s="3" t="b">
        <v>0</v>
      </c>
      <c r="G3023" s="3" t="s">
        <v>32</v>
      </c>
      <c r="H3023" s="6">
        <v>44952.378703703696</v>
      </c>
      <c r="I3023" s="3" t="b">
        <v>0</v>
      </c>
      <c r="J3023" s="3" t="b">
        <v>1</v>
      </c>
      <c r="K3023" s="3" t="s">
        <v>33</v>
      </c>
      <c r="L3023" s="3" t="s">
        <v>34</v>
      </c>
      <c r="M3023" s="8">
        <v>157500</v>
      </c>
      <c r="N3023" s="11"/>
      <c r="O3023" s="3" t="s">
        <v>5131</v>
      </c>
      <c r="P3023" s="3" t="s">
        <v>5132</v>
      </c>
    </row>
    <row r="3024" spans="1:16" x14ac:dyDescent="0.3">
      <c r="A3024" s="3" t="s">
        <v>72</v>
      </c>
      <c r="B3024" s="3" t="s">
        <v>1724</v>
      </c>
      <c r="C3024" s="3" t="s">
        <v>1338</v>
      </c>
      <c r="D3024" s="3" t="s">
        <v>41</v>
      </c>
      <c r="E3024" s="3" t="s">
        <v>31</v>
      </c>
      <c r="F3024" s="3" t="b">
        <v>0</v>
      </c>
      <c r="G3024" s="3" t="s">
        <v>213</v>
      </c>
      <c r="H3024" s="6">
        <v>44933.020509259259</v>
      </c>
      <c r="I3024" s="3" t="b">
        <v>1</v>
      </c>
      <c r="J3024" s="3" t="b">
        <v>0</v>
      </c>
      <c r="K3024" s="3" t="s">
        <v>213</v>
      </c>
      <c r="L3024" s="3" t="s">
        <v>34</v>
      </c>
      <c r="M3024" s="8">
        <v>147500</v>
      </c>
      <c r="N3024" s="11"/>
      <c r="O3024" s="3" t="s">
        <v>2876</v>
      </c>
      <c r="P3024" s="3" t="s">
        <v>4888</v>
      </c>
    </row>
    <row r="3025" spans="1:16" x14ac:dyDescent="0.3">
      <c r="A3025" s="3" t="s">
        <v>72</v>
      </c>
      <c r="B3025" s="3" t="s">
        <v>72</v>
      </c>
      <c r="C3025" s="3" t="s">
        <v>164</v>
      </c>
      <c r="D3025" s="3" t="s">
        <v>1113</v>
      </c>
      <c r="E3025" s="3" t="s">
        <v>31</v>
      </c>
      <c r="F3025" s="3" t="b">
        <v>0</v>
      </c>
      <c r="G3025" s="3" t="s">
        <v>64</v>
      </c>
      <c r="H3025" s="6">
        <v>44933.168958333343</v>
      </c>
      <c r="I3025" s="3" t="b">
        <v>0</v>
      </c>
      <c r="J3025" s="3" t="b">
        <v>1</v>
      </c>
      <c r="K3025" s="3" t="s">
        <v>33</v>
      </c>
      <c r="L3025" s="3" t="s">
        <v>34</v>
      </c>
      <c r="M3025" s="8">
        <v>150000</v>
      </c>
      <c r="N3025" s="11"/>
      <c r="O3025" s="3" t="s">
        <v>5146</v>
      </c>
      <c r="P3025" s="3" t="s">
        <v>4580</v>
      </c>
    </row>
    <row r="3026" spans="1:16" x14ac:dyDescent="0.3">
      <c r="A3026" s="3" t="s">
        <v>72</v>
      </c>
      <c r="B3026" s="3" t="s">
        <v>5178</v>
      </c>
      <c r="C3026" s="3" t="s">
        <v>79</v>
      </c>
      <c r="D3026" s="3" t="s">
        <v>296</v>
      </c>
      <c r="E3026" s="3" t="s">
        <v>31</v>
      </c>
      <c r="F3026" s="3" t="b">
        <v>0</v>
      </c>
      <c r="G3026" s="3" t="s">
        <v>58</v>
      </c>
      <c r="H3026" s="6">
        <v>44929.981562499997</v>
      </c>
      <c r="I3026" s="3" t="b">
        <v>0</v>
      </c>
      <c r="J3026" s="3" t="b">
        <v>0</v>
      </c>
      <c r="K3026" s="3" t="s">
        <v>33</v>
      </c>
      <c r="L3026" s="3" t="s">
        <v>48</v>
      </c>
      <c r="M3026" s="8"/>
      <c r="N3026" s="11">
        <v>24</v>
      </c>
      <c r="O3026" s="3" t="s">
        <v>5179</v>
      </c>
      <c r="P3026" s="3" t="s">
        <v>5180</v>
      </c>
    </row>
    <row r="3027" spans="1:16" x14ac:dyDescent="0.3">
      <c r="A3027" s="3" t="s">
        <v>72</v>
      </c>
      <c r="B3027" s="3" t="s">
        <v>2011</v>
      </c>
      <c r="C3027" s="3" t="s">
        <v>29</v>
      </c>
      <c r="D3027" s="3" t="s">
        <v>30</v>
      </c>
      <c r="E3027" s="3" t="s">
        <v>31</v>
      </c>
      <c r="F3027" s="3" t="b">
        <v>0</v>
      </c>
      <c r="G3027" s="3" t="s">
        <v>32</v>
      </c>
      <c r="H3027" s="6">
        <v>44937.253564814811</v>
      </c>
      <c r="I3027" s="3" t="b">
        <v>0</v>
      </c>
      <c r="J3027" s="3" t="b">
        <v>1</v>
      </c>
      <c r="K3027" s="3" t="s">
        <v>33</v>
      </c>
      <c r="L3027" s="3" t="s">
        <v>34</v>
      </c>
      <c r="M3027" s="8">
        <v>196800</v>
      </c>
      <c r="N3027" s="11"/>
      <c r="O3027" s="3" t="s">
        <v>35</v>
      </c>
      <c r="P3027" s="3" t="s">
        <v>38</v>
      </c>
    </row>
    <row r="3028" spans="1:16" x14ac:dyDescent="0.3">
      <c r="A3028" s="3" t="s">
        <v>72</v>
      </c>
      <c r="B3028" s="3" t="s">
        <v>5188</v>
      </c>
      <c r="C3028" s="3" t="s">
        <v>5189</v>
      </c>
      <c r="D3028" s="3" t="s">
        <v>93</v>
      </c>
      <c r="E3028" s="3" t="s">
        <v>31</v>
      </c>
      <c r="F3028" s="3" t="b">
        <v>0</v>
      </c>
      <c r="G3028" s="3" t="s">
        <v>64</v>
      </c>
      <c r="H3028" s="6">
        <v>44938.295231481483</v>
      </c>
      <c r="I3028" s="3" t="b">
        <v>0</v>
      </c>
      <c r="J3028" s="3" t="b">
        <v>1</v>
      </c>
      <c r="K3028" s="3" t="s">
        <v>33</v>
      </c>
      <c r="L3028" s="3" t="s">
        <v>34</v>
      </c>
      <c r="M3028" s="8">
        <v>90000</v>
      </c>
      <c r="N3028" s="11"/>
      <c r="O3028" s="3" t="s">
        <v>988</v>
      </c>
      <c r="P3028" s="3" t="s">
        <v>5190</v>
      </c>
    </row>
    <row r="3029" spans="1:16" x14ac:dyDescent="0.3">
      <c r="A3029" s="3" t="s">
        <v>72</v>
      </c>
      <c r="B3029" s="3" t="s">
        <v>72</v>
      </c>
      <c r="C3029" s="3" t="s">
        <v>2451</v>
      </c>
      <c r="D3029" s="3" t="s">
        <v>41</v>
      </c>
      <c r="E3029" s="3" t="s">
        <v>31</v>
      </c>
      <c r="F3029" s="3" t="b">
        <v>0</v>
      </c>
      <c r="G3029" s="3" t="s">
        <v>64</v>
      </c>
      <c r="H3029" s="6">
        <v>44941.250069444453</v>
      </c>
      <c r="I3029" s="3" t="b">
        <v>0</v>
      </c>
      <c r="J3029" s="3" t="b">
        <v>0</v>
      </c>
      <c r="K3029" s="3" t="s">
        <v>33</v>
      </c>
      <c r="L3029" s="3" t="s">
        <v>34</v>
      </c>
      <c r="M3029" s="8">
        <v>157500</v>
      </c>
      <c r="N3029" s="11"/>
      <c r="O3029" s="3" t="s">
        <v>694</v>
      </c>
      <c r="P3029" s="3" t="s">
        <v>5192</v>
      </c>
    </row>
    <row r="3030" spans="1:16" x14ac:dyDescent="0.3">
      <c r="A3030" s="3" t="s">
        <v>72</v>
      </c>
      <c r="B3030" s="3" t="s">
        <v>72</v>
      </c>
      <c r="C3030" s="3" t="s">
        <v>164</v>
      </c>
      <c r="D3030" s="3" t="s">
        <v>2449</v>
      </c>
      <c r="E3030" s="3" t="s">
        <v>31</v>
      </c>
      <c r="F3030" s="3" t="b">
        <v>0</v>
      </c>
      <c r="G3030" s="3" t="s">
        <v>64</v>
      </c>
      <c r="H3030" s="6">
        <v>44942.430011574077</v>
      </c>
      <c r="I3030" s="3" t="b">
        <v>0</v>
      </c>
      <c r="J3030" s="3" t="b">
        <v>1</v>
      </c>
      <c r="K3030" s="3" t="s">
        <v>33</v>
      </c>
      <c r="L3030" s="3" t="s">
        <v>34</v>
      </c>
      <c r="M3030" s="8">
        <v>222000</v>
      </c>
      <c r="N3030" s="11"/>
      <c r="O3030" s="3" t="s">
        <v>5200</v>
      </c>
      <c r="P3030" s="3" t="s">
        <v>5201</v>
      </c>
    </row>
    <row r="3031" spans="1:16" x14ac:dyDescent="0.3">
      <c r="A3031" s="3" t="s">
        <v>72</v>
      </c>
      <c r="B3031" s="3" t="s">
        <v>5203</v>
      </c>
      <c r="C3031" s="3" t="s">
        <v>29</v>
      </c>
      <c r="D3031" s="3" t="s">
        <v>5204</v>
      </c>
      <c r="E3031" s="3" t="s">
        <v>31</v>
      </c>
      <c r="F3031" s="3" t="b">
        <v>0</v>
      </c>
      <c r="G3031" s="3" t="s">
        <v>32</v>
      </c>
      <c r="H3031" s="6">
        <v>44929.981064814812</v>
      </c>
      <c r="I3031" s="3" t="b">
        <v>0</v>
      </c>
      <c r="J3031" s="3" t="b">
        <v>0</v>
      </c>
      <c r="K3031" s="3" t="s">
        <v>33</v>
      </c>
      <c r="L3031" s="3" t="s">
        <v>48</v>
      </c>
      <c r="M3031" s="8"/>
      <c r="N3031" s="11">
        <v>24</v>
      </c>
      <c r="O3031" s="3" t="s">
        <v>5205</v>
      </c>
      <c r="P3031" s="3" t="s">
        <v>5206</v>
      </c>
    </row>
    <row r="3032" spans="1:16" x14ac:dyDescent="0.3">
      <c r="A3032" s="3" t="s">
        <v>72</v>
      </c>
      <c r="B3032" s="3" t="s">
        <v>3169</v>
      </c>
      <c r="C3032" s="3" t="s">
        <v>2094</v>
      </c>
      <c r="D3032" s="3" t="s">
        <v>5207</v>
      </c>
      <c r="E3032" s="3" t="s">
        <v>31</v>
      </c>
      <c r="F3032" s="3" t="b">
        <v>0</v>
      </c>
      <c r="G3032" s="3" t="s">
        <v>84</v>
      </c>
      <c r="H3032" s="6">
        <v>44929.982395833344</v>
      </c>
      <c r="I3032" s="3" t="b">
        <v>0</v>
      </c>
      <c r="J3032" s="3" t="b">
        <v>0</v>
      </c>
      <c r="K3032" s="3" t="s">
        <v>33</v>
      </c>
      <c r="L3032" s="3" t="s">
        <v>48</v>
      </c>
      <c r="M3032" s="8"/>
      <c r="N3032" s="11">
        <v>24</v>
      </c>
      <c r="O3032" s="3" t="s">
        <v>194</v>
      </c>
      <c r="P3032" s="3" t="s">
        <v>195</v>
      </c>
    </row>
    <row r="3033" spans="1:16" x14ac:dyDescent="0.3">
      <c r="A3033" s="3" t="s">
        <v>72</v>
      </c>
      <c r="B3033" s="3" t="s">
        <v>72</v>
      </c>
      <c r="C3033" s="3" t="s">
        <v>79</v>
      </c>
      <c r="D3033" s="3" t="s">
        <v>296</v>
      </c>
      <c r="E3033" s="3" t="s">
        <v>31</v>
      </c>
      <c r="F3033" s="3" t="b">
        <v>0</v>
      </c>
      <c r="G3033" s="3" t="s">
        <v>58</v>
      </c>
      <c r="H3033" s="6">
        <v>44955.003391203703</v>
      </c>
      <c r="I3033" s="3" t="b">
        <v>0</v>
      </c>
      <c r="J3033" s="3" t="b">
        <v>1</v>
      </c>
      <c r="K3033" s="3" t="s">
        <v>33</v>
      </c>
      <c r="L3033" s="3" t="s">
        <v>48</v>
      </c>
      <c r="M3033" s="8"/>
      <c r="N3033" s="11">
        <v>24</v>
      </c>
      <c r="O3033" s="3" t="s">
        <v>1445</v>
      </c>
      <c r="P3033" s="3" t="s">
        <v>5223</v>
      </c>
    </row>
    <row r="3034" spans="1:16" x14ac:dyDescent="0.3">
      <c r="A3034" s="3" t="s">
        <v>72</v>
      </c>
      <c r="B3034" s="3" t="s">
        <v>5235</v>
      </c>
      <c r="C3034" s="3" t="s">
        <v>1418</v>
      </c>
      <c r="D3034" s="3" t="s">
        <v>390</v>
      </c>
      <c r="E3034" s="3" t="s">
        <v>31</v>
      </c>
      <c r="F3034" s="3" t="b">
        <v>0</v>
      </c>
      <c r="G3034" s="3" t="s">
        <v>32</v>
      </c>
      <c r="H3034" s="6">
        <v>44932.044386574067</v>
      </c>
      <c r="I3034" s="3" t="b">
        <v>0</v>
      </c>
      <c r="J3034" s="3" t="b">
        <v>1</v>
      </c>
      <c r="K3034" s="3" t="s">
        <v>33</v>
      </c>
      <c r="L3034" s="3" t="s">
        <v>34</v>
      </c>
      <c r="M3034" s="8">
        <v>102000</v>
      </c>
      <c r="N3034" s="11"/>
      <c r="O3034" s="3" t="s">
        <v>665</v>
      </c>
      <c r="P3034" s="3" t="s">
        <v>5236</v>
      </c>
    </row>
    <row r="3035" spans="1:16" x14ac:dyDescent="0.3">
      <c r="A3035" s="3" t="s">
        <v>72</v>
      </c>
      <c r="B3035" s="3" t="s">
        <v>5281</v>
      </c>
      <c r="C3035" s="3" t="s">
        <v>5282</v>
      </c>
      <c r="D3035" s="3" t="s">
        <v>287</v>
      </c>
      <c r="E3035" s="3" t="s">
        <v>31</v>
      </c>
      <c r="F3035" s="3" t="b">
        <v>0</v>
      </c>
      <c r="G3035" s="3" t="s">
        <v>110</v>
      </c>
      <c r="H3035" s="6">
        <v>44939.0155787037</v>
      </c>
      <c r="I3035" s="3" t="b">
        <v>0</v>
      </c>
      <c r="J3035" s="3" t="b">
        <v>1</v>
      </c>
      <c r="K3035" s="3" t="s">
        <v>110</v>
      </c>
      <c r="L3035" s="3" t="s">
        <v>34</v>
      </c>
      <c r="M3035" s="8">
        <v>158445</v>
      </c>
      <c r="N3035" s="11"/>
      <c r="O3035" s="3" t="s">
        <v>5283</v>
      </c>
      <c r="P3035" s="3" t="s">
        <v>5284</v>
      </c>
    </row>
    <row r="3036" spans="1:16" x14ac:dyDescent="0.3">
      <c r="A3036" s="3" t="s">
        <v>72</v>
      </c>
      <c r="B3036" s="3" t="s">
        <v>1657</v>
      </c>
      <c r="C3036" s="3" t="s">
        <v>1001</v>
      </c>
      <c r="D3036" s="3" t="s">
        <v>93</v>
      </c>
      <c r="E3036" s="3" t="s">
        <v>31</v>
      </c>
      <c r="F3036" s="3" t="b">
        <v>0</v>
      </c>
      <c r="G3036" s="3" t="s">
        <v>317</v>
      </c>
      <c r="H3036" s="6">
        <v>44943.261956018519</v>
      </c>
      <c r="I3036" s="3" t="b">
        <v>0</v>
      </c>
      <c r="J3036" s="3" t="b">
        <v>0</v>
      </c>
      <c r="K3036" s="3" t="s">
        <v>317</v>
      </c>
      <c r="L3036" s="3" t="s">
        <v>34</v>
      </c>
      <c r="M3036" s="8">
        <v>150000</v>
      </c>
      <c r="N3036" s="11"/>
      <c r="O3036" s="3" t="s">
        <v>2692</v>
      </c>
      <c r="P3036" s="3" t="s">
        <v>661</v>
      </c>
    </row>
    <row r="3037" spans="1:16" x14ac:dyDescent="0.3">
      <c r="A3037" s="3" t="s">
        <v>72</v>
      </c>
      <c r="B3037" s="3" t="s">
        <v>2011</v>
      </c>
      <c r="C3037" s="3" t="s">
        <v>29</v>
      </c>
      <c r="D3037" s="3" t="s">
        <v>30</v>
      </c>
      <c r="E3037" s="3" t="s">
        <v>31</v>
      </c>
      <c r="F3037" s="3" t="b">
        <v>0</v>
      </c>
      <c r="G3037" s="3" t="s">
        <v>32</v>
      </c>
      <c r="H3037" s="6">
        <v>44937.264166666668</v>
      </c>
      <c r="I3037" s="3" t="b">
        <v>0</v>
      </c>
      <c r="J3037" s="3" t="b">
        <v>1</v>
      </c>
      <c r="K3037" s="3" t="s">
        <v>33</v>
      </c>
      <c r="L3037" s="3" t="s">
        <v>34</v>
      </c>
      <c r="M3037" s="8">
        <v>196800</v>
      </c>
      <c r="N3037" s="11"/>
      <c r="O3037" s="3" t="s">
        <v>35</v>
      </c>
      <c r="P3037" s="3" t="s">
        <v>38</v>
      </c>
    </row>
    <row r="3038" spans="1:16" x14ac:dyDescent="0.3">
      <c r="A3038" s="3" t="s">
        <v>72</v>
      </c>
      <c r="B3038" s="3" t="s">
        <v>5314</v>
      </c>
      <c r="C3038" s="3" t="s">
        <v>87</v>
      </c>
      <c r="D3038" s="3" t="s">
        <v>867</v>
      </c>
      <c r="E3038" s="3" t="s">
        <v>31</v>
      </c>
      <c r="F3038" s="3" t="b">
        <v>1</v>
      </c>
      <c r="G3038" s="3" t="s">
        <v>32</v>
      </c>
      <c r="H3038" s="6">
        <v>44955.002812500003</v>
      </c>
      <c r="I3038" s="3" t="b">
        <v>0</v>
      </c>
      <c r="J3038" s="3" t="b">
        <v>1</v>
      </c>
      <c r="K3038" s="3" t="s">
        <v>33</v>
      </c>
      <c r="L3038" s="3" t="s">
        <v>34</v>
      </c>
      <c r="M3038" s="8">
        <v>155000</v>
      </c>
      <c r="N3038" s="11"/>
      <c r="O3038" s="3" t="s">
        <v>5315</v>
      </c>
      <c r="P3038" s="3" t="s">
        <v>5316</v>
      </c>
    </row>
    <row r="3039" spans="1:16" x14ac:dyDescent="0.3">
      <c r="A3039" s="3" t="s">
        <v>72</v>
      </c>
      <c r="B3039" s="3" t="s">
        <v>72</v>
      </c>
      <c r="C3039" s="3" t="s">
        <v>244</v>
      </c>
      <c r="D3039" s="3" t="s">
        <v>41</v>
      </c>
      <c r="E3039" s="3" t="s">
        <v>31</v>
      </c>
      <c r="F3039" s="3" t="b">
        <v>0</v>
      </c>
      <c r="G3039" s="3" t="s">
        <v>58</v>
      </c>
      <c r="H3039" s="6">
        <v>44948.461712962962</v>
      </c>
      <c r="I3039" s="3" t="b">
        <v>0</v>
      </c>
      <c r="J3039" s="3" t="b">
        <v>0</v>
      </c>
      <c r="K3039" s="3" t="s">
        <v>33</v>
      </c>
      <c r="L3039" s="3" t="s">
        <v>34</v>
      </c>
      <c r="M3039" s="8">
        <v>157500</v>
      </c>
      <c r="N3039" s="11"/>
      <c r="O3039" s="3" t="s">
        <v>694</v>
      </c>
      <c r="P3039" s="3" t="s">
        <v>5192</v>
      </c>
    </row>
    <row r="3040" spans="1:16" x14ac:dyDescent="0.3">
      <c r="A3040" s="3" t="s">
        <v>72</v>
      </c>
      <c r="B3040" s="3" t="s">
        <v>5564</v>
      </c>
      <c r="C3040" s="3" t="s">
        <v>79</v>
      </c>
      <c r="D3040" s="3" t="s">
        <v>296</v>
      </c>
      <c r="E3040" s="3" t="s">
        <v>31</v>
      </c>
      <c r="F3040" s="3" t="b">
        <v>0</v>
      </c>
      <c r="G3040" s="3" t="s">
        <v>58</v>
      </c>
      <c r="H3040" s="6">
        <v>44929.981666666667</v>
      </c>
      <c r="I3040" s="3" t="b">
        <v>0</v>
      </c>
      <c r="J3040" s="3" t="b">
        <v>1</v>
      </c>
      <c r="K3040" s="3" t="s">
        <v>33</v>
      </c>
      <c r="L3040" s="3" t="s">
        <v>48</v>
      </c>
      <c r="M3040" s="8"/>
      <c r="N3040" s="11">
        <v>24</v>
      </c>
      <c r="O3040" s="3" t="s">
        <v>5565</v>
      </c>
      <c r="P3040" s="3" t="s">
        <v>5566</v>
      </c>
    </row>
    <row r="3041" spans="1:16" x14ac:dyDescent="0.3">
      <c r="A3041" s="3" t="s">
        <v>72</v>
      </c>
      <c r="B3041" s="3" t="s">
        <v>5627</v>
      </c>
      <c r="C3041" s="3" t="s">
        <v>5628</v>
      </c>
      <c r="D3041" s="3" t="s">
        <v>1113</v>
      </c>
      <c r="E3041" s="3" t="s">
        <v>31</v>
      </c>
      <c r="F3041" s="3" t="b">
        <v>0</v>
      </c>
      <c r="G3041" s="3" t="s">
        <v>140</v>
      </c>
      <c r="H3041" s="6">
        <v>44941.54078703704</v>
      </c>
      <c r="I3041" s="3" t="b">
        <v>0</v>
      </c>
      <c r="J3041" s="3" t="b">
        <v>0</v>
      </c>
      <c r="K3041" s="3" t="s">
        <v>33</v>
      </c>
      <c r="L3041" s="3" t="s">
        <v>34</v>
      </c>
      <c r="M3041" s="8">
        <v>195000</v>
      </c>
      <c r="N3041" s="11"/>
      <c r="O3041" s="3" t="s">
        <v>5629</v>
      </c>
      <c r="P3041" s="3"/>
    </row>
    <row r="3042" spans="1:16" x14ac:dyDescent="0.3">
      <c r="A3042" s="3" t="s">
        <v>72</v>
      </c>
      <c r="B3042" s="3" t="s">
        <v>1803</v>
      </c>
      <c r="C3042" s="3" t="s">
        <v>87</v>
      </c>
      <c r="D3042" s="3" t="s">
        <v>1868</v>
      </c>
      <c r="E3042" s="3" t="s">
        <v>31</v>
      </c>
      <c r="F3042" s="3" t="b">
        <v>1</v>
      </c>
      <c r="G3042" s="3" t="s">
        <v>64</v>
      </c>
      <c r="H3042" s="6">
        <v>44933.668078703697</v>
      </c>
      <c r="I3042" s="3" t="b">
        <v>0</v>
      </c>
      <c r="J3042" s="3" t="b">
        <v>1</v>
      </c>
      <c r="K3042" s="3" t="s">
        <v>33</v>
      </c>
      <c r="L3042" s="3" t="s">
        <v>34</v>
      </c>
      <c r="M3042" s="8">
        <v>193500</v>
      </c>
      <c r="N3042" s="11"/>
      <c r="O3042" s="3" t="s">
        <v>5678</v>
      </c>
      <c r="P3042" s="3"/>
    </row>
    <row r="3043" spans="1:16" x14ac:dyDescent="0.3">
      <c r="A3043" s="3" t="s">
        <v>72</v>
      </c>
      <c r="B3043" s="3" t="s">
        <v>5701</v>
      </c>
      <c r="C3043" s="3" t="s">
        <v>305</v>
      </c>
      <c r="D3043" s="3" t="s">
        <v>2097</v>
      </c>
      <c r="E3043" s="3" t="s">
        <v>31</v>
      </c>
      <c r="F3043" s="3" t="b">
        <v>0</v>
      </c>
      <c r="G3043" s="3" t="s">
        <v>32</v>
      </c>
      <c r="H3043" s="6">
        <v>44929.981111111112</v>
      </c>
      <c r="I3043" s="3" t="b">
        <v>0</v>
      </c>
      <c r="J3043" s="3" t="b">
        <v>0</v>
      </c>
      <c r="K3043" s="3" t="s">
        <v>33</v>
      </c>
      <c r="L3043" s="3" t="s">
        <v>48</v>
      </c>
      <c r="M3043" s="8"/>
      <c r="N3043" s="11">
        <v>24</v>
      </c>
      <c r="O3043" s="3" t="s">
        <v>657</v>
      </c>
      <c r="P3043" s="3"/>
    </row>
    <row r="3044" spans="1:16" x14ac:dyDescent="0.3">
      <c r="A3044" s="3" t="s">
        <v>72</v>
      </c>
      <c r="B3044" s="3" t="s">
        <v>5702</v>
      </c>
      <c r="C3044" s="3" t="s">
        <v>321</v>
      </c>
      <c r="D3044" s="3" t="s">
        <v>1408</v>
      </c>
      <c r="E3044" s="3" t="s">
        <v>31</v>
      </c>
      <c r="F3044" s="3" t="b">
        <v>0</v>
      </c>
      <c r="G3044" s="3" t="s">
        <v>88</v>
      </c>
      <c r="H3044" s="6">
        <v>44929.982997685183</v>
      </c>
      <c r="I3044" s="3" t="b">
        <v>0</v>
      </c>
      <c r="J3044" s="3" t="b">
        <v>0</v>
      </c>
      <c r="K3044" s="3" t="s">
        <v>33</v>
      </c>
      <c r="L3044" s="3" t="s">
        <v>48</v>
      </c>
      <c r="M3044" s="8"/>
      <c r="N3044" s="11">
        <v>24</v>
      </c>
      <c r="O3044" s="3" t="s">
        <v>5703</v>
      </c>
      <c r="P3044" s="3" t="s">
        <v>5704</v>
      </c>
    </row>
    <row r="3045" spans="1:16" x14ac:dyDescent="0.3">
      <c r="A3045" s="3" t="s">
        <v>72</v>
      </c>
      <c r="B3045" s="3" t="s">
        <v>72</v>
      </c>
      <c r="C3045" s="3" t="s">
        <v>5729</v>
      </c>
      <c r="D3045" s="3" t="s">
        <v>93</v>
      </c>
      <c r="E3045" s="3" t="s">
        <v>31</v>
      </c>
      <c r="F3045" s="3" t="b">
        <v>0</v>
      </c>
      <c r="G3045" s="3" t="s">
        <v>84</v>
      </c>
      <c r="H3045" s="6">
        <v>44942.169930555552</v>
      </c>
      <c r="I3045" s="3" t="b">
        <v>0</v>
      </c>
      <c r="J3045" s="3" t="b">
        <v>1</v>
      </c>
      <c r="K3045" s="3" t="s">
        <v>33</v>
      </c>
      <c r="L3045" s="3" t="s">
        <v>34</v>
      </c>
      <c r="M3045" s="8">
        <v>90000</v>
      </c>
      <c r="N3045" s="11"/>
      <c r="O3045" s="3" t="s">
        <v>5730</v>
      </c>
      <c r="P3045" s="3" t="s">
        <v>2644</v>
      </c>
    </row>
    <row r="3046" spans="1:16" x14ac:dyDescent="0.3">
      <c r="A3046" s="3" t="s">
        <v>72</v>
      </c>
      <c r="B3046" s="3" t="s">
        <v>5795</v>
      </c>
      <c r="C3046" s="3" t="s">
        <v>1001</v>
      </c>
      <c r="D3046" s="3" t="s">
        <v>93</v>
      </c>
      <c r="E3046" s="3" t="s">
        <v>31</v>
      </c>
      <c r="F3046" s="3" t="b">
        <v>0</v>
      </c>
      <c r="G3046" s="3" t="s">
        <v>317</v>
      </c>
      <c r="H3046" s="6">
        <v>44936.522083333337</v>
      </c>
      <c r="I3046" s="3" t="b">
        <v>1</v>
      </c>
      <c r="J3046" s="3" t="b">
        <v>0</v>
      </c>
      <c r="K3046" s="3" t="s">
        <v>317</v>
      </c>
      <c r="L3046" s="3" t="s">
        <v>34</v>
      </c>
      <c r="M3046" s="8">
        <v>90000</v>
      </c>
      <c r="N3046" s="11"/>
      <c r="O3046" s="3" t="s">
        <v>5796</v>
      </c>
      <c r="P3046" s="3" t="s">
        <v>5797</v>
      </c>
    </row>
    <row r="3047" spans="1:16" x14ac:dyDescent="0.3">
      <c r="A3047" s="3" t="s">
        <v>72</v>
      </c>
      <c r="B3047" s="3" t="s">
        <v>749</v>
      </c>
      <c r="C3047" s="3" t="s">
        <v>87</v>
      </c>
      <c r="D3047" s="3" t="s">
        <v>30</v>
      </c>
      <c r="E3047" s="3" t="s">
        <v>31</v>
      </c>
      <c r="F3047" s="3" t="b">
        <v>1</v>
      </c>
      <c r="G3047" s="3" t="s">
        <v>64</v>
      </c>
      <c r="H3047" s="6">
        <v>44945.347974537042</v>
      </c>
      <c r="I3047" s="3" t="b">
        <v>0</v>
      </c>
      <c r="J3047" s="3" t="b">
        <v>1</v>
      </c>
      <c r="K3047" s="3" t="s">
        <v>33</v>
      </c>
      <c r="L3047" s="3" t="s">
        <v>34</v>
      </c>
      <c r="M3047" s="8">
        <v>135000</v>
      </c>
      <c r="N3047" s="11"/>
      <c r="O3047" s="3" t="s">
        <v>158</v>
      </c>
      <c r="P3047" s="3" t="s">
        <v>750</v>
      </c>
    </row>
    <row r="3048" spans="1:16" x14ac:dyDescent="0.3">
      <c r="A3048" s="3" t="s">
        <v>72</v>
      </c>
      <c r="B3048" s="3" t="s">
        <v>5930</v>
      </c>
      <c r="C3048" s="3" t="s">
        <v>903</v>
      </c>
      <c r="D3048" s="3" t="s">
        <v>41</v>
      </c>
      <c r="E3048" s="3" t="s">
        <v>31</v>
      </c>
      <c r="F3048" s="3" t="b">
        <v>0</v>
      </c>
      <c r="G3048" s="3" t="s">
        <v>436</v>
      </c>
      <c r="H3048" s="6">
        <v>44939.093541666669</v>
      </c>
      <c r="I3048" s="3" t="b">
        <v>0</v>
      </c>
      <c r="J3048" s="3" t="b">
        <v>0</v>
      </c>
      <c r="K3048" s="3" t="s">
        <v>436</v>
      </c>
      <c r="L3048" s="3" t="s">
        <v>34</v>
      </c>
      <c r="M3048" s="8">
        <v>157500</v>
      </c>
      <c r="N3048" s="11"/>
      <c r="O3048" s="3" t="s">
        <v>356</v>
      </c>
      <c r="P3048" s="3" t="s">
        <v>5931</v>
      </c>
    </row>
    <row r="3049" spans="1:16" x14ac:dyDescent="0.3">
      <c r="A3049" s="3" t="s">
        <v>72</v>
      </c>
      <c r="B3049" s="3" t="s">
        <v>5932</v>
      </c>
      <c r="C3049" s="3" t="s">
        <v>5933</v>
      </c>
      <c r="D3049" s="3" t="s">
        <v>5934</v>
      </c>
      <c r="E3049" s="3" t="s">
        <v>31</v>
      </c>
      <c r="F3049" s="3" t="b">
        <v>0</v>
      </c>
      <c r="G3049" s="3" t="s">
        <v>32</v>
      </c>
      <c r="H3049" s="6">
        <v>44929.980983796297</v>
      </c>
      <c r="I3049" s="3" t="b">
        <v>0</v>
      </c>
      <c r="J3049" s="3" t="b">
        <v>0</v>
      </c>
      <c r="K3049" s="3" t="s">
        <v>33</v>
      </c>
      <c r="L3049" s="3" t="s">
        <v>48</v>
      </c>
      <c r="M3049" s="8"/>
      <c r="N3049" s="11">
        <v>24</v>
      </c>
      <c r="O3049" s="3" t="s">
        <v>4328</v>
      </c>
      <c r="P3049" s="3" t="s">
        <v>5935</v>
      </c>
    </row>
    <row r="3050" spans="1:16" x14ac:dyDescent="0.3">
      <c r="A3050" s="3" t="s">
        <v>72</v>
      </c>
      <c r="B3050" s="3" t="s">
        <v>5943</v>
      </c>
      <c r="C3050" s="3" t="s">
        <v>565</v>
      </c>
      <c r="D3050" s="3" t="s">
        <v>106</v>
      </c>
      <c r="E3050" s="3" t="s">
        <v>31</v>
      </c>
      <c r="F3050" s="3" t="b">
        <v>0</v>
      </c>
      <c r="G3050" s="3" t="s">
        <v>140</v>
      </c>
      <c r="H3050" s="6">
        <v>44937.657488425917</v>
      </c>
      <c r="I3050" s="3" t="b">
        <v>0</v>
      </c>
      <c r="J3050" s="3" t="b">
        <v>1</v>
      </c>
      <c r="K3050" s="3" t="s">
        <v>33</v>
      </c>
      <c r="L3050" s="3" t="s">
        <v>34</v>
      </c>
      <c r="M3050" s="8">
        <v>68375.5</v>
      </c>
      <c r="N3050" s="11"/>
      <c r="O3050" s="3" t="s">
        <v>5944</v>
      </c>
      <c r="P3050" s="3" t="s">
        <v>5945</v>
      </c>
    </row>
    <row r="3051" spans="1:16" x14ac:dyDescent="0.3">
      <c r="A3051" s="3" t="s">
        <v>72</v>
      </c>
      <c r="B3051" s="3" t="s">
        <v>5948</v>
      </c>
      <c r="C3051" s="3" t="s">
        <v>164</v>
      </c>
      <c r="D3051" s="3" t="s">
        <v>712</v>
      </c>
      <c r="E3051" s="3" t="s">
        <v>31</v>
      </c>
      <c r="F3051" s="3" t="b">
        <v>0</v>
      </c>
      <c r="G3051" s="3" t="s">
        <v>64</v>
      </c>
      <c r="H3051" s="6">
        <v>44939.670011574082</v>
      </c>
      <c r="I3051" s="3" t="b">
        <v>0</v>
      </c>
      <c r="J3051" s="3" t="b">
        <v>1</v>
      </c>
      <c r="K3051" s="3" t="s">
        <v>33</v>
      </c>
      <c r="L3051" s="3" t="s">
        <v>34</v>
      </c>
      <c r="M3051" s="8">
        <v>172500</v>
      </c>
      <c r="N3051" s="11"/>
      <c r="O3051" s="3" t="s">
        <v>5949</v>
      </c>
      <c r="P3051" s="3" t="s">
        <v>979</v>
      </c>
    </row>
    <row r="3052" spans="1:16" x14ac:dyDescent="0.3">
      <c r="A3052" s="3" t="s">
        <v>72</v>
      </c>
      <c r="B3052" s="3" t="s">
        <v>72</v>
      </c>
      <c r="C3052" s="3" t="s">
        <v>903</v>
      </c>
      <c r="D3052" s="3" t="s">
        <v>41</v>
      </c>
      <c r="E3052" s="3" t="s">
        <v>31</v>
      </c>
      <c r="F3052" s="3" t="b">
        <v>0</v>
      </c>
      <c r="G3052" s="3" t="s">
        <v>436</v>
      </c>
      <c r="H3052" s="6">
        <v>44937.34207175926</v>
      </c>
      <c r="I3052" s="3" t="b">
        <v>0</v>
      </c>
      <c r="J3052" s="3" t="b">
        <v>0</v>
      </c>
      <c r="K3052" s="3" t="s">
        <v>436</v>
      </c>
      <c r="L3052" s="3" t="s">
        <v>34</v>
      </c>
      <c r="M3052" s="8">
        <v>157500</v>
      </c>
      <c r="N3052" s="11"/>
      <c r="O3052" s="3" t="s">
        <v>356</v>
      </c>
      <c r="P3052" s="3" t="s">
        <v>6012</v>
      </c>
    </row>
    <row r="3053" spans="1:16" x14ac:dyDescent="0.3">
      <c r="A3053" s="3" t="s">
        <v>72</v>
      </c>
      <c r="B3053" s="3" t="s">
        <v>72</v>
      </c>
      <c r="C3053" s="3" t="s">
        <v>164</v>
      </c>
      <c r="D3053" s="3" t="s">
        <v>93</v>
      </c>
      <c r="E3053" s="3" t="s">
        <v>31</v>
      </c>
      <c r="F3053" s="3" t="b">
        <v>0</v>
      </c>
      <c r="G3053" s="3" t="s">
        <v>64</v>
      </c>
      <c r="H3053" s="6">
        <v>44939.336678240739</v>
      </c>
      <c r="I3053" s="3" t="b">
        <v>0</v>
      </c>
      <c r="J3053" s="3" t="b">
        <v>1</v>
      </c>
      <c r="K3053" s="3" t="s">
        <v>33</v>
      </c>
      <c r="L3053" s="3" t="s">
        <v>34</v>
      </c>
      <c r="M3053" s="8">
        <v>175000</v>
      </c>
      <c r="N3053" s="11"/>
      <c r="O3053" s="3" t="s">
        <v>6015</v>
      </c>
      <c r="P3053" s="3" t="s">
        <v>2316</v>
      </c>
    </row>
    <row r="3054" spans="1:16" x14ac:dyDescent="0.3">
      <c r="A3054" s="3" t="s">
        <v>72</v>
      </c>
      <c r="B3054" s="3" t="s">
        <v>6033</v>
      </c>
      <c r="C3054" s="3" t="s">
        <v>29</v>
      </c>
      <c r="D3054" s="3" t="s">
        <v>30</v>
      </c>
      <c r="E3054" s="3" t="s">
        <v>31</v>
      </c>
      <c r="F3054" s="3" t="b">
        <v>0</v>
      </c>
      <c r="G3054" s="3" t="s">
        <v>32</v>
      </c>
      <c r="H3054" s="6">
        <v>44932.62809027778</v>
      </c>
      <c r="I3054" s="3" t="b">
        <v>0</v>
      </c>
      <c r="J3054" s="3" t="b">
        <v>1</v>
      </c>
      <c r="K3054" s="3" t="s">
        <v>33</v>
      </c>
      <c r="L3054" s="3" t="s">
        <v>34</v>
      </c>
      <c r="M3054" s="8">
        <v>184844.5</v>
      </c>
      <c r="N3054" s="11"/>
      <c r="O3054" s="3" t="s">
        <v>35</v>
      </c>
      <c r="P3054" s="3" t="s">
        <v>661</v>
      </c>
    </row>
    <row r="3055" spans="1:16" x14ac:dyDescent="0.3">
      <c r="A3055" s="3" t="s">
        <v>72</v>
      </c>
      <c r="B3055" s="3" t="s">
        <v>72</v>
      </c>
      <c r="C3055" s="3" t="s">
        <v>447</v>
      </c>
      <c r="D3055" s="3" t="s">
        <v>293</v>
      </c>
      <c r="E3055" s="3" t="s">
        <v>31</v>
      </c>
      <c r="F3055" s="3" t="b">
        <v>0</v>
      </c>
      <c r="G3055" s="3" t="s">
        <v>32</v>
      </c>
      <c r="H3055" s="6">
        <v>44938.712199074071</v>
      </c>
      <c r="I3055" s="3" t="b">
        <v>0</v>
      </c>
      <c r="J3055" s="3" t="b">
        <v>1</v>
      </c>
      <c r="K3055" s="3" t="s">
        <v>33</v>
      </c>
      <c r="L3055" s="3" t="s">
        <v>34</v>
      </c>
      <c r="M3055" s="8">
        <v>190500</v>
      </c>
      <c r="N3055" s="11"/>
      <c r="O3055" s="3" t="s">
        <v>6040</v>
      </c>
      <c r="P3055" s="3" t="s">
        <v>38</v>
      </c>
    </row>
    <row r="3056" spans="1:16" x14ac:dyDescent="0.3">
      <c r="A3056" s="3" t="s">
        <v>72</v>
      </c>
      <c r="B3056" s="3" t="s">
        <v>4935</v>
      </c>
      <c r="C3056" s="3" t="s">
        <v>223</v>
      </c>
      <c r="D3056" s="3" t="s">
        <v>106</v>
      </c>
      <c r="E3056" s="3" t="s">
        <v>31</v>
      </c>
      <c r="F3056" s="3" t="b">
        <v>0</v>
      </c>
      <c r="G3056" s="3" t="s">
        <v>64</v>
      </c>
      <c r="H3056" s="6">
        <v>44940.669340277767</v>
      </c>
      <c r="I3056" s="3" t="b">
        <v>0</v>
      </c>
      <c r="J3056" s="3" t="b">
        <v>0</v>
      </c>
      <c r="K3056" s="3" t="s">
        <v>33</v>
      </c>
      <c r="L3056" s="3" t="s">
        <v>34</v>
      </c>
      <c r="M3056" s="8">
        <v>134000</v>
      </c>
      <c r="N3056" s="11"/>
      <c r="O3056" s="3" t="s">
        <v>371</v>
      </c>
      <c r="P3056" s="3" t="s">
        <v>4936</v>
      </c>
    </row>
    <row r="3057" spans="1:16" x14ac:dyDescent="0.3">
      <c r="A3057" s="3" t="s">
        <v>72</v>
      </c>
      <c r="B3057" s="3" t="s">
        <v>6142</v>
      </c>
      <c r="C3057" s="3" t="s">
        <v>83</v>
      </c>
      <c r="D3057" s="3" t="s">
        <v>1868</v>
      </c>
      <c r="E3057" s="3" t="s">
        <v>31</v>
      </c>
      <c r="F3057" s="3" t="b">
        <v>0</v>
      </c>
      <c r="G3057" s="3" t="s">
        <v>64</v>
      </c>
      <c r="H3057" s="6">
        <v>44933.668206018519</v>
      </c>
      <c r="I3057" s="3" t="b">
        <v>0</v>
      </c>
      <c r="J3057" s="3" t="b">
        <v>1</v>
      </c>
      <c r="K3057" s="3" t="s">
        <v>33</v>
      </c>
      <c r="L3057" s="3" t="s">
        <v>34</v>
      </c>
      <c r="M3057" s="8">
        <v>193499</v>
      </c>
      <c r="N3057" s="11"/>
      <c r="O3057" s="3" t="s">
        <v>5678</v>
      </c>
      <c r="P3057" s="3"/>
    </row>
    <row r="3058" spans="1:16" x14ac:dyDescent="0.3">
      <c r="A3058" s="3" t="s">
        <v>72</v>
      </c>
      <c r="B3058" s="3" t="s">
        <v>4874</v>
      </c>
      <c r="C3058" s="3" t="s">
        <v>1458</v>
      </c>
      <c r="D3058" s="3" t="s">
        <v>287</v>
      </c>
      <c r="E3058" s="3" t="s">
        <v>31</v>
      </c>
      <c r="F3058" s="3" t="b">
        <v>0</v>
      </c>
      <c r="G3058" s="3" t="s">
        <v>32</v>
      </c>
      <c r="H3058" s="6">
        <v>44946.01494212963</v>
      </c>
      <c r="I3058" s="3" t="b">
        <v>0</v>
      </c>
      <c r="J3058" s="3" t="b">
        <v>1</v>
      </c>
      <c r="K3058" s="3" t="s">
        <v>33</v>
      </c>
      <c r="L3058" s="3" t="s">
        <v>34</v>
      </c>
      <c r="M3058" s="8">
        <v>310270</v>
      </c>
      <c r="N3058" s="11"/>
      <c r="O3058" s="3" t="s">
        <v>6149</v>
      </c>
      <c r="P3058" s="3" t="s">
        <v>4875</v>
      </c>
    </row>
    <row r="3059" spans="1:16" x14ac:dyDescent="0.3">
      <c r="A3059" s="3" t="s">
        <v>72</v>
      </c>
      <c r="B3059" s="3" t="s">
        <v>6152</v>
      </c>
      <c r="C3059" s="3" t="s">
        <v>1321</v>
      </c>
      <c r="D3059" s="3" t="s">
        <v>93</v>
      </c>
      <c r="E3059" s="3" t="s">
        <v>31</v>
      </c>
      <c r="F3059" s="3" t="b">
        <v>0</v>
      </c>
      <c r="G3059" s="3" t="s">
        <v>32</v>
      </c>
      <c r="H3059" s="6">
        <v>44946.389814814807</v>
      </c>
      <c r="I3059" s="3" t="b">
        <v>0</v>
      </c>
      <c r="J3059" s="3" t="b">
        <v>1</v>
      </c>
      <c r="K3059" s="3" t="s">
        <v>33</v>
      </c>
      <c r="L3059" s="3" t="s">
        <v>34</v>
      </c>
      <c r="M3059" s="8">
        <v>175000</v>
      </c>
      <c r="N3059" s="11"/>
      <c r="O3059" s="3" t="s">
        <v>6153</v>
      </c>
      <c r="P3059" s="3" t="s">
        <v>405</v>
      </c>
    </row>
    <row r="3060" spans="1:16" x14ac:dyDescent="0.3">
      <c r="A3060" s="3" t="s">
        <v>72</v>
      </c>
      <c r="B3060" s="3" t="s">
        <v>72</v>
      </c>
      <c r="C3060" s="3" t="s">
        <v>3882</v>
      </c>
      <c r="D3060" s="3" t="s">
        <v>93</v>
      </c>
      <c r="E3060" s="3" t="s">
        <v>31</v>
      </c>
      <c r="F3060" s="3" t="b">
        <v>0</v>
      </c>
      <c r="G3060" s="3" t="s">
        <v>32</v>
      </c>
      <c r="H3060" s="6">
        <v>44940.336145833331</v>
      </c>
      <c r="I3060" s="3" t="b">
        <v>0</v>
      </c>
      <c r="J3060" s="3" t="b">
        <v>0</v>
      </c>
      <c r="K3060" s="3" t="s">
        <v>33</v>
      </c>
      <c r="L3060" s="3" t="s">
        <v>34</v>
      </c>
      <c r="M3060" s="8">
        <v>150000</v>
      </c>
      <c r="N3060" s="11"/>
      <c r="O3060" s="3" t="s">
        <v>2747</v>
      </c>
      <c r="P3060" s="3" t="s">
        <v>2748</v>
      </c>
    </row>
    <row r="3061" spans="1:16" x14ac:dyDescent="0.3">
      <c r="A3061" s="3" t="s">
        <v>72</v>
      </c>
      <c r="B3061" s="3" t="s">
        <v>6221</v>
      </c>
      <c r="C3061" s="3" t="s">
        <v>520</v>
      </c>
      <c r="D3061" s="3" t="s">
        <v>2850</v>
      </c>
      <c r="E3061" s="3" t="s">
        <v>31</v>
      </c>
      <c r="F3061" s="3" t="b">
        <v>0</v>
      </c>
      <c r="G3061" s="3" t="s">
        <v>88</v>
      </c>
      <c r="H3061" s="6">
        <v>44929.982754629629</v>
      </c>
      <c r="I3061" s="3" t="b">
        <v>0</v>
      </c>
      <c r="J3061" s="3" t="b">
        <v>0</v>
      </c>
      <c r="K3061" s="3" t="s">
        <v>33</v>
      </c>
      <c r="L3061" s="3" t="s">
        <v>48</v>
      </c>
      <c r="M3061" s="8"/>
      <c r="N3061" s="11">
        <v>24</v>
      </c>
      <c r="O3061" s="3" t="s">
        <v>6222</v>
      </c>
      <c r="P3061" s="3" t="s">
        <v>4260</v>
      </c>
    </row>
    <row r="3062" spans="1:16" x14ac:dyDescent="0.3">
      <c r="A3062" s="3" t="s">
        <v>72</v>
      </c>
      <c r="B3062" s="3" t="s">
        <v>6256</v>
      </c>
      <c r="C3062" s="3" t="s">
        <v>1321</v>
      </c>
      <c r="D3062" s="3" t="s">
        <v>1599</v>
      </c>
      <c r="E3062" s="3" t="s">
        <v>31</v>
      </c>
      <c r="F3062" s="3" t="b">
        <v>0</v>
      </c>
      <c r="G3062" s="3" t="s">
        <v>32</v>
      </c>
      <c r="H3062" s="6">
        <v>44932.794456018521</v>
      </c>
      <c r="I3062" s="3" t="b">
        <v>0</v>
      </c>
      <c r="J3062" s="3" t="b">
        <v>1</v>
      </c>
      <c r="K3062" s="3" t="s">
        <v>33</v>
      </c>
      <c r="L3062" s="3" t="s">
        <v>34</v>
      </c>
      <c r="M3062" s="8">
        <v>193500</v>
      </c>
      <c r="N3062" s="11"/>
      <c r="O3062" s="3" t="s">
        <v>5678</v>
      </c>
      <c r="P3062" s="3"/>
    </row>
    <row r="3063" spans="1:16" x14ac:dyDescent="0.3">
      <c r="A3063" s="3" t="s">
        <v>72</v>
      </c>
      <c r="B3063" s="3" t="s">
        <v>72</v>
      </c>
      <c r="C3063" s="3" t="s">
        <v>270</v>
      </c>
      <c r="D3063" s="3" t="s">
        <v>76</v>
      </c>
      <c r="E3063" s="3" t="s">
        <v>31</v>
      </c>
      <c r="F3063" s="3" t="b">
        <v>0</v>
      </c>
      <c r="G3063" s="3" t="s">
        <v>32</v>
      </c>
      <c r="H3063" s="6">
        <v>44939.003958333327</v>
      </c>
      <c r="I3063" s="3" t="b">
        <v>0</v>
      </c>
      <c r="J3063" s="3" t="b">
        <v>1</v>
      </c>
      <c r="K3063" s="3" t="s">
        <v>33</v>
      </c>
      <c r="L3063" s="3" t="s">
        <v>34</v>
      </c>
      <c r="M3063" s="8">
        <v>145500</v>
      </c>
      <c r="N3063" s="11"/>
      <c r="O3063" s="3" t="s">
        <v>6273</v>
      </c>
      <c r="P3063" s="3" t="s">
        <v>6274</v>
      </c>
    </row>
    <row r="3064" spans="1:16" x14ac:dyDescent="0.3">
      <c r="A3064" s="3" t="s">
        <v>72</v>
      </c>
      <c r="B3064" s="3" t="s">
        <v>72</v>
      </c>
      <c r="C3064" s="3" t="s">
        <v>4116</v>
      </c>
      <c r="D3064" s="3" t="s">
        <v>53</v>
      </c>
      <c r="E3064" s="3" t="s">
        <v>31</v>
      </c>
      <c r="F3064" s="3" t="b">
        <v>0</v>
      </c>
      <c r="G3064" s="3" t="s">
        <v>32</v>
      </c>
      <c r="H3064" s="6">
        <v>44951.836157407408</v>
      </c>
      <c r="I3064" s="3" t="b">
        <v>0</v>
      </c>
      <c r="J3064" s="3" t="b">
        <v>1</v>
      </c>
      <c r="K3064" s="3" t="s">
        <v>33</v>
      </c>
      <c r="L3064" s="3" t="s">
        <v>34</v>
      </c>
      <c r="M3064" s="8">
        <v>137500</v>
      </c>
      <c r="N3064" s="11"/>
      <c r="O3064" s="3" t="s">
        <v>255</v>
      </c>
      <c r="P3064" s="3"/>
    </row>
    <row r="3065" spans="1:16" x14ac:dyDescent="0.3">
      <c r="A3065" s="3" t="s">
        <v>72</v>
      </c>
      <c r="B3065" s="3" t="s">
        <v>1803</v>
      </c>
      <c r="C3065" s="3" t="s">
        <v>87</v>
      </c>
      <c r="D3065" s="3" t="s">
        <v>287</v>
      </c>
      <c r="E3065" s="3" t="s">
        <v>31</v>
      </c>
      <c r="F3065" s="3" t="b">
        <v>1</v>
      </c>
      <c r="G3065" s="3" t="s">
        <v>32</v>
      </c>
      <c r="H3065" s="6">
        <v>44949.003113425933</v>
      </c>
      <c r="I3065" s="3" t="b">
        <v>0</v>
      </c>
      <c r="J3065" s="3" t="b">
        <v>0</v>
      </c>
      <c r="K3065" s="3" t="s">
        <v>33</v>
      </c>
      <c r="L3065" s="3" t="s">
        <v>34</v>
      </c>
      <c r="M3065" s="8">
        <v>142809</v>
      </c>
      <c r="N3065" s="11"/>
      <c r="O3065" s="3" t="s">
        <v>6289</v>
      </c>
      <c r="P3065" s="3"/>
    </row>
    <row r="3066" spans="1:16" x14ac:dyDescent="0.3">
      <c r="A3066" s="3" t="s">
        <v>72</v>
      </c>
      <c r="B3066" s="3" t="s">
        <v>6290</v>
      </c>
      <c r="C3066" s="3" t="s">
        <v>3024</v>
      </c>
      <c r="D3066" s="3" t="s">
        <v>30</v>
      </c>
      <c r="E3066" s="3" t="s">
        <v>133</v>
      </c>
      <c r="F3066" s="3" t="b">
        <v>0</v>
      </c>
      <c r="G3066" s="3" t="s">
        <v>32</v>
      </c>
      <c r="H3066" s="6">
        <v>44944.667974537027</v>
      </c>
      <c r="I3066" s="3" t="b">
        <v>1</v>
      </c>
      <c r="J3066" s="3" t="b">
        <v>0</v>
      </c>
      <c r="K3066" s="3" t="s">
        <v>33</v>
      </c>
      <c r="L3066" s="3" t="s">
        <v>48</v>
      </c>
      <c r="M3066" s="8"/>
      <c r="N3066" s="11">
        <v>74.5</v>
      </c>
      <c r="O3066" s="3" t="s">
        <v>1744</v>
      </c>
      <c r="P3066" s="3" t="s">
        <v>6291</v>
      </c>
    </row>
    <row r="3067" spans="1:16" x14ac:dyDescent="0.3">
      <c r="A3067" s="3" t="s">
        <v>72</v>
      </c>
      <c r="B3067" s="3" t="s">
        <v>6329</v>
      </c>
      <c r="C3067" s="3" t="s">
        <v>87</v>
      </c>
      <c r="D3067" s="3" t="s">
        <v>940</v>
      </c>
      <c r="E3067" s="3" t="s">
        <v>31</v>
      </c>
      <c r="F3067" s="3" t="b">
        <v>1</v>
      </c>
      <c r="G3067" s="3" t="s">
        <v>32</v>
      </c>
      <c r="H3067" s="6">
        <v>44945.723090277781</v>
      </c>
      <c r="I3067" s="3" t="b">
        <v>0</v>
      </c>
      <c r="J3067" s="3" t="b">
        <v>1</v>
      </c>
      <c r="K3067" s="3" t="s">
        <v>33</v>
      </c>
      <c r="L3067" s="3" t="s">
        <v>34</v>
      </c>
      <c r="M3067" s="8">
        <v>229500</v>
      </c>
      <c r="N3067" s="11"/>
      <c r="O3067" s="3" t="s">
        <v>3266</v>
      </c>
      <c r="P3067" s="3" t="s">
        <v>661</v>
      </c>
    </row>
    <row r="3068" spans="1:16" x14ac:dyDescent="0.3">
      <c r="A3068" s="3" t="s">
        <v>72</v>
      </c>
      <c r="B3068" s="3" t="s">
        <v>6352</v>
      </c>
      <c r="C3068" s="3" t="s">
        <v>83</v>
      </c>
      <c r="D3068" s="3" t="s">
        <v>30</v>
      </c>
      <c r="E3068" s="3" t="s">
        <v>31</v>
      </c>
      <c r="F3068" s="3" t="b">
        <v>0</v>
      </c>
      <c r="G3068" s="3" t="s">
        <v>64</v>
      </c>
      <c r="H3068" s="6">
        <v>44929.897314814807</v>
      </c>
      <c r="I3068" s="3" t="b">
        <v>0</v>
      </c>
      <c r="J3068" s="3" t="b">
        <v>0</v>
      </c>
      <c r="K3068" s="3" t="s">
        <v>33</v>
      </c>
      <c r="L3068" s="3" t="s">
        <v>34</v>
      </c>
      <c r="M3068" s="8">
        <v>166000</v>
      </c>
      <c r="N3068" s="11"/>
      <c r="O3068" s="3" t="s">
        <v>6353</v>
      </c>
      <c r="P3068" s="3" t="s">
        <v>5673</v>
      </c>
    </row>
    <row r="3069" spans="1:16" x14ac:dyDescent="0.3">
      <c r="A3069" s="3" t="s">
        <v>72</v>
      </c>
      <c r="B3069" s="3" t="s">
        <v>6354</v>
      </c>
      <c r="C3069" s="3" t="s">
        <v>565</v>
      </c>
      <c r="D3069" s="3" t="s">
        <v>93</v>
      </c>
      <c r="E3069" s="3" t="s">
        <v>31</v>
      </c>
      <c r="F3069" s="3" t="b">
        <v>0</v>
      </c>
      <c r="G3069" s="3" t="s">
        <v>88</v>
      </c>
      <c r="H3069" s="6">
        <v>44946.4766087963</v>
      </c>
      <c r="I3069" s="3" t="b">
        <v>0</v>
      </c>
      <c r="J3069" s="3" t="b">
        <v>0</v>
      </c>
      <c r="K3069" s="3" t="s">
        <v>33</v>
      </c>
      <c r="L3069" s="3" t="s">
        <v>34</v>
      </c>
      <c r="M3069" s="8">
        <v>90000</v>
      </c>
      <c r="N3069" s="11"/>
      <c r="O3069" s="3" t="s">
        <v>1334</v>
      </c>
      <c r="P3069" s="3" t="s">
        <v>639</v>
      </c>
    </row>
    <row r="3070" spans="1:16" x14ac:dyDescent="0.3">
      <c r="A3070" s="3" t="s">
        <v>591</v>
      </c>
      <c r="B3070" s="3" t="s">
        <v>592</v>
      </c>
      <c r="C3070" s="3" t="s">
        <v>593</v>
      </c>
      <c r="D3070" s="3" t="s">
        <v>41</v>
      </c>
      <c r="E3070" s="3" t="s">
        <v>31</v>
      </c>
      <c r="F3070" s="3" t="b">
        <v>0</v>
      </c>
      <c r="G3070" s="3" t="s">
        <v>436</v>
      </c>
      <c r="H3070" s="6">
        <v>44936.603136574071</v>
      </c>
      <c r="I3070" s="3" t="b">
        <v>0</v>
      </c>
      <c r="J3070" s="3" t="b">
        <v>0</v>
      </c>
      <c r="K3070" s="3" t="s">
        <v>436</v>
      </c>
      <c r="L3070" s="3" t="s">
        <v>34</v>
      </c>
      <c r="M3070" s="8">
        <v>64800</v>
      </c>
      <c r="N3070" s="11"/>
      <c r="O3070" s="3" t="s">
        <v>594</v>
      </c>
      <c r="P3070" s="3"/>
    </row>
    <row r="3071" spans="1:16" x14ac:dyDescent="0.3">
      <c r="A3071" s="3" t="s">
        <v>591</v>
      </c>
      <c r="B3071" s="3" t="s">
        <v>726</v>
      </c>
      <c r="C3071" s="3" t="s">
        <v>443</v>
      </c>
      <c r="D3071" s="3" t="s">
        <v>30</v>
      </c>
      <c r="E3071" s="3" t="s">
        <v>31</v>
      </c>
      <c r="F3071" s="3" t="b">
        <v>0</v>
      </c>
      <c r="G3071" s="3" t="s">
        <v>32</v>
      </c>
      <c r="H3071" s="6">
        <v>44937.422650462962</v>
      </c>
      <c r="I3071" s="3" t="b">
        <v>0</v>
      </c>
      <c r="J3071" s="3" t="b">
        <v>1</v>
      </c>
      <c r="K3071" s="3" t="s">
        <v>33</v>
      </c>
      <c r="L3071" s="3" t="s">
        <v>34</v>
      </c>
      <c r="M3071" s="8">
        <v>150000</v>
      </c>
      <c r="N3071" s="11"/>
      <c r="O3071" s="3" t="s">
        <v>727</v>
      </c>
      <c r="P3071" s="3" t="s">
        <v>728</v>
      </c>
    </row>
    <row r="3072" spans="1:16" x14ac:dyDescent="0.3">
      <c r="A3072" s="3" t="s">
        <v>591</v>
      </c>
      <c r="B3072" s="3" t="s">
        <v>2270</v>
      </c>
      <c r="C3072" s="3" t="s">
        <v>2212</v>
      </c>
      <c r="D3072" s="3" t="s">
        <v>41</v>
      </c>
      <c r="E3072" s="3" t="s">
        <v>31</v>
      </c>
      <c r="F3072" s="3" t="b">
        <v>0</v>
      </c>
      <c r="G3072" s="3" t="s">
        <v>2212</v>
      </c>
      <c r="H3072" s="6">
        <v>44935.891018518523</v>
      </c>
      <c r="I3072" s="3" t="b">
        <v>0</v>
      </c>
      <c r="J3072" s="3" t="b">
        <v>0</v>
      </c>
      <c r="K3072" s="3" t="s">
        <v>2212</v>
      </c>
      <c r="L3072" s="3" t="s">
        <v>34</v>
      </c>
      <c r="M3072" s="8">
        <v>79200</v>
      </c>
      <c r="N3072" s="11"/>
      <c r="O3072" s="3" t="s">
        <v>2271</v>
      </c>
      <c r="P3072" s="3" t="s">
        <v>2272</v>
      </c>
    </row>
    <row r="3073" spans="1:16" x14ac:dyDescent="0.3">
      <c r="A3073" s="3" t="s">
        <v>591</v>
      </c>
      <c r="B3073" s="3" t="s">
        <v>2278</v>
      </c>
      <c r="C3073" s="3" t="s">
        <v>565</v>
      </c>
      <c r="D3073" s="3" t="s">
        <v>41</v>
      </c>
      <c r="E3073" s="3" t="s">
        <v>31</v>
      </c>
      <c r="F3073" s="3" t="b">
        <v>0</v>
      </c>
      <c r="G3073" s="3" t="s">
        <v>88</v>
      </c>
      <c r="H3073" s="6">
        <v>44928.753321759257</v>
      </c>
      <c r="I3073" s="3" t="b">
        <v>0</v>
      </c>
      <c r="J3073" s="3" t="b">
        <v>0</v>
      </c>
      <c r="K3073" s="3" t="s">
        <v>33</v>
      </c>
      <c r="L3073" s="3" t="s">
        <v>34</v>
      </c>
      <c r="M3073" s="8">
        <v>99150</v>
      </c>
      <c r="N3073" s="11"/>
      <c r="O3073" s="3" t="s">
        <v>2279</v>
      </c>
      <c r="P3073" s="3" t="s">
        <v>2280</v>
      </c>
    </row>
    <row r="3074" spans="1:16" x14ac:dyDescent="0.3">
      <c r="A3074" s="3" t="s">
        <v>591</v>
      </c>
      <c r="B3074" s="3" t="s">
        <v>2297</v>
      </c>
      <c r="C3074" s="3" t="s">
        <v>2298</v>
      </c>
      <c r="D3074" s="3" t="s">
        <v>41</v>
      </c>
      <c r="E3074" s="3" t="s">
        <v>31</v>
      </c>
      <c r="F3074" s="3" t="b">
        <v>0</v>
      </c>
      <c r="G3074" s="3" t="s">
        <v>436</v>
      </c>
      <c r="H3074" s="6">
        <v>44956.883217592593</v>
      </c>
      <c r="I3074" s="3" t="b">
        <v>0</v>
      </c>
      <c r="J3074" s="3" t="b">
        <v>0</v>
      </c>
      <c r="K3074" s="3" t="s">
        <v>436</v>
      </c>
      <c r="L3074" s="3" t="s">
        <v>34</v>
      </c>
      <c r="M3074" s="8">
        <v>79200</v>
      </c>
      <c r="N3074" s="11"/>
      <c r="O3074" s="3" t="s">
        <v>2299</v>
      </c>
      <c r="P3074" s="3" t="s">
        <v>2300</v>
      </c>
    </row>
    <row r="3075" spans="1:16" x14ac:dyDescent="0.3">
      <c r="A3075" s="3" t="s">
        <v>591</v>
      </c>
      <c r="B3075" s="3" t="s">
        <v>2497</v>
      </c>
      <c r="C3075" s="3" t="s">
        <v>33</v>
      </c>
      <c r="D3075" s="3" t="s">
        <v>30</v>
      </c>
      <c r="E3075" s="3" t="s">
        <v>31</v>
      </c>
      <c r="F3075" s="3" t="b">
        <v>0</v>
      </c>
      <c r="G3075" s="3" t="s">
        <v>58</v>
      </c>
      <c r="H3075" s="6">
        <v>44950.545682870368</v>
      </c>
      <c r="I3075" s="3" t="b">
        <v>0</v>
      </c>
      <c r="J3075" s="3" t="b">
        <v>1</v>
      </c>
      <c r="K3075" s="3" t="s">
        <v>33</v>
      </c>
      <c r="L3075" s="3" t="s">
        <v>34</v>
      </c>
      <c r="M3075" s="8">
        <v>197500</v>
      </c>
      <c r="N3075" s="11"/>
      <c r="O3075" s="3" t="s">
        <v>2498</v>
      </c>
      <c r="P3075" s="3" t="s">
        <v>439</v>
      </c>
    </row>
    <row r="3076" spans="1:16" x14ac:dyDescent="0.3">
      <c r="A3076" s="3" t="s">
        <v>591</v>
      </c>
      <c r="B3076" s="3" t="s">
        <v>2820</v>
      </c>
      <c r="C3076" s="3" t="s">
        <v>565</v>
      </c>
      <c r="D3076" s="3" t="s">
        <v>566</v>
      </c>
      <c r="E3076" s="3" t="s">
        <v>31</v>
      </c>
      <c r="F3076" s="3" t="b">
        <v>0</v>
      </c>
      <c r="G3076" s="3" t="s">
        <v>88</v>
      </c>
      <c r="H3076" s="6">
        <v>44929.982974537037</v>
      </c>
      <c r="I3076" s="3" t="b">
        <v>0</v>
      </c>
      <c r="J3076" s="3" t="b">
        <v>0</v>
      </c>
      <c r="K3076" s="3" t="s">
        <v>33</v>
      </c>
      <c r="L3076" s="3" t="s">
        <v>48</v>
      </c>
      <c r="M3076" s="8"/>
      <c r="N3076" s="11">
        <v>24</v>
      </c>
      <c r="O3076" s="3" t="s">
        <v>2821</v>
      </c>
      <c r="P3076" s="3" t="s">
        <v>2822</v>
      </c>
    </row>
    <row r="3077" spans="1:16" x14ac:dyDescent="0.3">
      <c r="A3077" s="3" t="s">
        <v>591</v>
      </c>
      <c r="B3077" s="3" t="s">
        <v>2908</v>
      </c>
      <c r="C3077" s="3" t="s">
        <v>447</v>
      </c>
      <c r="D3077" s="3" t="s">
        <v>41</v>
      </c>
      <c r="E3077" s="3" t="s">
        <v>31</v>
      </c>
      <c r="F3077" s="3" t="b">
        <v>0</v>
      </c>
      <c r="G3077" s="3" t="s">
        <v>32</v>
      </c>
      <c r="H3077" s="6">
        <v>44935.336168981477</v>
      </c>
      <c r="I3077" s="3" t="b">
        <v>0</v>
      </c>
      <c r="J3077" s="3" t="b">
        <v>1</v>
      </c>
      <c r="K3077" s="3" t="s">
        <v>33</v>
      </c>
      <c r="L3077" s="3" t="s">
        <v>34</v>
      </c>
      <c r="M3077" s="8">
        <v>175000</v>
      </c>
      <c r="N3077" s="11"/>
      <c r="O3077" s="3" t="s">
        <v>2909</v>
      </c>
      <c r="P3077" s="3"/>
    </row>
    <row r="3078" spans="1:16" x14ac:dyDescent="0.3">
      <c r="A3078" s="3" t="s">
        <v>591</v>
      </c>
      <c r="B3078" s="3" t="s">
        <v>3152</v>
      </c>
      <c r="C3078" s="3" t="s">
        <v>2298</v>
      </c>
      <c r="D3078" s="3" t="s">
        <v>41</v>
      </c>
      <c r="E3078" s="3" t="s">
        <v>31</v>
      </c>
      <c r="F3078" s="3" t="b">
        <v>0</v>
      </c>
      <c r="G3078" s="3" t="s">
        <v>436</v>
      </c>
      <c r="H3078" s="6">
        <v>44940.800312500003</v>
      </c>
      <c r="I3078" s="3" t="b">
        <v>1</v>
      </c>
      <c r="J3078" s="3" t="b">
        <v>0</v>
      </c>
      <c r="K3078" s="3" t="s">
        <v>436</v>
      </c>
      <c r="L3078" s="3" t="s">
        <v>34</v>
      </c>
      <c r="M3078" s="8">
        <v>50400</v>
      </c>
      <c r="N3078" s="11"/>
      <c r="O3078" s="3" t="s">
        <v>598</v>
      </c>
      <c r="P3078" s="3" t="s">
        <v>3153</v>
      </c>
    </row>
    <row r="3079" spans="1:16" x14ac:dyDescent="0.3">
      <c r="A3079" s="3" t="s">
        <v>591</v>
      </c>
      <c r="B3079" s="3" t="s">
        <v>3255</v>
      </c>
      <c r="C3079" s="3" t="s">
        <v>3256</v>
      </c>
      <c r="D3079" s="3" t="s">
        <v>30</v>
      </c>
      <c r="E3079" s="3" t="s">
        <v>31</v>
      </c>
      <c r="F3079" s="3" t="b">
        <v>0</v>
      </c>
      <c r="G3079" s="3" t="s">
        <v>84</v>
      </c>
      <c r="H3079" s="6">
        <v>44937.960787037038</v>
      </c>
      <c r="I3079" s="3" t="b">
        <v>0</v>
      </c>
      <c r="J3079" s="3" t="b">
        <v>0</v>
      </c>
      <c r="K3079" s="3" t="s">
        <v>33</v>
      </c>
      <c r="L3079" s="3" t="s">
        <v>48</v>
      </c>
      <c r="M3079" s="8"/>
      <c r="N3079" s="11">
        <v>21</v>
      </c>
      <c r="O3079" s="3" t="s">
        <v>3257</v>
      </c>
      <c r="P3079" s="3" t="s">
        <v>1367</v>
      </c>
    </row>
    <row r="3080" spans="1:16" x14ac:dyDescent="0.3">
      <c r="A3080" s="3" t="s">
        <v>591</v>
      </c>
      <c r="B3080" s="3" t="s">
        <v>3315</v>
      </c>
      <c r="C3080" s="3" t="s">
        <v>447</v>
      </c>
      <c r="D3080" s="3" t="s">
        <v>93</v>
      </c>
      <c r="E3080" s="3" t="s">
        <v>31</v>
      </c>
      <c r="F3080" s="3" t="b">
        <v>0</v>
      </c>
      <c r="G3080" s="3" t="s">
        <v>32</v>
      </c>
      <c r="H3080" s="6">
        <v>44942.472210648149</v>
      </c>
      <c r="I3080" s="3" t="b">
        <v>0</v>
      </c>
      <c r="J3080" s="3" t="b">
        <v>1</v>
      </c>
      <c r="K3080" s="3" t="s">
        <v>33</v>
      </c>
      <c r="L3080" s="3" t="s">
        <v>34</v>
      </c>
      <c r="M3080" s="8">
        <v>115000</v>
      </c>
      <c r="N3080" s="11"/>
      <c r="O3080" s="3" t="s">
        <v>3316</v>
      </c>
      <c r="P3080" s="3" t="s">
        <v>3317</v>
      </c>
    </row>
    <row r="3081" spans="1:16" x14ac:dyDescent="0.3">
      <c r="A3081" s="3" t="s">
        <v>591</v>
      </c>
      <c r="B3081" s="3" t="s">
        <v>3699</v>
      </c>
      <c r="C3081" s="3" t="s">
        <v>2336</v>
      </c>
      <c r="D3081" s="3" t="s">
        <v>41</v>
      </c>
      <c r="E3081" s="3" t="s">
        <v>31</v>
      </c>
      <c r="F3081" s="3" t="b">
        <v>0</v>
      </c>
      <c r="G3081" s="3" t="s">
        <v>597</v>
      </c>
      <c r="H3081" s="6">
        <v>44931.941157407397</v>
      </c>
      <c r="I3081" s="3" t="b">
        <v>0</v>
      </c>
      <c r="J3081" s="3" t="b">
        <v>0</v>
      </c>
      <c r="K3081" s="3" t="s">
        <v>597</v>
      </c>
      <c r="L3081" s="3" t="s">
        <v>34</v>
      </c>
      <c r="M3081" s="8">
        <v>156500</v>
      </c>
      <c r="N3081" s="11"/>
      <c r="O3081" s="3" t="s">
        <v>2895</v>
      </c>
      <c r="P3081" s="3" t="s">
        <v>3700</v>
      </c>
    </row>
    <row r="3082" spans="1:16" x14ac:dyDescent="0.3">
      <c r="A3082" s="3" t="s">
        <v>591</v>
      </c>
      <c r="B3082" s="3" t="s">
        <v>3858</v>
      </c>
      <c r="C3082" s="3" t="s">
        <v>593</v>
      </c>
      <c r="D3082" s="3" t="s">
        <v>41</v>
      </c>
      <c r="E3082" s="3" t="s">
        <v>31</v>
      </c>
      <c r="F3082" s="3" t="b">
        <v>0</v>
      </c>
      <c r="G3082" s="3" t="s">
        <v>436</v>
      </c>
      <c r="H3082" s="6">
        <v>44929.059756944444</v>
      </c>
      <c r="I3082" s="3" t="b">
        <v>1</v>
      </c>
      <c r="J3082" s="3" t="b">
        <v>0</v>
      </c>
      <c r="K3082" s="3" t="s">
        <v>436</v>
      </c>
      <c r="L3082" s="3" t="s">
        <v>34</v>
      </c>
      <c r="M3082" s="8">
        <v>79200</v>
      </c>
      <c r="N3082" s="11"/>
      <c r="O3082" s="3" t="s">
        <v>3859</v>
      </c>
      <c r="P3082" s="3" t="s">
        <v>3860</v>
      </c>
    </row>
    <row r="3083" spans="1:16" x14ac:dyDescent="0.3">
      <c r="A3083" s="3" t="s">
        <v>591</v>
      </c>
      <c r="B3083" s="3" t="s">
        <v>4026</v>
      </c>
      <c r="C3083" s="3" t="s">
        <v>718</v>
      </c>
      <c r="D3083" s="3" t="s">
        <v>93</v>
      </c>
      <c r="E3083" s="3" t="s">
        <v>31</v>
      </c>
      <c r="F3083" s="3" t="b">
        <v>0</v>
      </c>
      <c r="G3083" s="3" t="s">
        <v>110</v>
      </c>
      <c r="H3083" s="6">
        <v>44957.357187499998</v>
      </c>
      <c r="I3083" s="3" t="b">
        <v>0</v>
      </c>
      <c r="J3083" s="3" t="b">
        <v>1</v>
      </c>
      <c r="K3083" s="3" t="s">
        <v>110</v>
      </c>
      <c r="L3083" s="3" t="s">
        <v>34</v>
      </c>
      <c r="M3083" s="8">
        <v>115000</v>
      </c>
      <c r="N3083" s="11"/>
      <c r="O3083" s="3" t="s">
        <v>4027</v>
      </c>
      <c r="P3083" s="3" t="s">
        <v>4028</v>
      </c>
    </row>
    <row r="3084" spans="1:16" x14ac:dyDescent="0.3">
      <c r="A3084" s="3" t="s">
        <v>591</v>
      </c>
      <c r="B3084" s="3" t="s">
        <v>4096</v>
      </c>
      <c r="C3084" s="3" t="s">
        <v>1338</v>
      </c>
      <c r="D3084" s="3" t="s">
        <v>41</v>
      </c>
      <c r="E3084" s="3" t="s">
        <v>31</v>
      </c>
      <c r="F3084" s="3" t="b">
        <v>0</v>
      </c>
      <c r="G3084" s="3" t="s">
        <v>213</v>
      </c>
      <c r="H3084" s="6">
        <v>44944.557754629634</v>
      </c>
      <c r="I3084" s="3" t="b">
        <v>0</v>
      </c>
      <c r="J3084" s="3" t="b">
        <v>0</v>
      </c>
      <c r="K3084" s="3" t="s">
        <v>213</v>
      </c>
      <c r="L3084" s="3" t="s">
        <v>34</v>
      </c>
      <c r="M3084" s="8">
        <v>156500</v>
      </c>
      <c r="N3084" s="11"/>
      <c r="O3084" s="3" t="s">
        <v>1339</v>
      </c>
      <c r="P3084" s="3" t="s">
        <v>4097</v>
      </c>
    </row>
    <row r="3085" spans="1:16" x14ac:dyDescent="0.3">
      <c r="A3085" s="3" t="s">
        <v>591</v>
      </c>
      <c r="B3085" s="3" t="s">
        <v>4127</v>
      </c>
      <c r="C3085" s="3" t="s">
        <v>4128</v>
      </c>
      <c r="D3085" s="3" t="s">
        <v>41</v>
      </c>
      <c r="E3085" s="3" t="s">
        <v>31</v>
      </c>
      <c r="F3085" s="3" t="b">
        <v>0</v>
      </c>
      <c r="G3085" s="3" t="s">
        <v>69</v>
      </c>
      <c r="H3085" s="6">
        <v>44933.107256944437</v>
      </c>
      <c r="I3085" s="3" t="b">
        <v>0</v>
      </c>
      <c r="J3085" s="3" t="b">
        <v>0</v>
      </c>
      <c r="K3085" s="3" t="s">
        <v>69</v>
      </c>
      <c r="L3085" s="3" t="s">
        <v>34</v>
      </c>
      <c r="M3085" s="8">
        <v>56700</v>
      </c>
      <c r="N3085" s="11"/>
      <c r="O3085" s="3" t="s">
        <v>356</v>
      </c>
      <c r="P3085" s="3" t="s">
        <v>576</v>
      </c>
    </row>
    <row r="3086" spans="1:16" x14ac:dyDescent="0.3">
      <c r="A3086" s="3" t="s">
        <v>591</v>
      </c>
      <c r="B3086" s="3" t="s">
        <v>4172</v>
      </c>
      <c r="C3086" s="3" t="s">
        <v>1028</v>
      </c>
      <c r="D3086" s="3" t="s">
        <v>41</v>
      </c>
      <c r="E3086" s="3" t="s">
        <v>31</v>
      </c>
      <c r="F3086" s="3" t="b">
        <v>0</v>
      </c>
      <c r="G3086" s="3" t="s">
        <v>1029</v>
      </c>
      <c r="H3086" s="6">
        <v>44953.191331018519</v>
      </c>
      <c r="I3086" s="3" t="b">
        <v>0</v>
      </c>
      <c r="J3086" s="3" t="b">
        <v>0</v>
      </c>
      <c r="K3086" s="3" t="s">
        <v>1029</v>
      </c>
      <c r="L3086" s="3" t="s">
        <v>34</v>
      </c>
      <c r="M3086" s="8">
        <v>79200</v>
      </c>
      <c r="N3086" s="11"/>
      <c r="O3086" s="3" t="s">
        <v>1030</v>
      </c>
      <c r="P3086" s="3" t="s">
        <v>4173</v>
      </c>
    </row>
    <row r="3087" spans="1:16" x14ac:dyDescent="0.3">
      <c r="A3087" s="3" t="s">
        <v>591</v>
      </c>
      <c r="B3087" s="3" t="s">
        <v>4215</v>
      </c>
      <c r="C3087" s="3" t="s">
        <v>520</v>
      </c>
      <c r="D3087" s="3" t="s">
        <v>287</v>
      </c>
      <c r="E3087" s="3" t="s">
        <v>31</v>
      </c>
      <c r="F3087" s="3" t="b">
        <v>0</v>
      </c>
      <c r="G3087" s="3" t="s">
        <v>88</v>
      </c>
      <c r="H3087" s="6">
        <v>44949.002141203702</v>
      </c>
      <c r="I3087" s="3" t="b">
        <v>1</v>
      </c>
      <c r="J3087" s="3" t="b">
        <v>0</v>
      </c>
      <c r="K3087" s="3" t="s">
        <v>33</v>
      </c>
      <c r="L3087" s="3" t="s">
        <v>34</v>
      </c>
      <c r="M3087" s="8">
        <v>48982</v>
      </c>
      <c r="N3087" s="11"/>
      <c r="O3087" s="3" t="s">
        <v>4216</v>
      </c>
      <c r="P3087" s="3"/>
    </row>
    <row r="3088" spans="1:16" x14ac:dyDescent="0.3">
      <c r="A3088" s="3" t="s">
        <v>591</v>
      </c>
      <c r="B3088" s="3" t="s">
        <v>4502</v>
      </c>
      <c r="C3088" s="3" t="s">
        <v>2039</v>
      </c>
      <c r="D3088" s="3" t="s">
        <v>41</v>
      </c>
      <c r="E3088" s="3" t="s">
        <v>31</v>
      </c>
      <c r="F3088" s="3" t="b">
        <v>0</v>
      </c>
      <c r="G3088" s="3" t="s">
        <v>651</v>
      </c>
      <c r="H3088" s="6">
        <v>44931.233344907407</v>
      </c>
      <c r="I3088" s="3" t="b">
        <v>0</v>
      </c>
      <c r="J3088" s="3" t="b">
        <v>0</v>
      </c>
      <c r="K3088" s="3" t="s">
        <v>651</v>
      </c>
      <c r="L3088" s="3" t="s">
        <v>34</v>
      </c>
      <c r="M3088" s="8">
        <v>89100</v>
      </c>
      <c r="N3088" s="11"/>
      <c r="O3088" s="3" t="s">
        <v>4503</v>
      </c>
      <c r="P3088" s="3" t="s">
        <v>4504</v>
      </c>
    </row>
    <row r="3089" spans="1:16" x14ac:dyDescent="0.3">
      <c r="A3089" s="3" t="s">
        <v>591</v>
      </c>
      <c r="B3089" s="3" t="s">
        <v>4760</v>
      </c>
      <c r="C3089" s="3" t="s">
        <v>903</v>
      </c>
      <c r="D3089" s="3" t="s">
        <v>41</v>
      </c>
      <c r="E3089" s="3" t="s">
        <v>31</v>
      </c>
      <c r="F3089" s="3" t="b">
        <v>0</v>
      </c>
      <c r="G3089" s="3" t="s">
        <v>436</v>
      </c>
      <c r="H3089" s="6">
        <v>44948.383379629631</v>
      </c>
      <c r="I3089" s="3" t="b">
        <v>0</v>
      </c>
      <c r="J3089" s="3" t="b">
        <v>0</v>
      </c>
      <c r="K3089" s="3" t="s">
        <v>436</v>
      </c>
      <c r="L3089" s="3" t="s">
        <v>34</v>
      </c>
      <c r="M3089" s="8">
        <v>44418.5</v>
      </c>
      <c r="N3089" s="11"/>
      <c r="O3089" s="3" t="s">
        <v>4761</v>
      </c>
      <c r="P3089" s="3" t="s">
        <v>4762</v>
      </c>
    </row>
    <row r="3090" spans="1:16" x14ac:dyDescent="0.3">
      <c r="A3090" s="3" t="s">
        <v>591</v>
      </c>
      <c r="B3090" s="3" t="s">
        <v>4918</v>
      </c>
      <c r="C3090" s="3" t="s">
        <v>597</v>
      </c>
      <c r="D3090" s="3" t="s">
        <v>41</v>
      </c>
      <c r="E3090" s="3" t="s">
        <v>31</v>
      </c>
      <c r="F3090" s="3" t="b">
        <v>0</v>
      </c>
      <c r="G3090" s="3" t="s">
        <v>597</v>
      </c>
      <c r="H3090" s="6">
        <v>44957.302766203713</v>
      </c>
      <c r="I3090" s="3" t="b">
        <v>0</v>
      </c>
      <c r="J3090" s="3" t="b">
        <v>0</v>
      </c>
      <c r="K3090" s="3" t="s">
        <v>597</v>
      </c>
      <c r="L3090" s="3" t="s">
        <v>34</v>
      </c>
      <c r="M3090" s="8">
        <v>89100</v>
      </c>
      <c r="N3090" s="11"/>
      <c r="O3090" s="3" t="s">
        <v>782</v>
      </c>
      <c r="P3090" s="3" t="s">
        <v>4919</v>
      </c>
    </row>
    <row r="3091" spans="1:16" x14ac:dyDescent="0.3">
      <c r="A3091" s="3" t="s">
        <v>591</v>
      </c>
      <c r="B3091" s="3" t="s">
        <v>4947</v>
      </c>
      <c r="C3091" s="3" t="s">
        <v>1628</v>
      </c>
      <c r="D3091" s="3" t="s">
        <v>30</v>
      </c>
      <c r="E3091" s="3" t="s">
        <v>31</v>
      </c>
      <c r="F3091" s="3" t="b">
        <v>0</v>
      </c>
      <c r="G3091" s="3" t="s">
        <v>88</v>
      </c>
      <c r="H3091" s="6">
        <v>44950.62699074074</v>
      </c>
      <c r="I3091" s="3" t="b">
        <v>0</v>
      </c>
      <c r="J3091" s="3" t="b">
        <v>0</v>
      </c>
      <c r="K3091" s="3" t="s">
        <v>33</v>
      </c>
      <c r="L3091" s="3" t="s">
        <v>34</v>
      </c>
      <c r="M3091" s="8">
        <v>97500</v>
      </c>
      <c r="N3091" s="11"/>
      <c r="O3091" s="3" t="s">
        <v>589</v>
      </c>
      <c r="P3091" s="3" t="s">
        <v>873</v>
      </c>
    </row>
    <row r="3092" spans="1:16" x14ac:dyDescent="0.3">
      <c r="A3092" s="3" t="s">
        <v>591</v>
      </c>
      <c r="B3092" s="3" t="s">
        <v>5032</v>
      </c>
      <c r="C3092" s="3" t="s">
        <v>5033</v>
      </c>
      <c r="D3092" s="3" t="s">
        <v>41</v>
      </c>
      <c r="E3092" s="3" t="s">
        <v>31</v>
      </c>
      <c r="F3092" s="3" t="b">
        <v>0</v>
      </c>
      <c r="G3092" s="3" t="s">
        <v>961</v>
      </c>
      <c r="H3092" s="6">
        <v>44956.561550925922</v>
      </c>
      <c r="I3092" s="3" t="b">
        <v>0</v>
      </c>
      <c r="J3092" s="3" t="b">
        <v>0</v>
      </c>
      <c r="K3092" s="3" t="s">
        <v>961</v>
      </c>
      <c r="L3092" s="3" t="s">
        <v>34</v>
      </c>
      <c r="M3092" s="8">
        <v>72900</v>
      </c>
      <c r="N3092" s="11"/>
      <c r="O3092" s="3" t="s">
        <v>5034</v>
      </c>
      <c r="P3092" s="3" t="s">
        <v>5035</v>
      </c>
    </row>
    <row r="3093" spans="1:16" x14ac:dyDescent="0.3">
      <c r="A3093" s="3" t="s">
        <v>591</v>
      </c>
      <c r="B3093" s="3" t="s">
        <v>5103</v>
      </c>
      <c r="C3093" s="3" t="s">
        <v>413</v>
      </c>
      <c r="D3093" s="3" t="s">
        <v>41</v>
      </c>
      <c r="E3093" s="3" t="s">
        <v>31</v>
      </c>
      <c r="F3093" s="3" t="b">
        <v>0</v>
      </c>
      <c r="G3093" s="3" t="s">
        <v>407</v>
      </c>
      <c r="H3093" s="6">
        <v>44956.558449074073</v>
      </c>
      <c r="I3093" s="3" t="b">
        <v>0</v>
      </c>
      <c r="J3093" s="3" t="b">
        <v>0</v>
      </c>
      <c r="K3093" s="3" t="s">
        <v>407</v>
      </c>
      <c r="L3093" s="3" t="s">
        <v>34</v>
      </c>
      <c r="M3093" s="8">
        <v>89100</v>
      </c>
      <c r="N3093" s="11"/>
      <c r="O3093" s="3" t="s">
        <v>5104</v>
      </c>
      <c r="P3093" s="3" t="s">
        <v>979</v>
      </c>
    </row>
    <row r="3094" spans="1:16" x14ac:dyDescent="0.3">
      <c r="A3094" s="3" t="s">
        <v>591</v>
      </c>
      <c r="B3094" s="3" t="s">
        <v>5259</v>
      </c>
      <c r="C3094" s="3" t="s">
        <v>406</v>
      </c>
      <c r="D3094" s="3" t="s">
        <v>830</v>
      </c>
      <c r="E3094" s="3" t="s">
        <v>31</v>
      </c>
      <c r="F3094" s="3" t="b">
        <v>0</v>
      </c>
      <c r="G3094" s="3" t="s">
        <v>407</v>
      </c>
      <c r="H3094" s="6">
        <v>44942.751608796287</v>
      </c>
      <c r="I3094" s="3" t="b">
        <v>1</v>
      </c>
      <c r="J3094" s="3" t="b">
        <v>0</v>
      </c>
      <c r="K3094" s="3" t="s">
        <v>407</v>
      </c>
      <c r="L3094" s="3" t="s">
        <v>34</v>
      </c>
      <c r="M3094" s="8">
        <v>65000</v>
      </c>
      <c r="N3094" s="11"/>
      <c r="O3094" s="3" t="s">
        <v>5260</v>
      </c>
      <c r="P3094" s="3" t="s">
        <v>5261</v>
      </c>
    </row>
    <row r="3095" spans="1:16" x14ac:dyDescent="0.3">
      <c r="A3095" s="3" t="s">
        <v>591</v>
      </c>
      <c r="B3095" s="3" t="s">
        <v>5731</v>
      </c>
      <c r="C3095" s="3" t="s">
        <v>593</v>
      </c>
      <c r="D3095" s="3" t="s">
        <v>41</v>
      </c>
      <c r="E3095" s="3" t="s">
        <v>31</v>
      </c>
      <c r="F3095" s="3" t="b">
        <v>0</v>
      </c>
      <c r="G3095" s="3" t="s">
        <v>436</v>
      </c>
      <c r="H3095" s="6">
        <v>44928.809733796297</v>
      </c>
      <c r="I3095" s="3" t="b">
        <v>0</v>
      </c>
      <c r="J3095" s="3" t="b">
        <v>0</v>
      </c>
      <c r="K3095" s="3" t="s">
        <v>436</v>
      </c>
      <c r="L3095" s="3" t="s">
        <v>34</v>
      </c>
      <c r="M3095" s="8">
        <v>79200</v>
      </c>
      <c r="N3095" s="11"/>
      <c r="O3095" s="3" t="s">
        <v>3859</v>
      </c>
      <c r="P3095" s="3" t="s">
        <v>5732</v>
      </c>
    </row>
    <row r="3096" spans="1:16" x14ac:dyDescent="0.3">
      <c r="A3096" s="3" t="s">
        <v>591</v>
      </c>
      <c r="B3096" s="3" t="s">
        <v>5775</v>
      </c>
      <c r="C3096" s="3" t="s">
        <v>2109</v>
      </c>
      <c r="D3096" s="3" t="s">
        <v>41</v>
      </c>
      <c r="E3096" s="3" t="s">
        <v>31</v>
      </c>
      <c r="F3096" s="3" t="b">
        <v>0</v>
      </c>
      <c r="G3096" s="3" t="s">
        <v>69</v>
      </c>
      <c r="H3096" s="6">
        <v>44945.140787037039</v>
      </c>
      <c r="I3096" s="3" t="b">
        <v>1</v>
      </c>
      <c r="J3096" s="3" t="b">
        <v>0</v>
      </c>
      <c r="K3096" s="3" t="s">
        <v>69</v>
      </c>
      <c r="L3096" s="3" t="s">
        <v>34</v>
      </c>
      <c r="M3096" s="8">
        <v>56700</v>
      </c>
      <c r="N3096" s="11"/>
      <c r="O3096" s="3" t="s">
        <v>1880</v>
      </c>
      <c r="P3096" s="3" t="s">
        <v>5776</v>
      </c>
    </row>
    <row r="3097" spans="1:16" x14ac:dyDescent="0.3">
      <c r="A3097" s="3" t="s">
        <v>591</v>
      </c>
      <c r="B3097" s="3" t="s">
        <v>5904</v>
      </c>
      <c r="C3097" s="3" t="s">
        <v>150</v>
      </c>
      <c r="D3097" s="3" t="s">
        <v>151</v>
      </c>
      <c r="E3097" s="3" t="s">
        <v>31</v>
      </c>
      <c r="F3097" s="3" t="b">
        <v>0</v>
      </c>
      <c r="G3097" s="3" t="s">
        <v>110</v>
      </c>
      <c r="H3097" s="6">
        <v>44946.446423611109</v>
      </c>
      <c r="I3097" s="3" t="b">
        <v>0</v>
      </c>
      <c r="J3097" s="3" t="b">
        <v>1</v>
      </c>
      <c r="K3097" s="3" t="s">
        <v>110</v>
      </c>
      <c r="L3097" s="3" t="s">
        <v>48</v>
      </c>
      <c r="M3097" s="8"/>
      <c r="N3097" s="11">
        <v>34.735000610351563</v>
      </c>
      <c r="O3097" s="3" t="s">
        <v>1384</v>
      </c>
      <c r="P3097" s="3" t="s">
        <v>3571</v>
      </c>
    </row>
    <row r="3098" spans="1:16" x14ac:dyDescent="0.3">
      <c r="A3098" s="3" t="s">
        <v>591</v>
      </c>
      <c r="B3098" s="3" t="s">
        <v>6013</v>
      </c>
      <c r="C3098" s="3" t="s">
        <v>903</v>
      </c>
      <c r="D3098" s="3" t="s">
        <v>41</v>
      </c>
      <c r="E3098" s="3" t="s">
        <v>31</v>
      </c>
      <c r="F3098" s="3" t="b">
        <v>0</v>
      </c>
      <c r="G3098" s="3" t="s">
        <v>436</v>
      </c>
      <c r="H3098" s="6">
        <v>44942.659178240741</v>
      </c>
      <c r="I3098" s="3" t="b">
        <v>0</v>
      </c>
      <c r="J3098" s="3" t="b">
        <v>0</v>
      </c>
      <c r="K3098" s="3" t="s">
        <v>436</v>
      </c>
      <c r="L3098" s="3" t="s">
        <v>34</v>
      </c>
      <c r="M3098" s="8">
        <v>200000</v>
      </c>
      <c r="N3098" s="11"/>
      <c r="O3098" s="3" t="s">
        <v>356</v>
      </c>
      <c r="P3098" s="3" t="s">
        <v>6014</v>
      </c>
    </row>
    <row r="3099" spans="1:16" x14ac:dyDescent="0.3">
      <c r="A3099" s="3" t="s">
        <v>591</v>
      </c>
      <c r="B3099" s="3" t="s">
        <v>6140</v>
      </c>
      <c r="C3099" s="3" t="s">
        <v>906</v>
      </c>
      <c r="D3099" s="3" t="s">
        <v>41</v>
      </c>
      <c r="E3099" s="3" t="s">
        <v>31</v>
      </c>
      <c r="F3099" s="3" t="b">
        <v>0</v>
      </c>
      <c r="G3099" s="3" t="s">
        <v>42</v>
      </c>
      <c r="H3099" s="6">
        <v>44929.661400462966</v>
      </c>
      <c r="I3099" s="3" t="b">
        <v>0</v>
      </c>
      <c r="J3099" s="3" t="b">
        <v>0</v>
      </c>
      <c r="K3099" s="3" t="s">
        <v>42</v>
      </c>
      <c r="L3099" s="3" t="s">
        <v>34</v>
      </c>
      <c r="M3099" s="8">
        <v>79200</v>
      </c>
      <c r="N3099" s="11"/>
      <c r="O3099" s="3" t="s">
        <v>3562</v>
      </c>
      <c r="P3099" s="3" t="s">
        <v>6141</v>
      </c>
    </row>
    <row r="3100" spans="1:16" x14ac:dyDescent="0.3">
      <c r="A3100" s="3" t="s">
        <v>591</v>
      </c>
      <c r="B3100" s="3" t="s">
        <v>6224</v>
      </c>
      <c r="C3100" s="3" t="s">
        <v>4950</v>
      </c>
      <c r="D3100" s="3" t="s">
        <v>151</v>
      </c>
      <c r="E3100" s="3" t="s">
        <v>31</v>
      </c>
      <c r="F3100" s="3" t="b">
        <v>0</v>
      </c>
      <c r="G3100" s="3" t="s">
        <v>3728</v>
      </c>
      <c r="H3100" s="6">
        <v>44957.502384259264</v>
      </c>
      <c r="I3100" s="3" t="b">
        <v>0</v>
      </c>
      <c r="J3100" s="3" t="b">
        <v>0</v>
      </c>
      <c r="K3100" s="3" t="s">
        <v>3728</v>
      </c>
      <c r="L3100" s="3" t="s">
        <v>34</v>
      </c>
      <c r="M3100" s="8">
        <v>145000</v>
      </c>
      <c r="N3100" s="11"/>
      <c r="O3100" s="3" t="s">
        <v>3941</v>
      </c>
      <c r="P3100" s="3" t="s">
        <v>6225</v>
      </c>
    </row>
    <row r="3101" spans="1:16" x14ac:dyDescent="0.3">
      <c r="A3101" s="3" t="s">
        <v>591</v>
      </c>
      <c r="B3101" s="3" t="s">
        <v>6228</v>
      </c>
      <c r="C3101" s="3" t="s">
        <v>2039</v>
      </c>
      <c r="D3101" s="3" t="s">
        <v>41</v>
      </c>
      <c r="E3101" s="3" t="s">
        <v>31</v>
      </c>
      <c r="F3101" s="3" t="b">
        <v>0</v>
      </c>
      <c r="G3101" s="3" t="s">
        <v>651</v>
      </c>
      <c r="H3101" s="6">
        <v>44938.443692129629</v>
      </c>
      <c r="I3101" s="3" t="b">
        <v>0</v>
      </c>
      <c r="J3101" s="3" t="b">
        <v>0</v>
      </c>
      <c r="K3101" s="3" t="s">
        <v>651</v>
      </c>
      <c r="L3101" s="3" t="s">
        <v>34</v>
      </c>
      <c r="M3101" s="8">
        <v>89100</v>
      </c>
      <c r="N3101" s="11"/>
      <c r="O3101" s="3" t="s">
        <v>3266</v>
      </c>
      <c r="P3101" s="3" t="s">
        <v>6229</v>
      </c>
    </row>
    <row r="3102" spans="1:16" x14ac:dyDescent="0.3">
      <c r="A3102" s="3" t="s">
        <v>591</v>
      </c>
      <c r="B3102" s="3" t="s">
        <v>6240</v>
      </c>
      <c r="C3102" s="3" t="s">
        <v>6241</v>
      </c>
      <c r="D3102" s="3" t="s">
        <v>41</v>
      </c>
      <c r="E3102" s="3" t="s">
        <v>31</v>
      </c>
      <c r="F3102" s="3" t="b">
        <v>0</v>
      </c>
      <c r="G3102" s="3" t="s">
        <v>2212</v>
      </c>
      <c r="H3102" s="6">
        <v>44942.747245370367</v>
      </c>
      <c r="I3102" s="3" t="b">
        <v>0</v>
      </c>
      <c r="J3102" s="3" t="b">
        <v>0</v>
      </c>
      <c r="K3102" s="3" t="s">
        <v>2212</v>
      </c>
      <c r="L3102" s="3" t="s">
        <v>34</v>
      </c>
      <c r="M3102" s="8">
        <v>79200</v>
      </c>
      <c r="N3102" s="11"/>
      <c r="O3102" s="3" t="s">
        <v>179</v>
      </c>
      <c r="P3102" s="3" t="s">
        <v>6242</v>
      </c>
    </row>
    <row r="3103" spans="1:16" x14ac:dyDescent="0.3">
      <c r="A3103" s="3" t="s">
        <v>591</v>
      </c>
      <c r="B3103" s="3" t="s">
        <v>6334</v>
      </c>
      <c r="C3103" s="3" t="s">
        <v>1368</v>
      </c>
      <c r="D3103" s="3" t="s">
        <v>1580</v>
      </c>
      <c r="E3103" s="3" t="s">
        <v>31</v>
      </c>
      <c r="F3103" s="3" t="b">
        <v>0</v>
      </c>
      <c r="G3103" s="3" t="s">
        <v>88</v>
      </c>
      <c r="H3103" s="6">
        <v>44929.003425925926</v>
      </c>
      <c r="I3103" s="3" t="b">
        <v>0</v>
      </c>
      <c r="J3103" s="3" t="b">
        <v>0</v>
      </c>
      <c r="K3103" s="3" t="s">
        <v>33</v>
      </c>
      <c r="L3103" s="3" t="s">
        <v>34</v>
      </c>
      <c r="M3103" s="8">
        <v>77300</v>
      </c>
      <c r="N3103" s="11"/>
      <c r="O3103" s="3" t="s">
        <v>6335</v>
      </c>
      <c r="P3103" s="3"/>
    </row>
  </sheetData>
  <autoFilter ref="A1:P3103" xr:uid="{F17427E0-3737-492D-85E0-BF77078E48F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Practice - Sheet</vt:lpstr>
      <vt:lpstr>Pivot Chart</vt:lpstr>
      <vt:lpstr>Data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Jaiswal</dc:creator>
  <cp:lastModifiedBy>Ansh Jaiswal</cp:lastModifiedBy>
  <dcterms:created xsi:type="dcterms:W3CDTF">2025-12-28T06:43:12Z</dcterms:created>
  <dcterms:modified xsi:type="dcterms:W3CDTF">2025-12-31T14:31:53Z</dcterms:modified>
</cp:coreProperties>
</file>