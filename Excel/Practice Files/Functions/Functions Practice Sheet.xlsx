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F56760EDE809BE0/Documents/"/>
    </mc:Choice>
  </mc:AlternateContent>
  <xr:revisionPtr revIDLastSave="133" documentId="8_{0D4761A0-3498-4F35-88B4-6742C65B12E2}" xr6:coauthVersionLast="47" xr6:coauthVersionMax="47" xr10:uidLastSave="{F3C6CE5F-2792-42C9-9F14-4F1ED58C7281}"/>
  <bookViews>
    <workbookView xWindow="-108" yWindow="-108" windowWidth="23256" windowHeight="13896" activeTab="3" xr2:uid="{8CC555B5-3E06-43B6-9E5B-C0A1D3498DA4}"/>
  </bookViews>
  <sheets>
    <sheet name="Data" sheetId="9" r:id="rId1"/>
    <sheet name="Final" sheetId="7" r:id="rId2"/>
    <sheet name="Errors" sheetId="8" r:id="rId3"/>
    <sheet name="Logical Functions" sheetId="1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0" l="1" a="1"/>
  <c r="X3" i="10" s="1"/>
  <c r="X4" i="10" a="1"/>
  <c r="X4" i="10" s="1"/>
  <c r="X5" i="10" a="1"/>
  <c r="X5" i="10"/>
  <c r="X6" i="10" a="1"/>
  <c r="X6" i="10" s="1"/>
  <c r="X7" i="10" a="1"/>
  <c r="X7" i="10"/>
  <c r="X8" i="10" a="1"/>
  <c r="X8" i="10"/>
  <c r="X9" i="10" a="1"/>
  <c r="X9" i="10" s="1"/>
  <c r="X10" i="10" a="1"/>
  <c r="X10" i="10"/>
  <c r="X11" i="10" a="1"/>
  <c r="X11" i="10"/>
  <c r="X12" i="10" a="1"/>
  <c r="X12" i="10" s="1"/>
  <c r="X13" i="10" a="1"/>
  <c r="X13" i="10" s="1"/>
  <c r="X14" i="10" a="1"/>
  <c r="X14" i="10"/>
  <c r="X15" i="10" a="1"/>
  <c r="X15" i="10" s="1"/>
  <c r="X16" i="10" a="1"/>
  <c r="X16" i="10"/>
  <c r="X17" i="10" a="1"/>
  <c r="X17" i="10" s="1"/>
  <c r="X18" i="10" a="1"/>
  <c r="X18" i="10"/>
  <c r="X19" i="10" a="1"/>
  <c r="X19" i="10"/>
  <c r="X20" i="10" a="1"/>
  <c r="X20" i="10"/>
  <c r="X21" i="10" a="1"/>
  <c r="X21" i="10" s="1"/>
  <c r="X2" i="10" a="1"/>
  <c r="X2" i="10" s="1"/>
  <c r="W3" i="10"/>
  <c r="W4" i="10"/>
  <c r="W5" i="10"/>
  <c r="W6" i="10"/>
  <c r="W7" i="10"/>
  <c r="W8" i="10"/>
  <c r="W9" i="10"/>
  <c r="W10" i="10"/>
  <c r="W11" i="10"/>
  <c r="W12" i="10"/>
  <c r="W13" i="10"/>
  <c r="W14" i="10"/>
  <c r="W15" i="10"/>
  <c r="W16" i="10"/>
  <c r="W17" i="10"/>
  <c r="W18" i="10"/>
  <c r="W19" i="10"/>
  <c r="W20" i="10"/>
  <c r="W21" i="10"/>
  <c r="W2" i="10"/>
  <c r="V3" i="10"/>
  <c r="V4" i="10"/>
  <c r="V5" i="10"/>
  <c r="V6" i="10"/>
  <c r="V7" i="10"/>
  <c r="V8" i="10"/>
  <c r="V9" i="10"/>
  <c r="V10" i="10"/>
  <c r="V11" i="10"/>
  <c r="V12" i="10"/>
  <c r="V13" i="10"/>
  <c r="V14" i="10"/>
  <c r="V15" i="10"/>
  <c r="V16" i="10"/>
  <c r="V17" i="10"/>
  <c r="V18" i="10"/>
  <c r="V19" i="10"/>
  <c r="V20" i="10"/>
  <c r="V21" i="10"/>
  <c r="V2" i="10"/>
  <c r="U2" i="10"/>
  <c r="U3" i="10"/>
  <c r="U4" i="10"/>
  <c r="U5" i="10"/>
  <c r="U6" i="10"/>
  <c r="U7" i="10"/>
  <c r="U8" i="10"/>
  <c r="U9" i="10"/>
  <c r="U10" i="10"/>
  <c r="U11" i="10"/>
  <c r="U12" i="10"/>
  <c r="U13" i="10"/>
  <c r="U14" i="10"/>
  <c r="U15" i="10"/>
  <c r="U16" i="10"/>
  <c r="U17" i="10"/>
  <c r="U18" i="10"/>
  <c r="U19" i="10"/>
  <c r="U20" i="10"/>
  <c r="U21" i="10"/>
  <c r="T2" i="10"/>
  <c r="T3" i="10"/>
  <c r="T4" i="10"/>
  <c r="T5" i="10"/>
  <c r="T6" i="10"/>
  <c r="T7" i="10"/>
  <c r="T8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S3" i="10"/>
  <c r="S4" i="10"/>
  <c r="S5" i="10"/>
  <c r="S6" i="10"/>
  <c r="S7" i="10"/>
  <c r="S8" i="10"/>
  <c r="S9" i="10"/>
  <c r="S10" i="10"/>
  <c r="S11" i="10"/>
  <c r="S12" i="10"/>
  <c r="S13" i="10"/>
  <c r="S14" i="10"/>
  <c r="S15" i="10"/>
  <c r="S16" i="10"/>
  <c r="S17" i="10"/>
  <c r="S18" i="10"/>
  <c r="S19" i="10"/>
  <c r="S20" i="10"/>
  <c r="S21" i="10"/>
  <c r="S2" i="10"/>
  <c r="R2" i="10"/>
  <c r="Q2" i="10"/>
  <c r="R3" i="10"/>
  <c r="R4" i="10"/>
  <c r="R5" i="10"/>
  <c r="R6" i="10"/>
  <c r="R7" i="10"/>
  <c r="R8" i="10"/>
  <c r="R9" i="10"/>
  <c r="R10" i="10"/>
  <c r="R11" i="10"/>
  <c r="R12" i="10"/>
  <c r="R13" i="10"/>
  <c r="R14" i="10"/>
  <c r="R15" i="10"/>
  <c r="R16" i="10"/>
  <c r="R17" i="10"/>
  <c r="R18" i="10"/>
  <c r="R19" i="10"/>
  <c r="R20" i="10"/>
  <c r="R21" i="10"/>
  <c r="Q3" i="10"/>
  <c r="Q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B3" i="8"/>
  <c r="D17" i="9"/>
  <c r="C17" i="9"/>
  <c r="E17" i="9"/>
  <c r="E16" i="9"/>
  <c r="D16" i="9"/>
  <c r="C16" i="9"/>
  <c r="D15" i="9" l="1"/>
  <c r="E15" i="9"/>
  <c r="C15" i="9"/>
  <c r="D14" i="9"/>
  <c r="E14" i="9"/>
  <c r="C14" i="9"/>
  <c r="D13" i="9"/>
  <c r="E13" i="9"/>
  <c r="C13" i="9"/>
  <c r="L12" i="9"/>
  <c r="K12" i="9"/>
  <c r="H12" i="9"/>
  <c r="I12" i="9" s="1"/>
  <c r="G12" i="9"/>
  <c r="F12" i="9"/>
  <c r="L11" i="9"/>
  <c r="K11" i="9"/>
  <c r="H11" i="9"/>
  <c r="I11" i="9" s="1"/>
  <c r="G11" i="9"/>
  <c r="F11" i="9"/>
  <c r="L10" i="9"/>
  <c r="K10" i="9"/>
  <c r="H10" i="9"/>
  <c r="I10" i="9" s="1"/>
  <c r="G10" i="9"/>
  <c r="F10" i="9"/>
  <c r="L9" i="9"/>
  <c r="K9" i="9"/>
  <c r="H9" i="9"/>
  <c r="I9" i="9" s="1"/>
  <c r="G9" i="9"/>
  <c r="F9" i="9"/>
  <c r="L8" i="9"/>
  <c r="K8" i="9"/>
  <c r="H8" i="9"/>
  <c r="I8" i="9" s="1"/>
  <c r="G8" i="9"/>
  <c r="F8" i="9"/>
  <c r="M7" i="9"/>
  <c r="L7" i="9"/>
  <c r="K7" i="9"/>
  <c r="I7" i="9"/>
  <c r="J7" i="9" s="1"/>
  <c r="H7" i="9"/>
  <c r="G7" i="9"/>
  <c r="F7" i="9"/>
  <c r="L6" i="9"/>
  <c r="K6" i="9"/>
  <c r="H6" i="9"/>
  <c r="I6" i="9" s="1"/>
  <c r="G6" i="9"/>
  <c r="F6" i="9"/>
  <c r="L5" i="9"/>
  <c r="K5" i="9"/>
  <c r="H5" i="9"/>
  <c r="I5" i="9" s="1"/>
  <c r="G5" i="9"/>
  <c r="F5" i="9"/>
  <c r="L4" i="9"/>
  <c r="K4" i="9"/>
  <c r="H4" i="9"/>
  <c r="I4" i="9" s="1"/>
  <c r="G4" i="9"/>
  <c r="F4" i="9"/>
  <c r="L3" i="9"/>
  <c r="K3" i="9"/>
  <c r="H3" i="9"/>
  <c r="I3" i="9" s="1"/>
  <c r="G3" i="9"/>
  <c r="F3" i="9"/>
  <c r="B9" i="8"/>
  <c r="B4" i="8"/>
  <c r="B6" i="8" a="1"/>
  <c r="B6" i="8" s="1"/>
  <c r="B7" i="8"/>
  <c r="B5" i="8"/>
  <c r="B8" i="8"/>
  <c r="D17" i="7"/>
  <c r="D16" i="7"/>
  <c r="C17" i="7"/>
  <c r="C16" i="7"/>
  <c r="C15" i="7"/>
  <c r="D15" i="7"/>
  <c r="E15" i="7"/>
  <c r="D14" i="7"/>
  <c r="E14" i="7"/>
  <c r="F14" i="7"/>
  <c r="C14" i="7"/>
  <c r="D13" i="7"/>
  <c r="E13" i="7"/>
  <c r="C13" i="7"/>
  <c r="L12" i="7"/>
  <c r="P12" i="7" s="1"/>
  <c r="K12" i="7"/>
  <c r="H12" i="7"/>
  <c r="I12" i="7" s="1"/>
  <c r="G12" i="7"/>
  <c r="M12" i="7" s="1"/>
  <c r="F12" i="7"/>
  <c r="L11" i="7"/>
  <c r="P11" i="7" s="1"/>
  <c r="K11" i="7"/>
  <c r="I11" i="7"/>
  <c r="J11" i="7" s="1"/>
  <c r="H11" i="7"/>
  <c r="G11" i="7"/>
  <c r="M11" i="7" s="1"/>
  <c r="F11" i="7"/>
  <c r="L10" i="7"/>
  <c r="K10" i="7"/>
  <c r="H10" i="7"/>
  <c r="I10" i="7" s="1"/>
  <c r="G10" i="7"/>
  <c r="J10" i="7" s="1"/>
  <c r="F10" i="7"/>
  <c r="L9" i="7"/>
  <c r="K9" i="7"/>
  <c r="H9" i="7"/>
  <c r="I9" i="7" s="1"/>
  <c r="G9" i="7"/>
  <c r="M9" i="7" s="1"/>
  <c r="P9" i="7" s="1"/>
  <c r="F9" i="7"/>
  <c r="L8" i="7"/>
  <c r="K8" i="7"/>
  <c r="I8" i="7"/>
  <c r="J8" i="7" s="1"/>
  <c r="H8" i="7"/>
  <c r="G8" i="7"/>
  <c r="M8" i="7" s="1"/>
  <c r="P8" i="7" s="1"/>
  <c r="F8" i="7"/>
  <c r="L7" i="7"/>
  <c r="K7" i="7"/>
  <c r="H7" i="7"/>
  <c r="I7" i="7" s="1"/>
  <c r="G7" i="7"/>
  <c r="M7" i="7" s="1"/>
  <c r="P7" i="7" s="1"/>
  <c r="F7" i="7"/>
  <c r="L6" i="7"/>
  <c r="K6" i="7"/>
  <c r="H6" i="7"/>
  <c r="I6" i="7" s="1"/>
  <c r="G6" i="7"/>
  <c r="M6" i="7" s="1"/>
  <c r="P6" i="7" s="1"/>
  <c r="F6" i="7"/>
  <c r="L5" i="7"/>
  <c r="P5" i="7" s="1"/>
  <c r="K5" i="7"/>
  <c r="I5" i="7"/>
  <c r="J5" i="7" s="1"/>
  <c r="H5" i="7"/>
  <c r="G5" i="7"/>
  <c r="M5" i="7" s="1"/>
  <c r="F5" i="7"/>
  <c r="L4" i="7"/>
  <c r="K4" i="7"/>
  <c r="H4" i="7"/>
  <c r="I4" i="7" s="1"/>
  <c r="G4" i="7"/>
  <c r="J4" i="7" s="1"/>
  <c r="F4" i="7"/>
  <c r="L3" i="7"/>
  <c r="P3" i="7" s="1"/>
  <c r="K3" i="7"/>
  <c r="H3" i="7"/>
  <c r="I3" i="7" s="1"/>
  <c r="G3" i="7"/>
  <c r="M3" i="7" s="1"/>
  <c r="F3" i="7"/>
  <c r="P7" i="9" l="1"/>
  <c r="M12" i="9"/>
  <c r="P12" i="9" s="1"/>
  <c r="J12" i="9"/>
  <c r="J11" i="9"/>
  <c r="M11" i="9"/>
  <c r="P11" i="9" s="1"/>
  <c r="M10" i="9"/>
  <c r="P10" i="9" s="1"/>
  <c r="J10" i="9"/>
  <c r="J9" i="9"/>
  <c r="M9" i="9"/>
  <c r="P9" i="9" s="1"/>
  <c r="J8" i="9"/>
  <c r="M8" i="9"/>
  <c r="P8" i="9" s="1"/>
  <c r="O7" i="9"/>
  <c r="N7" i="9"/>
  <c r="J6" i="9"/>
  <c r="M6" i="9"/>
  <c r="P6" i="9" s="1"/>
  <c r="J5" i="9"/>
  <c r="M5" i="9"/>
  <c r="P5" i="9" s="1"/>
  <c r="J4" i="9"/>
  <c r="M4" i="9"/>
  <c r="P4" i="9" s="1"/>
  <c r="M3" i="9"/>
  <c r="P3" i="9" s="1"/>
  <c r="J3" i="9"/>
  <c r="P10" i="7"/>
  <c r="O9" i="7"/>
  <c r="O11" i="7"/>
  <c r="N5" i="7"/>
  <c r="O5" i="7"/>
  <c r="N11" i="7"/>
  <c r="O6" i="7"/>
  <c r="N8" i="7"/>
  <c r="O8" i="7"/>
  <c r="O3" i="7"/>
  <c r="O7" i="7"/>
  <c r="N7" i="7"/>
  <c r="O12" i="7"/>
  <c r="J3" i="7"/>
  <c r="J6" i="7"/>
  <c r="J9" i="7"/>
  <c r="J12" i="7"/>
  <c r="M4" i="7"/>
  <c r="P4" i="7" s="1"/>
  <c r="M10" i="7"/>
  <c r="N6" i="7"/>
  <c r="J7" i="7"/>
  <c r="N9" i="7"/>
  <c r="N12" i="7"/>
  <c r="N3" i="7"/>
  <c r="N8" i="9" l="1"/>
  <c r="O8" i="9"/>
  <c r="N10" i="9"/>
  <c r="O10" i="9"/>
  <c r="N3" i="9"/>
  <c r="O3" i="9"/>
  <c r="O12" i="9"/>
  <c r="N12" i="9"/>
  <c r="N11" i="9"/>
  <c r="O11" i="9"/>
  <c r="N9" i="9"/>
  <c r="O9" i="9"/>
  <c r="N6" i="9"/>
  <c r="O6" i="9"/>
  <c r="N5" i="9"/>
  <c r="O5" i="9"/>
  <c r="N4" i="9"/>
  <c r="O4" i="9"/>
  <c r="O10" i="7"/>
  <c r="N10" i="7"/>
  <c r="O4" i="7"/>
  <c r="N4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<sst xmlns="http://schemas.openxmlformats.org/spreadsheetml/2006/main" count="303" uniqueCount="163">
  <si>
    <t>Data Scientist</t>
  </si>
  <si>
    <t>Machine Learning Engineer</t>
  </si>
  <si>
    <t>Data Analyst</t>
  </si>
  <si>
    <t>Business Intelligence Dev</t>
  </si>
  <si>
    <t>Data Engineer</t>
  </si>
  <si>
    <t>Statistician</t>
  </si>
  <si>
    <t>Data Architect</t>
  </si>
  <si>
    <t>Research Scientist</t>
  </si>
  <si>
    <t>AI Specialist</t>
  </si>
  <si>
    <t>Big Data Engineer</t>
  </si>
  <si>
    <t>Job Title</t>
  </si>
  <si>
    <t>Annual Salary ($USD)</t>
  </si>
  <si>
    <t xml:space="preserve"> Experience (Years)</t>
  </si>
  <si>
    <t>Bonus Max ($USD)</t>
  </si>
  <si>
    <t>Total Salary (+)</t>
  </si>
  <si>
    <t>Experience (=)</t>
  </si>
  <si>
    <t>Bonus Rate (/)</t>
  </si>
  <si>
    <t>Confirm Total Salary</t>
  </si>
  <si>
    <t>Is Bonus &gt; Annual Salary?</t>
  </si>
  <si>
    <t>Does Total Salary = Confirmed Salary?</t>
  </si>
  <si>
    <t>Meets Salary</t>
  </si>
  <si>
    <t>Meets Experience</t>
  </si>
  <si>
    <t>Experience (&lt;=)</t>
  </si>
  <si>
    <t>Total Salary (&gt;=)</t>
  </si>
  <si>
    <t>Job Goals:</t>
  </si>
  <si>
    <t>Meets Both (1 or 0)</t>
  </si>
  <si>
    <t>Meets Both - AND()</t>
  </si>
  <si>
    <t>Average (by Cell)</t>
  </si>
  <si>
    <t>Average (AVERAGE())</t>
  </si>
  <si>
    <t>Meets Both - Formula Only</t>
  </si>
  <si>
    <t>Total Count</t>
  </si>
  <si>
    <t>Meets Goals Count</t>
  </si>
  <si>
    <t>Error Type</t>
  </si>
  <si>
    <t>Description</t>
  </si>
  <si>
    <t>The formula is trying to divide by zero</t>
  </si>
  <si>
    <t>The formula includes an argument of the wrong type</t>
  </si>
  <si>
    <t>The formula uses a name that Excel doesn’t recognize</t>
  </si>
  <si>
    <t>The formula is referring to a cell whose data isn’t available</t>
  </si>
  <si>
    <t>There is a problem with the value in the formula</t>
  </si>
  <si>
    <t>The formula is trying to use an intersection of two ranges that don’t intersect</t>
  </si>
  <si>
    <t>Formula</t>
  </si>
  <si>
    <t>=1/0</t>
  </si>
  <si>
    <t>=B4 + "text"</t>
  </si>
  <si>
    <t>=#REF!</t>
  </si>
  <si>
    <t>=SQRT(-1)</t>
  </si>
  <si>
    <t>=SUM(A1:A10 B1:B10)</t>
  </si>
  <si>
    <t>=VLOOKUP("Value", A1:A10, 2, FALSE)</t>
  </si>
  <si>
    <t>=COUNTT(A3:A9)</t>
  </si>
  <si>
    <t>The formula refers to a cell that isn’t valid (usually deleted cell)</t>
  </si>
  <si>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</si>
  <si>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</si>
  <si>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</si>
  <si>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</si>
  <si>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</si>
  <si>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</si>
  <si>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</si>
  <si>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</si>
  <si>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</si>
  <si>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</si>
  <si>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</si>
  <si>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</si>
  <si>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</si>
  <si>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</si>
  <si>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</si>
  <si>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</si>
  <si>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Business Analyst</t>
  </si>
  <si>
    <t>Cost Analyst Jobs</t>
  </si>
  <si>
    <t>Chantilly, VA</t>
  </si>
  <si>
    <t>via Clearance Jobs</t>
  </si>
  <si>
    <t>Contractor</t>
  </si>
  <si>
    <t>New York, United States</t>
  </si>
  <si>
    <t>United States</t>
  </si>
  <si>
    <t>year</t>
  </si>
  <si>
    <t>Take2 Consulting</t>
  </si>
  <si>
    <t>['r', 'python', 'excel']</t>
  </si>
  <si>
    <t>Associate BI Analyst</t>
  </si>
  <si>
    <t>El Segundo, CA</t>
  </si>
  <si>
    <t>via Rebound</t>
  </si>
  <si>
    <t>Full-time</t>
  </si>
  <si>
    <t>California, United States</t>
  </si>
  <si>
    <t>hour</t>
  </si>
  <si>
    <t>Los Angeles Kings</t>
  </si>
  <si>
    <t>['r', 'python', 'sql', 'azure']</t>
  </si>
  <si>
    <t>Business Intelligence Analyst</t>
  </si>
  <si>
    <t>Charlotte, NC</t>
  </si>
  <si>
    <t>via LinkedIn</t>
  </si>
  <si>
    <t>Georgia</t>
  </si>
  <si>
    <t>Apex Systems</t>
  </si>
  <si>
    <t>['sql', 'python', 'tableau', 'alteryx', 'excel']</t>
  </si>
  <si>
    <t>Business Analyst III</t>
  </si>
  <si>
    <t>via ZipRecruiter</t>
  </si>
  <si>
    <t>Pathways Consulting</t>
  </si>
  <si>
    <t>Pricing Analyst</t>
  </si>
  <si>
    <t>Wichita Falls, TX</t>
  </si>
  <si>
    <t>via Spherion</t>
  </si>
  <si>
    <t>Sudan</t>
  </si>
  <si>
    <t>Spherion</t>
  </si>
  <si>
    <t>['excel']</t>
  </si>
  <si>
    <t>Atlanta, GA</t>
  </si>
  <si>
    <t>Brooksource</t>
  </si>
  <si>
    <t>['sql', 'mysql', 'tableau', 'excel', 'power bi', 'powerpoint', 'flow']</t>
  </si>
  <si>
    <t>(HR) Operations Analyst - FULLY REMOTE</t>
  </si>
  <si>
    <t>Anywhere</t>
  </si>
  <si>
    <t>Illinois, United States</t>
  </si>
  <si>
    <t>Swoon</t>
  </si>
  <si>
    <t>Lead Analytic Consultant</t>
  </si>
  <si>
    <t>Irving, TX</t>
  </si>
  <si>
    <t>Texas, United States</t>
  </si>
  <si>
    <t>CVS Health</t>
  </si>
  <si>
    <t>['sql', 'azure', 'snowflake', 'microstrategy', 'tableau']</t>
  </si>
  <si>
    <t>Miami, FL</t>
  </si>
  <si>
    <t>Florida, United States</t>
  </si>
  <si>
    <t>Robert Half</t>
  </si>
  <si>
    <t>['sql', 'go', 'excel', 'tableau']</t>
  </si>
  <si>
    <t>Business Analyst with SQL</t>
  </si>
  <si>
    <t>Tampa, FL</t>
  </si>
  <si>
    <t>via Ladders</t>
  </si>
  <si>
    <t>Open Systems Technologies</t>
  </si>
  <si>
    <t>['sql']</t>
  </si>
  <si>
    <t>Head, Research and Innovation</t>
  </si>
  <si>
    <t>via Y Combinator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</si>
  <si>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</si>
  <si>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</si>
  <si>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</si>
  <si>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Analyst</t>
  </si>
  <si>
    <t>StaffChase</t>
  </si>
  <si>
    <t>Business Intelligence (BI) QA Analyst</t>
  </si>
  <si>
    <t>['sql', 'go', 'power bi', 'ssis']</t>
  </si>
  <si>
    <t>Bi Analyst</t>
  </si>
  <si>
    <t>Amsterdam, Netherlands</t>
  </si>
  <si>
    <t>via Ai-Jobs.net</t>
  </si>
  <si>
    <t>Netherlands</t>
  </si>
  <si>
    <t>OpenUp</t>
  </si>
  <si>
    <t>['sql', 'tableau']</t>
  </si>
  <si>
    <t>Hardware Asset Management Analyst</t>
  </si>
  <si>
    <t>St. Louis, MO</t>
  </si>
  <si>
    <t>via Dice</t>
  </si>
  <si>
    <t>Noise Consulting Group</t>
  </si>
  <si>
    <t>Ruby Data Business Lead Analyst - C13/VP</t>
  </si>
  <si>
    <t>Citigroup, Inc</t>
  </si>
  <si>
    <t>['ruby', 'ruby']</t>
  </si>
  <si>
    <t>Marketing Effectiveness Reporting Analyst</t>
  </si>
  <si>
    <t>San Juan, Puerto Rico</t>
  </si>
  <si>
    <t>via DirectlyApply</t>
  </si>
  <si>
    <t>Puerto Rico</t>
  </si>
  <si>
    <t>SHI International</t>
  </si>
  <si>
    <t>['power bi', 'tableau', 'qlik', 'excel', 'looker', 'monday.com']</t>
  </si>
  <si>
    <t>Manager - Consulting - Data and Analytics</t>
  </si>
  <si>
    <t>Jakarta, Indonesia</t>
  </si>
  <si>
    <t>via RectDuty</t>
  </si>
  <si>
    <t>Indonesia</t>
  </si>
  <si>
    <t>PwC</t>
  </si>
  <si>
    <t>Lead BI Analyst</t>
  </si>
  <si>
    <t>Schertz, TX</t>
  </si>
  <si>
    <t>Kforce Technology Staffing</t>
  </si>
  <si>
    <t>['sql', 'r', 'python', 'scala', 'javascript', 'sas', 'sas', 'nosql', 'cassandra', 'aws', 'redshift', 'snowflake', 'spark', 'microstrategy', 'spss', 'excel']</t>
  </si>
  <si>
    <t>Entry Level Operations Analyst</t>
  </si>
  <si>
    <t>Plantation, FL</t>
  </si>
  <si>
    <t>RAS LaVrar</t>
  </si>
  <si>
    <t>Both Roles</t>
  </si>
  <si>
    <t>AND()</t>
  </si>
  <si>
    <t>OR()</t>
  </si>
  <si>
    <t>Buckets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</si>
</sst>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0.0%"/>
    <numFmt numFmtId="165" formatCode="_ [$₹-4009]\ * #,##0_ ;_ [$₹-4009]\ * \-#,##0_ ;_ [$₹-4009]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u/>
      <sz val="11"/>
      <color theme="1"/>
      <name val="Calibri"/>
      <family val="2"/>
    </font>
    <font>
      <b/>
      <i/>
      <u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indexed="64"/>
      </left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/>
      <right style="mediumDashed">
        <color indexed="64"/>
      </right>
      <top style="mediumDashed">
        <color indexed="64"/>
      </top>
      <bottom style="mediumDashed">
        <color indexed="64"/>
      </bottom>
      <diagonal/>
    </border>
    <border>
      <left style="mediumDashed">
        <color indexed="64"/>
      </left>
      <right style="mediumDashed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9">
    <xf numFmtId="0" fontId="0" fillId="0" borderId="0" xfId="0"/>
    <xf numFmtId="0" fontId="3" fillId="0" borderId="0" xfId="0" applyFont="1"/>
    <xf numFmtId="0" fontId="4" fillId="2" borderId="2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5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4" fillId="0" borderId="2" xfId="0" applyFont="1" applyBorder="1"/>
    <xf numFmtId="0" fontId="3" fillId="0" borderId="4" xfId="0" applyFont="1" applyBorder="1"/>
    <xf numFmtId="0" fontId="4" fillId="0" borderId="7" xfId="0" applyFont="1" applyBorder="1"/>
    <xf numFmtId="0" fontId="3" fillId="0" borderId="9" xfId="0" applyFont="1" applyBorder="1"/>
    <xf numFmtId="0" fontId="5" fillId="0" borderId="0" xfId="0" applyFont="1"/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" xfId="0" applyFont="1" applyBorder="1"/>
    <xf numFmtId="0" fontId="3" fillId="0" borderId="13" xfId="0" applyFont="1" applyBorder="1"/>
    <xf numFmtId="0" fontId="3" fillId="0" borderId="11" xfId="0" applyFont="1" applyBorder="1"/>
    <xf numFmtId="0" fontId="4" fillId="0" borderId="14" xfId="0" applyFont="1" applyBorder="1" applyAlignment="1">
      <alignment horizontal="center" wrapText="1"/>
    </xf>
    <xf numFmtId="0" fontId="3" fillId="0" borderId="14" xfId="0" applyFont="1" applyBorder="1"/>
    <xf numFmtId="164" fontId="3" fillId="0" borderId="14" xfId="1" applyNumberFormat="1" applyFont="1" applyBorder="1" applyAlignment="1"/>
    <xf numFmtId="0" fontId="3" fillId="0" borderId="14" xfId="1" applyNumberFormat="1" applyFont="1" applyBorder="1" applyAlignment="1"/>
    <xf numFmtId="0" fontId="4" fillId="0" borderId="15" xfId="0" applyFont="1" applyBorder="1" applyAlignment="1">
      <alignment horizontal="center" wrapText="1"/>
    </xf>
    <xf numFmtId="0" fontId="3" fillId="0" borderId="15" xfId="0" applyFont="1" applyBorder="1"/>
    <xf numFmtId="0" fontId="4" fillId="0" borderId="16" xfId="0" applyFont="1" applyBorder="1" applyAlignment="1">
      <alignment horizontal="center" wrapText="1"/>
    </xf>
    <xf numFmtId="0" fontId="3" fillId="0" borderId="17" xfId="0" applyFont="1" applyBorder="1"/>
    <xf numFmtId="0" fontId="4" fillId="0" borderId="18" xfId="0" applyFont="1" applyBorder="1"/>
    <xf numFmtId="0" fontId="3" fillId="0" borderId="19" xfId="0" applyFont="1" applyBorder="1"/>
    <xf numFmtId="0" fontId="4" fillId="0" borderId="10" xfId="0" applyFont="1" applyBorder="1"/>
    <xf numFmtId="0" fontId="3" fillId="0" borderId="12" xfId="0" applyFont="1" applyBorder="1"/>
    <xf numFmtId="0" fontId="4" fillId="0" borderId="5" xfId="0" applyFont="1" applyBorder="1"/>
    <xf numFmtId="0" fontId="3" fillId="3" borderId="6" xfId="0" applyFont="1" applyFill="1" applyBorder="1"/>
    <xf numFmtId="0" fontId="3" fillId="0" borderId="8" xfId="0" applyFont="1" applyBorder="1"/>
    <xf numFmtId="0" fontId="3" fillId="3" borderId="9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0" fillId="0" borderId="1" xfId="0" quotePrefix="1" applyBorder="1"/>
    <xf numFmtId="0" fontId="6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165" fontId="6" fillId="0" borderId="1" xfId="1" applyNumberFormat="1" applyFont="1" applyBorder="1" applyAlignment="1">
      <alignment horizontal="center"/>
    </xf>
    <xf numFmtId="44" fontId="6" fillId="0" borderId="1" xfId="2" applyFont="1" applyBorder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  <xf numFmtId="44" fontId="0" fillId="0" borderId="0" xfId="2" applyFont="1" applyAlignment="1">
      <alignment horizontal="center"/>
    </xf>
    <xf numFmtId="0" fontId="2" fillId="0" borderId="0" xfId="0" applyFont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CD6FF-D395-4E5D-8BBF-894CC867CF0B}">
  <we:reference id="wa200006518" version="1.0.3.0" store="en-US" storeType="OMEX"/>
  <we:alternateReferences>
    <we:reference id="WA200006518" version="1.0.3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0858819E-0033-43BF-8937-05EC82904868}">
      <we:backgroundApp state="0" runtimeId="Anaconda.SharedRuntime.Url"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E2224-2E95-4FCC-A032-AA541E0AE3D4}">
  <dimension ref="B1:S17"/>
  <sheetViews>
    <sheetView zoomScale="120" zoomScaleNormal="120" workbookViewId="0">
      <selection activeCell="S5" sqref="S5"/>
    </sheetView>
  </sheetViews>
  <sheetFormatPr defaultColWidth="9" defaultRowHeight="14.4" x14ac:dyDescent="0.3"/>
  <cols>
    <col min="1" max="1" width="5.109375" style="1" customWidth="1"/>
    <col min="2" max="2" width="24" style="1" bestFit="1" customWidth="1"/>
    <col min="3" max="3" width="17.109375" style="1" bestFit="1" customWidth="1"/>
    <col min="4" max="4" width="19.109375" style="1" bestFit="1" customWidth="1"/>
    <col min="5" max="5" width="16.77734375" style="1" bestFit="1" customWidth="1"/>
    <col min="6" max="6" width="12.88671875" style="1" bestFit="1" customWidth="1"/>
    <col min="7" max="7" width="13.6640625" style="1" bestFit="1" customWidth="1"/>
    <col min="8" max="8" width="13.21875" style="1" bestFit="1" customWidth="1"/>
    <col min="9" max="9" width="18.21875" style="1" bestFit="1" customWidth="1"/>
    <col min="10" max="10" width="33.33203125" style="1" bestFit="1" customWidth="1"/>
    <col min="11" max="11" width="22.6640625" style="1" bestFit="1" customWidth="1"/>
    <col min="12" max="12" width="16" style="1" bestFit="1" customWidth="1"/>
    <col min="13" max="13" width="11.77734375" style="1" bestFit="1" customWidth="1"/>
    <col min="14" max="14" width="17.5546875" style="1" bestFit="1" customWidth="1"/>
    <col min="15" max="15" width="24" style="1" bestFit="1" customWidth="1"/>
    <col min="16" max="16" width="17.6640625" style="1" bestFit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1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4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1</v>
      </c>
      <c r="M4" s="22" t="b">
        <f t="shared" si="1"/>
        <v>1</v>
      </c>
      <c r="N4" s="22">
        <f t="shared" ref="N4:N12" si="8">L4*M4</f>
        <v>1</v>
      </c>
      <c r="O4" s="22" t="b">
        <f t="shared" ref="O4:O12" si="9">L4*M4=1</f>
        <v>1</v>
      </c>
      <c r="P4" s="22" t="b">
        <f t="shared" ref="P4:P12" si="10">AND(L4,M4)</f>
        <v>1</v>
      </c>
      <c r="R4" s="12" t="s">
        <v>23</v>
      </c>
      <c r="S4" s="13">
        <v>100000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0</v>
      </c>
      <c r="N8" s="22">
        <f t="shared" si="8"/>
        <v>0</v>
      </c>
      <c r="O8" s="22" t="b">
        <f t="shared" si="9"/>
        <v>0</v>
      </c>
      <c r="P8" s="22" t="b">
        <f t="shared" si="10"/>
        <v>0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19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E14" si="12">AVERAGE(D3:D12)</f>
        <v>119000</v>
      </c>
      <c r="E14" s="20">
        <f t="shared" si="12"/>
        <v>10400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19">
        <f t="shared" si="13"/>
        <v>10</v>
      </c>
    </row>
    <row r="16" spans="2:19" x14ac:dyDescent="0.3">
      <c r="B16" s="33" t="s">
        <v>31</v>
      </c>
      <c r="C16" s="18">
        <f>COUNTIF($C$3:$C$12,"&lt;=5")</f>
        <v>6</v>
      </c>
      <c r="D16" s="18">
        <f>COUNTIF($D$3:$D$12,"&gt;=90000")</f>
        <v>9</v>
      </c>
      <c r="E16" s="18">
        <f>COUNTIF($E$3:$E$12,"&gt;=12000")</f>
        <v>4</v>
      </c>
    </row>
    <row r="17" spans="2:5" ht="15" thickBot="1" x14ac:dyDescent="0.35">
      <c r="B17" s="12" t="s">
        <v>31</v>
      </c>
      <c r="C17" s="18">
        <f>COUNTIF($C$3:$C$12,"&lt;="&amp;S3)</f>
        <v>4</v>
      </c>
      <c r="D17" s="18">
        <f>COUNTIF($D$3:$D$12,"&gt;="&amp;S4)</f>
        <v>8</v>
      </c>
      <c r="E17" s="18">
        <f>COUNTIF($E$3:$E$12,"&gt;=12000")</f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23364-12D3-4C3A-8A6B-C3645EBFE927}">
  <dimension ref="B1:S17"/>
  <sheetViews>
    <sheetView zoomScale="120" zoomScaleNormal="120" workbookViewId="0">
      <selection activeCell="C13" sqref="C13"/>
    </sheetView>
  </sheetViews>
  <sheetFormatPr defaultColWidth="9" defaultRowHeight="14.4" x14ac:dyDescent="0.3"/>
  <cols>
    <col min="1" max="1" width="5.109375" style="1" customWidth="1"/>
    <col min="2" max="2" width="22.6640625" style="1" bestFit="1" customWidth="1"/>
    <col min="3" max="3" width="10.44140625" style="1" customWidth="1"/>
    <col min="4" max="4" width="12.21875" style="1" customWidth="1"/>
    <col min="5" max="5" width="11.5546875" style="1" customWidth="1"/>
    <col min="6" max="6" width="10.5546875" style="1" hidden="1" customWidth="1"/>
    <col min="7" max="7" width="9" style="1" hidden="1" customWidth="1"/>
    <col min="8" max="9" width="11" style="1" hidden="1" customWidth="1"/>
    <col min="10" max="10" width="17.21875" style="1" hidden="1" customWidth="1"/>
    <col min="11" max="11" width="14.21875" style="1" hidden="1" customWidth="1"/>
    <col min="12" max="12" width="10.109375" style="1" hidden="1" customWidth="1"/>
    <col min="13" max="13" width="9" style="1" hidden="1" customWidth="1"/>
    <col min="14" max="14" width="10.44140625" style="1" hidden="1" customWidth="1"/>
    <col min="15" max="15" width="14.109375" style="1" customWidth="1"/>
    <col min="16" max="16" width="11.88671875" style="1" customWidth="1"/>
    <col min="17" max="17" width="9" style="1"/>
    <col min="18" max="18" width="14" style="1" bestFit="1" customWidth="1"/>
    <col min="19" max="16384" width="9" style="1"/>
  </cols>
  <sheetData>
    <row r="1" spans="2:19" ht="15" thickBot="1" x14ac:dyDescent="0.35">
      <c r="G1" s="28"/>
    </row>
    <row r="2" spans="2:19" s="8" customFormat="1" ht="27.75" customHeight="1" thickBot="1" x14ac:dyDescent="0.35">
      <c r="B2" s="2" t="s">
        <v>10</v>
      </c>
      <c r="C2" s="3" t="s">
        <v>12</v>
      </c>
      <c r="D2" s="3" t="s">
        <v>11</v>
      </c>
      <c r="E2" s="4" t="s">
        <v>13</v>
      </c>
      <c r="F2" s="25" t="s">
        <v>15</v>
      </c>
      <c r="G2" s="27" t="s">
        <v>14</v>
      </c>
      <c r="H2" s="21" t="s">
        <v>16</v>
      </c>
      <c r="I2" s="21" t="s">
        <v>17</v>
      </c>
      <c r="J2" s="21" t="s">
        <v>19</v>
      </c>
      <c r="K2" s="21" t="s">
        <v>18</v>
      </c>
      <c r="L2" s="21" t="s">
        <v>21</v>
      </c>
      <c r="M2" s="21" t="s">
        <v>20</v>
      </c>
      <c r="N2" s="21" t="s">
        <v>25</v>
      </c>
      <c r="O2" s="21" t="s">
        <v>29</v>
      </c>
      <c r="P2" s="21" t="s">
        <v>26</v>
      </c>
      <c r="R2" s="14" t="s">
        <v>24</v>
      </c>
      <c r="S2" s="1"/>
    </row>
    <row r="3" spans="2:19" ht="15" thickBot="1" x14ac:dyDescent="0.35">
      <c r="B3" s="5" t="s">
        <v>0</v>
      </c>
      <c r="C3" s="6">
        <v>5</v>
      </c>
      <c r="D3" s="6">
        <v>120000</v>
      </c>
      <c r="E3" s="7">
        <v>10000</v>
      </c>
      <c r="F3" s="26">
        <f>C3</f>
        <v>5</v>
      </c>
      <c r="G3" s="22">
        <f>D3+E3</f>
        <v>130000</v>
      </c>
      <c r="H3" s="23">
        <f>E3/D3</f>
        <v>8.3333333333333329E-2</v>
      </c>
      <c r="I3" s="24">
        <f>D3+D3*H3</f>
        <v>130000</v>
      </c>
      <c r="J3" s="22" t="b">
        <f>G3=I3</f>
        <v>1</v>
      </c>
      <c r="K3" s="22" t="b">
        <f>E3&gt;D3</f>
        <v>0</v>
      </c>
      <c r="L3" s="22" t="b">
        <f t="shared" ref="L3:L12" si="0">$S$3&lt;=C3</f>
        <v>1</v>
      </c>
      <c r="M3" s="22" t="b">
        <f t="shared" ref="M3:M12" si="1">$G3&gt;=$S$4</f>
        <v>1</v>
      </c>
      <c r="N3" s="22">
        <f>L3*M3</f>
        <v>1</v>
      </c>
      <c r="O3" s="22" t="b">
        <f>L3*M3=1</f>
        <v>1</v>
      </c>
      <c r="P3" s="22" t="b">
        <f>AND(L3,M3)</f>
        <v>1</v>
      </c>
      <c r="R3" s="10" t="s">
        <v>22</v>
      </c>
      <c r="S3" s="11">
        <v>5</v>
      </c>
    </row>
    <row r="4" spans="2:19" ht="15" thickBot="1" x14ac:dyDescent="0.35">
      <c r="B4" s="5" t="s">
        <v>1</v>
      </c>
      <c r="C4" s="6">
        <v>4</v>
      </c>
      <c r="D4" s="6">
        <v>135000</v>
      </c>
      <c r="E4" s="7">
        <v>12000</v>
      </c>
      <c r="F4" s="26">
        <f t="shared" ref="F4:F12" si="2">C4</f>
        <v>4</v>
      </c>
      <c r="G4" s="22">
        <f t="shared" ref="G4:G12" si="3">D4+E4</f>
        <v>147000</v>
      </c>
      <c r="H4" s="23">
        <f t="shared" ref="H4:H12" si="4">E4/D4</f>
        <v>8.8888888888888892E-2</v>
      </c>
      <c r="I4" s="24">
        <f t="shared" ref="I4:I12" si="5">D4+D4*H4</f>
        <v>147000</v>
      </c>
      <c r="J4" s="22" t="b">
        <f t="shared" ref="J4:J12" si="6">G4=I4</f>
        <v>1</v>
      </c>
      <c r="K4" s="22" t="b">
        <f t="shared" ref="K4:K12" si="7">E4&gt;D4</f>
        <v>0</v>
      </c>
      <c r="L4" s="22" t="b">
        <f t="shared" si="0"/>
        <v>0</v>
      </c>
      <c r="M4" s="22" t="b">
        <f t="shared" si="1"/>
        <v>1</v>
      </c>
      <c r="N4" s="22">
        <f t="shared" ref="N4:N12" si="8">L4*M4</f>
        <v>0</v>
      </c>
      <c r="O4" s="22" t="b">
        <f t="shared" ref="O4:O12" si="9">L4*M4=1</f>
        <v>0</v>
      </c>
      <c r="P4" s="22" t="b">
        <f t="shared" ref="P4:P12" si="10">AND(L4,M4)</f>
        <v>0</v>
      </c>
      <c r="R4" s="12" t="s">
        <v>23</v>
      </c>
      <c r="S4" s="13">
        <v>90000</v>
      </c>
    </row>
    <row r="5" spans="2:19" ht="15" thickBot="1" x14ac:dyDescent="0.35">
      <c r="B5" s="5" t="s">
        <v>2</v>
      </c>
      <c r="C5" s="6">
        <v>2</v>
      </c>
      <c r="D5" s="6">
        <v>75000</v>
      </c>
      <c r="E5" s="7">
        <v>5000</v>
      </c>
      <c r="F5" s="26">
        <f t="shared" si="2"/>
        <v>2</v>
      </c>
      <c r="G5" s="22">
        <f t="shared" si="3"/>
        <v>80000</v>
      </c>
      <c r="H5" s="23">
        <f t="shared" si="4"/>
        <v>6.6666666666666666E-2</v>
      </c>
      <c r="I5" s="24">
        <f t="shared" si="5"/>
        <v>80000</v>
      </c>
      <c r="J5" s="22" t="b">
        <f t="shared" si="6"/>
        <v>1</v>
      </c>
      <c r="K5" s="22" t="b">
        <f t="shared" si="7"/>
        <v>0</v>
      </c>
      <c r="L5" s="22" t="b">
        <f t="shared" si="0"/>
        <v>0</v>
      </c>
      <c r="M5" s="22" t="b">
        <f t="shared" si="1"/>
        <v>0</v>
      </c>
      <c r="N5" s="22">
        <f t="shared" si="8"/>
        <v>0</v>
      </c>
      <c r="O5" s="22" t="b">
        <f t="shared" si="9"/>
        <v>0</v>
      </c>
      <c r="P5" s="22" t="b">
        <f t="shared" si="10"/>
        <v>0</v>
      </c>
    </row>
    <row r="6" spans="2:19" ht="15" thickBot="1" x14ac:dyDescent="0.35">
      <c r="B6" s="5" t="s">
        <v>3</v>
      </c>
      <c r="C6" s="6">
        <v>6</v>
      </c>
      <c r="D6" s="6">
        <v>110000</v>
      </c>
      <c r="E6" s="7">
        <v>8000</v>
      </c>
      <c r="F6" s="26">
        <f t="shared" si="2"/>
        <v>6</v>
      </c>
      <c r="G6" s="22">
        <f t="shared" si="3"/>
        <v>118000</v>
      </c>
      <c r="H6" s="23">
        <f t="shared" si="4"/>
        <v>7.2727272727272724E-2</v>
      </c>
      <c r="I6" s="24">
        <f t="shared" si="5"/>
        <v>118000</v>
      </c>
      <c r="J6" s="22" t="b">
        <f t="shared" si="6"/>
        <v>1</v>
      </c>
      <c r="K6" s="22" t="b">
        <f t="shared" si="7"/>
        <v>0</v>
      </c>
      <c r="L6" s="22" t="b">
        <f t="shared" si="0"/>
        <v>1</v>
      </c>
      <c r="M6" s="22" t="b">
        <f t="shared" si="1"/>
        <v>1</v>
      </c>
      <c r="N6" s="22">
        <f t="shared" si="8"/>
        <v>1</v>
      </c>
      <c r="O6" s="22" t="b">
        <f t="shared" si="9"/>
        <v>1</v>
      </c>
      <c r="P6" s="22" t="b">
        <f t="shared" si="10"/>
        <v>1</v>
      </c>
    </row>
    <row r="7" spans="2:19" ht="15" thickBot="1" x14ac:dyDescent="0.35">
      <c r="B7" s="5" t="s">
        <v>4</v>
      </c>
      <c r="C7" s="6">
        <v>3</v>
      </c>
      <c r="D7" s="6">
        <v>125000</v>
      </c>
      <c r="E7" s="7">
        <v>11000</v>
      </c>
      <c r="F7" s="26">
        <f t="shared" si="2"/>
        <v>3</v>
      </c>
      <c r="G7" s="22">
        <f t="shared" si="3"/>
        <v>136000</v>
      </c>
      <c r="H7" s="23">
        <f t="shared" si="4"/>
        <v>8.7999999999999995E-2</v>
      </c>
      <c r="I7" s="24">
        <f t="shared" si="5"/>
        <v>136000</v>
      </c>
      <c r="J7" s="22" t="b">
        <f t="shared" si="6"/>
        <v>1</v>
      </c>
      <c r="K7" s="22" t="b">
        <f t="shared" si="7"/>
        <v>0</v>
      </c>
      <c r="L7" s="22" t="b">
        <f t="shared" si="0"/>
        <v>0</v>
      </c>
      <c r="M7" s="22" t="b">
        <f t="shared" si="1"/>
        <v>1</v>
      </c>
      <c r="N7" s="22">
        <f t="shared" si="8"/>
        <v>0</v>
      </c>
      <c r="O7" s="22" t="b">
        <f t="shared" si="9"/>
        <v>0</v>
      </c>
      <c r="P7" s="22" t="b">
        <f t="shared" si="10"/>
        <v>0</v>
      </c>
    </row>
    <row r="8" spans="2:19" ht="15" thickBot="1" x14ac:dyDescent="0.35">
      <c r="B8" s="5" t="s">
        <v>5</v>
      </c>
      <c r="C8" s="6">
        <v>7</v>
      </c>
      <c r="D8" s="6">
        <v>90000</v>
      </c>
      <c r="E8" s="7">
        <v>7000</v>
      </c>
      <c r="F8" s="26">
        <f t="shared" si="2"/>
        <v>7</v>
      </c>
      <c r="G8" s="22">
        <f t="shared" si="3"/>
        <v>97000</v>
      </c>
      <c r="H8" s="23">
        <f t="shared" si="4"/>
        <v>7.7777777777777779E-2</v>
      </c>
      <c r="I8" s="24">
        <f t="shared" si="5"/>
        <v>97000</v>
      </c>
      <c r="J8" s="22" t="b">
        <f t="shared" si="6"/>
        <v>1</v>
      </c>
      <c r="K8" s="22" t="b">
        <f t="shared" si="7"/>
        <v>0</v>
      </c>
      <c r="L8" s="22" t="b">
        <f t="shared" si="0"/>
        <v>1</v>
      </c>
      <c r="M8" s="22" t="b">
        <f t="shared" si="1"/>
        <v>1</v>
      </c>
      <c r="N8" s="22">
        <f t="shared" si="8"/>
        <v>1</v>
      </c>
      <c r="O8" s="22" t="b">
        <f t="shared" si="9"/>
        <v>1</v>
      </c>
      <c r="P8" s="22" t="b">
        <f t="shared" si="10"/>
        <v>1</v>
      </c>
    </row>
    <row r="9" spans="2:19" ht="15" thickBot="1" x14ac:dyDescent="0.35">
      <c r="B9" s="5" t="s">
        <v>6</v>
      </c>
      <c r="C9" s="6">
        <v>10</v>
      </c>
      <c r="D9" s="6">
        <v>150000</v>
      </c>
      <c r="E9" s="7">
        <v>15000</v>
      </c>
      <c r="F9" s="26">
        <f t="shared" si="2"/>
        <v>10</v>
      </c>
      <c r="G9" s="22">
        <f t="shared" si="3"/>
        <v>165000</v>
      </c>
      <c r="H9" s="23">
        <f t="shared" si="4"/>
        <v>0.1</v>
      </c>
      <c r="I9" s="24">
        <f t="shared" si="5"/>
        <v>165000</v>
      </c>
      <c r="J9" s="22" t="b">
        <f t="shared" si="6"/>
        <v>1</v>
      </c>
      <c r="K9" s="22" t="b">
        <f t="shared" si="7"/>
        <v>0</v>
      </c>
      <c r="L9" s="22" t="b">
        <f t="shared" si="0"/>
        <v>1</v>
      </c>
      <c r="M9" s="22" t="b">
        <f t="shared" si="1"/>
        <v>1</v>
      </c>
      <c r="N9" s="22">
        <f t="shared" si="8"/>
        <v>1</v>
      </c>
      <c r="O9" s="22" t="b">
        <f t="shared" si="9"/>
        <v>1</v>
      </c>
      <c r="P9" s="22" t="b">
        <f t="shared" si="10"/>
        <v>1</v>
      </c>
    </row>
    <row r="10" spans="2:19" ht="15" thickBot="1" x14ac:dyDescent="0.35">
      <c r="B10" s="5" t="s">
        <v>7</v>
      </c>
      <c r="C10" s="6">
        <v>8</v>
      </c>
      <c r="D10" s="6">
        <v>130000</v>
      </c>
      <c r="E10" s="7">
        <v>13000</v>
      </c>
      <c r="F10" s="26">
        <f t="shared" si="2"/>
        <v>8</v>
      </c>
      <c r="G10" s="22">
        <f t="shared" si="3"/>
        <v>143000</v>
      </c>
      <c r="H10" s="23">
        <f t="shared" si="4"/>
        <v>0.1</v>
      </c>
      <c r="I10" s="24">
        <f t="shared" si="5"/>
        <v>143000</v>
      </c>
      <c r="J10" s="22" t="b">
        <f t="shared" si="6"/>
        <v>1</v>
      </c>
      <c r="K10" s="22" t="b">
        <f t="shared" si="7"/>
        <v>0</v>
      </c>
      <c r="L10" s="22" t="b">
        <f t="shared" si="0"/>
        <v>1</v>
      </c>
      <c r="M10" s="22" t="b">
        <f t="shared" si="1"/>
        <v>1</v>
      </c>
      <c r="N10" s="22">
        <f t="shared" si="8"/>
        <v>1</v>
      </c>
      <c r="O10" s="22" t="b">
        <f t="shared" si="9"/>
        <v>1</v>
      </c>
      <c r="P10" s="22" t="b">
        <f t="shared" si="10"/>
        <v>1</v>
      </c>
    </row>
    <row r="11" spans="2:19" ht="15" thickBot="1" x14ac:dyDescent="0.35">
      <c r="B11" s="5" t="s">
        <v>8</v>
      </c>
      <c r="C11" s="6">
        <v>3</v>
      </c>
      <c r="D11" s="6">
        <v>140000</v>
      </c>
      <c r="E11" s="7">
        <v>14000</v>
      </c>
      <c r="F11" s="26">
        <f t="shared" si="2"/>
        <v>3</v>
      </c>
      <c r="G11" s="22">
        <f t="shared" si="3"/>
        <v>154000</v>
      </c>
      <c r="H11" s="23">
        <f t="shared" si="4"/>
        <v>0.1</v>
      </c>
      <c r="I11" s="24">
        <f t="shared" si="5"/>
        <v>154000</v>
      </c>
      <c r="J11" s="22" t="b">
        <f t="shared" si="6"/>
        <v>1</v>
      </c>
      <c r="K11" s="22" t="b">
        <f t="shared" si="7"/>
        <v>0</v>
      </c>
      <c r="L11" s="22" t="b">
        <f t="shared" si="0"/>
        <v>0</v>
      </c>
      <c r="M11" s="22" t="b">
        <f t="shared" si="1"/>
        <v>1</v>
      </c>
      <c r="N11" s="22">
        <f t="shared" si="8"/>
        <v>0</v>
      </c>
      <c r="O11" s="22" t="b">
        <f t="shared" si="9"/>
        <v>0</v>
      </c>
      <c r="P11" s="22" t="b">
        <f t="shared" si="10"/>
        <v>0</v>
      </c>
    </row>
    <row r="12" spans="2:19" ht="15" thickBot="1" x14ac:dyDescent="0.35">
      <c r="B12" s="15" t="s">
        <v>9</v>
      </c>
      <c r="C12" s="16">
        <v>5</v>
      </c>
      <c r="D12" s="16">
        <v>115000</v>
      </c>
      <c r="E12" s="17">
        <v>9000</v>
      </c>
      <c r="F12" s="26">
        <f t="shared" si="2"/>
        <v>5</v>
      </c>
      <c r="G12" s="22">
        <f t="shared" si="3"/>
        <v>124000</v>
      </c>
      <c r="H12" s="23">
        <f t="shared" si="4"/>
        <v>7.8260869565217397E-2</v>
      </c>
      <c r="I12" s="24">
        <f t="shared" si="5"/>
        <v>124000</v>
      </c>
      <c r="J12" s="22" t="b">
        <f t="shared" si="6"/>
        <v>1</v>
      </c>
      <c r="K12" s="22" t="b">
        <f t="shared" si="7"/>
        <v>0</v>
      </c>
      <c r="L12" s="22" t="b">
        <f t="shared" si="0"/>
        <v>1</v>
      </c>
      <c r="M12" s="22" t="b">
        <f t="shared" si="1"/>
        <v>1</v>
      </c>
      <c r="N12" s="22">
        <f t="shared" si="8"/>
        <v>1</v>
      </c>
      <c r="O12" s="22" t="b">
        <f t="shared" si="9"/>
        <v>1</v>
      </c>
      <c r="P12" s="22" t="b">
        <f t="shared" si="10"/>
        <v>1</v>
      </c>
    </row>
    <row r="13" spans="2:19" ht="15" thickTop="1" x14ac:dyDescent="0.3">
      <c r="B13" s="29" t="s">
        <v>27</v>
      </c>
      <c r="C13" s="19">
        <f>(C3+C4+C5+C6+C7+C8+C9+C10+C11+C12)/10</f>
        <v>5.3</v>
      </c>
      <c r="D13" s="19">
        <f t="shared" ref="D13:E13" si="11">(D3+D4+D5+D6+D7+D8+D9+D10+D11+D12)/10</f>
        <v>119000</v>
      </c>
      <c r="E13" s="30">
        <f t="shared" si="11"/>
        <v>10400</v>
      </c>
    </row>
    <row r="14" spans="2:19" ht="15" thickBot="1" x14ac:dyDescent="0.35">
      <c r="B14" s="31" t="s">
        <v>28</v>
      </c>
      <c r="C14" s="20">
        <f>AVERAGE(C3:C12)</f>
        <v>5.3</v>
      </c>
      <c r="D14" s="20">
        <f t="shared" ref="D14:F14" si="12">AVERAGE(D3:D12)</f>
        <v>119000</v>
      </c>
      <c r="E14" s="32">
        <f t="shared" si="12"/>
        <v>10400</v>
      </c>
      <c r="F14" s="1">
        <f t="shared" si="12"/>
        <v>5.3</v>
      </c>
    </row>
    <row r="15" spans="2:19" ht="15" thickTop="1" x14ac:dyDescent="0.3">
      <c r="B15" s="29" t="s">
        <v>30</v>
      </c>
      <c r="C15" s="19">
        <f>COUNT(C3:C12)</f>
        <v>10</v>
      </c>
      <c r="D15" s="19">
        <f t="shared" ref="D15:E15" si="13">COUNT(D3:D12)</f>
        <v>10</v>
      </c>
      <c r="E15" s="30">
        <f t="shared" si="13"/>
        <v>10</v>
      </c>
    </row>
    <row r="16" spans="2:19" x14ac:dyDescent="0.3">
      <c r="B16" s="33" t="s">
        <v>31</v>
      </c>
      <c r="C16" s="18">
        <f>COUNTIF($C$3:$C$12, "&lt;=5")</f>
        <v>6</v>
      </c>
      <c r="D16" s="18">
        <f>COUNTIF($D$3:$D$12, "&gt;=90000")</f>
        <v>9</v>
      </c>
      <c r="E16" s="34"/>
    </row>
    <row r="17" spans="2:5" ht="15" thickBot="1" x14ac:dyDescent="0.35">
      <c r="B17" s="12" t="s">
        <v>31</v>
      </c>
      <c r="C17" s="35">
        <f>COUNTIF($C$3:$C$12, "&lt;=" &amp; S3)</f>
        <v>6</v>
      </c>
      <c r="D17" s="35">
        <f>COUNTIF($D$3:$D$12, "&gt;=" &amp; S4)</f>
        <v>9</v>
      </c>
      <c r="E17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BE098-CD97-45AE-AE7E-86DF2D94E426}">
  <dimension ref="B2:D9"/>
  <sheetViews>
    <sheetView zoomScale="140" zoomScaleNormal="140" workbookViewId="0">
      <selection activeCell="B4" sqref="B4"/>
    </sheetView>
  </sheetViews>
  <sheetFormatPr defaultRowHeight="14.4" x14ac:dyDescent="0.3"/>
  <cols>
    <col min="1" max="1" width="9.77734375" customWidth="1"/>
    <col min="2" max="2" width="9.5546875" bestFit="1" customWidth="1"/>
    <col min="3" max="3" width="32.88671875" bestFit="1" customWidth="1"/>
    <col min="4" max="4" width="64.21875" bestFit="1" customWidth="1"/>
  </cols>
  <sheetData>
    <row r="2" spans="2:4" x14ac:dyDescent="0.3">
      <c r="B2" s="37" t="s">
        <v>32</v>
      </c>
      <c r="C2" s="37" t="s">
        <v>40</v>
      </c>
      <c r="D2" s="37" t="s">
        <v>33</v>
      </c>
    </row>
    <row r="3" spans="2:4" x14ac:dyDescent="0.3">
      <c r="B3" s="38" t="e">
        <f>1/0</f>
        <v>#DIV/0!</v>
      </c>
      <c r="C3" s="39" t="s">
        <v>41</v>
      </c>
      <c r="D3" s="38" t="s">
        <v>34</v>
      </c>
    </row>
    <row r="4" spans="2:4" x14ac:dyDescent="0.3">
      <c r="B4" s="38" t="e">
        <f>A4 + "text"</f>
        <v>#VALUE!</v>
      </c>
      <c r="C4" s="39" t="s">
        <v>42</v>
      </c>
      <c r="D4" s="38" t="s">
        <v>35</v>
      </c>
    </row>
    <row r="5" spans="2:4" x14ac:dyDescent="0.3">
      <c r="B5" s="9" t="e">
        <f>#REF!</f>
        <v>#REF!</v>
      </c>
      <c r="C5" s="39" t="s">
        <v>43</v>
      </c>
      <c r="D5" s="38" t="s">
        <v>48</v>
      </c>
    </row>
    <row r="6" spans="2:4" x14ac:dyDescent="0.3">
      <c r="B6" s="9" t="e" cm="1">
        <f t="array" aca="1" ref="B6" ca="1">COUNTT(A3:A9)</f>
        <v>#NAME?</v>
      </c>
      <c r="C6" s="39" t="s">
        <v>47</v>
      </c>
      <c r="D6" s="38" t="s">
        <v>36</v>
      </c>
    </row>
    <row r="7" spans="2:4" x14ac:dyDescent="0.3">
      <c r="B7" s="38" t="e">
        <f>VLOOKUP("Value", A1:A10, 2, FALSE)</f>
        <v>#N/A</v>
      </c>
      <c r="C7" s="39" t="s">
        <v>46</v>
      </c>
      <c r="D7" s="38" t="s">
        <v>37</v>
      </c>
    </row>
    <row r="8" spans="2:4" x14ac:dyDescent="0.3">
      <c r="B8" s="38" t="e">
        <f>SQRT(-1)</f>
        <v>#NUM!</v>
      </c>
      <c r="C8" s="39" t="s">
        <v>44</v>
      </c>
      <c r="D8" s="38" t="s">
        <v>38</v>
      </c>
    </row>
    <row r="9" spans="2:4" x14ac:dyDescent="0.3">
      <c r="B9" s="38" t="e">
        <f>SUM(A1:A10 C1:C10)</f>
        <v>#NULL!</v>
      </c>
      <c r="C9" s="39" t="s">
        <v>45</v>
      </c>
      <c r="D9" s="38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ED0AB-EA0A-46AF-B210-38C054CE7D4D}">
  <dimension ref="A1:X21"/>
  <sheetViews>
    <sheetView tabSelected="1" workbookViewId="0">
      <selection activeCell="AB17" sqref="AB17"/>
    </sheetView>
  </sheetViews>
  <sheetFormatPr defaultRowHeight="14.4" x14ac:dyDescent="0.3"/>
  <cols>
    <col min="1" max="1" width="14.44140625" bestFit="1" customWidth="1"/>
    <col min="2" max="2" width="35" hidden="1" customWidth="1"/>
    <col min="3" max="3" width="21.44140625" hidden="1" customWidth="1"/>
    <col min="4" max="4" width="15.88671875" hidden="1" customWidth="1"/>
    <col min="5" max="5" width="17.6640625" hidden="1" customWidth="1"/>
    <col min="6" max="6" width="20.6640625" hidden="1" customWidth="1"/>
    <col min="7" max="7" width="20.44140625" hidden="1" customWidth="1"/>
    <col min="8" max="8" width="16.21875" hidden="1" customWidth="1"/>
    <col min="9" max="9" width="22.88671875" hidden="1" customWidth="1"/>
    <col min="10" max="10" width="20.21875" hidden="1" customWidth="1"/>
    <col min="11" max="11" width="11.77734375" hidden="1" customWidth="1"/>
    <col min="12" max="12" width="11.109375" hidden="1" customWidth="1"/>
    <col min="13" max="13" width="16.44140625" bestFit="1" customWidth="1"/>
    <col min="14" max="14" width="16.77734375" hidden="1" customWidth="1"/>
    <col min="15" max="15" width="23.5546875" hidden="1" customWidth="1"/>
    <col min="16" max="16" width="122.109375" hidden="1" customWidth="1"/>
    <col min="17" max="17" width="11.77734375" bestFit="1" customWidth="1"/>
    <col min="18" max="18" width="15.33203125" bestFit="1" customWidth="1"/>
    <col min="19" max="19" width="10.44140625" bestFit="1" customWidth="1"/>
    <col min="20" max="20" width="8" bestFit="1" customWidth="1"/>
    <col min="21" max="21" width="6.109375" customWidth="1"/>
    <col min="22" max="22" width="9.6640625" bestFit="1" customWidth="1"/>
    <col min="23" max="23" width="9.77734375" bestFit="1" customWidth="1"/>
    <col min="24" max="24" width="13.5546875" customWidth="1"/>
  </cols>
  <sheetData>
    <row r="1" spans="1:24" x14ac:dyDescent="0.3">
      <c r="A1" s="40" t="s">
        <v>49</v>
      </c>
      <c r="B1" s="40" t="s">
        <v>50</v>
      </c>
      <c r="C1" s="40" t="s">
        <v>51</v>
      </c>
      <c r="D1" s="40" t="s">
        <v>52</v>
      </c>
      <c r="E1" s="40" t="s">
        <v>53</v>
      </c>
      <c r="F1" s="40" t="s">
        <v>54</v>
      </c>
      <c r="G1" s="40" t="s">
        <v>55</v>
      </c>
      <c r="H1" s="41" t="s">
        <v>56</v>
      </c>
      <c r="I1" s="40" t="s">
        <v>57</v>
      </c>
      <c r="J1" s="40" t="s">
        <v>58</v>
      </c>
      <c r="K1" s="40" t="s">
        <v>59</v>
      </c>
      <c r="L1" s="40" t="s">
        <v>60</v>
      </c>
      <c r="M1" s="42" t="s">
        <v>61</v>
      </c>
      <c r="N1" s="43" t="s">
        <v>62</v>
      </c>
      <c r="O1" s="40" t="s">
        <v>63</v>
      </c>
      <c r="P1" s="40" t="s">
        <v>64</v>
      </c>
      <c r="Q1" s="48" t="s">
        <v>2</v>
      </c>
      <c r="R1" s="48" t="s">
        <v>65</v>
      </c>
      <c r="S1" s="48" t="s">
        <v>159</v>
      </c>
      <c r="T1" s="48" t="s">
        <v>160</v>
      </c>
      <c r="U1" s="48" t="s">
        <v>161</v>
      </c>
      <c r="V1" s="48" t="s">
        <v>159</v>
      </c>
      <c r="W1" s="48">
        <v>85000</v>
      </c>
      <c r="X1" s="48" t="s">
        <v>162</v>
      </c>
    </row>
    <row r="2" spans="1:24" x14ac:dyDescent="0.3">
      <c r="A2" s="44" t="s">
        <v>65</v>
      </c>
      <c r="B2" s="44" t="s">
        <v>66</v>
      </c>
      <c r="C2" s="44" t="s">
        <v>67</v>
      </c>
      <c r="D2" s="44" t="s">
        <v>68</v>
      </c>
      <c r="E2" s="44" t="s">
        <v>69</v>
      </c>
      <c r="F2" s="44" t="b">
        <v>0</v>
      </c>
      <c r="G2" s="44" t="s">
        <v>70</v>
      </c>
      <c r="H2" s="45">
        <v>44957.833379629628</v>
      </c>
      <c r="I2" s="44" t="b">
        <v>1</v>
      </c>
      <c r="J2" s="44" t="b">
        <v>0</v>
      </c>
      <c r="K2" s="44" t="s">
        <v>71</v>
      </c>
      <c r="L2" s="44" t="s">
        <v>72</v>
      </c>
      <c r="M2" s="46">
        <v>137500</v>
      </c>
      <c r="N2" s="47"/>
      <c r="O2" s="44" t="s">
        <v>73</v>
      </c>
      <c r="P2" s="44" t="s">
        <v>74</v>
      </c>
      <c r="Q2" t="str">
        <f>IF(A2=Q$1,"Desired","Not Desired")</f>
        <v>Not Desired</v>
      </c>
      <c r="R2" t="str">
        <f>IF($A2=R$1,"Desired","Not Desired")</f>
        <v>Desired</v>
      </c>
      <c r="S2" t="str">
        <f>IF(A2=Q$1,"Desired",IF($A2=R$1,"Desired","Not Desired"))</f>
        <v>Desired</v>
      </c>
      <c r="T2" t="b">
        <f>AND(A2=$Q$1,A2=$R$1)</f>
        <v>0</v>
      </c>
      <c r="U2" t="b">
        <f>OR(A2=$Q$1,A2=$R$1)</f>
        <v>1</v>
      </c>
      <c r="V2" t="str">
        <f>IF(OR(A2=$Q$1,A2=$R$1),"Desired","Not Desired")</f>
        <v>Desired</v>
      </c>
      <c r="W2" t="str">
        <f>IF($M2&gt;=$W$1,"Salary&gt;85k","Low Salary")</f>
        <v>Salary&gt;85k</v>
      </c>
      <c r="X2" t="str" cm="1">
        <f t="array" ref="X2">_xlfn.IFS($M2 = "", "No Data",$M2&gt;=$W$1,"Salary&gt;85k",TRUE,"Low Salary")</f>
        <v>Salary&gt;85k</v>
      </c>
    </row>
    <row r="3" spans="1:24" x14ac:dyDescent="0.3">
      <c r="A3" s="44" t="s">
        <v>65</v>
      </c>
      <c r="B3" s="44" t="s">
        <v>75</v>
      </c>
      <c r="C3" s="44" t="s">
        <v>76</v>
      </c>
      <c r="D3" s="44" t="s">
        <v>77</v>
      </c>
      <c r="E3" s="44" t="s">
        <v>78</v>
      </c>
      <c r="F3" s="44" t="b">
        <v>0</v>
      </c>
      <c r="G3" s="44" t="s">
        <v>79</v>
      </c>
      <c r="H3" s="45">
        <v>44956.41815972222</v>
      </c>
      <c r="I3" s="44" t="b">
        <v>0</v>
      </c>
      <c r="J3" s="44" t="b">
        <v>0</v>
      </c>
      <c r="K3" s="44" t="s">
        <v>71</v>
      </c>
      <c r="L3" s="44" t="s">
        <v>80</v>
      </c>
      <c r="M3" s="46"/>
      <c r="N3" s="47">
        <v>30.42499923706055</v>
      </c>
      <c r="O3" s="44" t="s">
        <v>81</v>
      </c>
      <c r="P3" s="44" t="s">
        <v>82</v>
      </c>
      <c r="Q3" t="str">
        <f t="shared" ref="Q3:Q21" si="0">IF(A3=Q$1,"Desired","Not Desired")</f>
        <v>Not Desired</v>
      </c>
      <c r="R3" t="str">
        <f t="shared" ref="R3:R21" si="1">IF($A3=R$1,"Desired","Not Desired")</f>
        <v>Desired</v>
      </c>
      <c r="S3" t="str">
        <f t="shared" ref="S3:S21" si="2">IF(A3=Q$1,"Desired",IF($A3=R$1,"Desired","Not Desired"))</f>
        <v>Desired</v>
      </c>
      <c r="T3" t="b">
        <f t="shared" ref="T3:T21" si="3">AND(A3=$Q$1,A3=$R$1)</f>
        <v>0</v>
      </c>
      <c r="U3" t="b">
        <f t="shared" ref="U3:U21" si="4">OR(A3=$Q$1,A3=$R$1)</f>
        <v>1</v>
      </c>
      <c r="V3" t="str">
        <f t="shared" ref="V3:V21" si="5">IF(OR(A3=$Q$1,A3=$R$1),"Desired","Not Desired")</f>
        <v>Desired</v>
      </c>
      <c r="W3" t="str">
        <f t="shared" ref="W3:W21" si="6">IF($M3&gt;=$W$1,"Salary&gt;85k","Low Salary")</f>
        <v>Low Salary</v>
      </c>
      <c r="X3" t="str" cm="1">
        <f t="array" ref="X3">_xlfn.IFS($M3 = "", "No Data",$M3&gt;=$W$1,"Salary&gt;85k",TRUE,"Low Salary")</f>
        <v>No Data</v>
      </c>
    </row>
    <row r="4" spans="1:24" x14ac:dyDescent="0.3">
      <c r="A4" s="44" t="s">
        <v>65</v>
      </c>
      <c r="B4" s="44" t="s">
        <v>83</v>
      </c>
      <c r="C4" s="44" t="s">
        <v>84</v>
      </c>
      <c r="D4" s="44" t="s">
        <v>85</v>
      </c>
      <c r="E4" s="44" t="s">
        <v>78</v>
      </c>
      <c r="F4" s="44" t="b">
        <v>0</v>
      </c>
      <c r="G4" s="44" t="s">
        <v>86</v>
      </c>
      <c r="H4" s="45">
        <v>44957.814259259263</v>
      </c>
      <c r="I4" s="44" t="b">
        <v>1</v>
      </c>
      <c r="J4" s="44" t="b">
        <v>0</v>
      </c>
      <c r="K4" s="44" t="s">
        <v>71</v>
      </c>
      <c r="L4" s="44" t="s">
        <v>80</v>
      </c>
      <c r="M4" s="46"/>
      <c r="N4" s="47">
        <v>47.5</v>
      </c>
      <c r="O4" s="44" t="s">
        <v>87</v>
      </c>
      <c r="P4" s="44" t="s">
        <v>88</v>
      </c>
      <c r="Q4" t="str">
        <f t="shared" si="0"/>
        <v>Not Desired</v>
      </c>
      <c r="R4" t="str">
        <f t="shared" si="1"/>
        <v>Desired</v>
      </c>
      <c r="S4" t="str">
        <f t="shared" si="2"/>
        <v>Desired</v>
      </c>
      <c r="T4" t="b">
        <f t="shared" si="3"/>
        <v>0</v>
      </c>
      <c r="U4" t="b">
        <f t="shared" si="4"/>
        <v>1</v>
      </c>
      <c r="V4" t="str">
        <f t="shared" si="5"/>
        <v>Desired</v>
      </c>
      <c r="W4" t="str">
        <f t="shared" si="6"/>
        <v>Low Salary</v>
      </c>
      <c r="X4" t="str" cm="1">
        <f t="array" ref="X4">_xlfn.IFS($M4 = "", "No Data",$M4&gt;=$W$1,"Salary&gt;85k",TRUE,"Low Salary")</f>
        <v>No Data</v>
      </c>
    </row>
    <row r="5" spans="1:24" x14ac:dyDescent="0.3">
      <c r="A5" s="44" t="s">
        <v>65</v>
      </c>
      <c r="B5" s="44" t="s">
        <v>89</v>
      </c>
      <c r="C5" s="44" t="s">
        <v>76</v>
      </c>
      <c r="D5" s="44" t="s">
        <v>90</v>
      </c>
      <c r="E5" s="44" t="s">
        <v>78</v>
      </c>
      <c r="F5" s="44" t="b">
        <v>0</v>
      </c>
      <c r="G5" s="44" t="s">
        <v>79</v>
      </c>
      <c r="H5" s="45">
        <v>44928.792037037027</v>
      </c>
      <c r="I5" s="44" t="b">
        <v>0</v>
      </c>
      <c r="J5" s="44" t="b">
        <v>0</v>
      </c>
      <c r="K5" s="44" t="s">
        <v>71</v>
      </c>
      <c r="L5" s="44" t="s">
        <v>72</v>
      </c>
      <c r="M5" s="46">
        <v>87500</v>
      </c>
      <c r="N5" s="47"/>
      <c r="O5" s="44" t="s">
        <v>91</v>
      </c>
      <c r="P5" s="44"/>
      <c r="Q5" t="str">
        <f t="shared" si="0"/>
        <v>Not Desired</v>
      </c>
      <c r="R5" t="str">
        <f t="shared" si="1"/>
        <v>Desired</v>
      </c>
      <c r="S5" t="str">
        <f t="shared" si="2"/>
        <v>Desired</v>
      </c>
      <c r="T5" t="b">
        <f t="shared" si="3"/>
        <v>0</v>
      </c>
      <c r="U5" t="b">
        <f t="shared" si="4"/>
        <v>1</v>
      </c>
      <c r="V5" t="str">
        <f t="shared" si="5"/>
        <v>Desired</v>
      </c>
      <c r="W5" t="str">
        <f t="shared" si="6"/>
        <v>Salary&gt;85k</v>
      </c>
      <c r="X5" t="str" cm="1">
        <f t="array" ref="X5">_xlfn.IFS($M5 = "", "No Data",$M5&gt;=$W$1,"Salary&gt;85k",TRUE,"Low Salary")</f>
        <v>Salary&gt;85k</v>
      </c>
    </row>
    <row r="6" spans="1:24" x14ac:dyDescent="0.3">
      <c r="A6" s="44" t="s">
        <v>65</v>
      </c>
      <c r="B6" s="44" t="s">
        <v>92</v>
      </c>
      <c r="C6" s="44" t="s">
        <v>93</v>
      </c>
      <c r="D6" s="44" t="s">
        <v>94</v>
      </c>
      <c r="E6" s="44" t="s">
        <v>78</v>
      </c>
      <c r="F6" s="44" t="b">
        <v>0</v>
      </c>
      <c r="G6" s="44" t="s">
        <v>95</v>
      </c>
      <c r="H6" s="45">
        <v>44930.956273148149</v>
      </c>
      <c r="I6" s="44" t="b">
        <v>0</v>
      </c>
      <c r="J6" s="44" t="b">
        <v>1</v>
      </c>
      <c r="K6" s="44" t="s">
        <v>95</v>
      </c>
      <c r="L6" s="44" t="s">
        <v>80</v>
      </c>
      <c r="M6" s="46"/>
      <c r="N6" s="47">
        <v>17</v>
      </c>
      <c r="O6" s="44" t="s">
        <v>96</v>
      </c>
      <c r="P6" s="44" t="s">
        <v>97</v>
      </c>
      <c r="Q6" t="str">
        <f t="shared" si="0"/>
        <v>Not Desired</v>
      </c>
      <c r="R6" t="str">
        <f t="shared" si="1"/>
        <v>Desired</v>
      </c>
      <c r="S6" t="str">
        <f t="shared" si="2"/>
        <v>Desired</v>
      </c>
      <c r="T6" t="b">
        <f t="shared" si="3"/>
        <v>0</v>
      </c>
      <c r="U6" t="b">
        <f t="shared" si="4"/>
        <v>1</v>
      </c>
      <c r="V6" t="str">
        <f t="shared" si="5"/>
        <v>Desired</v>
      </c>
      <c r="W6" t="str">
        <f t="shared" si="6"/>
        <v>Low Salary</v>
      </c>
      <c r="X6" t="str" cm="1">
        <f t="array" ref="X6">_xlfn.IFS($M6 = "", "No Data",$M6&gt;=$W$1,"Salary&gt;85k",TRUE,"Low Salary")</f>
        <v>No Data</v>
      </c>
    </row>
    <row r="7" spans="1:24" x14ac:dyDescent="0.3">
      <c r="A7" s="44" t="s">
        <v>65</v>
      </c>
      <c r="B7" s="44" t="s">
        <v>83</v>
      </c>
      <c r="C7" s="44" t="s">
        <v>98</v>
      </c>
      <c r="D7" s="44" t="s">
        <v>85</v>
      </c>
      <c r="E7" s="44" t="s">
        <v>78</v>
      </c>
      <c r="F7" s="44" t="b">
        <v>0</v>
      </c>
      <c r="G7" s="44" t="s">
        <v>86</v>
      </c>
      <c r="H7" s="45">
        <v>44942.890381944453</v>
      </c>
      <c r="I7" s="44" t="b">
        <v>0</v>
      </c>
      <c r="J7" s="44" t="b">
        <v>0</v>
      </c>
      <c r="K7" s="44" t="s">
        <v>71</v>
      </c>
      <c r="L7" s="44" t="s">
        <v>72</v>
      </c>
      <c r="M7" s="46">
        <v>77500</v>
      </c>
      <c r="N7" s="47"/>
      <c r="O7" s="44" t="s">
        <v>99</v>
      </c>
      <c r="P7" s="44" t="s">
        <v>100</v>
      </c>
      <c r="Q7" t="str">
        <f t="shared" si="0"/>
        <v>Not Desired</v>
      </c>
      <c r="R7" t="str">
        <f t="shared" si="1"/>
        <v>Desired</v>
      </c>
      <c r="S7" t="str">
        <f t="shared" si="2"/>
        <v>Desired</v>
      </c>
      <c r="T7" t="b">
        <f t="shared" si="3"/>
        <v>0</v>
      </c>
      <c r="U7" t="b">
        <f t="shared" si="4"/>
        <v>1</v>
      </c>
      <c r="V7" t="str">
        <f t="shared" si="5"/>
        <v>Desired</v>
      </c>
      <c r="W7" t="str">
        <f t="shared" si="6"/>
        <v>Low Salary</v>
      </c>
      <c r="X7" t="str" cm="1">
        <f t="array" ref="X7">_xlfn.IFS($M7 = "", "No Data",$M7&gt;=$W$1,"Salary&gt;85k",TRUE,"Low Salary")</f>
        <v>Low Salary</v>
      </c>
    </row>
    <row r="8" spans="1:24" x14ac:dyDescent="0.3">
      <c r="A8" s="44" t="s">
        <v>65</v>
      </c>
      <c r="B8" s="44" t="s">
        <v>101</v>
      </c>
      <c r="C8" s="44" t="s">
        <v>102</v>
      </c>
      <c r="D8" s="44" t="s">
        <v>90</v>
      </c>
      <c r="E8" s="44" t="s">
        <v>69</v>
      </c>
      <c r="F8" s="44" t="b">
        <v>1</v>
      </c>
      <c r="G8" s="44" t="s">
        <v>103</v>
      </c>
      <c r="H8" s="45">
        <v>44951.168321759258</v>
      </c>
      <c r="I8" s="44" t="b">
        <v>0</v>
      </c>
      <c r="J8" s="44" t="b">
        <v>1</v>
      </c>
      <c r="K8" s="44" t="s">
        <v>71</v>
      </c>
      <c r="L8" s="44" t="s">
        <v>80</v>
      </c>
      <c r="M8" s="46"/>
      <c r="N8" s="47">
        <v>36.5</v>
      </c>
      <c r="O8" s="44" t="s">
        <v>104</v>
      </c>
      <c r="P8" s="44"/>
      <c r="Q8" t="str">
        <f t="shared" si="0"/>
        <v>Not Desired</v>
      </c>
      <c r="R8" t="str">
        <f t="shared" si="1"/>
        <v>Desired</v>
      </c>
      <c r="S8" t="str">
        <f t="shared" si="2"/>
        <v>Desired</v>
      </c>
      <c r="T8" t="b">
        <f t="shared" si="3"/>
        <v>0</v>
      </c>
      <c r="U8" t="b">
        <f t="shared" si="4"/>
        <v>1</v>
      </c>
      <c r="V8" t="str">
        <f t="shared" si="5"/>
        <v>Desired</v>
      </c>
      <c r="W8" t="str">
        <f t="shared" si="6"/>
        <v>Low Salary</v>
      </c>
      <c r="X8" t="str" cm="1">
        <f t="array" ref="X8">_xlfn.IFS($M8 = "", "No Data",$M8&gt;=$W$1,"Salary&gt;85k",TRUE,"Low Salary")</f>
        <v>No Data</v>
      </c>
    </row>
    <row r="9" spans="1:24" x14ac:dyDescent="0.3">
      <c r="A9" s="44" t="s">
        <v>65</v>
      </c>
      <c r="B9" s="44" t="s">
        <v>105</v>
      </c>
      <c r="C9" s="44" t="s">
        <v>106</v>
      </c>
      <c r="D9" s="44" t="s">
        <v>85</v>
      </c>
      <c r="E9" s="44" t="s">
        <v>78</v>
      </c>
      <c r="F9" s="44" t="b">
        <v>0</v>
      </c>
      <c r="G9" s="44" t="s">
        <v>107</v>
      </c>
      <c r="H9" s="45">
        <v>44933.334224537037</v>
      </c>
      <c r="I9" s="44" t="b">
        <v>0</v>
      </c>
      <c r="J9" s="44" t="b">
        <v>1</v>
      </c>
      <c r="K9" s="44" t="s">
        <v>71</v>
      </c>
      <c r="L9" s="44" t="s">
        <v>72</v>
      </c>
      <c r="M9" s="46">
        <v>172500</v>
      </c>
      <c r="N9" s="47"/>
      <c r="O9" s="44" t="s">
        <v>108</v>
      </c>
      <c r="P9" s="44" t="s">
        <v>109</v>
      </c>
      <c r="Q9" t="str">
        <f t="shared" si="0"/>
        <v>Not Desired</v>
      </c>
      <c r="R9" t="str">
        <f t="shared" si="1"/>
        <v>Desired</v>
      </c>
      <c r="S9" t="str">
        <f t="shared" si="2"/>
        <v>Desired</v>
      </c>
      <c r="T9" t="b">
        <f t="shared" si="3"/>
        <v>0</v>
      </c>
      <c r="U9" t="b">
        <f t="shared" si="4"/>
        <v>1</v>
      </c>
      <c r="V9" t="str">
        <f t="shared" si="5"/>
        <v>Desired</v>
      </c>
      <c r="W9" t="str">
        <f t="shared" si="6"/>
        <v>Salary&gt;85k</v>
      </c>
      <c r="X9" t="str" cm="1">
        <f t="array" ref="X9">_xlfn.IFS($M9 = "", "No Data",$M9&gt;=$W$1,"Salary&gt;85k",TRUE,"Low Salary")</f>
        <v>Salary&gt;85k</v>
      </c>
    </row>
    <row r="10" spans="1:24" x14ac:dyDescent="0.3">
      <c r="A10" s="44" t="s">
        <v>65</v>
      </c>
      <c r="B10" s="44" t="s">
        <v>83</v>
      </c>
      <c r="C10" s="44" t="s">
        <v>110</v>
      </c>
      <c r="D10" s="44" t="s">
        <v>85</v>
      </c>
      <c r="E10" s="44" t="s">
        <v>78</v>
      </c>
      <c r="F10" s="44" t="b">
        <v>0</v>
      </c>
      <c r="G10" s="44" t="s">
        <v>111</v>
      </c>
      <c r="H10" s="45">
        <v>44937.054918981477</v>
      </c>
      <c r="I10" s="44" t="b">
        <v>0</v>
      </c>
      <c r="J10" s="44" t="b">
        <v>0</v>
      </c>
      <c r="K10" s="44" t="s">
        <v>71</v>
      </c>
      <c r="L10" s="44" t="s">
        <v>72</v>
      </c>
      <c r="M10" s="46">
        <v>77500</v>
      </c>
      <c r="N10" s="47"/>
      <c r="O10" s="44" t="s">
        <v>112</v>
      </c>
      <c r="P10" s="44" t="s">
        <v>113</v>
      </c>
      <c r="Q10" t="str">
        <f t="shared" si="0"/>
        <v>Not Desired</v>
      </c>
      <c r="R10" t="str">
        <f t="shared" si="1"/>
        <v>Desired</v>
      </c>
      <c r="S10" t="str">
        <f t="shared" si="2"/>
        <v>Desired</v>
      </c>
      <c r="T10" t="b">
        <f t="shared" si="3"/>
        <v>0</v>
      </c>
      <c r="U10" t="b">
        <f t="shared" si="4"/>
        <v>1</v>
      </c>
      <c r="V10" t="str">
        <f t="shared" si="5"/>
        <v>Desired</v>
      </c>
      <c r="W10" t="str">
        <f t="shared" si="6"/>
        <v>Low Salary</v>
      </c>
      <c r="X10" t="str" cm="1">
        <f t="array" ref="X10">_xlfn.IFS($M10 = "", "No Data",$M10&gt;=$W$1,"Salary&gt;85k",TRUE,"Low Salary")</f>
        <v>Low Salary</v>
      </c>
    </row>
    <row r="11" spans="1:24" x14ac:dyDescent="0.3">
      <c r="A11" s="44" t="s">
        <v>65</v>
      </c>
      <c r="B11" s="44" t="s">
        <v>114</v>
      </c>
      <c r="C11" s="44" t="s">
        <v>115</v>
      </c>
      <c r="D11" s="44" t="s">
        <v>116</v>
      </c>
      <c r="E11" s="44" t="s">
        <v>78</v>
      </c>
      <c r="F11" s="44" t="b">
        <v>0</v>
      </c>
      <c r="G11" s="44" t="s">
        <v>111</v>
      </c>
      <c r="H11" s="45">
        <v>44947.337557870371</v>
      </c>
      <c r="I11" s="44" t="b">
        <v>0</v>
      </c>
      <c r="J11" s="44" t="b">
        <v>0</v>
      </c>
      <c r="K11" s="44" t="s">
        <v>71</v>
      </c>
      <c r="L11" s="44" t="s">
        <v>72</v>
      </c>
      <c r="M11" s="46">
        <v>125000</v>
      </c>
      <c r="N11" s="47"/>
      <c r="O11" s="44" t="s">
        <v>117</v>
      </c>
      <c r="P11" s="44" t="s">
        <v>118</v>
      </c>
      <c r="Q11" t="str">
        <f t="shared" si="0"/>
        <v>Not Desired</v>
      </c>
      <c r="R11" t="str">
        <f t="shared" si="1"/>
        <v>Desired</v>
      </c>
      <c r="S11" t="str">
        <f t="shared" si="2"/>
        <v>Desired</v>
      </c>
      <c r="T11" t="b">
        <f t="shared" si="3"/>
        <v>0</v>
      </c>
      <c r="U11" t="b">
        <f t="shared" si="4"/>
        <v>1</v>
      </c>
      <c r="V11" t="str">
        <f t="shared" si="5"/>
        <v>Desired</v>
      </c>
      <c r="W11" t="str">
        <f t="shared" si="6"/>
        <v>Salary&gt;85k</v>
      </c>
      <c r="X11" t="str" cm="1">
        <f t="array" ref="X11">_xlfn.IFS($M11 = "", "No Data",$M11&gt;=$W$1,"Salary&gt;85k",TRUE,"Low Salary")</f>
        <v>Salary&gt;85k</v>
      </c>
    </row>
    <row r="12" spans="1:24" x14ac:dyDescent="0.3">
      <c r="A12" s="44" t="s">
        <v>65</v>
      </c>
      <c r="B12" s="44" t="s">
        <v>119</v>
      </c>
      <c r="C12" s="44" t="s">
        <v>102</v>
      </c>
      <c r="D12" s="44" t="s">
        <v>120</v>
      </c>
      <c r="E12" s="44" t="s">
        <v>78</v>
      </c>
      <c r="F12" s="44" t="b">
        <v>1</v>
      </c>
      <c r="G12" s="44" t="s">
        <v>121</v>
      </c>
      <c r="H12" s="45">
        <v>44953.692175925928</v>
      </c>
      <c r="I12" s="44" t="b">
        <v>0</v>
      </c>
      <c r="J12" s="44" t="b">
        <v>0</v>
      </c>
      <c r="K12" s="44" t="s">
        <v>121</v>
      </c>
      <c r="L12" s="44" t="s">
        <v>72</v>
      </c>
      <c r="M12" s="46">
        <v>110000</v>
      </c>
      <c r="N12" s="47"/>
      <c r="O12" s="44" t="s">
        <v>122</v>
      </c>
      <c r="P12" s="44" t="s">
        <v>123</v>
      </c>
      <c r="Q12" t="str">
        <f t="shared" si="0"/>
        <v>Not Desired</v>
      </c>
      <c r="R12" t="str">
        <f t="shared" si="1"/>
        <v>Desired</v>
      </c>
      <c r="S12" t="str">
        <f t="shared" si="2"/>
        <v>Desired</v>
      </c>
      <c r="T12" t="b">
        <f t="shared" si="3"/>
        <v>0</v>
      </c>
      <c r="U12" t="b">
        <f t="shared" si="4"/>
        <v>1</v>
      </c>
      <c r="V12" t="str">
        <f t="shared" si="5"/>
        <v>Desired</v>
      </c>
      <c r="W12" t="str">
        <f t="shared" si="6"/>
        <v>Salary&gt;85k</v>
      </c>
      <c r="X12" t="str" cm="1">
        <f t="array" ref="X12">_xlfn.IFS($M12 = "", "No Data",$M12&gt;=$W$1,"Salary&gt;85k",TRUE,"Low Salary")</f>
        <v>Salary&gt;85k</v>
      </c>
    </row>
    <row r="13" spans="1:24" x14ac:dyDescent="0.3">
      <c r="A13" s="44" t="s">
        <v>65</v>
      </c>
      <c r="B13" s="44" t="s">
        <v>124</v>
      </c>
      <c r="C13" s="44" t="s">
        <v>115</v>
      </c>
      <c r="D13" s="44" t="s">
        <v>85</v>
      </c>
      <c r="E13" s="44" t="s">
        <v>69</v>
      </c>
      <c r="F13" s="44" t="b">
        <v>0</v>
      </c>
      <c r="G13" s="44" t="s">
        <v>111</v>
      </c>
      <c r="H13" s="45">
        <v>44952.752951388888</v>
      </c>
      <c r="I13" s="44" t="b">
        <v>0</v>
      </c>
      <c r="J13" s="44" t="b">
        <v>0</v>
      </c>
      <c r="K13" s="44" t="s">
        <v>71</v>
      </c>
      <c r="L13" s="44" t="s">
        <v>80</v>
      </c>
      <c r="M13" s="46"/>
      <c r="N13" s="47">
        <v>32.5</v>
      </c>
      <c r="O13" s="44" t="s">
        <v>125</v>
      </c>
      <c r="P13" s="44"/>
      <c r="Q13" t="str">
        <f t="shared" si="0"/>
        <v>Not Desired</v>
      </c>
      <c r="R13" t="str">
        <f t="shared" si="1"/>
        <v>Desired</v>
      </c>
      <c r="S13" t="str">
        <f t="shared" si="2"/>
        <v>Desired</v>
      </c>
      <c r="T13" t="b">
        <f t="shared" si="3"/>
        <v>0</v>
      </c>
      <c r="U13" t="b">
        <f t="shared" si="4"/>
        <v>1</v>
      </c>
      <c r="V13" t="str">
        <f t="shared" si="5"/>
        <v>Desired</v>
      </c>
      <c r="W13" t="str">
        <f t="shared" si="6"/>
        <v>Low Salary</v>
      </c>
      <c r="X13" t="str" cm="1">
        <f t="array" ref="X13">_xlfn.IFS($M13 = "", "No Data",$M13&gt;=$W$1,"Salary&gt;85k",TRUE,"Low Salary")</f>
        <v>No Data</v>
      </c>
    </row>
    <row r="14" spans="1:24" x14ac:dyDescent="0.3">
      <c r="A14" s="44" t="s">
        <v>65</v>
      </c>
      <c r="B14" s="44" t="s">
        <v>126</v>
      </c>
      <c r="C14" s="44" t="s">
        <v>98</v>
      </c>
      <c r="D14" s="44" t="s">
        <v>85</v>
      </c>
      <c r="E14" s="44" t="s">
        <v>78</v>
      </c>
      <c r="F14" s="44" t="b">
        <v>0</v>
      </c>
      <c r="G14" s="44" t="s">
        <v>86</v>
      </c>
      <c r="H14" s="45">
        <v>44930.065636574072</v>
      </c>
      <c r="I14" s="44" t="b">
        <v>0</v>
      </c>
      <c r="J14" s="44" t="b">
        <v>0</v>
      </c>
      <c r="K14" s="44" t="s">
        <v>71</v>
      </c>
      <c r="L14" s="44" t="s">
        <v>72</v>
      </c>
      <c r="M14" s="46">
        <v>97500</v>
      </c>
      <c r="N14" s="47"/>
      <c r="O14" s="44" t="s">
        <v>112</v>
      </c>
      <c r="P14" s="44" t="s">
        <v>127</v>
      </c>
      <c r="Q14" t="str">
        <f t="shared" si="0"/>
        <v>Not Desired</v>
      </c>
      <c r="R14" t="str">
        <f t="shared" si="1"/>
        <v>Desired</v>
      </c>
      <c r="S14" t="str">
        <f t="shared" si="2"/>
        <v>Desired</v>
      </c>
      <c r="T14" t="b">
        <f t="shared" si="3"/>
        <v>0</v>
      </c>
      <c r="U14" t="b">
        <f t="shared" si="4"/>
        <v>1</v>
      </c>
      <c r="V14" t="str">
        <f t="shared" si="5"/>
        <v>Desired</v>
      </c>
      <c r="W14" t="str">
        <f t="shared" si="6"/>
        <v>Salary&gt;85k</v>
      </c>
      <c r="X14" t="str" cm="1">
        <f t="array" ref="X14">_xlfn.IFS($M14 = "", "No Data",$M14&gt;=$W$1,"Salary&gt;85k",TRUE,"Low Salary")</f>
        <v>Salary&gt;85k</v>
      </c>
    </row>
    <row r="15" spans="1:24" x14ac:dyDescent="0.3">
      <c r="A15" s="44" t="s">
        <v>65</v>
      </c>
      <c r="B15" s="44" t="s">
        <v>128</v>
      </c>
      <c r="C15" s="44" t="s">
        <v>129</v>
      </c>
      <c r="D15" s="44" t="s">
        <v>130</v>
      </c>
      <c r="E15" s="44" t="s">
        <v>78</v>
      </c>
      <c r="F15" s="44" t="b">
        <v>0</v>
      </c>
      <c r="G15" s="44" t="s">
        <v>131</v>
      </c>
      <c r="H15" s="45">
        <v>44951.586157407408</v>
      </c>
      <c r="I15" s="44" t="b">
        <v>0</v>
      </c>
      <c r="J15" s="44" t="b">
        <v>0</v>
      </c>
      <c r="K15" s="44" t="s">
        <v>131</v>
      </c>
      <c r="L15" s="44" t="s">
        <v>72</v>
      </c>
      <c r="M15" s="46">
        <v>63000</v>
      </c>
      <c r="N15" s="47"/>
      <c r="O15" s="44" t="s">
        <v>132</v>
      </c>
      <c r="P15" s="44" t="s">
        <v>133</v>
      </c>
      <c r="Q15" t="str">
        <f t="shared" si="0"/>
        <v>Not Desired</v>
      </c>
      <c r="R15" t="str">
        <f t="shared" si="1"/>
        <v>Desired</v>
      </c>
      <c r="S15" t="str">
        <f t="shared" si="2"/>
        <v>Desired</v>
      </c>
      <c r="T15" t="b">
        <f t="shared" si="3"/>
        <v>0</v>
      </c>
      <c r="U15" t="b">
        <f t="shared" si="4"/>
        <v>1</v>
      </c>
      <c r="V15" t="str">
        <f t="shared" si="5"/>
        <v>Desired</v>
      </c>
      <c r="W15" t="str">
        <f t="shared" si="6"/>
        <v>Low Salary</v>
      </c>
      <c r="X15" t="str" cm="1">
        <f t="array" ref="X15">_xlfn.IFS($M15 = "", "No Data",$M15&gt;=$W$1,"Salary&gt;85k",TRUE,"Low Salary")</f>
        <v>Low Salary</v>
      </c>
    </row>
    <row r="16" spans="1:24" x14ac:dyDescent="0.3">
      <c r="A16" s="44" t="s">
        <v>65</v>
      </c>
      <c r="B16" s="44" t="s">
        <v>134</v>
      </c>
      <c r="C16" s="44" t="s">
        <v>135</v>
      </c>
      <c r="D16" s="44" t="s">
        <v>136</v>
      </c>
      <c r="E16" s="44" t="s">
        <v>69</v>
      </c>
      <c r="F16" s="44" t="b">
        <v>0</v>
      </c>
      <c r="G16" s="44" t="s">
        <v>103</v>
      </c>
      <c r="H16" s="45">
        <v>44931.876597222217</v>
      </c>
      <c r="I16" s="44" t="b">
        <v>0</v>
      </c>
      <c r="J16" s="44" t="b">
        <v>0</v>
      </c>
      <c r="K16" s="44" t="s">
        <v>71</v>
      </c>
      <c r="L16" s="44" t="s">
        <v>80</v>
      </c>
      <c r="M16" s="46"/>
      <c r="N16" s="47">
        <v>35</v>
      </c>
      <c r="O16" s="44" t="s">
        <v>137</v>
      </c>
      <c r="P16" s="44" t="s">
        <v>97</v>
      </c>
      <c r="Q16" t="str">
        <f t="shared" si="0"/>
        <v>Not Desired</v>
      </c>
      <c r="R16" t="str">
        <f t="shared" si="1"/>
        <v>Desired</v>
      </c>
      <c r="S16" t="str">
        <f t="shared" si="2"/>
        <v>Desired</v>
      </c>
      <c r="T16" t="b">
        <f t="shared" si="3"/>
        <v>0</v>
      </c>
      <c r="U16" t="b">
        <f t="shared" si="4"/>
        <v>1</v>
      </c>
      <c r="V16" t="str">
        <f t="shared" si="5"/>
        <v>Desired</v>
      </c>
      <c r="W16" t="str">
        <f t="shared" si="6"/>
        <v>Low Salary</v>
      </c>
      <c r="X16" t="str" cm="1">
        <f t="array" ref="X16">_xlfn.IFS($M16 = "", "No Data",$M16&gt;=$W$1,"Salary&gt;85k",TRUE,"Low Salary")</f>
        <v>No Data</v>
      </c>
    </row>
    <row r="17" spans="1:24" x14ac:dyDescent="0.3">
      <c r="A17" s="44" t="s">
        <v>65</v>
      </c>
      <c r="B17" s="44" t="s">
        <v>138</v>
      </c>
      <c r="C17" s="44" t="s">
        <v>115</v>
      </c>
      <c r="D17" s="44" t="s">
        <v>116</v>
      </c>
      <c r="E17" s="44" t="s">
        <v>78</v>
      </c>
      <c r="F17" s="44" t="b">
        <v>0</v>
      </c>
      <c r="G17" s="44" t="s">
        <v>111</v>
      </c>
      <c r="H17" s="45">
        <v>44940.252222222232</v>
      </c>
      <c r="I17" s="44" t="b">
        <v>0</v>
      </c>
      <c r="J17" s="44" t="b">
        <v>0</v>
      </c>
      <c r="K17" s="44" t="s">
        <v>71</v>
      </c>
      <c r="L17" s="44" t="s">
        <v>72</v>
      </c>
      <c r="M17" s="46">
        <v>150000</v>
      </c>
      <c r="N17" s="47"/>
      <c r="O17" s="44" t="s">
        <v>139</v>
      </c>
      <c r="P17" s="44" t="s">
        <v>140</v>
      </c>
      <c r="Q17" t="str">
        <f t="shared" si="0"/>
        <v>Not Desired</v>
      </c>
      <c r="R17" t="str">
        <f t="shared" si="1"/>
        <v>Desired</v>
      </c>
      <c r="S17" t="str">
        <f t="shared" si="2"/>
        <v>Desired</v>
      </c>
      <c r="T17" t="b">
        <f t="shared" si="3"/>
        <v>0</v>
      </c>
      <c r="U17" t="b">
        <f t="shared" si="4"/>
        <v>1</v>
      </c>
      <c r="V17" t="str">
        <f t="shared" si="5"/>
        <v>Desired</v>
      </c>
      <c r="W17" t="str">
        <f t="shared" si="6"/>
        <v>Salary&gt;85k</v>
      </c>
      <c r="X17" t="str" cm="1">
        <f t="array" ref="X17">_xlfn.IFS($M17 = "", "No Data",$M17&gt;=$W$1,"Salary&gt;85k",TRUE,"Low Salary")</f>
        <v>Salary&gt;85k</v>
      </c>
    </row>
    <row r="18" spans="1:24" x14ac:dyDescent="0.3">
      <c r="A18" s="44" t="s">
        <v>65</v>
      </c>
      <c r="B18" s="44" t="s">
        <v>141</v>
      </c>
      <c r="C18" s="44" t="s">
        <v>142</v>
      </c>
      <c r="D18" s="44" t="s">
        <v>143</v>
      </c>
      <c r="E18" s="44" t="s">
        <v>78</v>
      </c>
      <c r="F18" s="44" t="b">
        <v>0</v>
      </c>
      <c r="G18" s="44" t="s">
        <v>144</v>
      </c>
      <c r="H18" s="45">
        <v>44945.854039351849</v>
      </c>
      <c r="I18" s="44" t="b">
        <v>0</v>
      </c>
      <c r="J18" s="44" t="b">
        <v>0</v>
      </c>
      <c r="K18" s="44" t="s">
        <v>144</v>
      </c>
      <c r="L18" s="44" t="s">
        <v>72</v>
      </c>
      <c r="M18" s="46">
        <v>70000</v>
      </c>
      <c r="N18" s="47"/>
      <c r="O18" s="44" t="s">
        <v>145</v>
      </c>
      <c r="P18" s="44" t="s">
        <v>146</v>
      </c>
      <c r="Q18" t="str">
        <f t="shared" si="0"/>
        <v>Not Desired</v>
      </c>
      <c r="R18" t="str">
        <f t="shared" si="1"/>
        <v>Desired</v>
      </c>
      <c r="S18" t="str">
        <f t="shared" si="2"/>
        <v>Desired</v>
      </c>
      <c r="T18" t="b">
        <f t="shared" si="3"/>
        <v>0</v>
      </c>
      <c r="U18" t="b">
        <f t="shared" si="4"/>
        <v>1</v>
      </c>
      <c r="V18" t="str">
        <f t="shared" si="5"/>
        <v>Desired</v>
      </c>
      <c r="W18" t="str">
        <f t="shared" si="6"/>
        <v>Low Salary</v>
      </c>
      <c r="X18" t="str" cm="1">
        <f t="array" ref="X18">_xlfn.IFS($M18 = "", "No Data",$M18&gt;=$W$1,"Salary&gt;85k",TRUE,"Low Salary")</f>
        <v>Low Salary</v>
      </c>
    </row>
    <row r="19" spans="1:24" x14ac:dyDescent="0.3">
      <c r="A19" s="44" t="s">
        <v>65</v>
      </c>
      <c r="B19" s="44" t="s">
        <v>147</v>
      </c>
      <c r="C19" s="44" t="s">
        <v>148</v>
      </c>
      <c r="D19" s="44" t="s">
        <v>149</v>
      </c>
      <c r="E19" s="44" t="s">
        <v>78</v>
      </c>
      <c r="F19" s="44" t="b">
        <v>0</v>
      </c>
      <c r="G19" s="44" t="s">
        <v>150</v>
      </c>
      <c r="H19" s="45">
        <v>44930.988946759258</v>
      </c>
      <c r="I19" s="44" t="b">
        <v>0</v>
      </c>
      <c r="J19" s="44" t="b">
        <v>0</v>
      </c>
      <c r="K19" s="44" t="s">
        <v>150</v>
      </c>
      <c r="L19" s="44" t="s">
        <v>80</v>
      </c>
      <c r="M19" s="46"/>
      <c r="N19" s="47">
        <v>20</v>
      </c>
      <c r="O19" s="44" t="s">
        <v>151</v>
      </c>
      <c r="P19" s="44" t="s">
        <v>118</v>
      </c>
      <c r="Q19" t="str">
        <f t="shared" si="0"/>
        <v>Not Desired</v>
      </c>
      <c r="R19" t="str">
        <f t="shared" si="1"/>
        <v>Desired</v>
      </c>
      <c r="S19" t="str">
        <f t="shared" si="2"/>
        <v>Desired</v>
      </c>
      <c r="T19" t="b">
        <f t="shared" si="3"/>
        <v>0</v>
      </c>
      <c r="U19" t="b">
        <f t="shared" si="4"/>
        <v>1</v>
      </c>
      <c r="V19" t="str">
        <f t="shared" si="5"/>
        <v>Desired</v>
      </c>
      <c r="W19" t="str">
        <f t="shared" si="6"/>
        <v>Low Salary</v>
      </c>
      <c r="X19" t="str" cm="1">
        <f t="array" ref="X19">_xlfn.IFS($M19 = "", "No Data",$M19&gt;=$W$1,"Salary&gt;85k",TRUE,"Low Salary")</f>
        <v>No Data</v>
      </c>
    </row>
    <row r="20" spans="1:24" x14ac:dyDescent="0.3">
      <c r="A20" s="44" t="s">
        <v>65</v>
      </c>
      <c r="B20" s="44" t="s">
        <v>152</v>
      </c>
      <c r="C20" s="44" t="s">
        <v>153</v>
      </c>
      <c r="D20" s="44" t="s">
        <v>136</v>
      </c>
      <c r="E20" s="44" t="s">
        <v>78</v>
      </c>
      <c r="F20" s="44" t="b">
        <v>0</v>
      </c>
      <c r="G20" s="44" t="s">
        <v>107</v>
      </c>
      <c r="H20" s="45">
        <v>44944.126643518517</v>
      </c>
      <c r="I20" s="44" t="b">
        <v>0</v>
      </c>
      <c r="J20" s="44" t="b">
        <v>1</v>
      </c>
      <c r="K20" s="44" t="s">
        <v>71</v>
      </c>
      <c r="L20" s="44" t="s">
        <v>72</v>
      </c>
      <c r="M20" s="46">
        <v>105800</v>
      </c>
      <c r="N20" s="47"/>
      <c r="O20" s="44" t="s">
        <v>154</v>
      </c>
      <c r="P20" s="44" t="s">
        <v>155</v>
      </c>
      <c r="Q20" t="str">
        <f t="shared" si="0"/>
        <v>Not Desired</v>
      </c>
      <c r="R20" t="str">
        <f t="shared" si="1"/>
        <v>Desired</v>
      </c>
      <c r="S20" t="str">
        <f t="shared" si="2"/>
        <v>Desired</v>
      </c>
      <c r="T20" t="b">
        <f t="shared" si="3"/>
        <v>0</v>
      </c>
      <c r="U20" t="b">
        <f t="shared" si="4"/>
        <v>1</v>
      </c>
      <c r="V20" t="str">
        <f t="shared" si="5"/>
        <v>Desired</v>
      </c>
      <c r="W20" t="str">
        <f t="shared" si="6"/>
        <v>Salary&gt;85k</v>
      </c>
      <c r="X20" t="str" cm="1">
        <f t="array" ref="X20">_xlfn.IFS($M20 = "", "No Data",$M20&gt;=$W$1,"Salary&gt;85k",TRUE,"Low Salary")</f>
        <v>Salary&gt;85k</v>
      </c>
    </row>
    <row r="21" spans="1:24" x14ac:dyDescent="0.3">
      <c r="A21" s="44" t="s">
        <v>65</v>
      </c>
      <c r="B21" s="44" t="s">
        <v>156</v>
      </c>
      <c r="C21" s="44" t="s">
        <v>157</v>
      </c>
      <c r="D21" s="44" t="s">
        <v>90</v>
      </c>
      <c r="E21" s="44" t="s">
        <v>78</v>
      </c>
      <c r="F21" s="44" t="b">
        <v>0</v>
      </c>
      <c r="G21" s="44" t="s">
        <v>111</v>
      </c>
      <c r="H21" s="45">
        <v>44932.83556712963</v>
      </c>
      <c r="I21" s="44" t="b">
        <v>0</v>
      </c>
      <c r="J21" s="44" t="b">
        <v>0</v>
      </c>
      <c r="K21" s="44" t="s">
        <v>71</v>
      </c>
      <c r="L21" s="44" t="s">
        <v>80</v>
      </c>
      <c r="M21" s="46"/>
      <c r="N21" s="47">
        <v>20</v>
      </c>
      <c r="O21" s="44" t="s">
        <v>158</v>
      </c>
      <c r="P21" s="44" t="s">
        <v>97</v>
      </c>
      <c r="Q21" t="str">
        <f t="shared" si="0"/>
        <v>Not Desired</v>
      </c>
      <c r="R21" t="str">
        <f t="shared" si="1"/>
        <v>Desired</v>
      </c>
      <c r="S21" t="str">
        <f t="shared" si="2"/>
        <v>Desired</v>
      </c>
      <c r="T21" t="b">
        <f t="shared" si="3"/>
        <v>0</v>
      </c>
      <c r="U21" t="b">
        <f t="shared" si="4"/>
        <v>1</v>
      </c>
      <c r="V21" t="str">
        <f t="shared" si="5"/>
        <v>Desired</v>
      </c>
      <c r="W21" t="str">
        <f t="shared" si="6"/>
        <v>Low Salary</v>
      </c>
      <c r="X21" t="str" cm="1">
        <f t="array" ref="X21">_xlfn.IFS($M21 = "", "No Data",$M21&gt;=$W$1,"Salary&gt;85k",TRUE,"Low Salary")</f>
        <v>No Data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Final</vt:lpstr>
      <vt:lpstr>Errors</vt:lpstr>
      <vt:lpstr>Logical 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Barousse</dc:creator>
  <cp:lastModifiedBy>Ansh Jaiswal</cp:lastModifiedBy>
  <dcterms:created xsi:type="dcterms:W3CDTF">2024-07-16T20:11:02Z</dcterms:created>
  <dcterms:modified xsi:type="dcterms:W3CDTF">2026-01-01T08:39:18Z</dcterms:modified>
</cp:coreProperties>
</file>