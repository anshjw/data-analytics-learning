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F56760EDE809BE0/Documents/"/>
    </mc:Choice>
  </mc:AlternateContent>
  <xr:revisionPtr revIDLastSave="615" documentId="8_{0D4761A0-3498-4F35-88B4-6742C65B12E2}" xr6:coauthVersionLast="47" xr6:coauthVersionMax="47" xr10:uidLastSave="{05C34015-821D-43B4-B151-503369639C8F}"/>
  <bookViews>
    <workbookView xWindow="-108" yWindow="-108" windowWidth="23256" windowHeight="13896" firstSheet="2" activeTab="7" xr2:uid="{8CC555B5-3E06-43B6-9E5B-C0A1D3498DA4}"/>
  </bookViews>
  <sheets>
    <sheet name="Data" sheetId="9" r:id="rId1"/>
    <sheet name="Errors" sheetId="8" r:id="rId2"/>
    <sheet name="Logical Functions" sheetId="10" r:id="rId3"/>
    <sheet name="Math Functions" sheetId="11" r:id="rId4"/>
    <sheet name="Statistical Function " sheetId="12" r:id="rId5"/>
    <sheet name="Array Function" sheetId="13" r:id="rId6"/>
    <sheet name="Median IF" sheetId="14" r:id="rId7"/>
    <sheet name="Date &amp; Time" sheetId="16" r:id="rId8"/>
  </sheets>
  <definedNames>
    <definedName name="_xlnm._FilterDatabase" localSheetId="3" hidden="1">'Math Functions'!$A$1:$C$3103</definedName>
    <definedName name="_xlnm._FilterDatabase" localSheetId="4" hidden="1">'Statistical Function '!$A$1:$A$3103</definedName>
    <definedName name="_xlchart.v2.0" hidden="1">'Math Functions'!$G$3:$J$3</definedName>
    <definedName name="_xlchart.v2.1" hidden="1">'Math Functions'!$G$4:$J$4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3" l="1" a="1"/>
  <c r="G3" i="13" s="1"/>
  <c r="G4" i="13" a="1"/>
  <c r="G4" i="13"/>
  <c r="G5" i="13" a="1"/>
  <c r="G5" i="13" s="1"/>
  <c r="G6" i="13" a="1"/>
  <c r="G6" i="13" s="1"/>
  <c r="G7" i="13" a="1"/>
  <c r="G7" i="13" s="1"/>
  <c r="G8" i="13" a="1"/>
  <c r="G8" i="13" s="1"/>
  <c r="G9" i="13" a="1"/>
  <c r="G9" i="13" s="1"/>
  <c r="G10" i="13" a="1"/>
  <c r="G10" i="13" s="1"/>
  <c r="G11" i="13" a="1"/>
  <c r="G11" i="13" s="1"/>
  <c r="G2" i="13" a="1"/>
  <c r="G2" i="13" s="1"/>
  <c r="I2" i="14" a="1"/>
  <c r="I2" i="14" s="1"/>
  <c r="H2" i="14" a="1"/>
  <c r="H2" i="14" s="1"/>
  <c r="G2" i="14" a="1"/>
  <c r="G2" i="14" s="1"/>
  <c r="F2" i="14" a="1"/>
  <c r="F2" i="14" s="1"/>
  <c r="E2" i="14" a="1"/>
  <c r="E2" i="14" s="1"/>
  <c r="E2" i="13" a="1"/>
  <c r="L3" i="12"/>
  <c r="L4" i="12"/>
  <c r="L5" i="12"/>
  <c r="L6" i="12"/>
  <c r="L7" i="12"/>
  <c r="L8" i="12"/>
  <c r="L9" i="12"/>
  <c r="L10" i="12"/>
  <c r="L11" i="12"/>
  <c r="L2" i="12"/>
  <c r="K3" i="12"/>
  <c r="K4" i="12"/>
  <c r="K5" i="12"/>
  <c r="K6" i="12"/>
  <c r="K7" i="12"/>
  <c r="K8" i="12"/>
  <c r="K9" i="12"/>
  <c r="K10" i="12"/>
  <c r="K11" i="12"/>
  <c r="K2" i="12"/>
  <c r="F10" i="12"/>
  <c r="G6" i="12"/>
  <c r="G7" i="12"/>
  <c r="G8" i="12"/>
  <c r="G9" i="12"/>
  <c r="G5" i="12"/>
  <c r="F8" i="12"/>
  <c r="F9" i="12"/>
  <c r="F5" i="12"/>
  <c r="F6" i="12"/>
  <c r="F7" i="12"/>
  <c r="F4" i="12"/>
  <c r="F3" i="12"/>
  <c r="F2" i="12"/>
  <c r="F1" i="12"/>
  <c r="J11" i="11"/>
  <c r="I11" i="11"/>
  <c r="H11" i="11"/>
  <c r="F11" i="11"/>
  <c r="J10" i="11"/>
  <c r="I10" i="11"/>
  <c r="H10" i="11"/>
  <c r="F10" i="11"/>
  <c r="J6" i="11"/>
  <c r="I6" i="11"/>
  <c r="H6" i="11"/>
  <c r="F6" i="11"/>
  <c r="J5" i="11"/>
  <c r="I5" i="11"/>
  <c r="H5" i="11"/>
  <c r="F5" i="11"/>
  <c r="J4" i="11"/>
  <c r="I4" i="11"/>
  <c r="H4" i="11"/>
  <c r="G4" i="11"/>
  <c r="F4" i="11"/>
  <c r="L3" i="10" a="1"/>
  <c r="L3" i="10" s="1"/>
  <c r="L4" i="10" a="1"/>
  <c r="L4" i="10" s="1"/>
  <c r="L5" i="10" a="1"/>
  <c r="L5" i="10" s="1"/>
  <c r="L6" i="10" a="1"/>
  <c r="L6" i="10" s="1"/>
  <c r="L7" i="10" a="1"/>
  <c r="L7" i="10" s="1"/>
  <c r="L8" i="10" a="1"/>
  <c r="L8" i="10" s="1"/>
  <c r="L9" i="10" a="1"/>
  <c r="L9" i="10" s="1"/>
  <c r="L10" i="10" a="1"/>
  <c r="L10" i="10" s="1"/>
  <c r="L11" i="10" a="1"/>
  <c r="L11" i="10" s="1"/>
  <c r="L12" i="10" a="1"/>
  <c r="L12" i="10" s="1"/>
  <c r="L13" i="10" a="1"/>
  <c r="L13" i="10" s="1"/>
  <c r="L14" i="10" a="1"/>
  <c r="L14" i="10"/>
  <c r="L15" i="10" a="1"/>
  <c r="L15" i="10" s="1"/>
  <c r="L16" i="10" a="1"/>
  <c r="L16" i="10" s="1"/>
  <c r="L17" i="10" a="1"/>
  <c r="L17" i="10" s="1"/>
  <c r="L18" i="10" a="1"/>
  <c r="L18" i="10" s="1"/>
  <c r="L19" i="10" a="1"/>
  <c r="L19" i="10" s="1"/>
  <c r="L20" i="10" a="1"/>
  <c r="L20" i="10" s="1"/>
  <c r="L21" i="10" a="1"/>
  <c r="L21" i="10" s="1"/>
  <c r="L2" i="10" a="1"/>
  <c r="L2" i="10" s="1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" i="10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" i="10"/>
  <c r="F2" i="10"/>
  <c r="E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B3" i="8"/>
  <c r="D17" i="9"/>
  <c r="C17" i="9"/>
  <c r="E17" i="9"/>
  <c r="E16" i="9"/>
  <c r="D16" i="9"/>
  <c r="C16" i="9"/>
  <c r="E2" i="13" l="1"/>
  <c r="F2" i="13" a="1"/>
  <c r="F2" i="13" s="1"/>
  <c r="D15" i="9"/>
  <c r="E15" i="9"/>
  <c r="C15" i="9"/>
  <c r="D14" i="9"/>
  <c r="E14" i="9"/>
  <c r="C14" i="9"/>
  <c r="D13" i="9"/>
  <c r="E13" i="9"/>
  <c r="C13" i="9"/>
  <c r="L12" i="9"/>
  <c r="K12" i="9"/>
  <c r="H12" i="9"/>
  <c r="I12" i="9" s="1"/>
  <c r="G12" i="9"/>
  <c r="F12" i="9"/>
  <c r="L11" i="9"/>
  <c r="K11" i="9"/>
  <c r="H11" i="9"/>
  <c r="I11" i="9" s="1"/>
  <c r="G11" i="9"/>
  <c r="F11" i="9"/>
  <c r="L10" i="9"/>
  <c r="K10" i="9"/>
  <c r="H10" i="9"/>
  <c r="I10" i="9" s="1"/>
  <c r="G10" i="9"/>
  <c r="F10" i="9"/>
  <c r="L9" i="9"/>
  <c r="K9" i="9"/>
  <c r="H9" i="9"/>
  <c r="I9" i="9" s="1"/>
  <c r="G9" i="9"/>
  <c r="F9" i="9"/>
  <c r="L8" i="9"/>
  <c r="K8" i="9"/>
  <c r="H8" i="9"/>
  <c r="I8" i="9" s="1"/>
  <c r="G8" i="9"/>
  <c r="F8" i="9"/>
  <c r="M7" i="9"/>
  <c r="L7" i="9"/>
  <c r="K7" i="9"/>
  <c r="I7" i="9"/>
  <c r="J7" i="9" s="1"/>
  <c r="H7" i="9"/>
  <c r="G7" i="9"/>
  <c r="F7" i="9"/>
  <c r="L6" i="9"/>
  <c r="K6" i="9"/>
  <c r="H6" i="9"/>
  <c r="I6" i="9" s="1"/>
  <c r="G6" i="9"/>
  <c r="F6" i="9"/>
  <c r="L5" i="9"/>
  <c r="K5" i="9"/>
  <c r="H5" i="9"/>
  <c r="I5" i="9" s="1"/>
  <c r="G5" i="9"/>
  <c r="F5" i="9"/>
  <c r="L4" i="9"/>
  <c r="K4" i="9"/>
  <c r="H4" i="9"/>
  <c r="I4" i="9" s="1"/>
  <c r="G4" i="9"/>
  <c r="F4" i="9"/>
  <c r="L3" i="9"/>
  <c r="K3" i="9"/>
  <c r="H3" i="9"/>
  <c r="I3" i="9" s="1"/>
  <c r="G3" i="9"/>
  <c r="F3" i="9"/>
  <c r="B9" i="8"/>
  <c r="B4" i="8"/>
  <c r="B6" i="8" a="1"/>
  <c r="B6" i="8" s="1"/>
  <c r="B7" i="8"/>
  <c r="B5" i="8"/>
  <c r="B8" i="8"/>
  <c r="P7" i="9" l="1"/>
  <c r="M12" i="9"/>
  <c r="P12" i="9" s="1"/>
  <c r="J12" i="9"/>
  <c r="J11" i="9"/>
  <c r="M11" i="9"/>
  <c r="P11" i="9" s="1"/>
  <c r="M10" i="9"/>
  <c r="P10" i="9" s="1"/>
  <c r="J10" i="9"/>
  <c r="J9" i="9"/>
  <c r="M9" i="9"/>
  <c r="P9" i="9" s="1"/>
  <c r="J8" i="9"/>
  <c r="M8" i="9"/>
  <c r="P8" i="9" s="1"/>
  <c r="O7" i="9"/>
  <c r="N7" i="9"/>
  <c r="J6" i="9"/>
  <c r="M6" i="9"/>
  <c r="P6" i="9" s="1"/>
  <c r="J5" i="9"/>
  <c r="M5" i="9"/>
  <c r="P5" i="9" s="1"/>
  <c r="J4" i="9"/>
  <c r="M4" i="9"/>
  <c r="P4" i="9" s="1"/>
  <c r="M3" i="9"/>
  <c r="P3" i="9" s="1"/>
  <c r="J3" i="9"/>
  <c r="N8" i="9" l="1"/>
  <c r="O8" i="9"/>
  <c r="N10" i="9"/>
  <c r="O10" i="9"/>
  <c r="N3" i="9"/>
  <c r="O3" i="9"/>
  <c r="O12" i="9"/>
  <c r="N12" i="9"/>
  <c r="N11" i="9"/>
  <c r="O11" i="9"/>
  <c r="N9" i="9"/>
  <c r="O9" i="9"/>
  <c r="N6" i="9"/>
  <c r="O6" i="9"/>
  <c r="N5" i="9"/>
  <c r="O5" i="9"/>
  <c r="N4" i="9"/>
  <c r="O4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<sst xmlns="http://schemas.openxmlformats.org/spreadsheetml/2006/main" count="18757" uniqueCount="165">
  <si>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</si>
  <si>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</si>
  <si>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</si>
  <si>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</si>
  <si>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</si>
  <si>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</si>
  <si>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</si>
  <si>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</si>
  <si>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</si>
  <si>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</si>
  <si>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</si>
  <si>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</si>
  <si>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</si>
  <si>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</si>
  <si>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</si>
  <si>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</si>
  <si>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</si>
  <si>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</si>
  <si>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</si>
  <si>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</si>
  <si>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</si>
  <si>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</si>
  <si>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</si>
  <si>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</si>
  <si>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Job Goals:</t>
  </si>
  <si>
    <t>Meets Both (1 or 0)</t>
  </si>
  <si>
    <t>Meets Both - AND()</t>
  </si>
  <si>
    <t>Average (by Cell)</t>
  </si>
  <si>
    <t>Average (AVERAGE())</t>
  </si>
  <si>
    <t>Meets Both - Formula Only</t>
  </si>
  <si>
    <t>Total Count</t>
  </si>
  <si>
    <t>Meets Goals Count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</si>
  <si>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</si>
  <si>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</si>
  <si>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</si>
  <si>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</si>
  <si>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</si>
  <si>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</si>
  <si>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</si>
  <si>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</si>
  <si>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</si>
  <si>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</si>
  <si>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</si>
  <si>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</si>
  <si>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</si>
  <si>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</si>
  <si>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</si>
  <si>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</si>
  <si>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</si>
  <si>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job_title_short</t>
  </si>
  <si>
    <t>job_country</t>
  </si>
  <si>
    <t>salary_year_avg</t>
  </si>
  <si>
    <t>Business Analyst</t>
  </si>
  <si>
    <t>United States</t>
  </si>
  <si>
    <t>Sudan</t>
  </si>
  <si>
    <t>Nigeria</t>
  </si>
  <si>
    <t>Netherlands</t>
  </si>
  <si>
    <t>Puerto Rico</t>
  </si>
  <si>
    <t>Indonesia</t>
  </si>
  <si>
    <t>Both Roles</t>
  </si>
  <si>
    <t>AND()</t>
  </si>
  <si>
    <t>OR()</t>
  </si>
  <si>
    <t>Buckets</t>
  </si>
  <si>
    <t>Argentina</t>
  </si>
  <si>
    <t>Singapore</t>
  </si>
  <si>
    <t>Portugal</t>
  </si>
  <si>
    <t>Cloud Engineer</t>
  </si>
  <si>
    <t>South Korea</t>
  </si>
  <si>
    <t>Australia</t>
  </si>
  <si>
    <t>Germany</t>
  </si>
  <si>
    <t>Poland</t>
  </si>
  <si>
    <t>Egypt</t>
  </si>
  <si>
    <t>United Kingdom</t>
  </si>
  <si>
    <t>Mexico</t>
  </si>
  <si>
    <t>Philippines</t>
  </si>
  <si>
    <t>Belgium</t>
  </si>
  <si>
    <t>Sri Lanka</t>
  </si>
  <si>
    <t>IFS</t>
  </si>
  <si>
    <t>Peru</t>
  </si>
  <si>
    <t>Malaysia</t>
  </si>
  <si>
    <t>Israel</t>
  </si>
  <si>
    <t>Canada</t>
  </si>
  <si>
    <t>Guatemala</t>
  </si>
  <si>
    <t>South Africa</t>
  </si>
  <si>
    <t>Romania</t>
  </si>
  <si>
    <t>Italy</t>
  </si>
  <si>
    <t>Hungary</t>
  </si>
  <si>
    <t>Switzerland</t>
  </si>
  <si>
    <t>India</t>
  </si>
  <si>
    <t>New Zealand</t>
  </si>
  <si>
    <t>Colombia</t>
  </si>
  <si>
    <t>Chile</t>
  </si>
  <si>
    <t>Finland</t>
  </si>
  <si>
    <t>Japan</t>
  </si>
  <si>
    <t>Kenya</t>
  </si>
  <si>
    <t>Ireland</t>
  </si>
  <si>
    <t>Croatia</t>
  </si>
  <si>
    <t>France</t>
  </si>
  <si>
    <t>Greece</t>
  </si>
  <si>
    <t>Brazil</t>
  </si>
  <si>
    <t>United Arab Emirates</t>
  </si>
  <si>
    <t>Panama</t>
  </si>
  <si>
    <t>Guam</t>
  </si>
  <si>
    <t>Denmark</t>
  </si>
  <si>
    <t>Sweden</t>
  </si>
  <si>
    <t>Thailand</t>
  </si>
  <si>
    <t>Costa Rica</t>
  </si>
  <si>
    <t>Serbia</t>
  </si>
  <si>
    <t>Estonia</t>
  </si>
  <si>
    <t>U.S. Virgin Islands</t>
  </si>
  <si>
    <t>Spain</t>
  </si>
  <si>
    <t>Czechia</t>
  </si>
  <si>
    <t>Pakistan</t>
  </si>
  <si>
    <t>Norway</t>
  </si>
  <si>
    <t>Taiwan</t>
  </si>
  <si>
    <t>Ukraine</t>
  </si>
  <si>
    <t>Cyprus</t>
  </si>
  <si>
    <t>China</t>
  </si>
  <si>
    <t>Lithuania</t>
  </si>
  <si>
    <t>Côte d'Ivoire</t>
  </si>
  <si>
    <t>Luxembourg</t>
  </si>
  <si>
    <t>Turkey</t>
  </si>
  <si>
    <t>Slovakia</t>
  </si>
  <si>
    <t>Bulgaria</t>
  </si>
  <si>
    <t>Vietnam</t>
  </si>
  <si>
    <t>Senior Data Analyst</t>
  </si>
  <si>
    <t>Senior Data Engineer</t>
  </si>
  <si>
    <t>Morocco</t>
  </si>
  <si>
    <t>Senior Data Scientist</t>
  </si>
  <si>
    <t>Software Engineer</t>
  </si>
  <si>
    <t>Core</t>
  </si>
  <si>
    <t>IF</t>
  </si>
  <si>
    <t>A</t>
  </si>
  <si>
    <t>All Yearly Salary</t>
  </si>
  <si>
    <t>All Jobs</t>
  </si>
  <si>
    <t>UG &amp; Data Analyst</t>
  </si>
  <si>
    <t>Both Roles2</t>
  </si>
  <si>
    <t>85000</t>
  </si>
  <si>
    <t>COUNT</t>
  </si>
  <si>
    <t>SUM</t>
  </si>
  <si>
    <t>AVERAGE</t>
  </si>
  <si>
    <t>MIN</t>
  </si>
  <si>
    <t>MAX</t>
  </si>
  <si>
    <t>Count</t>
  </si>
  <si>
    <t>Average</t>
  </si>
  <si>
    <t>Median</t>
  </si>
  <si>
    <t>Std Dev</t>
  </si>
  <si>
    <t>Min</t>
  </si>
  <si>
    <t>1st Quartile</t>
  </si>
  <si>
    <t>2nd Quartile</t>
  </si>
  <si>
    <t>3rd Quartile</t>
  </si>
  <si>
    <t>Max</t>
  </si>
  <si>
    <t>Mode</t>
  </si>
  <si>
    <t>Average salary</t>
  </si>
  <si>
    <t>Rank</t>
  </si>
  <si>
    <t xml:space="preserve"> </t>
  </si>
  <si>
    <t>job_posted_date</t>
  </si>
  <si>
    <t>Unique Job Titles</t>
  </si>
  <si>
    <t>Sorted unique Job Titles</t>
  </si>
  <si>
    <t>B2:B3103&lt;&gt;""</t>
  </si>
  <si>
    <t>A2:A3103=D1</t>
  </si>
  <si>
    <t>(A2:A3103=D1)*(B2:B3103&lt;&gt;"")</t>
  </si>
  <si>
    <t>IF(…,Salary,FALSE)</t>
  </si>
  <si>
    <t>MEDAIN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</si>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</sst>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_ [$₹-4009]\ * #,##0_ ;_ [$₹-4009]\ * \-#,##0_ ;_ [$₹-4009]\ * &quot;-&quot;??_ ;_ @_ "/>
    <numFmt numFmtId="166" formatCode="&quot;₹&quot;\ #,##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i/>
      <u/>
      <sz val="11"/>
      <name val="Calibri"/>
      <family val="2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8" xfId="0" applyFont="1" applyBorder="1"/>
    <xf numFmtId="0" fontId="5" fillId="0" borderId="0" xfId="0" applyFont="1"/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" xfId="0" applyFont="1" applyBorder="1"/>
    <xf numFmtId="0" fontId="3" fillId="0" borderId="12" xfId="0" applyFont="1" applyBorder="1"/>
    <xf numFmtId="0" fontId="3" fillId="0" borderId="10" xfId="0" applyFont="1" applyBorder="1"/>
    <xf numFmtId="0" fontId="4" fillId="0" borderId="13" xfId="0" applyFont="1" applyBorder="1" applyAlignment="1">
      <alignment horizontal="center" wrapText="1"/>
    </xf>
    <xf numFmtId="0" fontId="3" fillId="0" borderId="13" xfId="0" applyFont="1" applyBorder="1"/>
    <xf numFmtId="164" fontId="3" fillId="0" borderId="13" xfId="1" applyNumberFormat="1" applyFont="1" applyBorder="1" applyAlignment="1"/>
    <xf numFmtId="0" fontId="3" fillId="0" borderId="13" xfId="1" applyNumberFormat="1" applyFont="1" applyBorder="1" applyAlignment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0" borderId="15" xfId="0" applyFont="1" applyBorder="1" applyAlignment="1">
      <alignment horizontal="center" wrapText="1"/>
    </xf>
    <xf numFmtId="0" fontId="3" fillId="0" borderId="16" xfId="0" applyFont="1" applyBorder="1"/>
    <xf numFmtId="0" fontId="4" fillId="0" borderId="17" xfId="0" applyFont="1" applyBorder="1"/>
    <xf numFmtId="0" fontId="4" fillId="0" borderId="9" xfId="0" applyFont="1" applyBorder="1"/>
    <xf numFmtId="0" fontId="4" fillId="0" borderId="5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6" fillId="0" borderId="1" xfId="0" applyFont="1" applyBorder="1" applyAlignment="1">
      <alignment horizontal="center"/>
    </xf>
    <xf numFmtId="165" fontId="6" fillId="0" borderId="1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center"/>
    </xf>
    <xf numFmtId="0" fontId="2" fillId="0" borderId="0" xfId="0" applyFont="1"/>
    <xf numFmtId="165" fontId="2" fillId="0" borderId="0" xfId="0" applyNumberFormat="1" applyFont="1"/>
    <xf numFmtId="0" fontId="2" fillId="2" borderId="0" xfId="0" applyFont="1" applyFill="1"/>
    <xf numFmtId="166" fontId="2" fillId="0" borderId="0" xfId="0" applyNumberFormat="1" applyFont="1"/>
    <xf numFmtId="0" fontId="2" fillId="0" borderId="0" xfId="0" applyFont="1" applyAlignment="1">
      <alignment horizontal="center"/>
    </xf>
    <xf numFmtId="166" fontId="2" fillId="2" borderId="0" xfId="0" applyNumberFormat="1" applyFont="1" applyFill="1"/>
    <xf numFmtId="166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1" applyNumberFormat="1" applyFont="1"/>
    <xf numFmtId="0" fontId="2" fillId="2" borderId="0" xfId="0" applyFont="1" applyFill="1" applyAlignment="1">
      <alignment horizontal="center"/>
    </xf>
    <xf numFmtId="166" fontId="0" fillId="0" borderId="0" xfId="0" applyNumberFormat="1"/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0" fontId="7" fillId="4" borderId="0" xfId="0" applyFont="1" applyFill="1"/>
    <xf numFmtId="14" fontId="6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25"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_xlchart.v2.0</cx:f>
      </cx:strDim>
      <cx:numDim type="val">
        <cx:f dir="row">_xlchart.v2.1</cx:f>
      </cx:numDim>
    </cx:data>
  </cx:chartData>
  <cx:chart>
    <cx:title pos="t" align="ctr" overlay="0">
      <cx:tx>
        <cx:txData>
          <cx:v>COUNT OF JOBS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COUNT OF JOBS</a:t>
          </a:r>
        </a:p>
      </cx:txPr>
    </cx:title>
    <cx:plotArea>
      <cx:plotAreaRegion>
        <cx:series layoutId="funnel" uniqueId="{61461AF8-4584-4C67-9A25-3116A520F358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16</xdr:col>
      <xdr:colOff>594360</xdr:colOff>
      <xdr:row>15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62EBDE8C-B948-C311-71FB-8022ED4D66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00360" y="548640"/>
              <a:ext cx="3642360" cy="2194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B29A9B-ACFC-43D8-A02A-F7F04A3531CC}" name="Table1" displayName="Table1" ref="E1:L21" totalsRowShown="0" headerRowDxfId="24" dataDxfId="23">
  <autoFilter ref="E1:L21" xr:uid="{CBB29A9B-ACFC-43D8-A02A-F7F04A3531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89869E-5106-48A2-B229-4BD8720A2CF3}" name="Data Analyst" dataDxfId="22">
      <calculatedColumnFormula>IF(A2=E$1,"Desired","Not Desired")</calculatedColumnFormula>
    </tableColumn>
    <tableColumn id="2" xr3:uid="{49AE4CCE-05C1-4F1E-A56A-E8CB810A2D0C}" name="Business Analyst" dataDxfId="21">
      <calculatedColumnFormula>IF($A2=F$1,"Desired","Not Desired")</calculatedColumnFormula>
    </tableColumn>
    <tableColumn id="3" xr3:uid="{2B81D473-044F-4A49-9DDC-B9E22C09751D}" name="Both Roles" dataDxfId="20">
      <calculatedColumnFormula>IF(A2=E$1,"Desired",IF($A2=F$1,"Desired","Not Desired"))</calculatedColumnFormula>
    </tableColumn>
    <tableColumn id="4" xr3:uid="{D42AD2C2-ACBB-4DA4-A899-B194D8CE8513}" name="AND()" dataDxfId="19">
      <calculatedColumnFormula>AND(A2=$E$1,A2=$F$1)</calculatedColumnFormula>
    </tableColumn>
    <tableColumn id="5" xr3:uid="{D74C4B9D-7959-44DC-9EBB-65471AB425BA}" name="OR()" dataDxfId="18">
      <calculatedColumnFormula>OR(A2=$E$1,A2=$F$1)</calculatedColumnFormula>
    </tableColumn>
    <tableColumn id="6" xr3:uid="{6539AB14-2538-420B-A2CF-4BB7109DF4AE}" name="Both Roles2" dataDxfId="17">
      <calculatedColumnFormula>IF(OR(A2=$E$1,A2=$F$1),"Desired","Not Desired")</calculatedColumnFormula>
    </tableColumn>
    <tableColumn id="7" xr3:uid="{EBF56CC7-00DF-4B1B-80AF-6BA0722FBB18}" name="85000" dataDxfId="16">
      <calculatedColumnFormula>IF($B2&gt;=$K$1,"Salary&gt;85k","Low Salary")</calculatedColumnFormula>
    </tableColumn>
    <tableColumn id="8" xr3:uid="{ACC88A6F-916A-416B-BDBD-9F3438CD3723}" name="Buckets" dataDxfId="15">
      <calculatedColumnFormula array="1">_xlfn.IFS($B2 = "", "No Data",$B2&gt;=$K$1,"Salary&gt;85k",TRUE,"Low Salary")</calculatedColumn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F15BB2-F17B-43B1-BACD-A0E6C91BF0B3}" name="Table3" displayName="Table3" ref="F2:J11" headerRowCount="0" totalsRowShown="0" headerRowDxfId="14">
  <tableColumns count="5">
    <tableColumn id="1" xr3:uid="{B3771026-6510-4C44-B6BD-45D80708FDCC}" name="Column1" headerRowDxfId="13"/>
    <tableColumn id="2" xr3:uid="{253A44B2-CE2E-4230-AB2E-21118ED17634}" name="Column2" headerRowDxfId="12"/>
    <tableColumn id="3" xr3:uid="{7E1D4D34-885A-444E-A47D-579EE37AD59A}" name="Column3" headerRowDxfId="11"/>
    <tableColumn id="4" xr3:uid="{07C87AB9-3B25-4EC4-8F91-F62A0A6604E6}" name="Column4" headerRowDxfId="10"/>
    <tableColumn id="5" xr3:uid="{4E50183C-A497-40D5-A26A-8504F22B4FC6}" name="Column5" headerRowDxfId="9"/>
  </tableColumns>
  <tableStyleInfo name="TableStyleMedium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03CE9B3-DC1C-480F-A09B-C81BA80FA0D0}" name="Table5" displayName="Table5" ref="E1:H10" headerRowCount="0" totalsRowShown="0" headerRowDxfId="8" dataDxfId="7">
  <tableColumns count="4">
    <tableColumn id="1" xr3:uid="{8F395086-1A9F-4ACA-B44B-B66974A62D93}" name="Column1" dataDxfId="6"/>
    <tableColumn id="2" xr3:uid="{1F85EE51-CCA3-40F2-905A-7C36535CDF17}" name="Column2" dataDxfId="5"/>
    <tableColumn id="3" xr3:uid="{7EA365B6-9CD5-4BB3-8BAF-0EA7B829E963}" name="Column3" dataDxfId="4"/>
    <tableColumn id="4" xr3:uid="{837D7761-84FA-4DF6-BE23-B12D2DE8D8A0}" name="Column4" dataDxfId="3"/>
  </tableColumns>
  <tableStyleInfo name="TableStyleMedium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CD83FC3-A660-481A-816B-9C79A605D6E0}" name="Table6" displayName="Table6" ref="J1:L11" headerRowCount="0" totalsRowShown="0">
  <tableColumns count="3">
    <tableColumn id="1" xr3:uid="{5E30A17D-A584-488B-8981-F3D1B3D96BE8}" name="Column1"/>
    <tableColumn id="2" xr3:uid="{11EE836D-E42E-4CE5-9123-D3C82A8277DD}" name="Column2"/>
    <tableColumn id="3" xr3:uid="{EDD0EBF6-68D6-41C1-AF63-23B518B73676}" name="Column3"/>
  </tableColumns>
  <tableStyleInfo name="TableStyleMedium1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33F821-110B-45F9-90B9-9122BCFAC288}" name="Table2" displayName="Table2" ref="E1" headerRowCount="0" totalsRowShown="0" headerRowDxfId="1" dataDxfId="0">
  <tableColumns count="1">
    <tableColumn id="1" xr3:uid="{9134243F-96F5-4C74-AA95-1429995F8881}" name="Column1" dataDxfId="2"/>
  </tableColumns>
  <tableStyleInfo name="TableStyleMedium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2224-2E95-4FCC-A032-AA541E0AE3D4}">
  <dimension ref="B1:S17"/>
  <sheetViews>
    <sheetView zoomScale="120" zoomScaleNormal="120" workbookViewId="0">
      <selection activeCell="S5" sqref="S5"/>
    </sheetView>
  </sheetViews>
  <sheetFormatPr defaultColWidth="9" defaultRowHeight="14.4" x14ac:dyDescent="0.3"/>
  <cols>
    <col min="1" max="1" width="5.109375" style="1" customWidth="1"/>
    <col min="2" max="2" width="24" style="1" bestFit="1" customWidth="1"/>
    <col min="3" max="3" width="17.109375" style="1" bestFit="1" customWidth="1"/>
    <col min="4" max="4" width="19.109375" style="1" bestFit="1" customWidth="1"/>
    <col min="5" max="5" width="16.77734375" style="1" bestFit="1" customWidth="1"/>
    <col min="6" max="6" width="12.88671875" style="1" bestFit="1" customWidth="1"/>
    <col min="7" max="7" width="13.6640625" style="1" bestFit="1" customWidth="1"/>
    <col min="8" max="8" width="13.21875" style="1" bestFit="1" customWidth="1"/>
    <col min="9" max="9" width="18.21875" style="1" bestFit="1" customWidth="1"/>
    <col min="10" max="10" width="33.33203125" style="1" bestFit="1" customWidth="1"/>
    <col min="11" max="11" width="22.6640625" style="1" bestFit="1" customWidth="1"/>
    <col min="12" max="12" width="16" style="1" bestFit="1" customWidth="1"/>
    <col min="13" max="13" width="11.77734375" style="1" bestFit="1" customWidth="1"/>
    <col min="14" max="14" width="17.5546875" style="1" bestFit="1" customWidth="1"/>
    <col min="15" max="15" width="24" style="1" bestFit="1" customWidth="1"/>
    <col min="16" max="16" width="17.6640625" style="1" bestFit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1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4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1</v>
      </c>
      <c r="M4" s="22" t="b">
        <f t="shared" si="1"/>
        <v>1</v>
      </c>
      <c r="N4" s="22">
        <f t="shared" ref="N4:N12" si="8">L4*M4</f>
        <v>1</v>
      </c>
      <c r="O4" s="22" t="b">
        <f t="shared" ref="O4:O12" si="9">L4*M4=1</f>
        <v>1</v>
      </c>
      <c r="P4" s="22" t="b">
        <f t="shared" ref="P4:P12" si="10">AND(L4,M4)</f>
        <v>1</v>
      </c>
      <c r="R4" s="12" t="s">
        <v>23</v>
      </c>
      <c r="S4" s="13">
        <v>100000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0</v>
      </c>
      <c r="N8" s="22">
        <f t="shared" si="8"/>
        <v>0</v>
      </c>
      <c r="O8" s="22" t="b">
        <f t="shared" si="9"/>
        <v>0</v>
      </c>
      <c r="P8" s="22" t="b">
        <f t="shared" si="10"/>
        <v>0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19">
        <f t="shared" si="11"/>
        <v>10400</v>
      </c>
    </row>
    <row r="14" spans="2:19" ht="15" thickBot="1" x14ac:dyDescent="0.35">
      <c r="B14" s="30" t="s">
        <v>28</v>
      </c>
      <c r="C14" s="20">
        <f>AVERAGE(C3:C12)</f>
        <v>5.3</v>
      </c>
      <c r="D14" s="20">
        <f t="shared" ref="D14:E14" si="12">AVERAGE(D3:D12)</f>
        <v>119000</v>
      </c>
      <c r="E14" s="20">
        <f t="shared" si="12"/>
        <v>10400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19">
        <f t="shared" si="13"/>
        <v>10</v>
      </c>
    </row>
    <row r="16" spans="2:19" x14ac:dyDescent="0.3">
      <c r="B16" s="31" t="s">
        <v>31</v>
      </c>
      <c r="C16" s="18">
        <f>COUNTIF($C$3:$C$12,"&lt;=5")</f>
        <v>6</v>
      </c>
      <c r="D16" s="18">
        <f>COUNTIF($D$3:$D$12,"&gt;=90000")</f>
        <v>9</v>
      </c>
      <c r="E16" s="18">
        <f>COUNTIF($E$3:$E$12,"&gt;=12000")</f>
        <v>4</v>
      </c>
    </row>
    <row r="17" spans="2:5" ht="15" thickBot="1" x14ac:dyDescent="0.35">
      <c r="B17" s="12" t="s">
        <v>31</v>
      </c>
      <c r="C17" s="18">
        <f>COUNTIF($C$3:$C$12,"&lt;="&amp;S3)</f>
        <v>4</v>
      </c>
      <c r="D17" s="18">
        <f>COUNTIF($D$3:$D$12,"&gt;="&amp;S4)</f>
        <v>8</v>
      </c>
      <c r="E17" s="18">
        <f>COUNTIF($E$3:$E$12,"&gt;=12000")</f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D9"/>
  <sheetViews>
    <sheetView topLeftCell="B1" zoomScale="140" zoomScaleNormal="140" workbookViewId="0">
      <selection activeCell="B4" sqref="B4"/>
    </sheetView>
  </sheetViews>
  <sheetFormatPr defaultRowHeight="14.4" x14ac:dyDescent="0.3"/>
  <cols>
    <col min="1" max="1" width="9.77734375" customWidth="1"/>
    <col min="2" max="2" width="9.5546875" bestFit="1" customWidth="1"/>
    <col min="3" max="3" width="32.88671875" bestFit="1" customWidth="1"/>
    <col min="4" max="4" width="64.21875" bestFit="1" customWidth="1"/>
  </cols>
  <sheetData>
    <row r="2" spans="2:4" x14ac:dyDescent="0.3">
      <c r="B2" s="32" t="s">
        <v>32</v>
      </c>
      <c r="C2" s="32" t="s">
        <v>40</v>
      </c>
      <c r="D2" s="32" t="s">
        <v>33</v>
      </c>
    </row>
    <row r="3" spans="2:4" x14ac:dyDescent="0.3">
      <c r="B3" s="33" t="e">
        <f>1/0</f>
        <v>#DIV/0!</v>
      </c>
      <c r="C3" s="34" t="s">
        <v>41</v>
      </c>
      <c r="D3" s="33" t="s">
        <v>34</v>
      </c>
    </row>
    <row r="4" spans="2:4" x14ac:dyDescent="0.3">
      <c r="B4" s="33" t="e">
        <f>A4 + "text"</f>
        <v>#VALUE!</v>
      </c>
      <c r="C4" s="34" t="s">
        <v>42</v>
      </c>
      <c r="D4" s="33" t="s">
        <v>35</v>
      </c>
    </row>
    <row r="5" spans="2:4" x14ac:dyDescent="0.3">
      <c r="B5" s="9" t="e">
        <f>#REF!</f>
        <v>#REF!</v>
      </c>
      <c r="C5" s="34" t="s">
        <v>43</v>
      </c>
      <c r="D5" s="33" t="s">
        <v>48</v>
      </c>
    </row>
    <row r="6" spans="2:4" x14ac:dyDescent="0.3">
      <c r="B6" s="9" t="e" cm="1">
        <f t="array" aca="1" ref="B6" ca="1">COUNTT(A3:A9)</f>
        <v>#NAME?</v>
      </c>
      <c r="C6" s="34" t="s">
        <v>47</v>
      </c>
      <c r="D6" s="33" t="s">
        <v>36</v>
      </c>
    </row>
    <row r="7" spans="2:4" x14ac:dyDescent="0.3">
      <c r="B7" s="33" t="e">
        <f>VLOOKUP("Value", A1:A10, 2, FALSE)</f>
        <v>#N/A</v>
      </c>
      <c r="C7" s="34" t="s">
        <v>46</v>
      </c>
      <c r="D7" s="33" t="s">
        <v>37</v>
      </c>
    </row>
    <row r="8" spans="2:4" x14ac:dyDescent="0.3">
      <c r="B8" s="33" t="e">
        <f>SQRT(-1)</f>
        <v>#NUM!</v>
      </c>
      <c r="C8" s="34" t="s">
        <v>44</v>
      </c>
      <c r="D8" s="33" t="s">
        <v>38</v>
      </c>
    </row>
    <row r="9" spans="2:4" x14ac:dyDescent="0.3">
      <c r="B9" s="33" t="e">
        <f>SUM(A1:A10 C1:C10)</f>
        <v>#NULL!</v>
      </c>
      <c r="C9" s="34" t="s">
        <v>45</v>
      </c>
      <c r="D9" s="33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ED0AB-EA0A-46AF-B210-38C054CE7D4D}">
  <dimension ref="A1:L21"/>
  <sheetViews>
    <sheetView workbookViewId="0">
      <selection activeCell="R11" sqref="R11"/>
    </sheetView>
  </sheetViews>
  <sheetFormatPr defaultRowHeight="14.4" x14ac:dyDescent="0.3"/>
  <cols>
    <col min="1" max="1" width="14.44140625" bestFit="1" customWidth="1"/>
    <col min="2" max="2" width="16.44140625" bestFit="1" customWidth="1"/>
    <col min="3" max="3" width="11.77734375" bestFit="1" customWidth="1"/>
    <col min="4" max="4" width="15.33203125" bestFit="1" customWidth="1"/>
    <col min="5" max="5" width="11.33203125" style="47" bestFit="1" customWidth="1"/>
    <col min="6" max="6" width="14.88671875" style="47" bestFit="1" customWidth="1"/>
    <col min="7" max="7" width="9.6640625" style="47" bestFit="1" customWidth="1"/>
    <col min="8" max="8" width="6" style="47" bestFit="1" customWidth="1"/>
    <col min="9" max="9" width="5.21875" style="47" bestFit="1" customWidth="1"/>
    <col min="10" max="10" width="10.6640625" style="47" bestFit="1" customWidth="1"/>
    <col min="11" max="12" width="9.44140625" style="47" bestFit="1" customWidth="1"/>
  </cols>
  <sheetData>
    <row r="1" spans="1:12" x14ac:dyDescent="0.3">
      <c r="A1" s="35" t="s">
        <v>49</v>
      </c>
      <c r="B1" s="36" t="s">
        <v>51</v>
      </c>
      <c r="E1" s="46" t="s">
        <v>2</v>
      </c>
      <c r="F1" s="46" t="s">
        <v>52</v>
      </c>
      <c r="G1" s="46" t="s">
        <v>59</v>
      </c>
      <c r="H1" s="46" t="s">
        <v>60</v>
      </c>
      <c r="I1" s="46" t="s">
        <v>61</v>
      </c>
      <c r="J1" s="46" t="s">
        <v>136</v>
      </c>
      <c r="K1" s="46" t="s">
        <v>137</v>
      </c>
      <c r="L1" s="46" t="s">
        <v>62</v>
      </c>
    </row>
    <row r="2" spans="1:12" x14ac:dyDescent="0.3">
      <c r="A2" s="37" t="s">
        <v>52</v>
      </c>
      <c r="B2" s="38">
        <v>137500</v>
      </c>
      <c r="E2" s="47" t="str">
        <f t="shared" ref="E2:E21" si="0">IF(A2=E$1,"Desired","Not Desired")</f>
        <v>Not Desired</v>
      </c>
      <c r="F2" s="47" t="str">
        <f t="shared" ref="F2:F21" si="1">IF($A2=F$1,"Desired","Not Desired")</f>
        <v>Desired</v>
      </c>
      <c r="G2" s="47" t="str">
        <f t="shared" ref="G2:G21" si="2">IF(A2=E$1,"Desired",IF($A2=F$1,"Desired","Not Desired"))</f>
        <v>Desired</v>
      </c>
      <c r="H2" s="47" t="b">
        <f t="shared" ref="H2:H21" si="3">AND(A2=$E$1,A2=$F$1)</f>
        <v>0</v>
      </c>
      <c r="I2" s="47" t="b">
        <f t="shared" ref="I2:I21" si="4">OR(A2=$E$1,A2=$F$1)</f>
        <v>1</v>
      </c>
      <c r="J2" s="47" t="str">
        <f t="shared" ref="J2:J21" si="5">IF(OR(A2=$E$1,A2=$F$1),"Desired","Not Desired")</f>
        <v>Desired</v>
      </c>
      <c r="K2" s="47" t="str">
        <f t="shared" ref="K2:K21" si="6">IF($B2&gt;=$K$1,"Salary&gt;85k","Low Salary")</f>
        <v>Low Salary</v>
      </c>
      <c r="L2" s="47" t="str" cm="1">
        <f t="array" ref="L2">_xlfn.IFS($B2 = "", "No Data",$B2&gt;=$K$1,"Salary&gt;85k",TRUE,"Low Salary")</f>
        <v>Low Salary</v>
      </c>
    </row>
    <row r="3" spans="1:12" x14ac:dyDescent="0.3">
      <c r="A3" s="37" t="s">
        <v>52</v>
      </c>
      <c r="B3" s="38"/>
      <c r="E3" s="47" t="str">
        <f t="shared" si="0"/>
        <v>Not Desired</v>
      </c>
      <c r="F3" s="47" t="str">
        <f t="shared" si="1"/>
        <v>Desired</v>
      </c>
      <c r="G3" s="47" t="str">
        <f t="shared" si="2"/>
        <v>Desired</v>
      </c>
      <c r="H3" s="47" t="b">
        <f t="shared" si="3"/>
        <v>0</v>
      </c>
      <c r="I3" s="47" t="b">
        <f t="shared" si="4"/>
        <v>1</v>
      </c>
      <c r="J3" s="47" t="str">
        <f t="shared" si="5"/>
        <v>Desired</v>
      </c>
      <c r="K3" s="47" t="str">
        <f t="shared" si="6"/>
        <v>Low Salary</v>
      </c>
      <c r="L3" s="47" t="str" cm="1">
        <f t="array" ref="L3">_xlfn.IFS($B3 = "", "No Data",$B3&gt;=$K$1,"Salary&gt;85k",TRUE,"Low Salary")</f>
        <v>No Data</v>
      </c>
    </row>
    <row r="4" spans="1:12" x14ac:dyDescent="0.3">
      <c r="A4" s="37" t="s">
        <v>52</v>
      </c>
      <c r="B4" s="38"/>
      <c r="E4" s="47" t="str">
        <f t="shared" si="0"/>
        <v>Not Desired</v>
      </c>
      <c r="F4" s="47" t="str">
        <f t="shared" si="1"/>
        <v>Desired</v>
      </c>
      <c r="G4" s="47" t="str">
        <f t="shared" si="2"/>
        <v>Desired</v>
      </c>
      <c r="H4" s="47" t="b">
        <f t="shared" si="3"/>
        <v>0</v>
      </c>
      <c r="I4" s="47" t="b">
        <f t="shared" si="4"/>
        <v>1</v>
      </c>
      <c r="J4" s="47" t="str">
        <f t="shared" si="5"/>
        <v>Desired</v>
      </c>
      <c r="K4" s="47" t="str">
        <f t="shared" si="6"/>
        <v>Low Salary</v>
      </c>
      <c r="L4" s="47" t="str" cm="1">
        <f t="array" ref="L4">_xlfn.IFS($B4 = "", "No Data",$B4&gt;=$K$1,"Salary&gt;85k",TRUE,"Low Salary")</f>
        <v>No Data</v>
      </c>
    </row>
    <row r="5" spans="1:12" x14ac:dyDescent="0.3">
      <c r="A5" s="37" t="s">
        <v>52</v>
      </c>
      <c r="B5" s="38">
        <v>87500</v>
      </c>
      <c r="E5" s="47" t="str">
        <f t="shared" si="0"/>
        <v>Not Desired</v>
      </c>
      <c r="F5" s="47" t="str">
        <f t="shared" si="1"/>
        <v>Desired</v>
      </c>
      <c r="G5" s="47" t="str">
        <f t="shared" si="2"/>
        <v>Desired</v>
      </c>
      <c r="H5" s="47" t="b">
        <f t="shared" si="3"/>
        <v>0</v>
      </c>
      <c r="I5" s="47" t="b">
        <f t="shared" si="4"/>
        <v>1</v>
      </c>
      <c r="J5" s="47" t="str">
        <f t="shared" si="5"/>
        <v>Desired</v>
      </c>
      <c r="K5" s="47" t="str">
        <f t="shared" si="6"/>
        <v>Low Salary</v>
      </c>
      <c r="L5" s="47" t="str" cm="1">
        <f t="array" ref="L5">_xlfn.IFS($B5 = "", "No Data",$B5&gt;=$K$1,"Salary&gt;85k",TRUE,"Low Salary")</f>
        <v>Low Salary</v>
      </c>
    </row>
    <row r="6" spans="1:12" x14ac:dyDescent="0.3">
      <c r="A6" s="37" t="s">
        <v>52</v>
      </c>
      <c r="B6" s="38"/>
      <c r="E6" s="47" t="str">
        <f t="shared" si="0"/>
        <v>Not Desired</v>
      </c>
      <c r="F6" s="47" t="str">
        <f t="shared" si="1"/>
        <v>Desired</v>
      </c>
      <c r="G6" s="47" t="str">
        <f t="shared" si="2"/>
        <v>Desired</v>
      </c>
      <c r="H6" s="47" t="b">
        <f t="shared" si="3"/>
        <v>0</v>
      </c>
      <c r="I6" s="47" t="b">
        <f t="shared" si="4"/>
        <v>1</v>
      </c>
      <c r="J6" s="47" t="str">
        <f t="shared" si="5"/>
        <v>Desired</v>
      </c>
      <c r="K6" s="47" t="str">
        <f t="shared" si="6"/>
        <v>Low Salary</v>
      </c>
      <c r="L6" s="47" t="str" cm="1">
        <f t="array" ref="L6">_xlfn.IFS($B6 = "", "No Data",$B6&gt;=$K$1,"Salary&gt;85k",TRUE,"Low Salary")</f>
        <v>No Data</v>
      </c>
    </row>
    <row r="7" spans="1:12" x14ac:dyDescent="0.3">
      <c r="A7" s="37" t="s">
        <v>52</v>
      </c>
      <c r="B7" s="38">
        <v>77500</v>
      </c>
      <c r="E7" s="47" t="str">
        <f t="shared" si="0"/>
        <v>Not Desired</v>
      </c>
      <c r="F7" s="47" t="str">
        <f t="shared" si="1"/>
        <v>Desired</v>
      </c>
      <c r="G7" s="47" t="str">
        <f t="shared" si="2"/>
        <v>Desired</v>
      </c>
      <c r="H7" s="47" t="b">
        <f t="shared" si="3"/>
        <v>0</v>
      </c>
      <c r="I7" s="47" t="b">
        <f t="shared" si="4"/>
        <v>1</v>
      </c>
      <c r="J7" s="47" t="str">
        <f t="shared" si="5"/>
        <v>Desired</v>
      </c>
      <c r="K7" s="47" t="str">
        <f t="shared" si="6"/>
        <v>Low Salary</v>
      </c>
      <c r="L7" s="47" t="str" cm="1">
        <f t="array" ref="L7">_xlfn.IFS($B7 = "", "No Data",$B7&gt;=$K$1,"Salary&gt;85k",TRUE,"Low Salary")</f>
        <v>Low Salary</v>
      </c>
    </row>
    <row r="8" spans="1:12" x14ac:dyDescent="0.3">
      <c r="A8" s="37" t="s">
        <v>52</v>
      </c>
      <c r="B8" s="38"/>
      <c r="E8" s="47" t="str">
        <f t="shared" si="0"/>
        <v>Not Desired</v>
      </c>
      <c r="F8" s="47" t="str">
        <f t="shared" si="1"/>
        <v>Desired</v>
      </c>
      <c r="G8" s="47" t="str">
        <f t="shared" si="2"/>
        <v>Desired</v>
      </c>
      <c r="H8" s="47" t="b">
        <f t="shared" si="3"/>
        <v>0</v>
      </c>
      <c r="I8" s="47" t="b">
        <f t="shared" si="4"/>
        <v>1</v>
      </c>
      <c r="J8" s="47" t="str">
        <f t="shared" si="5"/>
        <v>Desired</v>
      </c>
      <c r="K8" s="47" t="str">
        <f t="shared" si="6"/>
        <v>Low Salary</v>
      </c>
      <c r="L8" s="47" t="str" cm="1">
        <f t="array" ref="L8">_xlfn.IFS($B8 = "", "No Data",$B8&gt;=$K$1,"Salary&gt;85k",TRUE,"Low Salary")</f>
        <v>No Data</v>
      </c>
    </row>
    <row r="9" spans="1:12" x14ac:dyDescent="0.3">
      <c r="A9" s="37" t="s">
        <v>52</v>
      </c>
      <c r="B9" s="38">
        <v>172500</v>
      </c>
      <c r="E9" s="47" t="str">
        <f t="shared" si="0"/>
        <v>Not Desired</v>
      </c>
      <c r="F9" s="47" t="str">
        <f t="shared" si="1"/>
        <v>Desired</v>
      </c>
      <c r="G9" s="47" t="str">
        <f t="shared" si="2"/>
        <v>Desired</v>
      </c>
      <c r="H9" s="47" t="b">
        <f t="shared" si="3"/>
        <v>0</v>
      </c>
      <c r="I9" s="47" t="b">
        <f t="shared" si="4"/>
        <v>1</v>
      </c>
      <c r="J9" s="47" t="str">
        <f t="shared" si="5"/>
        <v>Desired</v>
      </c>
      <c r="K9" s="47" t="str">
        <f t="shared" si="6"/>
        <v>Low Salary</v>
      </c>
      <c r="L9" s="47" t="str" cm="1">
        <f t="array" ref="L9">_xlfn.IFS($B9 = "", "No Data",$B9&gt;=$K$1,"Salary&gt;85k",TRUE,"Low Salary")</f>
        <v>Low Salary</v>
      </c>
    </row>
    <row r="10" spans="1:12" x14ac:dyDescent="0.3">
      <c r="A10" s="37" t="s">
        <v>52</v>
      </c>
      <c r="B10" s="38">
        <v>77500</v>
      </c>
      <c r="E10" s="47" t="str">
        <f t="shared" si="0"/>
        <v>Not Desired</v>
      </c>
      <c r="F10" s="47" t="str">
        <f t="shared" si="1"/>
        <v>Desired</v>
      </c>
      <c r="G10" s="47" t="str">
        <f t="shared" si="2"/>
        <v>Desired</v>
      </c>
      <c r="H10" s="47" t="b">
        <f t="shared" si="3"/>
        <v>0</v>
      </c>
      <c r="I10" s="47" t="b">
        <f t="shared" si="4"/>
        <v>1</v>
      </c>
      <c r="J10" s="47" t="str">
        <f t="shared" si="5"/>
        <v>Desired</v>
      </c>
      <c r="K10" s="47" t="str">
        <f t="shared" si="6"/>
        <v>Low Salary</v>
      </c>
      <c r="L10" s="47" t="str" cm="1">
        <f t="array" ref="L10">_xlfn.IFS($B10 = "", "No Data",$B10&gt;=$K$1,"Salary&gt;85k",TRUE,"Low Salary")</f>
        <v>Low Salary</v>
      </c>
    </row>
    <row r="11" spans="1:12" x14ac:dyDescent="0.3">
      <c r="A11" s="37" t="s">
        <v>52</v>
      </c>
      <c r="B11" s="38">
        <v>125000</v>
      </c>
      <c r="E11" s="47" t="str">
        <f t="shared" si="0"/>
        <v>Not Desired</v>
      </c>
      <c r="F11" s="47" t="str">
        <f t="shared" si="1"/>
        <v>Desired</v>
      </c>
      <c r="G11" s="47" t="str">
        <f t="shared" si="2"/>
        <v>Desired</v>
      </c>
      <c r="H11" s="47" t="b">
        <f t="shared" si="3"/>
        <v>0</v>
      </c>
      <c r="I11" s="47" t="b">
        <f t="shared" si="4"/>
        <v>1</v>
      </c>
      <c r="J11" s="47" t="str">
        <f t="shared" si="5"/>
        <v>Desired</v>
      </c>
      <c r="K11" s="47" t="str">
        <f t="shared" si="6"/>
        <v>Low Salary</v>
      </c>
      <c r="L11" s="47" t="str" cm="1">
        <f t="array" ref="L11">_xlfn.IFS($B11 = "", "No Data",$B11&gt;=$K$1,"Salary&gt;85k",TRUE,"Low Salary")</f>
        <v>Low Salary</v>
      </c>
    </row>
    <row r="12" spans="1:12" x14ac:dyDescent="0.3">
      <c r="A12" s="37" t="s">
        <v>52</v>
      </c>
      <c r="B12" s="38">
        <v>110000</v>
      </c>
      <c r="E12" s="47" t="str">
        <f t="shared" si="0"/>
        <v>Not Desired</v>
      </c>
      <c r="F12" s="47" t="str">
        <f t="shared" si="1"/>
        <v>Desired</v>
      </c>
      <c r="G12" s="47" t="str">
        <f t="shared" si="2"/>
        <v>Desired</v>
      </c>
      <c r="H12" s="47" t="b">
        <f t="shared" si="3"/>
        <v>0</v>
      </c>
      <c r="I12" s="47" t="b">
        <f t="shared" si="4"/>
        <v>1</v>
      </c>
      <c r="J12" s="47" t="str">
        <f t="shared" si="5"/>
        <v>Desired</v>
      </c>
      <c r="K12" s="47" t="str">
        <f t="shared" si="6"/>
        <v>Low Salary</v>
      </c>
      <c r="L12" s="47" t="str" cm="1">
        <f t="array" ref="L12">_xlfn.IFS($B12 = "", "No Data",$B12&gt;=$K$1,"Salary&gt;85k",TRUE,"Low Salary")</f>
        <v>Low Salary</v>
      </c>
    </row>
    <row r="13" spans="1:12" x14ac:dyDescent="0.3">
      <c r="A13" s="37" t="s">
        <v>52</v>
      </c>
      <c r="B13" s="38"/>
      <c r="E13" s="47" t="str">
        <f t="shared" si="0"/>
        <v>Not Desired</v>
      </c>
      <c r="F13" s="47" t="str">
        <f t="shared" si="1"/>
        <v>Desired</v>
      </c>
      <c r="G13" s="47" t="str">
        <f t="shared" si="2"/>
        <v>Desired</v>
      </c>
      <c r="H13" s="47" t="b">
        <f t="shared" si="3"/>
        <v>0</v>
      </c>
      <c r="I13" s="47" t="b">
        <f t="shared" si="4"/>
        <v>1</v>
      </c>
      <c r="J13" s="47" t="str">
        <f t="shared" si="5"/>
        <v>Desired</v>
      </c>
      <c r="K13" s="47" t="str">
        <f t="shared" si="6"/>
        <v>Low Salary</v>
      </c>
      <c r="L13" s="47" t="str" cm="1">
        <f t="array" ref="L13">_xlfn.IFS($B13 = "", "No Data",$B13&gt;=$K$1,"Salary&gt;85k",TRUE,"Low Salary")</f>
        <v>No Data</v>
      </c>
    </row>
    <row r="14" spans="1:12" x14ac:dyDescent="0.3">
      <c r="A14" s="37" t="s">
        <v>52</v>
      </c>
      <c r="B14" s="38">
        <v>97500</v>
      </c>
      <c r="E14" s="47" t="str">
        <f t="shared" si="0"/>
        <v>Not Desired</v>
      </c>
      <c r="F14" s="47" t="str">
        <f t="shared" si="1"/>
        <v>Desired</v>
      </c>
      <c r="G14" s="47" t="str">
        <f t="shared" si="2"/>
        <v>Desired</v>
      </c>
      <c r="H14" s="47" t="b">
        <f t="shared" si="3"/>
        <v>0</v>
      </c>
      <c r="I14" s="47" t="b">
        <f t="shared" si="4"/>
        <v>1</v>
      </c>
      <c r="J14" s="47" t="str">
        <f t="shared" si="5"/>
        <v>Desired</v>
      </c>
      <c r="K14" s="47" t="str">
        <f t="shared" si="6"/>
        <v>Low Salary</v>
      </c>
      <c r="L14" s="47" t="str" cm="1">
        <f t="array" ref="L14">_xlfn.IFS($B14 = "", "No Data",$B14&gt;=$K$1,"Salary&gt;85k",TRUE,"Low Salary")</f>
        <v>Low Salary</v>
      </c>
    </row>
    <row r="15" spans="1:12" x14ac:dyDescent="0.3">
      <c r="A15" s="37" t="s">
        <v>52</v>
      </c>
      <c r="B15" s="38">
        <v>63000</v>
      </c>
      <c r="E15" s="47" t="str">
        <f t="shared" si="0"/>
        <v>Not Desired</v>
      </c>
      <c r="F15" s="47" t="str">
        <f t="shared" si="1"/>
        <v>Desired</v>
      </c>
      <c r="G15" s="47" t="str">
        <f t="shared" si="2"/>
        <v>Desired</v>
      </c>
      <c r="H15" s="47" t="b">
        <f t="shared" si="3"/>
        <v>0</v>
      </c>
      <c r="I15" s="47" t="b">
        <f t="shared" si="4"/>
        <v>1</v>
      </c>
      <c r="J15" s="47" t="str">
        <f t="shared" si="5"/>
        <v>Desired</v>
      </c>
      <c r="K15" s="47" t="str">
        <f t="shared" si="6"/>
        <v>Low Salary</v>
      </c>
      <c r="L15" s="47" t="str" cm="1">
        <f t="array" ref="L15">_xlfn.IFS($B15 = "", "No Data",$B15&gt;=$K$1,"Salary&gt;85k",TRUE,"Low Salary")</f>
        <v>Low Salary</v>
      </c>
    </row>
    <row r="16" spans="1:12" x14ac:dyDescent="0.3">
      <c r="A16" s="37" t="s">
        <v>52</v>
      </c>
      <c r="B16" s="38"/>
      <c r="E16" s="47" t="str">
        <f t="shared" si="0"/>
        <v>Not Desired</v>
      </c>
      <c r="F16" s="47" t="str">
        <f t="shared" si="1"/>
        <v>Desired</v>
      </c>
      <c r="G16" s="47" t="str">
        <f t="shared" si="2"/>
        <v>Desired</v>
      </c>
      <c r="H16" s="47" t="b">
        <f t="shared" si="3"/>
        <v>0</v>
      </c>
      <c r="I16" s="47" t="b">
        <f t="shared" si="4"/>
        <v>1</v>
      </c>
      <c r="J16" s="47" t="str">
        <f t="shared" si="5"/>
        <v>Desired</v>
      </c>
      <c r="K16" s="47" t="str">
        <f t="shared" si="6"/>
        <v>Low Salary</v>
      </c>
      <c r="L16" s="47" t="str" cm="1">
        <f t="array" ref="L16">_xlfn.IFS($B16 = "", "No Data",$B16&gt;=$K$1,"Salary&gt;85k",TRUE,"Low Salary")</f>
        <v>No Data</v>
      </c>
    </row>
    <row r="17" spans="1:12" x14ac:dyDescent="0.3">
      <c r="A17" s="37" t="s">
        <v>52</v>
      </c>
      <c r="B17" s="38">
        <v>150000</v>
      </c>
      <c r="E17" s="47" t="str">
        <f t="shared" si="0"/>
        <v>Not Desired</v>
      </c>
      <c r="F17" s="47" t="str">
        <f t="shared" si="1"/>
        <v>Desired</v>
      </c>
      <c r="G17" s="47" t="str">
        <f t="shared" si="2"/>
        <v>Desired</v>
      </c>
      <c r="H17" s="47" t="b">
        <f t="shared" si="3"/>
        <v>0</v>
      </c>
      <c r="I17" s="47" t="b">
        <f t="shared" si="4"/>
        <v>1</v>
      </c>
      <c r="J17" s="47" t="str">
        <f t="shared" si="5"/>
        <v>Desired</v>
      </c>
      <c r="K17" s="47" t="str">
        <f t="shared" si="6"/>
        <v>Low Salary</v>
      </c>
      <c r="L17" s="47" t="str" cm="1">
        <f t="array" ref="L17">_xlfn.IFS($B17 = "", "No Data",$B17&gt;=$K$1,"Salary&gt;85k",TRUE,"Low Salary")</f>
        <v>Low Salary</v>
      </c>
    </row>
    <row r="18" spans="1:12" x14ac:dyDescent="0.3">
      <c r="A18" s="37" t="s">
        <v>52</v>
      </c>
      <c r="B18" s="38">
        <v>70000</v>
      </c>
      <c r="E18" s="47" t="str">
        <f t="shared" si="0"/>
        <v>Not Desired</v>
      </c>
      <c r="F18" s="47" t="str">
        <f t="shared" si="1"/>
        <v>Desired</v>
      </c>
      <c r="G18" s="47" t="str">
        <f t="shared" si="2"/>
        <v>Desired</v>
      </c>
      <c r="H18" s="47" t="b">
        <f t="shared" si="3"/>
        <v>0</v>
      </c>
      <c r="I18" s="47" t="b">
        <f t="shared" si="4"/>
        <v>1</v>
      </c>
      <c r="J18" s="47" t="str">
        <f t="shared" si="5"/>
        <v>Desired</v>
      </c>
      <c r="K18" s="47" t="str">
        <f t="shared" si="6"/>
        <v>Low Salary</v>
      </c>
      <c r="L18" s="47" t="str" cm="1">
        <f t="array" ref="L18">_xlfn.IFS($B18 = "", "No Data",$B18&gt;=$K$1,"Salary&gt;85k",TRUE,"Low Salary")</f>
        <v>Low Salary</v>
      </c>
    </row>
    <row r="19" spans="1:12" x14ac:dyDescent="0.3">
      <c r="A19" s="37" t="s">
        <v>52</v>
      </c>
      <c r="B19" s="38"/>
      <c r="E19" s="47" t="str">
        <f t="shared" si="0"/>
        <v>Not Desired</v>
      </c>
      <c r="F19" s="47" t="str">
        <f t="shared" si="1"/>
        <v>Desired</v>
      </c>
      <c r="G19" s="47" t="str">
        <f t="shared" si="2"/>
        <v>Desired</v>
      </c>
      <c r="H19" s="47" t="b">
        <f t="shared" si="3"/>
        <v>0</v>
      </c>
      <c r="I19" s="47" t="b">
        <f t="shared" si="4"/>
        <v>1</v>
      </c>
      <c r="J19" s="47" t="str">
        <f t="shared" si="5"/>
        <v>Desired</v>
      </c>
      <c r="K19" s="47" t="str">
        <f t="shared" si="6"/>
        <v>Low Salary</v>
      </c>
      <c r="L19" s="47" t="str" cm="1">
        <f t="array" ref="L19">_xlfn.IFS($B19 = "", "No Data",$B19&gt;=$K$1,"Salary&gt;85k",TRUE,"Low Salary")</f>
        <v>No Data</v>
      </c>
    </row>
    <row r="20" spans="1:12" x14ac:dyDescent="0.3">
      <c r="A20" s="37" t="s">
        <v>52</v>
      </c>
      <c r="B20" s="38">
        <v>105800</v>
      </c>
      <c r="E20" s="47" t="str">
        <f t="shared" si="0"/>
        <v>Not Desired</v>
      </c>
      <c r="F20" s="47" t="str">
        <f t="shared" si="1"/>
        <v>Desired</v>
      </c>
      <c r="G20" s="47" t="str">
        <f t="shared" si="2"/>
        <v>Desired</v>
      </c>
      <c r="H20" s="47" t="b">
        <f t="shared" si="3"/>
        <v>0</v>
      </c>
      <c r="I20" s="47" t="b">
        <f t="shared" si="4"/>
        <v>1</v>
      </c>
      <c r="J20" s="47" t="str">
        <f t="shared" si="5"/>
        <v>Desired</v>
      </c>
      <c r="K20" s="47" t="str">
        <f t="shared" si="6"/>
        <v>Low Salary</v>
      </c>
      <c r="L20" s="47" t="str" cm="1">
        <f t="array" ref="L20">_xlfn.IFS($B20 = "", "No Data",$B20&gt;=$K$1,"Salary&gt;85k",TRUE,"Low Salary")</f>
        <v>Low Salary</v>
      </c>
    </row>
    <row r="21" spans="1:12" x14ac:dyDescent="0.3">
      <c r="A21" s="37" t="s">
        <v>52</v>
      </c>
      <c r="B21" s="38"/>
      <c r="E21" s="47" t="str">
        <f t="shared" si="0"/>
        <v>Not Desired</v>
      </c>
      <c r="F21" s="47" t="str">
        <f t="shared" si="1"/>
        <v>Desired</v>
      </c>
      <c r="G21" s="47" t="str">
        <f t="shared" si="2"/>
        <v>Desired</v>
      </c>
      <c r="H21" s="47" t="b">
        <f t="shared" si="3"/>
        <v>0</v>
      </c>
      <c r="I21" s="47" t="b">
        <f t="shared" si="4"/>
        <v>1</v>
      </c>
      <c r="J21" s="47" t="str">
        <f t="shared" si="5"/>
        <v>Desired</v>
      </c>
      <c r="K21" s="47" t="str">
        <f t="shared" si="6"/>
        <v>Low Salary</v>
      </c>
      <c r="L21" s="47" t="str" cm="1">
        <f t="array" ref="L21">_xlfn.IFS($B21 = "", "No Data",$B21&gt;=$K$1,"Salary&gt;85k",TRUE,"Low Salary")</f>
        <v>No Data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601-355F-4694-885C-1B7837D5920E}">
  <dimension ref="A1:K3103"/>
  <sheetViews>
    <sheetView workbookViewId="0">
      <selection activeCell="J23" sqref="J23"/>
    </sheetView>
  </sheetViews>
  <sheetFormatPr defaultRowHeight="14.4" x14ac:dyDescent="0.3"/>
  <cols>
    <col min="1" max="1" width="22.77734375" bestFit="1" customWidth="1"/>
    <col min="2" max="2" width="18" bestFit="1" customWidth="1"/>
    <col min="3" max="3" width="16.44140625" customWidth="1"/>
    <col min="4" max="4" width="8.88671875" customWidth="1"/>
    <col min="5" max="5" width="10.88671875" customWidth="1"/>
    <col min="6" max="6" width="14" customWidth="1"/>
    <col min="7" max="7" width="10.33203125" customWidth="1"/>
    <col min="8" max="8" width="14.109375" bestFit="1" customWidth="1"/>
    <col min="9" max="9" width="13.33203125" customWidth="1"/>
    <col min="10" max="10" width="15.44140625" bestFit="1" customWidth="1"/>
  </cols>
  <sheetData>
    <row r="1" spans="1:11" x14ac:dyDescent="0.3">
      <c r="A1" s="35" t="s">
        <v>49</v>
      </c>
      <c r="B1" s="35" t="s">
        <v>50</v>
      </c>
      <c r="C1" s="36" t="s">
        <v>51</v>
      </c>
      <c r="E1" s="39"/>
      <c r="K1" s="39"/>
    </row>
    <row r="2" spans="1:11" x14ac:dyDescent="0.3">
      <c r="A2" s="37" t="s">
        <v>52</v>
      </c>
      <c r="B2" s="37" t="s">
        <v>53</v>
      </c>
      <c r="C2" s="38">
        <v>137500</v>
      </c>
      <c r="E2" s="39"/>
      <c r="F2" s="43" t="s">
        <v>130</v>
      </c>
      <c r="G2" s="43" t="s">
        <v>132</v>
      </c>
      <c r="H2" s="43" t="s">
        <v>131</v>
      </c>
      <c r="I2" s="43" t="s">
        <v>131</v>
      </c>
      <c r="J2" s="43" t="s">
        <v>77</v>
      </c>
      <c r="K2" s="39"/>
    </row>
    <row r="3" spans="1:11" x14ac:dyDescent="0.3">
      <c r="A3" s="37" t="s">
        <v>52</v>
      </c>
      <c r="B3" s="37" t="s">
        <v>53</v>
      </c>
      <c r="C3" s="38"/>
      <c r="E3" s="39"/>
      <c r="F3" s="43" t="s">
        <v>133</v>
      </c>
      <c r="G3" s="43" t="s">
        <v>134</v>
      </c>
      <c r="H3" s="43" t="s">
        <v>53</v>
      </c>
      <c r="I3" s="43" t="s">
        <v>2</v>
      </c>
      <c r="J3" s="43" t="s">
        <v>135</v>
      </c>
      <c r="K3" s="39"/>
    </row>
    <row r="4" spans="1:11" x14ac:dyDescent="0.3">
      <c r="A4" s="37" t="s">
        <v>52</v>
      </c>
      <c r="B4" s="37" t="s">
        <v>53</v>
      </c>
      <c r="C4" s="38"/>
      <c r="E4" s="41" t="s">
        <v>138</v>
      </c>
      <c r="F4" s="39">
        <f>COUNT(C:C)</f>
        <v>2287</v>
      </c>
      <c r="G4" s="39">
        <f>COUNTA(A:A)</f>
        <v>3103</v>
      </c>
      <c r="H4" s="39">
        <f>COUNTIF(B:B,$H$3)</f>
        <v>2301</v>
      </c>
      <c r="I4" s="39">
        <f>COUNTIF(A:A,$I$3)</f>
        <v>982</v>
      </c>
      <c r="J4" s="39">
        <f>COUNTIFS(A:A,$I$3,B:B,$H$3)</f>
        <v>827</v>
      </c>
      <c r="K4" s="39"/>
    </row>
    <row r="5" spans="1:11" x14ac:dyDescent="0.3">
      <c r="A5" s="37" t="s">
        <v>52</v>
      </c>
      <c r="B5" s="37" t="s">
        <v>53</v>
      </c>
      <c r="C5" s="38">
        <v>87500</v>
      </c>
      <c r="E5" s="41" t="s">
        <v>139</v>
      </c>
      <c r="F5" s="40">
        <f>SUM(C:C)</f>
        <v>281447738.8359375</v>
      </c>
      <c r="G5" s="41"/>
      <c r="H5" s="40">
        <f>SUMIF(B:B,$H$3,C:C)</f>
        <v>199042323.4921875</v>
      </c>
      <c r="I5" s="42">
        <f>SUMIF(A:A,$I$3,C:C)</f>
        <v>55190449.99609375</v>
      </c>
      <c r="J5" s="42">
        <f>SUMIFS(C:C,A:A,$I$3,B:B,$H$3)</f>
        <v>42753127.99609375</v>
      </c>
      <c r="K5" s="39"/>
    </row>
    <row r="6" spans="1:11" x14ac:dyDescent="0.3">
      <c r="A6" s="37" t="s">
        <v>52</v>
      </c>
      <c r="B6" s="37" t="s">
        <v>54</v>
      </c>
      <c r="C6" s="38"/>
      <c r="E6" s="41" t="s">
        <v>140</v>
      </c>
      <c r="F6" s="40">
        <f>AVERAGE(C:C)</f>
        <v>123064.16214951355</v>
      </c>
      <c r="G6" s="41"/>
      <c r="H6" s="42">
        <f>AVERAGEIF(B:B,$H$3,C:C)</f>
        <v>126778.54999502389</v>
      </c>
      <c r="I6" s="42">
        <f>AVERAGEIF(A:A,$I$3,C:C)</f>
        <v>92446.314901329562</v>
      </c>
      <c r="J6" s="42">
        <f>AVERAGEIFS(C:C,B:B,$H$3,A:A,$I$3)</f>
        <v>93144.069708265248</v>
      </c>
      <c r="K6" s="39"/>
    </row>
    <row r="7" spans="1:11" x14ac:dyDescent="0.3">
      <c r="A7" s="37" t="s">
        <v>52</v>
      </c>
      <c r="B7" s="37" t="s">
        <v>53</v>
      </c>
      <c r="C7" s="38">
        <v>77500</v>
      </c>
      <c r="F7" s="39"/>
      <c r="G7" s="39"/>
      <c r="H7" s="39"/>
      <c r="I7" s="39"/>
      <c r="J7" s="39"/>
      <c r="K7" s="39"/>
    </row>
    <row r="8" spans="1:11" x14ac:dyDescent="0.3">
      <c r="A8" s="37" t="s">
        <v>52</v>
      </c>
      <c r="B8" s="37" t="s">
        <v>53</v>
      </c>
      <c r="C8" s="38"/>
      <c r="E8" s="39"/>
      <c r="F8" s="39"/>
      <c r="G8" s="39"/>
      <c r="H8" s="39"/>
      <c r="I8" s="39"/>
      <c r="J8" s="39"/>
      <c r="K8" s="39"/>
    </row>
    <row r="9" spans="1:11" x14ac:dyDescent="0.3">
      <c r="A9" s="37" t="s">
        <v>52</v>
      </c>
      <c r="B9" s="37" t="s">
        <v>53</v>
      </c>
      <c r="C9" s="38">
        <v>172500</v>
      </c>
      <c r="F9" s="43" t="s">
        <v>130</v>
      </c>
      <c r="G9" s="43" t="s">
        <v>132</v>
      </c>
      <c r="H9" s="43" t="s">
        <v>77</v>
      </c>
      <c r="I9" s="43" t="s">
        <v>77</v>
      </c>
      <c r="J9" s="43" t="s">
        <v>77</v>
      </c>
      <c r="K9" s="39"/>
    </row>
    <row r="10" spans="1:11" x14ac:dyDescent="0.3">
      <c r="A10" s="37" t="s">
        <v>52</v>
      </c>
      <c r="B10" s="37" t="s">
        <v>53</v>
      </c>
      <c r="C10" s="38">
        <v>77500</v>
      </c>
      <c r="E10" s="41" t="s">
        <v>141</v>
      </c>
      <c r="F10" s="45">
        <f>MIN(C:C)</f>
        <v>32500</v>
      </c>
      <c r="G10" s="41"/>
      <c r="H10" s="42">
        <f>_xlfn.MINIFS(C:C,B:B,$H$3)</f>
        <v>32500</v>
      </c>
      <c r="I10" s="42">
        <f>_xlfn.MINIFS(C:C,A:A,I3)</f>
        <v>32500</v>
      </c>
      <c r="J10" s="42">
        <f>_xlfn.MINIFS(C:C,B:B,$H$3,A:A,$I$3)</f>
        <v>32500</v>
      </c>
      <c r="K10" s="39"/>
    </row>
    <row r="11" spans="1:11" x14ac:dyDescent="0.3">
      <c r="A11" s="37" t="s">
        <v>52</v>
      </c>
      <c r="B11" s="37" t="s">
        <v>53</v>
      </c>
      <c r="C11" s="38">
        <v>125000</v>
      </c>
      <c r="E11" s="41" t="s">
        <v>142</v>
      </c>
      <c r="F11" s="42">
        <f>MAX(C:C)</f>
        <v>475000</v>
      </c>
      <c r="G11" s="44"/>
      <c r="H11" s="42">
        <f>_xlfn.MAXIFS(C:C,B:B,$H$3)</f>
        <v>375000</v>
      </c>
      <c r="I11" s="42">
        <f>_xlfn.MAXIFS(C:C,A:A,$I$3)</f>
        <v>222500</v>
      </c>
      <c r="J11" s="42">
        <f>_xlfn.MAXIFS(C:C,B:B,$H$3,A:A,$I$3)</f>
        <v>222500</v>
      </c>
      <c r="K11" s="39"/>
    </row>
    <row r="12" spans="1:11" x14ac:dyDescent="0.3">
      <c r="A12" s="37" t="s">
        <v>52</v>
      </c>
      <c r="B12" s="37" t="s">
        <v>55</v>
      </c>
      <c r="C12" s="38">
        <v>110000</v>
      </c>
      <c r="F12" s="39"/>
      <c r="G12" s="39"/>
      <c r="H12" s="39"/>
      <c r="I12" s="39"/>
      <c r="J12" s="39"/>
      <c r="K12" s="39"/>
    </row>
    <row r="13" spans="1:11" x14ac:dyDescent="0.3">
      <c r="A13" s="37" t="s">
        <v>52</v>
      </c>
      <c r="B13" s="37" t="s">
        <v>53</v>
      </c>
      <c r="C13" s="38"/>
      <c r="F13" s="39"/>
      <c r="G13" s="39"/>
      <c r="H13" s="39"/>
      <c r="I13" s="39"/>
      <c r="J13" s="39"/>
      <c r="K13" s="39"/>
    </row>
    <row r="14" spans="1:11" x14ac:dyDescent="0.3">
      <c r="A14" s="37" t="s">
        <v>52</v>
      </c>
      <c r="B14" s="37" t="s">
        <v>53</v>
      </c>
      <c r="C14" s="38">
        <v>97500</v>
      </c>
      <c r="E14" s="39"/>
      <c r="F14" s="39"/>
      <c r="G14" s="39"/>
      <c r="H14" s="39"/>
      <c r="I14" s="39"/>
      <c r="J14" s="39"/>
      <c r="K14" s="39"/>
    </row>
    <row r="15" spans="1:11" x14ac:dyDescent="0.3">
      <c r="A15" s="37" t="s">
        <v>52</v>
      </c>
      <c r="B15" s="37" t="s">
        <v>56</v>
      </c>
      <c r="C15" s="38">
        <v>63000</v>
      </c>
    </row>
    <row r="16" spans="1:11" x14ac:dyDescent="0.3">
      <c r="A16" s="37" t="s">
        <v>52</v>
      </c>
      <c r="B16" s="37" t="s">
        <v>53</v>
      </c>
      <c r="C16" s="38"/>
    </row>
    <row r="17" spans="1:3" x14ac:dyDescent="0.3">
      <c r="A17" s="37" t="s">
        <v>52</v>
      </c>
      <c r="B17" s="37" t="s">
        <v>53</v>
      </c>
      <c r="C17" s="38">
        <v>150000</v>
      </c>
    </row>
    <row r="18" spans="1:3" x14ac:dyDescent="0.3">
      <c r="A18" s="37" t="s">
        <v>52</v>
      </c>
      <c r="B18" s="37" t="s">
        <v>57</v>
      </c>
      <c r="C18" s="38">
        <v>70000</v>
      </c>
    </row>
    <row r="19" spans="1:3" x14ac:dyDescent="0.3">
      <c r="A19" s="37" t="s">
        <v>52</v>
      </c>
      <c r="B19" s="37" t="s">
        <v>58</v>
      </c>
      <c r="C19" s="38"/>
    </row>
    <row r="20" spans="1:3" x14ac:dyDescent="0.3">
      <c r="A20" s="37" t="s">
        <v>52</v>
      </c>
      <c r="B20" s="37" t="s">
        <v>53</v>
      </c>
      <c r="C20" s="38">
        <v>105800</v>
      </c>
    </row>
    <row r="21" spans="1:3" x14ac:dyDescent="0.3">
      <c r="A21" s="37" t="s">
        <v>52</v>
      </c>
      <c r="B21" s="37" t="s">
        <v>53</v>
      </c>
      <c r="C21" s="38"/>
    </row>
    <row r="22" spans="1:3" x14ac:dyDescent="0.3">
      <c r="A22" s="37" t="s">
        <v>52</v>
      </c>
      <c r="B22" s="37" t="s">
        <v>63</v>
      </c>
      <c r="C22" s="38">
        <v>63000</v>
      </c>
    </row>
    <row r="23" spans="1:3" x14ac:dyDescent="0.3">
      <c r="A23" s="37" t="s">
        <v>52</v>
      </c>
      <c r="B23" s="37" t="s">
        <v>53</v>
      </c>
      <c r="C23" s="38"/>
    </row>
    <row r="24" spans="1:3" x14ac:dyDescent="0.3">
      <c r="A24" s="37" t="s">
        <v>52</v>
      </c>
      <c r="B24" s="37" t="s">
        <v>53</v>
      </c>
      <c r="C24" s="38"/>
    </row>
    <row r="25" spans="1:3" x14ac:dyDescent="0.3">
      <c r="A25" s="37" t="s">
        <v>52</v>
      </c>
      <c r="B25" s="37" t="s">
        <v>53</v>
      </c>
      <c r="C25" s="38"/>
    </row>
    <row r="26" spans="1:3" x14ac:dyDescent="0.3">
      <c r="A26" s="37" t="s">
        <v>52</v>
      </c>
      <c r="B26" s="37" t="s">
        <v>64</v>
      </c>
      <c r="C26" s="38">
        <v>79200</v>
      </c>
    </row>
    <row r="27" spans="1:3" x14ac:dyDescent="0.3">
      <c r="A27" s="37" t="s">
        <v>52</v>
      </c>
      <c r="B27" s="37" t="s">
        <v>53</v>
      </c>
      <c r="C27" s="38">
        <v>112500</v>
      </c>
    </row>
    <row r="28" spans="1:3" x14ac:dyDescent="0.3">
      <c r="A28" s="37" t="s">
        <v>52</v>
      </c>
      <c r="B28" s="37" t="s">
        <v>53</v>
      </c>
      <c r="C28" s="38">
        <v>125000</v>
      </c>
    </row>
    <row r="29" spans="1:3" x14ac:dyDescent="0.3">
      <c r="A29" s="37" t="s">
        <v>52</v>
      </c>
      <c r="B29" s="37" t="s">
        <v>53</v>
      </c>
      <c r="C29" s="38">
        <v>80000</v>
      </c>
    </row>
    <row r="30" spans="1:3" x14ac:dyDescent="0.3">
      <c r="A30" s="37" t="s">
        <v>52</v>
      </c>
      <c r="B30" s="37" t="s">
        <v>53</v>
      </c>
      <c r="C30" s="38">
        <v>90000</v>
      </c>
    </row>
    <row r="31" spans="1:3" x14ac:dyDescent="0.3">
      <c r="A31" s="37" t="s">
        <v>52</v>
      </c>
      <c r="B31" s="37" t="s">
        <v>53</v>
      </c>
      <c r="C31" s="38">
        <v>105000</v>
      </c>
    </row>
    <row r="32" spans="1:3" x14ac:dyDescent="0.3">
      <c r="A32" s="37" t="s">
        <v>52</v>
      </c>
      <c r="B32" s="37" t="s">
        <v>53</v>
      </c>
      <c r="C32" s="38">
        <v>101279</v>
      </c>
    </row>
    <row r="33" spans="1:3" x14ac:dyDescent="0.3">
      <c r="A33" s="37" t="s">
        <v>52</v>
      </c>
      <c r="B33" s="37" t="s">
        <v>54</v>
      </c>
      <c r="C33" s="38">
        <v>113550</v>
      </c>
    </row>
    <row r="34" spans="1:3" x14ac:dyDescent="0.3">
      <c r="A34" s="37" t="s">
        <v>52</v>
      </c>
      <c r="B34" s="37" t="s">
        <v>53</v>
      </c>
      <c r="C34" s="38"/>
    </row>
    <row r="35" spans="1:3" x14ac:dyDescent="0.3">
      <c r="A35" s="37" t="s">
        <v>52</v>
      </c>
      <c r="B35" s="37" t="s">
        <v>53</v>
      </c>
      <c r="C35" s="38">
        <v>68700</v>
      </c>
    </row>
    <row r="36" spans="1:3" x14ac:dyDescent="0.3">
      <c r="A36" s="37" t="s">
        <v>52</v>
      </c>
      <c r="B36" s="37" t="s">
        <v>53</v>
      </c>
      <c r="C36" s="38">
        <v>85000</v>
      </c>
    </row>
    <row r="37" spans="1:3" x14ac:dyDescent="0.3">
      <c r="A37" s="37" t="s">
        <v>52</v>
      </c>
      <c r="B37" s="37" t="s">
        <v>53</v>
      </c>
      <c r="C37" s="38">
        <v>74500</v>
      </c>
    </row>
    <row r="38" spans="1:3" x14ac:dyDescent="0.3">
      <c r="A38" s="37" t="s">
        <v>52</v>
      </c>
      <c r="B38" s="37" t="s">
        <v>54</v>
      </c>
      <c r="C38" s="38">
        <v>103350</v>
      </c>
    </row>
    <row r="39" spans="1:3" x14ac:dyDescent="0.3">
      <c r="A39" s="37" t="s">
        <v>52</v>
      </c>
      <c r="B39" s="37" t="s">
        <v>53</v>
      </c>
      <c r="C39" s="38">
        <v>130000</v>
      </c>
    </row>
    <row r="40" spans="1:3" x14ac:dyDescent="0.3">
      <c r="A40" s="37" t="s">
        <v>52</v>
      </c>
      <c r="B40" s="37" t="s">
        <v>53</v>
      </c>
      <c r="C40" s="38"/>
    </row>
    <row r="41" spans="1:3" x14ac:dyDescent="0.3">
      <c r="A41" s="37" t="s">
        <v>52</v>
      </c>
      <c r="B41" s="37" t="s">
        <v>53</v>
      </c>
      <c r="C41" s="38">
        <v>77500</v>
      </c>
    </row>
    <row r="42" spans="1:3" x14ac:dyDescent="0.3">
      <c r="A42" s="37" t="s">
        <v>52</v>
      </c>
      <c r="B42" s="37" t="s">
        <v>65</v>
      </c>
      <c r="C42" s="38">
        <v>80850</v>
      </c>
    </row>
    <row r="43" spans="1:3" x14ac:dyDescent="0.3">
      <c r="A43" s="37" t="s">
        <v>52</v>
      </c>
      <c r="B43" s="37" t="s">
        <v>53</v>
      </c>
      <c r="C43" s="38"/>
    </row>
    <row r="44" spans="1:3" x14ac:dyDescent="0.3">
      <c r="A44" s="37" t="s">
        <v>52</v>
      </c>
      <c r="B44" s="37" t="s">
        <v>53</v>
      </c>
      <c r="C44" s="38"/>
    </row>
    <row r="45" spans="1:3" x14ac:dyDescent="0.3">
      <c r="A45" s="37" t="s">
        <v>52</v>
      </c>
      <c r="B45" s="37" t="s">
        <v>53</v>
      </c>
      <c r="C45" s="38">
        <v>51000</v>
      </c>
    </row>
    <row r="46" spans="1:3" x14ac:dyDescent="0.3">
      <c r="A46" s="37" t="s">
        <v>52</v>
      </c>
      <c r="B46" s="37" t="s">
        <v>53</v>
      </c>
      <c r="C46" s="38">
        <v>100000</v>
      </c>
    </row>
    <row r="47" spans="1:3" x14ac:dyDescent="0.3">
      <c r="A47" s="37" t="s">
        <v>66</v>
      </c>
      <c r="B47" s="37" t="s">
        <v>67</v>
      </c>
      <c r="C47" s="38">
        <v>79200</v>
      </c>
    </row>
    <row r="48" spans="1:3" x14ac:dyDescent="0.3">
      <c r="A48" s="37" t="s">
        <v>66</v>
      </c>
      <c r="B48" s="37" t="s">
        <v>68</v>
      </c>
      <c r="C48" s="38">
        <v>110000</v>
      </c>
    </row>
    <row r="49" spans="1:3" x14ac:dyDescent="0.3">
      <c r="A49" s="37" t="s">
        <v>66</v>
      </c>
      <c r="B49" s="37" t="s">
        <v>69</v>
      </c>
      <c r="C49" s="38">
        <v>200000</v>
      </c>
    </row>
    <row r="50" spans="1:3" x14ac:dyDescent="0.3">
      <c r="A50" s="37" t="s">
        <v>66</v>
      </c>
      <c r="B50" s="37" t="s">
        <v>70</v>
      </c>
      <c r="C50" s="38">
        <v>89100</v>
      </c>
    </row>
    <row r="51" spans="1:3" x14ac:dyDescent="0.3">
      <c r="A51" s="37" t="s">
        <v>2</v>
      </c>
      <c r="B51" s="37" t="s">
        <v>53</v>
      </c>
      <c r="C51" s="38">
        <v>144481.5</v>
      </c>
    </row>
    <row r="52" spans="1:3" x14ac:dyDescent="0.3">
      <c r="A52" s="37" t="s">
        <v>2</v>
      </c>
      <c r="B52" s="37" t="s">
        <v>53</v>
      </c>
      <c r="C52" s="38">
        <v>132315</v>
      </c>
    </row>
    <row r="53" spans="1:3" x14ac:dyDescent="0.3">
      <c r="A53" s="37" t="s">
        <v>2</v>
      </c>
      <c r="B53" s="37" t="s">
        <v>53</v>
      </c>
      <c r="C53" s="38">
        <v>112500</v>
      </c>
    </row>
    <row r="54" spans="1:3" x14ac:dyDescent="0.3">
      <c r="A54" s="37" t="s">
        <v>2</v>
      </c>
      <c r="B54" s="37" t="s">
        <v>53</v>
      </c>
      <c r="C54" s="38">
        <v>52500</v>
      </c>
    </row>
    <row r="55" spans="1:3" x14ac:dyDescent="0.3">
      <c r="A55" s="37" t="s">
        <v>2</v>
      </c>
      <c r="B55" s="37" t="s">
        <v>54</v>
      </c>
      <c r="C55" s="38">
        <v>115775</v>
      </c>
    </row>
    <row r="56" spans="1:3" x14ac:dyDescent="0.3">
      <c r="A56" s="37" t="s">
        <v>2</v>
      </c>
      <c r="B56" s="37" t="s">
        <v>53</v>
      </c>
      <c r="C56" s="38">
        <v>97500</v>
      </c>
    </row>
    <row r="57" spans="1:3" x14ac:dyDescent="0.3">
      <c r="A57" s="37" t="s">
        <v>2</v>
      </c>
      <c r="B57" s="37" t="s">
        <v>53</v>
      </c>
      <c r="C57" s="38">
        <v>127500</v>
      </c>
    </row>
    <row r="58" spans="1:3" x14ac:dyDescent="0.3">
      <c r="A58" s="37" t="s">
        <v>2</v>
      </c>
      <c r="B58" s="37" t="s">
        <v>53</v>
      </c>
      <c r="C58" s="38">
        <v>115000</v>
      </c>
    </row>
    <row r="59" spans="1:3" x14ac:dyDescent="0.3">
      <c r="A59" s="37" t="s">
        <v>2</v>
      </c>
      <c r="B59" s="37" t="s">
        <v>53</v>
      </c>
      <c r="C59" s="38"/>
    </row>
    <row r="60" spans="1:3" x14ac:dyDescent="0.3">
      <c r="A60" s="37" t="s">
        <v>2</v>
      </c>
      <c r="B60" s="37" t="s">
        <v>53</v>
      </c>
      <c r="C60" s="38"/>
    </row>
    <row r="61" spans="1:3" x14ac:dyDescent="0.3">
      <c r="A61" s="37" t="s">
        <v>2</v>
      </c>
      <c r="B61" s="37" t="s">
        <v>53</v>
      </c>
      <c r="C61" s="38"/>
    </row>
    <row r="62" spans="1:3" x14ac:dyDescent="0.3">
      <c r="A62" s="37" t="s">
        <v>2</v>
      </c>
      <c r="B62" s="37" t="s">
        <v>53</v>
      </c>
      <c r="C62" s="38">
        <v>175000</v>
      </c>
    </row>
    <row r="63" spans="1:3" x14ac:dyDescent="0.3">
      <c r="A63" s="37" t="s">
        <v>2</v>
      </c>
      <c r="B63" s="37" t="s">
        <v>53</v>
      </c>
      <c r="C63" s="38">
        <v>115000</v>
      </c>
    </row>
    <row r="64" spans="1:3" x14ac:dyDescent="0.3">
      <c r="A64" s="37" t="s">
        <v>2</v>
      </c>
      <c r="B64" s="37" t="s">
        <v>67</v>
      </c>
      <c r="C64" s="38">
        <v>111175</v>
      </c>
    </row>
    <row r="65" spans="1:3" x14ac:dyDescent="0.3">
      <c r="A65" s="37" t="s">
        <v>2</v>
      </c>
      <c r="B65" s="37" t="s">
        <v>71</v>
      </c>
      <c r="C65" s="38">
        <v>51014</v>
      </c>
    </row>
    <row r="66" spans="1:3" x14ac:dyDescent="0.3">
      <c r="A66" s="37" t="s">
        <v>2</v>
      </c>
      <c r="B66" s="37" t="s">
        <v>53</v>
      </c>
      <c r="C66" s="38"/>
    </row>
    <row r="67" spans="1:3" x14ac:dyDescent="0.3">
      <c r="A67" s="37" t="s">
        <v>2</v>
      </c>
      <c r="B67" s="37" t="s">
        <v>53</v>
      </c>
      <c r="C67" s="38"/>
    </row>
    <row r="68" spans="1:3" x14ac:dyDescent="0.3">
      <c r="A68" s="37" t="s">
        <v>2</v>
      </c>
      <c r="B68" s="37" t="s">
        <v>53</v>
      </c>
      <c r="C68" s="38"/>
    </row>
    <row r="69" spans="1:3" x14ac:dyDescent="0.3">
      <c r="A69" s="37" t="s">
        <v>2</v>
      </c>
      <c r="B69" s="37" t="s">
        <v>53</v>
      </c>
      <c r="C69" s="38"/>
    </row>
    <row r="70" spans="1:3" x14ac:dyDescent="0.3">
      <c r="A70" s="37" t="s">
        <v>2</v>
      </c>
      <c r="B70" s="37" t="s">
        <v>53</v>
      </c>
      <c r="C70" s="38">
        <v>133285</v>
      </c>
    </row>
    <row r="71" spans="1:3" x14ac:dyDescent="0.3">
      <c r="A71" s="37" t="s">
        <v>2</v>
      </c>
      <c r="B71" s="37" t="s">
        <v>53</v>
      </c>
      <c r="C71" s="38"/>
    </row>
    <row r="72" spans="1:3" x14ac:dyDescent="0.3">
      <c r="A72" s="37" t="s">
        <v>2</v>
      </c>
      <c r="B72" s="37" t="s">
        <v>53</v>
      </c>
      <c r="C72" s="38"/>
    </row>
    <row r="73" spans="1:3" x14ac:dyDescent="0.3">
      <c r="A73" s="37" t="s">
        <v>2</v>
      </c>
      <c r="B73" s="37" t="s">
        <v>53</v>
      </c>
      <c r="C73" s="38">
        <v>57500</v>
      </c>
    </row>
    <row r="74" spans="1:3" x14ac:dyDescent="0.3">
      <c r="A74" s="37" t="s">
        <v>2</v>
      </c>
      <c r="B74" s="37" t="s">
        <v>53</v>
      </c>
      <c r="C74" s="38"/>
    </row>
    <row r="75" spans="1:3" x14ac:dyDescent="0.3">
      <c r="A75" s="37" t="s">
        <v>2</v>
      </c>
      <c r="B75" s="37" t="s">
        <v>53</v>
      </c>
      <c r="C75" s="38">
        <v>60000</v>
      </c>
    </row>
    <row r="76" spans="1:3" x14ac:dyDescent="0.3">
      <c r="A76" s="37" t="s">
        <v>2</v>
      </c>
      <c r="B76" s="37" t="s">
        <v>70</v>
      </c>
      <c r="C76" s="38">
        <v>45000</v>
      </c>
    </row>
    <row r="77" spans="1:3" x14ac:dyDescent="0.3">
      <c r="A77" s="37" t="s">
        <v>2</v>
      </c>
      <c r="B77" s="37" t="s">
        <v>53</v>
      </c>
      <c r="C77" s="38">
        <v>112500</v>
      </c>
    </row>
    <row r="78" spans="1:3" x14ac:dyDescent="0.3">
      <c r="A78" s="37" t="s">
        <v>2</v>
      </c>
      <c r="B78" s="37" t="s">
        <v>53</v>
      </c>
      <c r="C78" s="38">
        <v>170000</v>
      </c>
    </row>
    <row r="79" spans="1:3" x14ac:dyDescent="0.3">
      <c r="A79" s="37" t="s">
        <v>2</v>
      </c>
      <c r="B79" s="37" t="s">
        <v>53</v>
      </c>
      <c r="C79" s="38">
        <v>145000</v>
      </c>
    </row>
    <row r="80" spans="1:3" x14ac:dyDescent="0.3">
      <c r="A80" s="37" t="s">
        <v>2</v>
      </c>
      <c r="B80" s="37" t="s">
        <v>53</v>
      </c>
      <c r="C80" s="38"/>
    </row>
    <row r="81" spans="1:3" x14ac:dyDescent="0.3">
      <c r="A81" s="37" t="s">
        <v>2</v>
      </c>
      <c r="B81" s="37" t="s">
        <v>53</v>
      </c>
      <c r="C81" s="38">
        <v>101540</v>
      </c>
    </row>
    <row r="82" spans="1:3" x14ac:dyDescent="0.3">
      <c r="A82" s="37" t="s">
        <v>2</v>
      </c>
      <c r="B82" s="37" t="s">
        <v>72</v>
      </c>
      <c r="C82" s="38">
        <v>51014</v>
      </c>
    </row>
    <row r="83" spans="1:3" x14ac:dyDescent="0.3">
      <c r="A83" s="37" t="s">
        <v>2</v>
      </c>
      <c r="B83" s="37" t="s">
        <v>53</v>
      </c>
      <c r="C83" s="38"/>
    </row>
    <row r="84" spans="1:3" x14ac:dyDescent="0.3">
      <c r="A84" s="37" t="s">
        <v>2</v>
      </c>
      <c r="B84" s="37" t="s">
        <v>53</v>
      </c>
      <c r="C84" s="38">
        <v>93000</v>
      </c>
    </row>
    <row r="85" spans="1:3" x14ac:dyDescent="0.3">
      <c r="A85" s="37" t="s">
        <v>2</v>
      </c>
      <c r="B85" s="37" t="s">
        <v>53</v>
      </c>
      <c r="C85" s="38"/>
    </row>
    <row r="86" spans="1:3" x14ac:dyDescent="0.3">
      <c r="A86" s="37" t="s">
        <v>2</v>
      </c>
      <c r="B86" s="37" t="s">
        <v>54</v>
      </c>
      <c r="C86" s="38"/>
    </row>
    <row r="87" spans="1:3" x14ac:dyDescent="0.3">
      <c r="A87" s="37" t="s">
        <v>2</v>
      </c>
      <c r="B87" s="37" t="s">
        <v>53</v>
      </c>
      <c r="C87" s="38">
        <v>85000</v>
      </c>
    </row>
    <row r="88" spans="1:3" x14ac:dyDescent="0.3">
      <c r="A88" s="37" t="s">
        <v>2</v>
      </c>
      <c r="B88" s="37" t="s">
        <v>53</v>
      </c>
      <c r="C88" s="38"/>
    </row>
    <row r="89" spans="1:3" x14ac:dyDescent="0.3">
      <c r="A89" s="37" t="s">
        <v>2</v>
      </c>
      <c r="B89" s="37" t="s">
        <v>54</v>
      </c>
      <c r="C89" s="38">
        <v>52500</v>
      </c>
    </row>
    <row r="90" spans="1:3" x14ac:dyDescent="0.3">
      <c r="A90" s="37" t="s">
        <v>2</v>
      </c>
      <c r="B90" s="37" t="s">
        <v>73</v>
      </c>
      <c r="C90" s="38">
        <v>80850</v>
      </c>
    </row>
    <row r="91" spans="1:3" x14ac:dyDescent="0.3">
      <c r="A91" s="37" t="s">
        <v>2</v>
      </c>
      <c r="B91" s="37" t="s">
        <v>74</v>
      </c>
      <c r="C91" s="38">
        <v>111175</v>
      </c>
    </row>
    <row r="92" spans="1:3" x14ac:dyDescent="0.3">
      <c r="A92" s="37" t="s">
        <v>2</v>
      </c>
      <c r="B92" s="37" t="s">
        <v>53</v>
      </c>
      <c r="C92" s="38"/>
    </row>
    <row r="93" spans="1:3" x14ac:dyDescent="0.3">
      <c r="A93" s="37" t="s">
        <v>2</v>
      </c>
      <c r="B93" s="37" t="s">
        <v>74</v>
      </c>
      <c r="C93" s="38">
        <v>51014</v>
      </c>
    </row>
    <row r="94" spans="1:3" x14ac:dyDescent="0.3">
      <c r="A94" s="37" t="s">
        <v>2</v>
      </c>
      <c r="B94" s="37" t="s">
        <v>53</v>
      </c>
      <c r="C94" s="38"/>
    </row>
    <row r="95" spans="1:3" x14ac:dyDescent="0.3">
      <c r="A95" s="37" t="s">
        <v>2</v>
      </c>
      <c r="B95" s="37" t="s">
        <v>54</v>
      </c>
      <c r="C95" s="38">
        <v>138615</v>
      </c>
    </row>
    <row r="96" spans="1:3" x14ac:dyDescent="0.3">
      <c r="A96" s="37" t="s">
        <v>2</v>
      </c>
      <c r="B96" s="37" t="s">
        <v>53</v>
      </c>
      <c r="C96" s="38">
        <v>85000</v>
      </c>
    </row>
    <row r="97" spans="1:3" x14ac:dyDescent="0.3">
      <c r="A97" s="37" t="s">
        <v>2</v>
      </c>
      <c r="B97" s="37" t="s">
        <v>53</v>
      </c>
      <c r="C97" s="38"/>
    </row>
    <row r="98" spans="1:3" x14ac:dyDescent="0.3">
      <c r="A98" s="37" t="s">
        <v>2</v>
      </c>
      <c r="B98" s="37" t="s">
        <v>75</v>
      </c>
      <c r="C98" s="38">
        <v>56700</v>
      </c>
    </row>
    <row r="99" spans="1:3" x14ac:dyDescent="0.3">
      <c r="A99" s="37" t="s">
        <v>2</v>
      </c>
      <c r="B99" s="37" t="s">
        <v>53</v>
      </c>
      <c r="C99" s="38">
        <v>62500</v>
      </c>
    </row>
    <row r="100" spans="1:3" x14ac:dyDescent="0.3">
      <c r="A100" s="37" t="s">
        <v>2</v>
      </c>
      <c r="B100" s="37" t="s">
        <v>53</v>
      </c>
      <c r="C100" s="38">
        <v>85000</v>
      </c>
    </row>
    <row r="101" spans="1:3" x14ac:dyDescent="0.3">
      <c r="A101" s="37" t="s">
        <v>2</v>
      </c>
      <c r="B101" s="37" t="s">
        <v>54</v>
      </c>
      <c r="C101" s="38"/>
    </row>
    <row r="102" spans="1:3" x14ac:dyDescent="0.3">
      <c r="A102" s="37" t="s">
        <v>2</v>
      </c>
      <c r="B102" s="37" t="s">
        <v>76</v>
      </c>
      <c r="C102" s="38">
        <v>45000</v>
      </c>
    </row>
    <row r="103" spans="1:3" x14ac:dyDescent="0.3">
      <c r="A103" s="37" t="s">
        <v>2</v>
      </c>
      <c r="B103" s="37" t="s">
        <v>53</v>
      </c>
      <c r="C103" s="38">
        <v>155000</v>
      </c>
    </row>
    <row r="104" spans="1:3" x14ac:dyDescent="0.3">
      <c r="A104" s="37" t="s">
        <v>2</v>
      </c>
      <c r="B104" s="37" t="s">
        <v>53</v>
      </c>
      <c r="C104" s="38">
        <v>57500</v>
      </c>
    </row>
    <row r="105" spans="1:3" x14ac:dyDescent="0.3">
      <c r="A105" s="37" t="s">
        <v>2</v>
      </c>
      <c r="B105" s="37" t="s">
        <v>67</v>
      </c>
      <c r="C105" s="38">
        <v>111175</v>
      </c>
    </row>
    <row r="106" spans="1:3" x14ac:dyDescent="0.3">
      <c r="A106" s="37" t="s">
        <v>2</v>
      </c>
      <c r="B106" s="37" t="s">
        <v>53</v>
      </c>
      <c r="C106" s="38">
        <v>117200</v>
      </c>
    </row>
    <row r="107" spans="1:3" x14ac:dyDescent="0.3">
      <c r="A107" s="37" t="s">
        <v>2</v>
      </c>
      <c r="B107" s="37" t="s">
        <v>53</v>
      </c>
      <c r="C107" s="38"/>
    </row>
    <row r="108" spans="1:3" x14ac:dyDescent="0.3">
      <c r="A108" s="37" t="s">
        <v>2</v>
      </c>
      <c r="B108" s="37" t="s">
        <v>53</v>
      </c>
      <c r="C108" s="38">
        <v>95000</v>
      </c>
    </row>
    <row r="109" spans="1:3" x14ac:dyDescent="0.3">
      <c r="A109" s="37" t="s">
        <v>2</v>
      </c>
      <c r="B109" s="37" t="s">
        <v>53</v>
      </c>
      <c r="C109" s="38"/>
    </row>
    <row r="110" spans="1:3" x14ac:dyDescent="0.3">
      <c r="A110" s="37" t="s">
        <v>2</v>
      </c>
      <c r="B110" s="37" t="s">
        <v>53</v>
      </c>
      <c r="C110" s="38">
        <v>115000</v>
      </c>
    </row>
    <row r="111" spans="1:3" x14ac:dyDescent="0.3">
      <c r="A111" s="37" t="s">
        <v>2</v>
      </c>
      <c r="B111" s="37" t="s">
        <v>53</v>
      </c>
      <c r="C111" s="38"/>
    </row>
    <row r="112" spans="1:3" x14ac:dyDescent="0.3">
      <c r="A112" s="37" t="s">
        <v>2</v>
      </c>
      <c r="B112" s="37" t="s">
        <v>54</v>
      </c>
      <c r="C112" s="38">
        <v>115000</v>
      </c>
    </row>
    <row r="113" spans="1:3" x14ac:dyDescent="0.3">
      <c r="A113" s="37" t="s">
        <v>2</v>
      </c>
      <c r="B113" s="37" t="s">
        <v>70</v>
      </c>
      <c r="C113" s="38">
        <v>102500</v>
      </c>
    </row>
    <row r="114" spans="1:3" x14ac:dyDescent="0.3">
      <c r="A114" s="37" t="s">
        <v>2</v>
      </c>
      <c r="B114" s="37" t="s">
        <v>53</v>
      </c>
      <c r="C114" s="38"/>
    </row>
    <row r="115" spans="1:3" x14ac:dyDescent="0.3">
      <c r="A115" s="37" t="s">
        <v>2</v>
      </c>
      <c r="B115" s="37" t="s">
        <v>53</v>
      </c>
      <c r="C115" s="38"/>
    </row>
    <row r="116" spans="1:3" x14ac:dyDescent="0.3">
      <c r="A116" s="37" t="s">
        <v>2</v>
      </c>
      <c r="B116" s="37" t="s">
        <v>53</v>
      </c>
      <c r="C116" s="38">
        <v>215500</v>
      </c>
    </row>
    <row r="117" spans="1:3" x14ac:dyDescent="0.3">
      <c r="A117" s="37" t="s">
        <v>2</v>
      </c>
      <c r="B117" s="37" t="s">
        <v>53</v>
      </c>
      <c r="C117" s="38">
        <v>70000</v>
      </c>
    </row>
    <row r="118" spans="1:3" x14ac:dyDescent="0.3">
      <c r="A118" s="37" t="s">
        <v>2</v>
      </c>
      <c r="B118" s="37" t="s">
        <v>53</v>
      </c>
      <c r="C118" s="38"/>
    </row>
    <row r="119" spans="1:3" x14ac:dyDescent="0.3">
      <c r="A119" s="37" t="s">
        <v>2</v>
      </c>
      <c r="B119" s="37" t="s">
        <v>53</v>
      </c>
      <c r="C119" s="38">
        <v>80000</v>
      </c>
    </row>
    <row r="120" spans="1:3" x14ac:dyDescent="0.3">
      <c r="A120" s="37" t="s">
        <v>2</v>
      </c>
      <c r="B120" s="37" t="s">
        <v>53</v>
      </c>
      <c r="C120" s="38">
        <v>133285</v>
      </c>
    </row>
    <row r="121" spans="1:3" x14ac:dyDescent="0.3">
      <c r="A121" s="37" t="s">
        <v>2</v>
      </c>
      <c r="B121" s="37" t="s">
        <v>53</v>
      </c>
      <c r="C121" s="38">
        <v>115000</v>
      </c>
    </row>
    <row r="122" spans="1:3" x14ac:dyDescent="0.3">
      <c r="A122" s="37" t="s">
        <v>2</v>
      </c>
      <c r="B122" s="37" t="s">
        <v>53</v>
      </c>
      <c r="C122" s="38">
        <v>146100</v>
      </c>
    </row>
    <row r="123" spans="1:3" x14ac:dyDescent="0.3">
      <c r="A123" s="37" t="s">
        <v>2</v>
      </c>
      <c r="B123" s="37" t="s">
        <v>78</v>
      </c>
      <c r="C123" s="38">
        <v>102500</v>
      </c>
    </row>
    <row r="124" spans="1:3" x14ac:dyDescent="0.3">
      <c r="A124" s="37" t="s">
        <v>2</v>
      </c>
      <c r="B124" s="37" t="s">
        <v>53</v>
      </c>
      <c r="C124" s="38"/>
    </row>
    <row r="125" spans="1:3" x14ac:dyDescent="0.3">
      <c r="A125" s="37" t="s">
        <v>2</v>
      </c>
      <c r="B125" s="37" t="s">
        <v>53</v>
      </c>
      <c r="C125" s="38">
        <v>52775</v>
      </c>
    </row>
    <row r="126" spans="1:3" x14ac:dyDescent="0.3">
      <c r="A126" s="37" t="s">
        <v>2</v>
      </c>
      <c r="B126" s="37" t="s">
        <v>53</v>
      </c>
      <c r="C126" s="38"/>
    </row>
    <row r="127" spans="1:3" x14ac:dyDescent="0.3">
      <c r="A127" s="37" t="s">
        <v>2</v>
      </c>
      <c r="B127" s="37" t="s">
        <v>53</v>
      </c>
      <c r="C127" s="38">
        <v>81550</v>
      </c>
    </row>
    <row r="128" spans="1:3" x14ac:dyDescent="0.3">
      <c r="A128" s="37" t="s">
        <v>2</v>
      </c>
      <c r="B128" s="37" t="s">
        <v>79</v>
      </c>
      <c r="C128" s="38">
        <v>111175</v>
      </c>
    </row>
    <row r="129" spans="1:3" x14ac:dyDescent="0.3">
      <c r="A129" s="37" t="s">
        <v>2</v>
      </c>
      <c r="B129" s="37" t="s">
        <v>80</v>
      </c>
      <c r="C129" s="38">
        <v>79200</v>
      </c>
    </row>
    <row r="130" spans="1:3" x14ac:dyDescent="0.3">
      <c r="A130" s="37" t="s">
        <v>2</v>
      </c>
      <c r="B130" s="37" t="s">
        <v>53</v>
      </c>
      <c r="C130" s="38">
        <v>70000</v>
      </c>
    </row>
    <row r="131" spans="1:3" x14ac:dyDescent="0.3">
      <c r="A131" s="37" t="s">
        <v>2</v>
      </c>
      <c r="B131" s="37" t="s">
        <v>53</v>
      </c>
      <c r="C131" s="38">
        <v>55000</v>
      </c>
    </row>
    <row r="132" spans="1:3" x14ac:dyDescent="0.3">
      <c r="A132" s="37" t="s">
        <v>2</v>
      </c>
      <c r="B132" s="37" t="s">
        <v>53</v>
      </c>
      <c r="C132" s="38"/>
    </row>
    <row r="133" spans="1:3" x14ac:dyDescent="0.3">
      <c r="A133" s="37" t="s">
        <v>2</v>
      </c>
      <c r="B133" s="37" t="s">
        <v>53</v>
      </c>
      <c r="C133" s="38">
        <v>46238.3984375</v>
      </c>
    </row>
    <row r="134" spans="1:3" x14ac:dyDescent="0.3">
      <c r="A134" s="37" t="s">
        <v>2</v>
      </c>
      <c r="B134" s="37" t="s">
        <v>53</v>
      </c>
      <c r="C134" s="38"/>
    </row>
    <row r="135" spans="1:3" x14ac:dyDescent="0.3">
      <c r="A135" s="37" t="s">
        <v>2</v>
      </c>
      <c r="B135" s="37" t="s">
        <v>53</v>
      </c>
      <c r="C135" s="38">
        <v>144481.5</v>
      </c>
    </row>
    <row r="136" spans="1:3" x14ac:dyDescent="0.3">
      <c r="A136" s="37" t="s">
        <v>2</v>
      </c>
      <c r="B136" s="37" t="s">
        <v>53</v>
      </c>
      <c r="C136" s="38">
        <v>124444</v>
      </c>
    </row>
    <row r="137" spans="1:3" x14ac:dyDescent="0.3">
      <c r="A137" s="37" t="s">
        <v>2</v>
      </c>
      <c r="B137" s="37" t="s">
        <v>53</v>
      </c>
      <c r="C137" s="38">
        <v>62500</v>
      </c>
    </row>
    <row r="138" spans="1:3" x14ac:dyDescent="0.3">
      <c r="A138" s="37" t="s">
        <v>2</v>
      </c>
      <c r="B138" s="37" t="s">
        <v>53</v>
      </c>
      <c r="C138" s="38"/>
    </row>
    <row r="139" spans="1:3" x14ac:dyDescent="0.3">
      <c r="A139" s="37" t="s">
        <v>2</v>
      </c>
      <c r="B139" s="37" t="s">
        <v>53</v>
      </c>
      <c r="C139" s="38">
        <v>55000</v>
      </c>
    </row>
    <row r="140" spans="1:3" x14ac:dyDescent="0.3">
      <c r="A140" s="37" t="s">
        <v>2</v>
      </c>
      <c r="B140" s="37" t="s">
        <v>53</v>
      </c>
      <c r="C140" s="38"/>
    </row>
    <row r="141" spans="1:3" x14ac:dyDescent="0.3">
      <c r="A141" s="37" t="s">
        <v>2</v>
      </c>
      <c r="B141" s="37" t="s">
        <v>53</v>
      </c>
      <c r="C141" s="38"/>
    </row>
    <row r="142" spans="1:3" x14ac:dyDescent="0.3">
      <c r="A142" s="37" t="s">
        <v>2</v>
      </c>
      <c r="B142" s="37" t="s">
        <v>81</v>
      </c>
      <c r="C142" s="38">
        <v>99150</v>
      </c>
    </row>
    <row r="143" spans="1:3" x14ac:dyDescent="0.3">
      <c r="A143" s="37" t="s">
        <v>2</v>
      </c>
      <c r="B143" s="37" t="s">
        <v>53</v>
      </c>
      <c r="C143" s="38">
        <v>57500</v>
      </c>
    </row>
    <row r="144" spans="1:3" x14ac:dyDescent="0.3">
      <c r="A144" s="37" t="s">
        <v>2</v>
      </c>
      <c r="B144" s="37" t="s">
        <v>53</v>
      </c>
      <c r="C144" s="38">
        <v>90000</v>
      </c>
    </row>
    <row r="145" spans="1:3" x14ac:dyDescent="0.3">
      <c r="A145" s="37" t="s">
        <v>2</v>
      </c>
      <c r="B145" s="37" t="s">
        <v>53</v>
      </c>
      <c r="C145" s="38">
        <v>91960</v>
      </c>
    </row>
    <row r="146" spans="1:3" x14ac:dyDescent="0.3">
      <c r="A146" s="37" t="s">
        <v>2</v>
      </c>
      <c r="B146" s="37" t="s">
        <v>53</v>
      </c>
      <c r="C146" s="38">
        <v>84479</v>
      </c>
    </row>
    <row r="147" spans="1:3" x14ac:dyDescent="0.3">
      <c r="A147" s="37" t="s">
        <v>2</v>
      </c>
      <c r="B147" s="37" t="s">
        <v>82</v>
      </c>
      <c r="C147" s="38"/>
    </row>
    <row r="148" spans="1:3" x14ac:dyDescent="0.3">
      <c r="A148" s="37" t="s">
        <v>2</v>
      </c>
      <c r="B148" s="37" t="s">
        <v>53</v>
      </c>
      <c r="C148" s="38">
        <v>77500</v>
      </c>
    </row>
    <row r="149" spans="1:3" x14ac:dyDescent="0.3">
      <c r="A149" s="37" t="s">
        <v>2</v>
      </c>
      <c r="B149" s="37" t="s">
        <v>83</v>
      </c>
      <c r="C149" s="38">
        <v>51014</v>
      </c>
    </row>
    <row r="150" spans="1:3" x14ac:dyDescent="0.3">
      <c r="A150" s="37" t="s">
        <v>2</v>
      </c>
      <c r="B150" s="37" t="s">
        <v>53</v>
      </c>
      <c r="C150" s="38">
        <v>65000</v>
      </c>
    </row>
    <row r="151" spans="1:3" x14ac:dyDescent="0.3">
      <c r="A151" s="37" t="s">
        <v>2</v>
      </c>
      <c r="B151" s="37" t="s">
        <v>53</v>
      </c>
      <c r="C151" s="38">
        <v>81350</v>
      </c>
    </row>
    <row r="152" spans="1:3" x14ac:dyDescent="0.3">
      <c r="A152" s="37" t="s">
        <v>2</v>
      </c>
      <c r="B152" s="37" t="s">
        <v>53</v>
      </c>
      <c r="C152" s="38">
        <v>82500</v>
      </c>
    </row>
    <row r="153" spans="1:3" x14ac:dyDescent="0.3">
      <c r="A153" s="37" t="s">
        <v>2</v>
      </c>
      <c r="B153" s="37" t="s">
        <v>53</v>
      </c>
      <c r="C153" s="38">
        <v>90000</v>
      </c>
    </row>
    <row r="154" spans="1:3" x14ac:dyDescent="0.3">
      <c r="A154" s="37" t="s">
        <v>2</v>
      </c>
      <c r="B154" s="37" t="s">
        <v>53</v>
      </c>
      <c r="C154" s="38">
        <v>120710</v>
      </c>
    </row>
    <row r="155" spans="1:3" x14ac:dyDescent="0.3">
      <c r="A155" s="37" t="s">
        <v>2</v>
      </c>
      <c r="B155" s="37" t="s">
        <v>53</v>
      </c>
      <c r="C155" s="38">
        <v>60000</v>
      </c>
    </row>
    <row r="156" spans="1:3" x14ac:dyDescent="0.3">
      <c r="A156" s="37" t="s">
        <v>2</v>
      </c>
      <c r="B156" s="37" t="s">
        <v>69</v>
      </c>
      <c r="C156" s="38">
        <v>51014</v>
      </c>
    </row>
    <row r="157" spans="1:3" x14ac:dyDescent="0.3">
      <c r="A157" s="37" t="s">
        <v>2</v>
      </c>
      <c r="B157" s="37" t="s">
        <v>53</v>
      </c>
      <c r="C157" s="38">
        <v>106492.5</v>
      </c>
    </row>
    <row r="158" spans="1:3" x14ac:dyDescent="0.3">
      <c r="A158" s="37" t="s">
        <v>2</v>
      </c>
      <c r="B158" s="37" t="s">
        <v>53</v>
      </c>
      <c r="C158" s="38"/>
    </row>
    <row r="159" spans="1:3" x14ac:dyDescent="0.3">
      <c r="A159" s="37" t="s">
        <v>2</v>
      </c>
      <c r="B159" s="37" t="s">
        <v>53</v>
      </c>
      <c r="C159" s="38"/>
    </row>
    <row r="160" spans="1:3" x14ac:dyDescent="0.3">
      <c r="A160" s="37" t="s">
        <v>2</v>
      </c>
      <c r="B160" s="37" t="s">
        <v>53</v>
      </c>
      <c r="C160" s="38"/>
    </row>
    <row r="161" spans="1:3" x14ac:dyDescent="0.3">
      <c r="A161" s="37" t="s">
        <v>2</v>
      </c>
      <c r="B161" s="37" t="s">
        <v>53</v>
      </c>
      <c r="C161" s="38"/>
    </row>
    <row r="162" spans="1:3" x14ac:dyDescent="0.3">
      <c r="A162" s="37" t="s">
        <v>2</v>
      </c>
      <c r="B162" s="37" t="s">
        <v>53</v>
      </c>
      <c r="C162" s="38">
        <v>125000</v>
      </c>
    </row>
    <row r="163" spans="1:3" x14ac:dyDescent="0.3">
      <c r="A163" s="37" t="s">
        <v>2</v>
      </c>
      <c r="B163" s="37" t="s">
        <v>53</v>
      </c>
      <c r="C163" s="38">
        <v>200000</v>
      </c>
    </row>
    <row r="164" spans="1:3" x14ac:dyDescent="0.3">
      <c r="A164" s="37" t="s">
        <v>2</v>
      </c>
      <c r="B164" s="37" t="s">
        <v>53</v>
      </c>
      <c r="C164" s="38">
        <v>164746</v>
      </c>
    </row>
    <row r="165" spans="1:3" x14ac:dyDescent="0.3">
      <c r="A165" s="37" t="s">
        <v>2</v>
      </c>
      <c r="B165" s="37" t="s">
        <v>53</v>
      </c>
      <c r="C165" s="38"/>
    </row>
    <row r="166" spans="1:3" x14ac:dyDescent="0.3">
      <c r="A166" s="37" t="s">
        <v>2</v>
      </c>
      <c r="B166" s="37" t="s">
        <v>53</v>
      </c>
      <c r="C166" s="38">
        <v>115000</v>
      </c>
    </row>
    <row r="167" spans="1:3" x14ac:dyDescent="0.3">
      <c r="A167" s="37" t="s">
        <v>2</v>
      </c>
      <c r="B167" s="37" t="s">
        <v>53</v>
      </c>
      <c r="C167" s="38"/>
    </row>
    <row r="168" spans="1:3" x14ac:dyDescent="0.3">
      <c r="A168" s="37" t="s">
        <v>2</v>
      </c>
      <c r="B168" s="37" t="s">
        <v>83</v>
      </c>
      <c r="C168" s="38">
        <v>51014</v>
      </c>
    </row>
    <row r="169" spans="1:3" x14ac:dyDescent="0.3">
      <c r="A169" s="37" t="s">
        <v>2</v>
      </c>
      <c r="B169" s="37" t="s">
        <v>53</v>
      </c>
      <c r="C169" s="38"/>
    </row>
    <row r="170" spans="1:3" x14ac:dyDescent="0.3">
      <c r="A170" s="37" t="s">
        <v>2</v>
      </c>
      <c r="B170" s="37" t="s">
        <v>53</v>
      </c>
      <c r="C170" s="38"/>
    </row>
    <row r="171" spans="1:3" x14ac:dyDescent="0.3">
      <c r="A171" s="37" t="s">
        <v>2</v>
      </c>
      <c r="B171" s="37" t="s">
        <v>53</v>
      </c>
      <c r="C171" s="38"/>
    </row>
    <row r="172" spans="1:3" x14ac:dyDescent="0.3">
      <c r="A172" s="37" t="s">
        <v>2</v>
      </c>
      <c r="B172" s="37" t="s">
        <v>84</v>
      </c>
      <c r="C172" s="38">
        <v>89100</v>
      </c>
    </row>
    <row r="173" spans="1:3" x14ac:dyDescent="0.3">
      <c r="A173" s="37" t="s">
        <v>2</v>
      </c>
      <c r="B173" s="37" t="s">
        <v>54</v>
      </c>
      <c r="C173" s="38">
        <v>42500</v>
      </c>
    </row>
    <row r="174" spans="1:3" x14ac:dyDescent="0.3">
      <c r="A174" s="37" t="s">
        <v>2</v>
      </c>
      <c r="B174" s="37" t="s">
        <v>53</v>
      </c>
      <c r="C174" s="38"/>
    </row>
    <row r="175" spans="1:3" x14ac:dyDescent="0.3">
      <c r="A175" s="37" t="s">
        <v>2</v>
      </c>
      <c r="B175" s="37" t="s">
        <v>53</v>
      </c>
      <c r="C175" s="38"/>
    </row>
    <row r="176" spans="1:3" x14ac:dyDescent="0.3">
      <c r="A176" s="37" t="s">
        <v>2</v>
      </c>
      <c r="B176" s="37" t="s">
        <v>53</v>
      </c>
      <c r="C176" s="38">
        <v>67500</v>
      </c>
    </row>
    <row r="177" spans="1:3" x14ac:dyDescent="0.3">
      <c r="A177" s="37" t="s">
        <v>2</v>
      </c>
      <c r="B177" s="37" t="s">
        <v>53</v>
      </c>
      <c r="C177" s="38"/>
    </row>
    <row r="178" spans="1:3" x14ac:dyDescent="0.3">
      <c r="A178" s="37" t="s">
        <v>2</v>
      </c>
      <c r="B178" s="37" t="s">
        <v>53</v>
      </c>
      <c r="C178" s="38">
        <v>80000</v>
      </c>
    </row>
    <row r="179" spans="1:3" x14ac:dyDescent="0.3">
      <c r="A179" s="37" t="s">
        <v>2</v>
      </c>
      <c r="B179" s="37" t="s">
        <v>53</v>
      </c>
      <c r="C179" s="38">
        <v>75000</v>
      </c>
    </row>
    <row r="180" spans="1:3" x14ac:dyDescent="0.3">
      <c r="A180" s="37" t="s">
        <v>2</v>
      </c>
      <c r="B180" s="37" t="s">
        <v>53</v>
      </c>
      <c r="C180" s="38">
        <v>115700</v>
      </c>
    </row>
    <row r="181" spans="1:3" x14ac:dyDescent="0.3">
      <c r="A181" s="37" t="s">
        <v>2</v>
      </c>
      <c r="B181" s="37" t="s">
        <v>53</v>
      </c>
      <c r="C181" s="38">
        <v>102500</v>
      </c>
    </row>
    <row r="182" spans="1:3" x14ac:dyDescent="0.3">
      <c r="A182" s="37" t="s">
        <v>2</v>
      </c>
      <c r="B182" s="37" t="s">
        <v>53</v>
      </c>
      <c r="C182" s="38"/>
    </row>
    <row r="183" spans="1:3" x14ac:dyDescent="0.3">
      <c r="A183" s="37" t="s">
        <v>2</v>
      </c>
      <c r="B183" s="37" t="s">
        <v>53</v>
      </c>
      <c r="C183" s="38">
        <v>110000</v>
      </c>
    </row>
    <row r="184" spans="1:3" x14ac:dyDescent="0.3">
      <c r="A184" s="37" t="s">
        <v>2</v>
      </c>
      <c r="B184" s="37" t="s">
        <v>53</v>
      </c>
      <c r="C184" s="38">
        <v>77981</v>
      </c>
    </row>
    <row r="185" spans="1:3" x14ac:dyDescent="0.3">
      <c r="A185" s="37" t="s">
        <v>2</v>
      </c>
      <c r="B185" s="37" t="s">
        <v>53</v>
      </c>
      <c r="C185" s="38">
        <v>70000</v>
      </c>
    </row>
    <row r="186" spans="1:3" x14ac:dyDescent="0.3">
      <c r="A186" s="37" t="s">
        <v>2</v>
      </c>
      <c r="B186" s="37" t="s">
        <v>63</v>
      </c>
      <c r="C186" s="38">
        <v>111202</v>
      </c>
    </row>
    <row r="187" spans="1:3" x14ac:dyDescent="0.3">
      <c r="A187" s="37" t="s">
        <v>2</v>
      </c>
      <c r="B187" s="37" t="s">
        <v>53</v>
      </c>
      <c r="C187" s="38">
        <v>52500</v>
      </c>
    </row>
    <row r="188" spans="1:3" x14ac:dyDescent="0.3">
      <c r="A188" s="37" t="s">
        <v>2</v>
      </c>
      <c r="B188" s="37" t="s">
        <v>53</v>
      </c>
      <c r="C188" s="38"/>
    </row>
    <row r="189" spans="1:3" x14ac:dyDescent="0.3">
      <c r="A189" s="37" t="s">
        <v>2</v>
      </c>
      <c r="B189" s="37" t="s">
        <v>53</v>
      </c>
      <c r="C189" s="38">
        <v>50000</v>
      </c>
    </row>
    <row r="190" spans="1:3" x14ac:dyDescent="0.3">
      <c r="A190" s="37" t="s">
        <v>2</v>
      </c>
      <c r="B190" s="37" t="s">
        <v>53</v>
      </c>
      <c r="C190" s="38">
        <v>70000</v>
      </c>
    </row>
    <row r="191" spans="1:3" x14ac:dyDescent="0.3">
      <c r="A191" s="37" t="s">
        <v>2</v>
      </c>
      <c r="B191" s="37" t="s">
        <v>53</v>
      </c>
      <c r="C191" s="38">
        <v>75000</v>
      </c>
    </row>
    <row r="192" spans="1:3" x14ac:dyDescent="0.3">
      <c r="A192" s="37" t="s">
        <v>2</v>
      </c>
      <c r="B192" s="37" t="s">
        <v>53</v>
      </c>
      <c r="C192" s="38"/>
    </row>
    <row r="193" spans="1:3" x14ac:dyDescent="0.3">
      <c r="A193" s="37" t="s">
        <v>2</v>
      </c>
      <c r="B193" s="37" t="s">
        <v>53</v>
      </c>
      <c r="C193" s="38">
        <v>79123.6875</v>
      </c>
    </row>
    <row r="194" spans="1:3" x14ac:dyDescent="0.3">
      <c r="A194" s="37" t="s">
        <v>2</v>
      </c>
      <c r="B194" s="37" t="s">
        <v>85</v>
      </c>
      <c r="C194" s="38">
        <v>51014</v>
      </c>
    </row>
    <row r="195" spans="1:3" x14ac:dyDescent="0.3">
      <c r="A195" s="37" t="s">
        <v>2</v>
      </c>
      <c r="B195" s="37" t="s">
        <v>53</v>
      </c>
      <c r="C195" s="38"/>
    </row>
    <row r="196" spans="1:3" x14ac:dyDescent="0.3">
      <c r="A196" s="37" t="s">
        <v>2</v>
      </c>
      <c r="B196" s="37" t="s">
        <v>53</v>
      </c>
      <c r="C196" s="38"/>
    </row>
    <row r="197" spans="1:3" x14ac:dyDescent="0.3">
      <c r="A197" s="37" t="s">
        <v>2</v>
      </c>
      <c r="B197" s="37" t="s">
        <v>86</v>
      </c>
      <c r="C197" s="38">
        <v>111202</v>
      </c>
    </row>
    <row r="198" spans="1:3" x14ac:dyDescent="0.3">
      <c r="A198" s="37" t="s">
        <v>2</v>
      </c>
      <c r="B198" s="37" t="s">
        <v>53</v>
      </c>
      <c r="C198" s="38">
        <v>143500</v>
      </c>
    </row>
    <row r="199" spans="1:3" x14ac:dyDescent="0.3">
      <c r="A199" s="37" t="s">
        <v>2</v>
      </c>
      <c r="B199" s="37" t="s">
        <v>53</v>
      </c>
      <c r="C199" s="38">
        <v>68000</v>
      </c>
    </row>
    <row r="200" spans="1:3" x14ac:dyDescent="0.3">
      <c r="A200" s="37" t="s">
        <v>2</v>
      </c>
      <c r="B200" s="37" t="s">
        <v>53</v>
      </c>
      <c r="C200" s="38"/>
    </row>
    <row r="201" spans="1:3" x14ac:dyDescent="0.3">
      <c r="A201" s="37" t="s">
        <v>2</v>
      </c>
      <c r="B201" s="37" t="s">
        <v>53</v>
      </c>
      <c r="C201" s="38">
        <v>100000</v>
      </c>
    </row>
    <row r="202" spans="1:3" x14ac:dyDescent="0.3">
      <c r="A202" s="37" t="s">
        <v>2</v>
      </c>
      <c r="B202" s="37" t="s">
        <v>53</v>
      </c>
      <c r="C202" s="38">
        <v>97500</v>
      </c>
    </row>
    <row r="203" spans="1:3" x14ac:dyDescent="0.3">
      <c r="A203" s="37" t="s">
        <v>2</v>
      </c>
      <c r="B203" s="37" t="s">
        <v>53</v>
      </c>
      <c r="C203" s="38">
        <v>67500</v>
      </c>
    </row>
    <row r="204" spans="1:3" x14ac:dyDescent="0.3">
      <c r="A204" s="37" t="s">
        <v>2</v>
      </c>
      <c r="B204" s="37" t="s">
        <v>53</v>
      </c>
      <c r="C204" s="38">
        <v>90000</v>
      </c>
    </row>
    <row r="205" spans="1:3" x14ac:dyDescent="0.3">
      <c r="A205" s="37" t="s">
        <v>2</v>
      </c>
      <c r="B205" s="37" t="s">
        <v>53</v>
      </c>
      <c r="C205" s="38"/>
    </row>
    <row r="206" spans="1:3" x14ac:dyDescent="0.3">
      <c r="A206" s="37" t="s">
        <v>2</v>
      </c>
      <c r="B206" s="37" t="s">
        <v>72</v>
      </c>
      <c r="C206" s="38">
        <v>89100</v>
      </c>
    </row>
    <row r="207" spans="1:3" x14ac:dyDescent="0.3">
      <c r="A207" s="37" t="s">
        <v>2</v>
      </c>
      <c r="B207" s="37" t="s">
        <v>53</v>
      </c>
      <c r="C207" s="38">
        <v>105050</v>
      </c>
    </row>
    <row r="208" spans="1:3" x14ac:dyDescent="0.3">
      <c r="A208" s="37" t="s">
        <v>2</v>
      </c>
      <c r="B208" s="37" t="s">
        <v>53</v>
      </c>
      <c r="C208" s="38">
        <v>138615</v>
      </c>
    </row>
    <row r="209" spans="1:3" x14ac:dyDescent="0.3">
      <c r="A209" s="37" t="s">
        <v>2</v>
      </c>
      <c r="B209" s="37" t="s">
        <v>53</v>
      </c>
      <c r="C209" s="38"/>
    </row>
    <row r="210" spans="1:3" x14ac:dyDescent="0.3">
      <c r="A210" s="37" t="s">
        <v>2</v>
      </c>
      <c r="B210" s="37" t="s">
        <v>53</v>
      </c>
      <c r="C210" s="38">
        <v>59000</v>
      </c>
    </row>
    <row r="211" spans="1:3" x14ac:dyDescent="0.3">
      <c r="A211" s="37" t="s">
        <v>2</v>
      </c>
      <c r="B211" s="37" t="s">
        <v>87</v>
      </c>
      <c r="C211" s="38">
        <v>72900</v>
      </c>
    </row>
    <row r="212" spans="1:3" x14ac:dyDescent="0.3">
      <c r="A212" s="37" t="s">
        <v>2</v>
      </c>
      <c r="B212" s="37" t="s">
        <v>53</v>
      </c>
      <c r="C212" s="38">
        <v>62500</v>
      </c>
    </row>
    <row r="213" spans="1:3" x14ac:dyDescent="0.3">
      <c r="A213" s="37" t="s">
        <v>2</v>
      </c>
      <c r="B213" s="37" t="s">
        <v>53</v>
      </c>
      <c r="C213" s="38"/>
    </row>
    <row r="214" spans="1:3" x14ac:dyDescent="0.3">
      <c r="A214" s="37" t="s">
        <v>2</v>
      </c>
      <c r="B214" s="37" t="s">
        <v>53</v>
      </c>
      <c r="C214" s="38"/>
    </row>
    <row r="215" spans="1:3" x14ac:dyDescent="0.3">
      <c r="A215" s="37" t="s">
        <v>2</v>
      </c>
      <c r="B215" s="37" t="s">
        <v>72</v>
      </c>
      <c r="C215" s="38">
        <v>98500</v>
      </c>
    </row>
    <row r="216" spans="1:3" x14ac:dyDescent="0.3">
      <c r="A216" s="37" t="s">
        <v>2</v>
      </c>
      <c r="B216" s="37" t="s">
        <v>53</v>
      </c>
      <c r="C216" s="38">
        <v>51014</v>
      </c>
    </row>
    <row r="217" spans="1:3" x14ac:dyDescent="0.3">
      <c r="A217" s="37" t="s">
        <v>2</v>
      </c>
      <c r="B217" s="37" t="s">
        <v>53</v>
      </c>
      <c r="C217" s="38"/>
    </row>
    <row r="218" spans="1:3" x14ac:dyDescent="0.3">
      <c r="A218" s="37" t="s">
        <v>2</v>
      </c>
      <c r="B218" s="37" t="s">
        <v>53</v>
      </c>
      <c r="C218" s="38">
        <v>125000</v>
      </c>
    </row>
    <row r="219" spans="1:3" x14ac:dyDescent="0.3">
      <c r="A219" s="37" t="s">
        <v>2</v>
      </c>
      <c r="B219" s="37" t="s">
        <v>53</v>
      </c>
      <c r="C219" s="38"/>
    </row>
    <row r="220" spans="1:3" x14ac:dyDescent="0.3">
      <c r="A220" s="37" t="s">
        <v>2</v>
      </c>
      <c r="B220" s="37" t="s">
        <v>53</v>
      </c>
      <c r="C220" s="38"/>
    </row>
    <row r="221" spans="1:3" x14ac:dyDescent="0.3">
      <c r="A221" s="37" t="s">
        <v>2</v>
      </c>
      <c r="B221" s="37" t="s">
        <v>70</v>
      </c>
      <c r="C221" s="38">
        <v>111202</v>
      </c>
    </row>
    <row r="222" spans="1:3" x14ac:dyDescent="0.3">
      <c r="A222" s="37" t="s">
        <v>2</v>
      </c>
      <c r="B222" s="37" t="s">
        <v>53</v>
      </c>
      <c r="C222" s="38">
        <v>90000</v>
      </c>
    </row>
    <row r="223" spans="1:3" x14ac:dyDescent="0.3">
      <c r="A223" s="37" t="s">
        <v>2</v>
      </c>
      <c r="B223" s="37" t="s">
        <v>53</v>
      </c>
      <c r="C223" s="38">
        <v>95000</v>
      </c>
    </row>
    <row r="224" spans="1:3" x14ac:dyDescent="0.3">
      <c r="A224" s="37" t="s">
        <v>2</v>
      </c>
      <c r="B224" s="37" t="s">
        <v>54</v>
      </c>
      <c r="C224" s="38"/>
    </row>
    <row r="225" spans="1:3" x14ac:dyDescent="0.3">
      <c r="A225" s="37" t="s">
        <v>2</v>
      </c>
      <c r="B225" s="37" t="s">
        <v>88</v>
      </c>
      <c r="C225" s="38">
        <v>111175</v>
      </c>
    </row>
    <row r="226" spans="1:3" x14ac:dyDescent="0.3">
      <c r="A226" s="37" t="s">
        <v>2</v>
      </c>
      <c r="B226" s="37" t="s">
        <v>53</v>
      </c>
      <c r="C226" s="38"/>
    </row>
    <row r="227" spans="1:3" x14ac:dyDescent="0.3">
      <c r="A227" s="37" t="s">
        <v>2</v>
      </c>
      <c r="B227" s="37" t="s">
        <v>53</v>
      </c>
      <c r="C227" s="38">
        <v>115000</v>
      </c>
    </row>
    <row r="228" spans="1:3" x14ac:dyDescent="0.3">
      <c r="A228" s="37" t="s">
        <v>2</v>
      </c>
      <c r="B228" s="37" t="s">
        <v>53</v>
      </c>
      <c r="C228" s="38"/>
    </row>
    <row r="229" spans="1:3" x14ac:dyDescent="0.3">
      <c r="A229" s="37" t="s">
        <v>2</v>
      </c>
      <c r="B229" s="37" t="s">
        <v>53</v>
      </c>
      <c r="C229" s="38">
        <v>125000</v>
      </c>
    </row>
    <row r="230" spans="1:3" x14ac:dyDescent="0.3">
      <c r="A230" s="37" t="s">
        <v>2</v>
      </c>
      <c r="B230" s="37" t="s">
        <v>53</v>
      </c>
      <c r="C230" s="38"/>
    </row>
    <row r="231" spans="1:3" x14ac:dyDescent="0.3">
      <c r="A231" s="37" t="s">
        <v>2</v>
      </c>
      <c r="B231" s="37" t="s">
        <v>53</v>
      </c>
      <c r="C231" s="38">
        <v>89300</v>
      </c>
    </row>
    <row r="232" spans="1:3" x14ac:dyDescent="0.3">
      <c r="A232" s="37" t="s">
        <v>2</v>
      </c>
      <c r="B232" s="37" t="s">
        <v>53</v>
      </c>
      <c r="C232" s="38">
        <v>115791.5</v>
      </c>
    </row>
    <row r="233" spans="1:3" x14ac:dyDescent="0.3">
      <c r="A233" s="37" t="s">
        <v>2</v>
      </c>
      <c r="B233" s="37" t="s">
        <v>53</v>
      </c>
      <c r="C233" s="38">
        <v>53357</v>
      </c>
    </row>
    <row r="234" spans="1:3" x14ac:dyDescent="0.3">
      <c r="A234" s="37" t="s">
        <v>2</v>
      </c>
      <c r="B234" s="37" t="s">
        <v>53</v>
      </c>
      <c r="C234" s="38"/>
    </row>
    <row r="235" spans="1:3" x14ac:dyDescent="0.3">
      <c r="A235" s="37" t="s">
        <v>2</v>
      </c>
      <c r="B235" s="37" t="s">
        <v>89</v>
      </c>
      <c r="C235" s="38">
        <v>51014</v>
      </c>
    </row>
    <row r="236" spans="1:3" x14ac:dyDescent="0.3">
      <c r="A236" s="37" t="s">
        <v>2</v>
      </c>
      <c r="B236" s="37" t="s">
        <v>53</v>
      </c>
      <c r="C236" s="38">
        <v>83862.5</v>
      </c>
    </row>
    <row r="237" spans="1:3" x14ac:dyDescent="0.3">
      <c r="A237" s="37" t="s">
        <v>2</v>
      </c>
      <c r="B237" s="37" t="s">
        <v>90</v>
      </c>
      <c r="C237" s="38">
        <v>165000</v>
      </c>
    </row>
    <row r="238" spans="1:3" x14ac:dyDescent="0.3">
      <c r="A238" s="37" t="s">
        <v>2</v>
      </c>
      <c r="B238" s="37" t="s">
        <v>53</v>
      </c>
      <c r="C238" s="38">
        <v>65085</v>
      </c>
    </row>
    <row r="239" spans="1:3" x14ac:dyDescent="0.3">
      <c r="A239" s="37" t="s">
        <v>2</v>
      </c>
      <c r="B239" s="37" t="s">
        <v>53</v>
      </c>
      <c r="C239" s="38"/>
    </row>
    <row r="240" spans="1:3" x14ac:dyDescent="0.3">
      <c r="A240" s="37" t="s">
        <v>2</v>
      </c>
      <c r="B240" s="37" t="s">
        <v>53</v>
      </c>
      <c r="C240" s="38">
        <v>85000</v>
      </c>
    </row>
    <row r="241" spans="1:3" x14ac:dyDescent="0.3">
      <c r="A241" s="37" t="s">
        <v>2</v>
      </c>
      <c r="B241" s="37" t="s">
        <v>91</v>
      </c>
      <c r="C241" s="38">
        <v>100500</v>
      </c>
    </row>
    <row r="242" spans="1:3" x14ac:dyDescent="0.3">
      <c r="A242" s="37" t="s">
        <v>2</v>
      </c>
      <c r="B242" s="37" t="s">
        <v>54</v>
      </c>
      <c r="C242" s="38"/>
    </row>
    <row r="243" spans="1:3" x14ac:dyDescent="0.3">
      <c r="A243" s="37" t="s">
        <v>2</v>
      </c>
      <c r="B243" s="37" t="s">
        <v>54</v>
      </c>
      <c r="C243" s="38"/>
    </row>
    <row r="244" spans="1:3" x14ac:dyDescent="0.3">
      <c r="A244" s="37" t="s">
        <v>2</v>
      </c>
      <c r="B244" s="37" t="s">
        <v>53</v>
      </c>
      <c r="C244" s="38">
        <v>110000</v>
      </c>
    </row>
    <row r="245" spans="1:3" x14ac:dyDescent="0.3">
      <c r="A245" s="37" t="s">
        <v>2</v>
      </c>
      <c r="B245" s="37" t="s">
        <v>54</v>
      </c>
      <c r="C245" s="38">
        <v>40000</v>
      </c>
    </row>
    <row r="246" spans="1:3" x14ac:dyDescent="0.3">
      <c r="A246" s="37" t="s">
        <v>2</v>
      </c>
      <c r="B246" s="37" t="s">
        <v>73</v>
      </c>
      <c r="C246" s="38">
        <v>111202</v>
      </c>
    </row>
    <row r="247" spans="1:3" x14ac:dyDescent="0.3">
      <c r="A247" s="37" t="s">
        <v>2</v>
      </c>
      <c r="B247" s="37" t="s">
        <v>53</v>
      </c>
      <c r="C247" s="38"/>
    </row>
    <row r="248" spans="1:3" x14ac:dyDescent="0.3">
      <c r="A248" s="37" t="s">
        <v>2</v>
      </c>
      <c r="B248" s="37" t="s">
        <v>53</v>
      </c>
      <c r="C248" s="38">
        <v>132500</v>
      </c>
    </row>
    <row r="249" spans="1:3" x14ac:dyDescent="0.3">
      <c r="A249" s="37" t="s">
        <v>2</v>
      </c>
      <c r="B249" s="37" t="s">
        <v>53</v>
      </c>
      <c r="C249" s="38">
        <v>47500</v>
      </c>
    </row>
    <row r="250" spans="1:3" x14ac:dyDescent="0.3">
      <c r="A250" s="37" t="s">
        <v>2</v>
      </c>
      <c r="B250" s="37" t="s">
        <v>53</v>
      </c>
      <c r="C250" s="38"/>
    </row>
    <row r="251" spans="1:3" x14ac:dyDescent="0.3">
      <c r="A251" s="37" t="s">
        <v>2</v>
      </c>
      <c r="B251" s="37" t="s">
        <v>53</v>
      </c>
      <c r="C251" s="38"/>
    </row>
    <row r="252" spans="1:3" x14ac:dyDescent="0.3">
      <c r="A252" s="37" t="s">
        <v>2</v>
      </c>
      <c r="B252" s="37" t="s">
        <v>53</v>
      </c>
      <c r="C252" s="38"/>
    </row>
    <row r="253" spans="1:3" x14ac:dyDescent="0.3">
      <c r="A253" s="37" t="s">
        <v>2</v>
      </c>
      <c r="B253" s="37" t="s">
        <v>53</v>
      </c>
      <c r="C253" s="38"/>
    </row>
    <row r="254" spans="1:3" x14ac:dyDescent="0.3">
      <c r="A254" s="37" t="s">
        <v>2</v>
      </c>
      <c r="B254" s="37" t="s">
        <v>53</v>
      </c>
      <c r="C254" s="38"/>
    </row>
    <row r="255" spans="1:3" x14ac:dyDescent="0.3">
      <c r="A255" s="37" t="s">
        <v>2</v>
      </c>
      <c r="B255" s="37" t="s">
        <v>54</v>
      </c>
      <c r="C255" s="38">
        <v>47500</v>
      </c>
    </row>
    <row r="256" spans="1:3" x14ac:dyDescent="0.3">
      <c r="A256" s="37" t="s">
        <v>2</v>
      </c>
      <c r="B256" s="37" t="s">
        <v>53</v>
      </c>
      <c r="C256" s="38"/>
    </row>
    <row r="257" spans="1:3" x14ac:dyDescent="0.3">
      <c r="A257" s="37" t="s">
        <v>2</v>
      </c>
      <c r="B257" s="37" t="s">
        <v>53</v>
      </c>
      <c r="C257" s="38">
        <v>90000</v>
      </c>
    </row>
    <row r="258" spans="1:3" x14ac:dyDescent="0.3">
      <c r="A258" s="37" t="s">
        <v>2</v>
      </c>
      <c r="B258" s="37" t="s">
        <v>53</v>
      </c>
      <c r="C258" s="38"/>
    </row>
    <row r="259" spans="1:3" x14ac:dyDescent="0.3">
      <c r="A259" s="37" t="s">
        <v>2</v>
      </c>
      <c r="B259" s="37" t="s">
        <v>53</v>
      </c>
      <c r="C259" s="38"/>
    </row>
    <row r="260" spans="1:3" x14ac:dyDescent="0.3">
      <c r="A260" s="37" t="s">
        <v>2</v>
      </c>
      <c r="B260" s="37" t="s">
        <v>54</v>
      </c>
      <c r="C260" s="38"/>
    </row>
    <row r="261" spans="1:3" x14ac:dyDescent="0.3">
      <c r="A261" s="37" t="s">
        <v>2</v>
      </c>
      <c r="B261" s="37" t="s">
        <v>92</v>
      </c>
      <c r="C261" s="38">
        <v>105650</v>
      </c>
    </row>
    <row r="262" spans="1:3" x14ac:dyDescent="0.3">
      <c r="A262" s="37" t="s">
        <v>2</v>
      </c>
      <c r="B262" s="37" t="s">
        <v>53</v>
      </c>
      <c r="C262" s="38"/>
    </row>
    <row r="263" spans="1:3" x14ac:dyDescent="0.3">
      <c r="A263" s="37" t="s">
        <v>2</v>
      </c>
      <c r="B263" s="37" t="s">
        <v>93</v>
      </c>
      <c r="C263" s="38"/>
    </row>
    <row r="264" spans="1:3" x14ac:dyDescent="0.3">
      <c r="A264" s="37" t="s">
        <v>2</v>
      </c>
      <c r="B264" s="37" t="s">
        <v>53</v>
      </c>
      <c r="C264" s="38"/>
    </row>
    <row r="265" spans="1:3" x14ac:dyDescent="0.3">
      <c r="A265" s="37" t="s">
        <v>2</v>
      </c>
      <c r="B265" s="37" t="s">
        <v>53</v>
      </c>
      <c r="C265" s="38">
        <v>87500</v>
      </c>
    </row>
    <row r="266" spans="1:3" x14ac:dyDescent="0.3">
      <c r="A266" s="37" t="s">
        <v>2</v>
      </c>
      <c r="B266" s="37" t="s">
        <v>53</v>
      </c>
      <c r="C266" s="38"/>
    </row>
    <row r="267" spans="1:3" x14ac:dyDescent="0.3">
      <c r="A267" s="37" t="s">
        <v>2</v>
      </c>
      <c r="B267" s="37" t="s">
        <v>94</v>
      </c>
      <c r="C267" s="38">
        <v>44100</v>
      </c>
    </row>
    <row r="268" spans="1:3" x14ac:dyDescent="0.3">
      <c r="A268" s="37" t="s">
        <v>2</v>
      </c>
      <c r="B268" s="37" t="s">
        <v>53</v>
      </c>
      <c r="C268" s="38">
        <v>96500</v>
      </c>
    </row>
    <row r="269" spans="1:3" x14ac:dyDescent="0.3">
      <c r="A269" s="37" t="s">
        <v>2</v>
      </c>
      <c r="B269" s="37" t="s">
        <v>86</v>
      </c>
      <c r="C269" s="38">
        <v>56700</v>
      </c>
    </row>
    <row r="270" spans="1:3" x14ac:dyDescent="0.3">
      <c r="A270" s="37" t="s">
        <v>2</v>
      </c>
      <c r="B270" s="37" t="s">
        <v>53</v>
      </c>
      <c r="C270" s="38">
        <v>55000</v>
      </c>
    </row>
    <row r="271" spans="1:3" x14ac:dyDescent="0.3">
      <c r="A271" s="37" t="s">
        <v>2</v>
      </c>
      <c r="B271" s="37" t="s">
        <v>88</v>
      </c>
      <c r="C271" s="38">
        <v>111175</v>
      </c>
    </row>
    <row r="272" spans="1:3" x14ac:dyDescent="0.3">
      <c r="A272" s="37" t="s">
        <v>2</v>
      </c>
      <c r="B272" s="37" t="s">
        <v>53</v>
      </c>
      <c r="C272" s="38">
        <v>110000</v>
      </c>
    </row>
    <row r="273" spans="1:3" x14ac:dyDescent="0.3">
      <c r="A273" s="37" t="s">
        <v>2</v>
      </c>
      <c r="B273" s="37" t="s">
        <v>53</v>
      </c>
      <c r="C273" s="38">
        <v>115000</v>
      </c>
    </row>
    <row r="274" spans="1:3" x14ac:dyDescent="0.3">
      <c r="A274" s="37" t="s">
        <v>2</v>
      </c>
      <c r="B274" s="37" t="s">
        <v>53</v>
      </c>
      <c r="C274" s="38">
        <v>97500</v>
      </c>
    </row>
    <row r="275" spans="1:3" x14ac:dyDescent="0.3">
      <c r="A275" s="37" t="s">
        <v>2</v>
      </c>
      <c r="B275" s="37" t="s">
        <v>54</v>
      </c>
      <c r="C275" s="38">
        <v>125000</v>
      </c>
    </row>
    <row r="276" spans="1:3" x14ac:dyDescent="0.3">
      <c r="A276" s="37" t="s">
        <v>2</v>
      </c>
      <c r="B276" s="37" t="s">
        <v>53</v>
      </c>
      <c r="C276" s="38">
        <v>50388</v>
      </c>
    </row>
    <row r="277" spans="1:3" x14ac:dyDescent="0.3">
      <c r="A277" s="37" t="s">
        <v>2</v>
      </c>
      <c r="B277" s="37" t="s">
        <v>53</v>
      </c>
      <c r="C277" s="38">
        <v>110000</v>
      </c>
    </row>
    <row r="278" spans="1:3" x14ac:dyDescent="0.3">
      <c r="A278" s="37" t="s">
        <v>2</v>
      </c>
      <c r="B278" s="37" t="s">
        <v>95</v>
      </c>
      <c r="C278" s="38">
        <v>98500</v>
      </c>
    </row>
    <row r="279" spans="1:3" x14ac:dyDescent="0.3">
      <c r="A279" s="37" t="s">
        <v>2</v>
      </c>
      <c r="B279" s="37" t="s">
        <v>53</v>
      </c>
      <c r="C279" s="38"/>
    </row>
    <row r="280" spans="1:3" x14ac:dyDescent="0.3">
      <c r="A280" s="37" t="s">
        <v>2</v>
      </c>
      <c r="B280" s="37" t="s">
        <v>53</v>
      </c>
      <c r="C280" s="38">
        <v>92500</v>
      </c>
    </row>
    <row r="281" spans="1:3" x14ac:dyDescent="0.3">
      <c r="A281" s="37" t="s">
        <v>2</v>
      </c>
      <c r="B281" s="37" t="s">
        <v>53</v>
      </c>
      <c r="C281" s="38"/>
    </row>
    <row r="282" spans="1:3" x14ac:dyDescent="0.3">
      <c r="A282" s="37" t="s">
        <v>2</v>
      </c>
      <c r="B282" s="37" t="s">
        <v>53</v>
      </c>
      <c r="C282" s="38"/>
    </row>
    <row r="283" spans="1:3" x14ac:dyDescent="0.3">
      <c r="A283" s="37" t="s">
        <v>2</v>
      </c>
      <c r="B283" s="37" t="s">
        <v>53</v>
      </c>
      <c r="C283" s="38">
        <v>222500</v>
      </c>
    </row>
    <row r="284" spans="1:3" x14ac:dyDescent="0.3">
      <c r="A284" s="37" t="s">
        <v>2</v>
      </c>
      <c r="B284" s="37" t="s">
        <v>53</v>
      </c>
      <c r="C284" s="38">
        <v>83243</v>
      </c>
    </row>
    <row r="285" spans="1:3" x14ac:dyDescent="0.3">
      <c r="A285" s="37" t="s">
        <v>2</v>
      </c>
      <c r="B285" s="37" t="s">
        <v>53</v>
      </c>
      <c r="C285" s="38"/>
    </row>
    <row r="286" spans="1:3" x14ac:dyDescent="0.3">
      <c r="A286" s="37" t="s">
        <v>2</v>
      </c>
      <c r="B286" s="37" t="s">
        <v>53</v>
      </c>
      <c r="C286" s="38"/>
    </row>
    <row r="287" spans="1:3" x14ac:dyDescent="0.3">
      <c r="A287" s="37" t="s">
        <v>2</v>
      </c>
      <c r="B287" s="37" t="s">
        <v>53</v>
      </c>
      <c r="C287" s="38"/>
    </row>
    <row r="288" spans="1:3" x14ac:dyDescent="0.3">
      <c r="A288" s="37" t="s">
        <v>2</v>
      </c>
      <c r="B288" s="37" t="s">
        <v>53</v>
      </c>
      <c r="C288" s="38">
        <v>81682</v>
      </c>
    </row>
    <row r="289" spans="1:3" x14ac:dyDescent="0.3">
      <c r="A289" s="37" t="s">
        <v>2</v>
      </c>
      <c r="B289" s="37" t="s">
        <v>56</v>
      </c>
      <c r="C289" s="38">
        <v>111202</v>
      </c>
    </row>
    <row r="290" spans="1:3" x14ac:dyDescent="0.3">
      <c r="A290" s="37" t="s">
        <v>2</v>
      </c>
      <c r="B290" s="37" t="s">
        <v>65</v>
      </c>
      <c r="C290" s="38">
        <v>56700</v>
      </c>
    </row>
    <row r="291" spans="1:3" x14ac:dyDescent="0.3">
      <c r="A291" s="37" t="s">
        <v>2</v>
      </c>
      <c r="B291" s="37" t="s">
        <v>53</v>
      </c>
      <c r="C291" s="38">
        <v>137500</v>
      </c>
    </row>
    <row r="292" spans="1:3" x14ac:dyDescent="0.3">
      <c r="A292" s="37" t="s">
        <v>2</v>
      </c>
      <c r="B292" s="37" t="s">
        <v>53</v>
      </c>
      <c r="C292" s="38"/>
    </row>
    <row r="293" spans="1:3" x14ac:dyDescent="0.3">
      <c r="A293" s="37" t="s">
        <v>2</v>
      </c>
      <c r="B293" s="37" t="s">
        <v>53</v>
      </c>
      <c r="C293" s="38">
        <v>115000</v>
      </c>
    </row>
    <row r="294" spans="1:3" x14ac:dyDescent="0.3">
      <c r="A294" s="37" t="s">
        <v>2</v>
      </c>
      <c r="B294" s="37" t="s">
        <v>70</v>
      </c>
      <c r="C294" s="38">
        <v>165000</v>
      </c>
    </row>
    <row r="295" spans="1:3" x14ac:dyDescent="0.3">
      <c r="A295" s="37" t="s">
        <v>2</v>
      </c>
      <c r="B295" s="37" t="s">
        <v>54</v>
      </c>
      <c r="C295" s="38">
        <v>85000</v>
      </c>
    </row>
    <row r="296" spans="1:3" x14ac:dyDescent="0.3">
      <c r="A296" s="37" t="s">
        <v>2</v>
      </c>
      <c r="B296" s="37" t="s">
        <v>53</v>
      </c>
      <c r="C296" s="38"/>
    </row>
    <row r="297" spans="1:3" x14ac:dyDescent="0.3">
      <c r="A297" s="37" t="s">
        <v>2</v>
      </c>
      <c r="B297" s="37" t="s">
        <v>53</v>
      </c>
      <c r="C297" s="38">
        <v>72500</v>
      </c>
    </row>
    <row r="298" spans="1:3" x14ac:dyDescent="0.3">
      <c r="A298" s="37" t="s">
        <v>2</v>
      </c>
      <c r="B298" s="37" t="s">
        <v>53</v>
      </c>
      <c r="C298" s="38"/>
    </row>
    <row r="299" spans="1:3" x14ac:dyDescent="0.3">
      <c r="A299" s="37" t="s">
        <v>2</v>
      </c>
      <c r="B299" s="37" t="s">
        <v>96</v>
      </c>
      <c r="C299" s="38">
        <v>45000</v>
      </c>
    </row>
    <row r="300" spans="1:3" x14ac:dyDescent="0.3">
      <c r="A300" s="37" t="s">
        <v>2</v>
      </c>
      <c r="B300" s="37" t="s">
        <v>53</v>
      </c>
      <c r="C300" s="38">
        <v>46103</v>
      </c>
    </row>
    <row r="301" spans="1:3" x14ac:dyDescent="0.3">
      <c r="A301" s="37" t="s">
        <v>2</v>
      </c>
      <c r="B301" s="37" t="s">
        <v>53</v>
      </c>
      <c r="C301" s="38">
        <v>100000</v>
      </c>
    </row>
    <row r="302" spans="1:3" x14ac:dyDescent="0.3">
      <c r="A302" s="37" t="s">
        <v>2</v>
      </c>
      <c r="B302" s="37" t="s">
        <v>53</v>
      </c>
      <c r="C302" s="38"/>
    </row>
    <row r="303" spans="1:3" x14ac:dyDescent="0.3">
      <c r="A303" s="37" t="s">
        <v>2</v>
      </c>
      <c r="B303" s="37" t="s">
        <v>53</v>
      </c>
      <c r="C303" s="38">
        <v>50000</v>
      </c>
    </row>
    <row r="304" spans="1:3" x14ac:dyDescent="0.3">
      <c r="A304" s="37" t="s">
        <v>2</v>
      </c>
      <c r="B304" s="37" t="s">
        <v>53</v>
      </c>
      <c r="C304" s="38">
        <v>50000</v>
      </c>
    </row>
    <row r="305" spans="1:3" x14ac:dyDescent="0.3">
      <c r="A305" s="37" t="s">
        <v>2</v>
      </c>
      <c r="B305" s="37" t="s">
        <v>53</v>
      </c>
      <c r="C305" s="38"/>
    </row>
    <row r="306" spans="1:3" x14ac:dyDescent="0.3">
      <c r="A306" s="37" t="s">
        <v>2</v>
      </c>
      <c r="B306" s="37" t="s">
        <v>53</v>
      </c>
      <c r="C306" s="38">
        <v>67500</v>
      </c>
    </row>
    <row r="307" spans="1:3" x14ac:dyDescent="0.3">
      <c r="A307" s="37" t="s">
        <v>2</v>
      </c>
      <c r="B307" s="37" t="s">
        <v>53</v>
      </c>
      <c r="C307" s="38"/>
    </row>
    <row r="308" spans="1:3" x14ac:dyDescent="0.3">
      <c r="A308" s="37" t="s">
        <v>2</v>
      </c>
      <c r="B308" s="37" t="s">
        <v>53</v>
      </c>
      <c r="C308" s="38">
        <v>90000</v>
      </c>
    </row>
    <row r="309" spans="1:3" x14ac:dyDescent="0.3">
      <c r="A309" s="37" t="s">
        <v>2</v>
      </c>
      <c r="B309" s="37" t="s">
        <v>53</v>
      </c>
      <c r="C309" s="38">
        <v>63991</v>
      </c>
    </row>
    <row r="310" spans="1:3" x14ac:dyDescent="0.3">
      <c r="A310" s="37" t="s">
        <v>2</v>
      </c>
      <c r="B310" s="37" t="s">
        <v>53</v>
      </c>
      <c r="C310" s="38">
        <v>61266.3984375</v>
      </c>
    </row>
    <row r="311" spans="1:3" x14ac:dyDescent="0.3">
      <c r="A311" s="37" t="s">
        <v>2</v>
      </c>
      <c r="B311" s="37" t="s">
        <v>53</v>
      </c>
      <c r="C311" s="38"/>
    </row>
    <row r="312" spans="1:3" x14ac:dyDescent="0.3">
      <c r="A312" s="37" t="s">
        <v>2</v>
      </c>
      <c r="B312" s="37" t="s">
        <v>53</v>
      </c>
      <c r="C312" s="38">
        <v>85000</v>
      </c>
    </row>
    <row r="313" spans="1:3" x14ac:dyDescent="0.3">
      <c r="A313" s="37" t="s">
        <v>2</v>
      </c>
      <c r="B313" s="37" t="s">
        <v>53</v>
      </c>
      <c r="C313" s="38">
        <v>77500</v>
      </c>
    </row>
    <row r="314" spans="1:3" x14ac:dyDescent="0.3">
      <c r="A314" s="37" t="s">
        <v>2</v>
      </c>
      <c r="B314" s="37" t="s">
        <v>53</v>
      </c>
      <c r="C314" s="38"/>
    </row>
    <row r="315" spans="1:3" x14ac:dyDescent="0.3">
      <c r="A315" s="37" t="s">
        <v>2</v>
      </c>
      <c r="B315" s="37" t="s">
        <v>53</v>
      </c>
      <c r="C315" s="38"/>
    </row>
    <row r="316" spans="1:3" x14ac:dyDescent="0.3">
      <c r="A316" s="37" t="s">
        <v>2</v>
      </c>
      <c r="B316" s="37" t="s">
        <v>53</v>
      </c>
      <c r="C316" s="38">
        <v>51232</v>
      </c>
    </row>
    <row r="317" spans="1:3" x14ac:dyDescent="0.3">
      <c r="A317" s="37" t="s">
        <v>2</v>
      </c>
      <c r="B317" s="37" t="s">
        <v>73</v>
      </c>
      <c r="C317" s="38">
        <v>100500</v>
      </c>
    </row>
    <row r="318" spans="1:3" x14ac:dyDescent="0.3">
      <c r="A318" s="37" t="s">
        <v>2</v>
      </c>
      <c r="B318" s="37" t="s">
        <v>65</v>
      </c>
      <c r="C318" s="38">
        <v>51014</v>
      </c>
    </row>
    <row r="319" spans="1:3" x14ac:dyDescent="0.3">
      <c r="A319" s="37" t="s">
        <v>2</v>
      </c>
      <c r="B319" s="37" t="s">
        <v>53</v>
      </c>
      <c r="C319" s="38"/>
    </row>
    <row r="320" spans="1:3" x14ac:dyDescent="0.3">
      <c r="A320" s="37" t="s">
        <v>2</v>
      </c>
      <c r="B320" s="37" t="s">
        <v>53</v>
      </c>
      <c r="C320" s="38">
        <v>65000</v>
      </c>
    </row>
    <row r="321" spans="1:3" x14ac:dyDescent="0.3">
      <c r="A321" s="37" t="s">
        <v>2</v>
      </c>
      <c r="B321" s="37" t="s">
        <v>53</v>
      </c>
      <c r="C321" s="38">
        <v>55000</v>
      </c>
    </row>
    <row r="322" spans="1:3" x14ac:dyDescent="0.3">
      <c r="A322" s="37" t="s">
        <v>2</v>
      </c>
      <c r="B322" s="37" t="s">
        <v>53</v>
      </c>
      <c r="C322" s="38">
        <v>132315</v>
      </c>
    </row>
    <row r="323" spans="1:3" x14ac:dyDescent="0.3">
      <c r="A323" s="37" t="s">
        <v>2</v>
      </c>
      <c r="B323" s="37" t="s">
        <v>53</v>
      </c>
      <c r="C323" s="38"/>
    </row>
    <row r="324" spans="1:3" x14ac:dyDescent="0.3">
      <c r="A324" s="37" t="s">
        <v>2</v>
      </c>
      <c r="B324" s="37" t="s">
        <v>53</v>
      </c>
      <c r="C324" s="38">
        <v>146100</v>
      </c>
    </row>
    <row r="325" spans="1:3" x14ac:dyDescent="0.3">
      <c r="A325" s="37" t="s">
        <v>2</v>
      </c>
      <c r="B325" s="37" t="s">
        <v>53</v>
      </c>
      <c r="C325" s="38">
        <v>50000</v>
      </c>
    </row>
    <row r="326" spans="1:3" x14ac:dyDescent="0.3">
      <c r="A326" s="37" t="s">
        <v>2</v>
      </c>
      <c r="B326" s="37" t="s">
        <v>97</v>
      </c>
      <c r="C326" s="38">
        <v>51014</v>
      </c>
    </row>
    <row r="327" spans="1:3" x14ac:dyDescent="0.3">
      <c r="A327" s="37" t="s">
        <v>2</v>
      </c>
      <c r="B327" s="37" t="s">
        <v>53</v>
      </c>
      <c r="C327" s="38"/>
    </row>
    <row r="328" spans="1:3" x14ac:dyDescent="0.3">
      <c r="A328" s="37" t="s">
        <v>2</v>
      </c>
      <c r="B328" s="37" t="s">
        <v>53</v>
      </c>
      <c r="C328" s="38">
        <v>118000</v>
      </c>
    </row>
    <row r="329" spans="1:3" x14ac:dyDescent="0.3">
      <c r="A329" s="37" t="s">
        <v>2</v>
      </c>
      <c r="B329" s="37" t="s">
        <v>98</v>
      </c>
      <c r="C329" s="38">
        <v>200000</v>
      </c>
    </row>
    <row r="330" spans="1:3" x14ac:dyDescent="0.3">
      <c r="A330" s="37" t="s">
        <v>2</v>
      </c>
      <c r="B330" s="37" t="s">
        <v>53</v>
      </c>
      <c r="C330" s="38">
        <v>56000</v>
      </c>
    </row>
    <row r="331" spans="1:3" x14ac:dyDescent="0.3">
      <c r="A331" s="37" t="s">
        <v>2</v>
      </c>
      <c r="B331" s="37" t="s">
        <v>53</v>
      </c>
      <c r="C331" s="38">
        <v>77500</v>
      </c>
    </row>
    <row r="332" spans="1:3" x14ac:dyDescent="0.3">
      <c r="A332" s="37" t="s">
        <v>2</v>
      </c>
      <c r="B332" s="37" t="s">
        <v>53</v>
      </c>
      <c r="C332" s="38">
        <v>115000</v>
      </c>
    </row>
    <row r="333" spans="1:3" x14ac:dyDescent="0.3">
      <c r="A333" s="37" t="s">
        <v>2</v>
      </c>
      <c r="B333" s="37" t="s">
        <v>80</v>
      </c>
      <c r="C333" s="38">
        <v>111175</v>
      </c>
    </row>
    <row r="334" spans="1:3" x14ac:dyDescent="0.3">
      <c r="A334" s="37" t="s">
        <v>2</v>
      </c>
      <c r="B334" s="37" t="s">
        <v>53</v>
      </c>
      <c r="C334" s="38">
        <v>100000</v>
      </c>
    </row>
    <row r="335" spans="1:3" x14ac:dyDescent="0.3">
      <c r="A335" s="37" t="s">
        <v>2</v>
      </c>
      <c r="B335" s="37" t="s">
        <v>53</v>
      </c>
      <c r="C335" s="38">
        <v>155000</v>
      </c>
    </row>
    <row r="336" spans="1:3" x14ac:dyDescent="0.3">
      <c r="A336" s="37" t="s">
        <v>2</v>
      </c>
      <c r="B336" s="37" t="s">
        <v>53</v>
      </c>
      <c r="C336" s="38">
        <v>52500</v>
      </c>
    </row>
    <row r="337" spans="1:3" x14ac:dyDescent="0.3">
      <c r="A337" s="37" t="s">
        <v>2</v>
      </c>
      <c r="B337" s="37" t="s">
        <v>98</v>
      </c>
      <c r="C337" s="38">
        <v>98500</v>
      </c>
    </row>
    <row r="338" spans="1:3" x14ac:dyDescent="0.3">
      <c r="A338" s="37" t="s">
        <v>2</v>
      </c>
      <c r="B338" s="37" t="s">
        <v>53</v>
      </c>
      <c r="C338" s="38">
        <v>95000</v>
      </c>
    </row>
    <row r="339" spans="1:3" x14ac:dyDescent="0.3">
      <c r="A339" s="37" t="s">
        <v>2</v>
      </c>
      <c r="B339" s="37" t="s">
        <v>53</v>
      </c>
      <c r="C339" s="38">
        <v>133285</v>
      </c>
    </row>
    <row r="340" spans="1:3" x14ac:dyDescent="0.3">
      <c r="A340" s="37" t="s">
        <v>2</v>
      </c>
      <c r="B340" s="37" t="s">
        <v>69</v>
      </c>
      <c r="C340" s="38">
        <v>80850</v>
      </c>
    </row>
    <row r="341" spans="1:3" x14ac:dyDescent="0.3">
      <c r="A341" s="37" t="s">
        <v>2</v>
      </c>
      <c r="B341" s="37" t="s">
        <v>99</v>
      </c>
      <c r="C341" s="38">
        <v>98500</v>
      </c>
    </row>
    <row r="342" spans="1:3" x14ac:dyDescent="0.3">
      <c r="A342" s="37" t="s">
        <v>2</v>
      </c>
      <c r="B342" s="37" t="s">
        <v>53</v>
      </c>
      <c r="C342" s="38"/>
    </row>
    <row r="343" spans="1:3" x14ac:dyDescent="0.3">
      <c r="A343" s="37" t="s">
        <v>2</v>
      </c>
      <c r="B343" s="37" t="s">
        <v>53</v>
      </c>
      <c r="C343" s="38"/>
    </row>
    <row r="344" spans="1:3" x14ac:dyDescent="0.3">
      <c r="A344" s="37" t="s">
        <v>2</v>
      </c>
      <c r="B344" s="37" t="s">
        <v>54</v>
      </c>
      <c r="C344" s="38">
        <v>111175</v>
      </c>
    </row>
    <row r="345" spans="1:3" x14ac:dyDescent="0.3">
      <c r="A345" s="37" t="s">
        <v>2</v>
      </c>
      <c r="B345" s="37" t="s">
        <v>73</v>
      </c>
      <c r="C345" s="38">
        <v>147500</v>
      </c>
    </row>
    <row r="346" spans="1:3" x14ac:dyDescent="0.3">
      <c r="A346" s="37" t="s">
        <v>2</v>
      </c>
      <c r="B346" s="37" t="s">
        <v>53</v>
      </c>
      <c r="C346" s="38">
        <v>100000</v>
      </c>
    </row>
    <row r="347" spans="1:3" x14ac:dyDescent="0.3">
      <c r="A347" s="37" t="s">
        <v>2</v>
      </c>
      <c r="B347" s="37" t="s">
        <v>53</v>
      </c>
      <c r="C347" s="38">
        <v>70000</v>
      </c>
    </row>
    <row r="348" spans="1:3" x14ac:dyDescent="0.3">
      <c r="A348" s="37" t="s">
        <v>2</v>
      </c>
      <c r="B348" s="37" t="s">
        <v>53</v>
      </c>
      <c r="C348" s="38"/>
    </row>
    <row r="349" spans="1:3" x14ac:dyDescent="0.3">
      <c r="A349" s="37" t="s">
        <v>2</v>
      </c>
      <c r="B349" s="37" t="s">
        <v>53</v>
      </c>
      <c r="C349" s="38">
        <v>85000</v>
      </c>
    </row>
    <row r="350" spans="1:3" x14ac:dyDescent="0.3">
      <c r="A350" s="37" t="s">
        <v>2</v>
      </c>
      <c r="B350" s="37" t="s">
        <v>100</v>
      </c>
      <c r="C350" s="38">
        <v>79200</v>
      </c>
    </row>
    <row r="351" spans="1:3" x14ac:dyDescent="0.3">
      <c r="A351" s="37" t="s">
        <v>2</v>
      </c>
      <c r="B351" s="37" t="s">
        <v>53</v>
      </c>
      <c r="C351" s="38">
        <v>57000</v>
      </c>
    </row>
    <row r="352" spans="1:3" x14ac:dyDescent="0.3">
      <c r="A352" s="37" t="s">
        <v>2</v>
      </c>
      <c r="B352" s="37" t="s">
        <v>53</v>
      </c>
      <c r="C352" s="38">
        <v>45000</v>
      </c>
    </row>
    <row r="353" spans="1:3" x14ac:dyDescent="0.3">
      <c r="A353" s="37" t="s">
        <v>2</v>
      </c>
      <c r="B353" s="37" t="s">
        <v>53</v>
      </c>
      <c r="C353" s="38">
        <v>97500</v>
      </c>
    </row>
    <row r="354" spans="1:3" x14ac:dyDescent="0.3">
      <c r="A354" s="37" t="s">
        <v>2</v>
      </c>
      <c r="B354" s="37" t="s">
        <v>53</v>
      </c>
      <c r="C354" s="38">
        <v>115000</v>
      </c>
    </row>
    <row r="355" spans="1:3" x14ac:dyDescent="0.3">
      <c r="A355" s="37" t="s">
        <v>2</v>
      </c>
      <c r="B355" s="37" t="s">
        <v>53</v>
      </c>
      <c r="C355" s="38">
        <v>121065</v>
      </c>
    </row>
    <row r="356" spans="1:3" x14ac:dyDescent="0.3">
      <c r="A356" s="37" t="s">
        <v>2</v>
      </c>
      <c r="B356" s="37" t="s">
        <v>53</v>
      </c>
      <c r="C356" s="38">
        <v>218500</v>
      </c>
    </row>
    <row r="357" spans="1:3" x14ac:dyDescent="0.3">
      <c r="A357" s="37" t="s">
        <v>2</v>
      </c>
      <c r="B357" s="37" t="s">
        <v>53</v>
      </c>
      <c r="C357" s="38">
        <v>75000</v>
      </c>
    </row>
    <row r="358" spans="1:3" x14ac:dyDescent="0.3">
      <c r="A358" s="37" t="s">
        <v>2</v>
      </c>
      <c r="B358" s="37" t="s">
        <v>53</v>
      </c>
      <c r="C358" s="38"/>
    </row>
    <row r="359" spans="1:3" x14ac:dyDescent="0.3">
      <c r="A359" s="37" t="s">
        <v>2</v>
      </c>
      <c r="B359" s="37" t="s">
        <v>54</v>
      </c>
      <c r="C359" s="38">
        <v>112500</v>
      </c>
    </row>
    <row r="360" spans="1:3" x14ac:dyDescent="0.3">
      <c r="A360" s="37" t="s">
        <v>2</v>
      </c>
      <c r="B360" s="37" t="s">
        <v>53</v>
      </c>
      <c r="C360" s="38">
        <v>172015</v>
      </c>
    </row>
    <row r="361" spans="1:3" x14ac:dyDescent="0.3">
      <c r="A361" s="37" t="s">
        <v>2</v>
      </c>
      <c r="B361" s="37" t="s">
        <v>53</v>
      </c>
      <c r="C361" s="38">
        <v>104750</v>
      </c>
    </row>
    <row r="362" spans="1:3" x14ac:dyDescent="0.3">
      <c r="A362" s="37" t="s">
        <v>2</v>
      </c>
      <c r="B362" s="37" t="s">
        <v>53</v>
      </c>
      <c r="C362" s="38"/>
    </row>
    <row r="363" spans="1:3" x14ac:dyDescent="0.3">
      <c r="A363" s="37" t="s">
        <v>2</v>
      </c>
      <c r="B363" s="37" t="s">
        <v>53</v>
      </c>
      <c r="C363" s="38"/>
    </row>
    <row r="364" spans="1:3" x14ac:dyDescent="0.3">
      <c r="A364" s="37" t="s">
        <v>2</v>
      </c>
      <c r="B364" s="37" t="s">
        <v>53</v>
      </c>
      <c r="C364" s="38"/>
    </row>
    <row r="365" spans="1:3" x14ac:dyDescent="0.3">
      <c r="A365" s="37" t="s">
        <v>2</v>
      </c>
      <c r="B365" s="37" t="s">
        <v>53</v>
      </c>
      <c r="C365" s="38">
        <v>115000</v>
      </c>
    </row>
    <row r="366" spans="1:3" x14ac:dyDescent="0.3">
      <c r="A366" s="37" t="s">
        <v>2</v>
      </c>
      <c r="B366" s="37" t="s">
        <v>90</v>
      </c>
      <c r="C366" s="38">
        <v>51014</v>
      </c>
    </row>
    <row r="367" spans="1:3" x14ac:dyDescent="0.3">
      <c r="A367" s="37" t="s">
        <v>2</v>
      </c>
      <c r="B367" s="37" t="s">
        <v>73</v>
      </c>
      <c r="C367" s="38">
        <v>51014</v>
      </c>
    </row>
    <row r="368" spans="1:3" x14ac:dyDescent="0.3">
      <c r="A368" s="37" t="s">
        <v>2</v>
      </c>
      <c r="B368" s="37" t="s">
        <v>53</v>
      </c>
      <c r="C368" s="38">
        <v>52366.3984375</v>
      </c>
    </row>
    <row r="369" spans="1:3" x14ac:dyDescent="0.3">
      <c r="A369" s="37" t="s">
        <v>2</v>
      </c>
      <c r="B369" s="37" t="s">
        <v>53</v>
      </c>
      <c r="C369" s="38">
        <v>52500</v>
      </c>
    </row>
    <row r="370" spans="1:3" x14ac:dyDescent="0.3">
      <c r="A370" s="37" t="s">
        <v>2</v>
      </c>
      <c r="B370" s="37" t="s">
        <v>53</v>
      </c>
      <c r="C370" s="38">
        <v>57500</v>
      </c>
    </row>
    <row r="371" spans="1:3" x14ac:dyDescent="0.3">
      <c r="A371" s="37" t="s">
        <v>2</v>
      </c>
      <c r="B371" s="37" t="s">
        <v>53</v>
      </c>
      <c r="C371" s="38">
        <v>80000</v>
      </c>
    </row>
    <row r="372" spans="1:3" x14ac:dyDescent="0.3">
      <c r="A372" s="37" t="s">
        <v>2</v>
      </c>
      <c r="B372" s="37" t="s">
        <v>53</v>
      </c>
      <c r="C372" s="38">
        <v>111202</v>
      </c>
    </row>
    <row r="373" spans="1:3" x14ac:dyDescent="0.3">
      <c r="A373" s="37" t="s">
        <v>2</v>
      </c>
      <c r="B373" s="37" t="s">
        <v>53</v>
      </c>
      <c r="C373" s="38">
        <v>118222</v>
      </c>
    </row>
    <row r="374" spans="1:3" x14ac:dyDescent="0.3">
      <c r="A374" s="37" t="s">
        <v>2</v>
      </c>
      <c r="B374" s="37" t="s">
        <v>53</v>
      </c>
      <c r="C374" s="38"/>
    </row>
    <row r="375" spans="1:3" x14ac:dyDescent="0.3">
      <c r="A375" s="37" t="s">
        <v>2</v>
      </c>
      <c r="B375" s="37" t="s">
        <v>53</v>
      </c>
      <c r="C375" s="38"/>
    </row>
    <row r="376" spans="1:3" x14ac:dyDescent="0.3">
      <c r="A376" s="37" t="s">
        <v>2</v>
      </c>
      <c r="B376" s="37" t="s">
        <v>87</v>
      </c>
      <c r="C376" s="38">
        <v>51014</v>
      </c>
    </row>
    <row r="377" spans="1:3" x14ac:dyDescent="0.3">
      <c r="A377" s="37" t="s">
        <v>2</v>
      </c>
      <c r="B377" s="37" t="s">
        <v>97</v>
      </c>
      <c r="C377" s="38">
        <v>111202</v>
      </c>
    </row>
    <row r="378" spans="1:3" x14ac:dyDescent="0.3">
      <c r="A378" s="37" t="s">
        <v>2</v>
      </c>
      <c r="B378" s="37" t="s">
        <v>53</v>
      </c>
      <c r="C378" s="38">
        <v>55080</v>
      </c>
    </row>
    <row r="379" spans="1:3" x14ac:dyDescent="0.3">
      <c r="A379" s="37" t="s">
        <v>2</v>
      </c>
      <c r="B379" s="37" t="s">
        <v>53</v>
      </c>
      <c r="C379" s="38"/>
    </row>
    <row r="380" spans="1:3" x14ac:dyDescent="0.3">
      <c r="A380" s="37" t="s">
        <v>2</v>
      </c>
      <c r="B380" s="37" t="s">
        <v>53</v>
      </c>
      <c r="C380" s="38"/>
    </row>
    <row r="381" spans="1:3" x14ac:dyDescent="0.3">
      <c r="A381" s="37" t="s">
        <v>2</v>
      </c>
      <c r="B381" s="37" t="s">
        <v>53</v>
      </c>
      <c r="C381" s="38"/>
    </row>
    <row r="382" spans="1:3" x14ac:dyDescent="0.3">
      <c r="A382" s="37" t="s">
        <v>2</v>
      </c>
      <c r="B382" s="37" t="s">
        <v>73</v>
      </c>
      <c r="C382" s="38">
        <v>80850</v>
      </c>
    </row>
    <row r="383" spans="1:3" x14ac:dyDescent="0.3">
      <c r="A383" s="37" t="s">
        <v>2</v>
      </c>
      <c r="B383" s="37" t="s">
        <v>53</v>
      </c>
      <c r="C383" s="38"/>
    </row>
    <row r="384" spans="1:3" x14ac:dyDescent="0.3">
      <c r="A384" s="37" t="s">
        <v>2</v>
      </c>
      <c r="B384" s="37" t="s">
        <v>53</v>
      </c>
      <c r="C384" s="38"/>
    </row>
    <row r="385" spans="1:3" x14ac:dyDescent="0.3">
      <c r="A385" s="37" t="s">
        <v>2</v>
      </c>
      <c r="B385" s="37" t="s">
        <v>101</v>
      </c>
      <c r="C385" s="38">
        <v>45000</v>
      </c>
    </row>
    <row r="386" spans="1:3" x14ac:dyDescent="0.3">
      <c r="A386" s="37" t="s">
        <v>2</v>
      </c>
      <c r="B386" s="37" t="s">
        <v>53</v>
      </c>
      <c r="C386" s="38"/>
    </row>
    <row r="387" spans="1:3" x14ac:dyDescent="0.3">
      <c r="A387" s="37" t="s">
        <v>2</v>
      </c>
      <c r="B387" s="37" t="s">
        <v>54</v>
      </c>
      <c r="C387" s="38"/>
    </row>
    <row r="388" spans="1:3" x14ac:dyDescent="0.3">
      <c r="A388" s="37" t="s">
        <v>2</v>
      </c>
      <c r="B388" s="37" t="s">
        <v>53</v>
      </c>
      <c r="C388" s="38">
        <v>85000</v>
      </c>
    </row>
    <row r="389" spans="1:3" x14ac:dyDescent="0.3">
      <c r="A389" s="37" t="s">
        <v>2</v>
      </c>
      <c r="B389" s="37" t="s">
        <v>53</v>
      </c>
      <c r="C389" s="38"/>
    </row>
    <row r="390" spans="1:3" x14ac:dyDescent="0.3">
      <c r="A390" s="37" t="s">
        <v>2</v>
      </c>
      <c r="B390" s="37" t="s">
        <v>53</v>
      </c>
      <c r="C390" s="38">
        <v>60000</v>
      </c>
    </row>
    <row r="391" spans="1:3" x14ac:dyDescent="0.3">
      <c r="A391" s="37" t="s">
        <v>2</v>
      </c>
      <c r="B391" s="37" t="s">
        <v>65</v>
      </c>
      <c r="C391" s="38">
        <v>111175</v>
      </c>
    </row>
    <row r="392" spans="1:3" x14ac:dyDescent="0.3">
      <c r="A392" s="37" t="s">
        <v>2</v>
      </c>
      <c r="B392" s="37" t="s">
        <v>53</v>
      </c>
      <c r="C392" s="38"/>
    </row>
    <row r="393" spans="1:3" x14ac:dyDescent="0.3">
      <c r="A393" s="37" t="s">
        <v>2</v>
      </c>
      <c r="B393" s="37" t="s">
        <v>53</v>
      </c>
      <c r="C393" s="38">
        <v>75000</v>
      </c>
    </row>
    <row r="394" spans="1:3" x14ac:dyDescent="0.3">
      <c r="A394" s="37" t="s">
        <v>2</v>
      </c>
      <c r="B394" s="37" t="s">
        <v>53</v>
      </c>
      <c r="C394" s="38"/>
    </row>
    <row r="395" spans="1:3" x14ac:dyDescent="0.3">
      <c r="A395" s="37" t="s">
        <v>2</v>
      </c>
      <c r="B395" s="37" t="s">
        <v>53</v>
      </c>
      <c r="C395" s="38"/>
    </row>
    <row r="396" spans="1:3" x14ac:dyDescent="0.3">
      <c r="A396" s="37" t="s">
        <v>2</v>
      </c>
      <c r="B396" s="37" t="s">
        <v>53</v>
      </c>
      <c r="C396" s="38"/>
    </row>
    <row r="397" spans="1:3" x14ac:dyDescent="0.3">
      <c r="A397" s="37" t="s">
        <v>2</v>
      </c>
      <c r="B397" s="37" t="s">
        <v>69</v>
      </c>
      <c r="C397" s="38">
        <v>166419.5</v>
      </c>
    </row>
    <row r="398" spans="1:3" x14ac:dyDescent="0.3">
      <c r="A398" s="37" t="s">
        <v>2</v>
      </c>
      <c r="B398" s="37" t="s">
        <v>53</v>
      </c>
      <c r="C398" s="38">
        <v>95000</v>
      </c>
    </row>
    <row r="399" spans="1:3" x14ac:dyDescent="0.3">
      <c r="A399" s="37" t="s">
        <v>2</v>
      </c>
      <c r="B399" s="37" t="s">
        <v>53</v>
      </c>
      <c r="C399" s="38">
        <v>87500</v>
      </c>
    </row>
    <row r="400" spans="1:3" x14ac:dyDescent="0.3">
      <c r="A400" s="37" t="s">
        <v>2</v>
      </c>
      <c r="B400" s="37" t="s">
        <v>56</v>
      </c>
      <c r="C400" s="38">
        <v>111175</v>
      </c>
    </row>
    <row r="401" spans="1:3" x14ac:dyDescent="0.3">
      <c r="A401" s="37" t="s">
        <v>2</v>
      </c>
      <c r="B401" s="37" t="s">
        <v>53</v>
      </c>
      <c r="C401" s="38"/>
    </row>
    <row r="402" spans="1:3" x14ac:dyDescent="0.3">
      <c r="A402" s="37" t="s">
        <v>2</v>
      </c>
      <c r="B402" s="37" t="s">
        <v>53</v>
      </c>
      <c r="C402" s="38">
        <v>72500</v>
      </c>
    </row>
    <row r="403" spans="1:3" x14ac:dyDescent="0.3">
      <c r="A403" s="37" t="s">
        <v>2</v>
      </c>
      <c r="B403" s="37" t="s">
        <v>53</v>
      </c>
      <c r="C403" s="38"/>
    </row>
    <row r="404" spans="1:3" x14ac:dyDescent="0.3">
      <c r="A404" s="37" t="s">
        <v>2</v>
      </c>
      <c r="B404" s="37" t="s">
        <v>53</v>
      </c>
      <c r="C404" s="38"/>
    </row>
    <row r="405" spans="1:3" x14ac:dyDescent="0.3">
      <c r="A405" s="37" t="s">
        <v>2</v>
      </c>
      <c r="B405" s="37" t="s">
        <v>53</v>
      </c>
      <c r="C405" s="38"/>
    </row>
    <row r="406" spans="1:3" x14ac:dyDescent="0.3">
      <c r="A406" s="37" t="s">
        <v>2</v>
      </c>
      <c r="B406" s="37" t="s">
        <v>53</v>
      </c>
      <c r="C406" s="38">
        <v>65000</v>
      </c>
    </row>
    <row r="407" spans="1:3" x14ac:dyDescent="0.3">
      <c r="A407" s="37" t="s">
        <v>2</v>
      </c>
      <c r="B407" s="37" t="s">
        <v>53</v>
      </c>
      <c r="C407" s="38"/>
    </row>
    <row r="408" spans="1:3" x14ac:dyDescent="0.3">
      <c r="A408" s="37" t="s">
        <v>2</v>
      </c>
      <c r="B408" s="37" t="s">
        <v>53</v>
      </c>
      <c r="C408" s="38">
        <v>95000</v>
      </c>
    </row>
    <row r="409" spans="1:3" x14ac:dyDescent="0.3">
      <c r="A409" s="37" t="s">
        <v>2</v>
      </c>
      <c r="B409" s="37" t="s">
        <v>53</v>
      </c>
      <c r="C409" s="38">
        <v>65000</v>
      </c>
    </row>
    <row r="410" spans="1:3" x14ac:dyDescent="0.3">
      <c r="A410" s="37" t="s">
        <v>2</v>
      </c>
      <c r="B410" s="37" t="s">
        <v>102</v>
      </c>
      <c r="C410" s="38">
        <v>59000</v>
      </c>
    </row>
    <row r="411" spans="1:3" x14ac:dyDescent="0.3">
      <c r="A411" s="37" t="s">
        <v>2</v>
      </c>
      <c r="B411" s="37" t="s">
        <v>53</v>
      </c>
      <c r="C411" s="38"/>
    </row>
    <row r="412" spans="1:3" x14ac:dyDescent="0.3">
      <c r="A412" s="37" t="s">
        <v>2</v>
      </c>
      <c r="B412" s="37" t="s">
        <v>53</v>
      </c>
      <c r="C412" s="38"/>
    </row>
    <row r="413" spans="1:3" x14ac:dyDescent="0.3">
      <c r="A413" s="37" t="s">
        <v>2</v>
      </c>
      <c r="B413" s="37" t="s">
        <v>73</v>
      </c>
      <c r="C413" s="38">
        <v>111175</v>
      </c>
    </row>
    <row r="414" spans="1:3" x14ac:dyDescent="0.3">
      <c r="A414" s="37" t="s">
        <v>2</v>
      </c>
      <c r="B414" s="37" t="s">
        <v>98</v>
      </c>
      <c r="C414" s="38">
        <v>163782</v>
      </c>
    </row>
    <row r="415" spans="1:3" x14ac:dyDescent="0.3">
      <c r="A415" s="37" t="s">
        <v>2</v>
      </c>
      <c r="B415" s="37" t="s">
        <v>53</v>
      </c>
      <c r="C415" s="38"/>
    </row>
    <row r="416" spans="1:3" x14ac:dyDescent="0.3">
      <c r="A416" s="37" t="s">
        <v>2</v>
      </c>
      <c r="B416" s="37" t="s">
        <v>64</v>
      </c>
      <c r="C416" s="38">
        <v>109500</v>
      </c>
    </row>
    <row r="417" spans="1:3" x14ac:dyDescent="0.3">
      <c r="A417" s="37" t="s">
        <v>2</v>
      </c>
      <c r="B417" s="37" t="s">
        <v>53</v>
      </c>
      <c r="C417" s="38"/>
    </row>
    <row r="418" spans="1:3" x14ac:dyDescent="0.3">
      <c r="A418" s="37" t="s">
        <v>2</v>
      </c>
      <c r="B418" s="37" t="s">
        <v>54</v>
      </c>
      <c r="C418" s="38"/>
    </row>
    <row r="419" spans="1:3" x14ac:dyDescent="0.3">
      <c r="A419" s="37" t="s">
        <v>2</v>
      </c>
      <c r="B419" s="37" t="s">
        <v>53</v>
      </c>
      <c r="C419" s="38">
        <v>130000</v>
      </c>
    </row>
    <row r="420" spans="1:3" x14ac:dyDescent="0.3">
      <c r="A420" s="37" t="s">
        <v>2</v>
      </c>
      <c r="B420" s="37" t="s">
        <v>53</v>
      </c>
      <c r="C420" s="38"/>
    </row>
    <row r="421" spans="1:3" x14ac:dyDescent="0.3">
      <c r="A421" s="37" t="s">
        <v>2</v>
      </c>
      <c r="B421" s="37" t="s">
        <v>63</v>
      </c>
      <c r="C421" s="38">
        <v>45000</v>
      </c>
    </row>
    <row r="422" spans="1:3" x14ac:dyDescent="0.3">
      <c r="A422" s="37" t="s">
        <v>2</v>
      </c>
      <c r="B422" s="37" t="s">
        <v>53</v>
      </c>
      <c r="C422" s="38">
        <v>82500</v>
      </c>
    </row>
    <row r="423" spans="1:3" x14ac:dyDescent="0.3">
      <c r="A423" s="37" t="s">
        <v>2</v>
      </c>
      <c r="B423" s="37" t="s">
        <v>53</v>
      </c>
      <c r="C423" s="38">
        <v>43656</v>
      </c>
    </row>
    <row r="424" spans="1:3" x14ac:dyDescent="0.3">
      <c r="A424" s="37" t="s">
        <v>2</v>
      </c>
      <c r="B424" s="37" t="s">
        <v>53</v>
      </c>
      <c r="C424" s="38">
        <v>70600</v>
      </c>
    </row>
    <row r="425" spans="1:3" x14ac:dyDescent="0.3">
      <c r="A425" s="37" t="s">
        <v>2</v>
      </c>
      <c r="B425" s="37" t="s">
        <v>53</v>
      </c>
      <c r="C425" s="38"/>
    </row>
    <row r="426" spans="1:3" x14ac:dyDescent="0.3">
      <c r="A426" s="37" t="s">
        <v>2</v>
      </c>
      <c r="B426" s="37" t="s">
        <v>53</v>
      </c>
      <c r="C426" s="38"/>
    </row>
    <row r="427" spans="1:3" x14ac:dyDescent="0.3">
      <c r="A427" s="37" t="s">
        <v>2</v>
      </c>
      <c r="B427" s="37" t="s">
        <v>53</v>
      </c>
      <c r="C427" s="38"/>
    </row>
    <row r="428" spans="1:3" x14ac:dyDescent="0.3">
      <c r="A428" s="37" t="s">
        <v>2</v>
      </c>
      <c r="B428" s="37" t="s">
        <v>53</v>
      </c>
      <c r="C428" s="38">
        <v>140000</v>
      </c>
    </row>
    <row r="429" spans="1:3" x14ac:dyDescent="0.3">
      <c r="A429" s="37" t="s">
        <v>2</v>
      </c>
      <c r="B429" s="37" t="s">
        <v>67</v>
      </c>
      <c r="C429" s="38">
        <v>111202</v>
      </c>
    </row>
    <row r="430" spans="1:3" x14ac:dyDescent="0.3">
      <c r="A430" s="37" t="s">
        <v>2</v>
      </c>
      <c r="B430" s="37" t="s">
        <v>53</v>
      </c>
      <c r="C430" s="38"/>
    </row>
    <row r="431" spans="1:3" x14ac:dyDescent="0.3">
      <c r="A431" s="37" t="s">
        <v>2</v>
      </c>
      <c r="B431" s="37" t="s">
        <v>53</v>
      </c>
      <c r="C431" s="38">
        <v>90000</v>
      </c>
    </row>
    <row r="432" spans="1:3" x14ac:dyDescent="0.3">
      <c r="A432" s="37" t="s">
        <v>2</v>
      </c>
      <c r="B432" s="37" t="s">
        <v>53</v>
      </c>
      <c r="C432" s="38">
        <v>90000</v>
      </c>
    </row>
    <row r="433" spans="1:3" x14ac:dyDescent="0.3">
      <c r="A433" s="37" t="s">
        <v>2</v>
      </c>
      <c r="B433" s="37" t="s">
        <v>53</v>
      </c>
      <c r="C433" s="38"/>
    </row>
    <row r="434" spans="1:3" x14ac:dyDescent="0.3">
      <c r="A434" s="37" t="s">
        <v>2</v>
      </c>
      <c r="B434" s="37" t="s">
        <v>53</v>
      </c>
      <c r="C434" s="38">
        <v>67043</v>
      </c>
    </row>
    <row r="435" spans="1:3" x14ac:dyDescent="0.3">
      <c r="A435" s="37" t="s">
        <v>2</v>
      </c>
      <c r="B435" s="37" t="s">
        <v>53</v>
      </c>
      <c r="C435" s="38"/>
    </row>
    <row r="436" spans="1:3" x14ac:dyDescent="0.3">
      <c r="A436" s="37" t="s">
        <v>2</v>
      </c>
      <c r="B436" s="37" t="s">
        <v>88</v>
      </c>
      <c r="C436" s="38">
        <v>104500</v>
      </c>
    </row>
    <row r="437" spans="1:3" x14ac:dyDescent="0.3">
      <c r="A437" s="37" t="s">
        <v>2</v>
      </c>
      <c r="B437" s="37" t="s">
        <v>103</v>
      </c>
      <c r="C437" s="38">
        <v>72900</v>
      </c>
    </row>
    <row r="438" spans="1:3" x14ac:dyDescent="0.3">
      <c r="A438" s="37" t="s">
        <v>2</v>
      </c>
      <c r="B438" s="37" t="s">
        <v>53</v>
      </c>
      <c r="C438" s="38">
        <v>80000</v>
      </c>
    </row>
    <row r="439" spans="1:3" x14ac:dyDescent="0.3">
      <c r="A439" s="37" t="s">
        <v>2</v>
      </c>
      <c r="B439" s="37" t="s">
        <v>53</v>
      </c>
      <c r="C439" s="38"/>
    </row>
    <row r="440" spans="1:3" x14ac:dyDescent="0.3">
      <c r="A440" s="37" t="s">
        <v>2</v>
      </c>
      <c r="B440" s="37" t="s">
        <v>53</v>
      </c>
      <c r="C440" s="38"/>
    </row>
    <row r="441" spans="1:3" x14ac:dyDescent="0.3">
      <c r="A441" s="37" t="s">
        <v>2</v>
      </c>
      <c r="B441" s="37" t="s">
        <v>53</v>
      </c>
      <c r="C441" s="38"/>
    </row>
    <row r="442" spans="1:3" x14ac:dyDescent="0.3">
      <c r="A442" s="37" t="s">
        <v>2</v>
      </c>
      <c r="B442" s="37" t="s">
        <v>54</v>
      </c>
      <c r="C442" s="38"/>
    </row>
    <row r="443" spans="1:3" x14ac:dyDescent="0.3">
      <c r="A443" s="37" t="s">
        <v>2</v>
      </c>
      <c r="B443" s="37" t="s">
        <v>53</v>
      </c>
      <c r="C443" s="38">
        <v>91960</v>
      </c>
    </row>
    <row r="444" spans="1:3" x14ac:dyDescent="0.3">
      <c r="A444" s="37" t="s">
        <v>2</v>
      </c>
      <c r="B444" s="37" t="s">
        <v>75</v>
      </c>
      <c r="C444" s="38">
        <v>165000</v>
      </c>
    </row>
    <row r="445" spans="1:3" x14ac:dyDescent="0.3">
      <c r="A445" s="37" t="s">
        <v>2</v>
      </c>
      <c r="B445" s="37" t="s">
        <v>70</v>
      </c>
      <c r="C445" s="38">
        <v>111175</v>
      </c>
    </row>
    <row r="446" spans="1:3" x14ac:dyDescent="0.3">
      <c r="A446" s="37" t="s">
        <v>2</v>
      </c>
      <c r="B446" s="37" t="s">
        <v>53</v>
      </c>
      <c r="C446" s="38">
        <v>65000</v>
      </c>
    </row>
    <row r="447" spans="1:3" x14ac:dyDescent="0.3">
      <c r="A447" s="37" t="s">
        <v>2</v>
      </c>
      <c r="B447" s="37" t="s">
        <v>53</v>
      </c>
      <c r="C447" s="38">
        <v>61313.82421875</v>
      </c>
    </row>
    <row r="448" spans="1:3" x14ac:dyDescent="0.3">
      <c r="A448" s="37" t="s">
        <v>2</v>
      </c>
      <c r="B448" s="37" t="s">
        <v>53</v>
      </c>
      <c r="C448" s="38">
        <v>66058</v>
      </c>
    </row>
    <row r="449" spans="1:3" x14ac:dyDescent="0.3">
      <c r="A449" s="37" t="s">
        <v>2</v>
      </c>
      <c r="B449" s="37" t="s">
        <v>53</v>
      </c>
      <c r="C449" s="38">
        <v>93670</v>
      </c>
    </row>
    <row r="450" spans="1:3" x14ac:dyDescent="0.3">
      <c r="A450" s="37" t="s">
        <v>2</v>
      </c>
      <c r="B450" s="37" t="s">
        <v>53</v>
      </c>
      <c r="C450" s="38">
        <v>115000</v>
      </c>
    </row>
    <row r="451" spans="1:3" x14ac:dyDescent="0.3">
      <c r="A451" s="37" t="s">
        <v>2</v>
      </c>
      <c r="B451" s="37" t="s">
        <v>65</v>
      </c>
      <c r="C451" s="38">
        <v>165000</v>
      </c>
    </row>
    <row r="452" spans="1:3" x14ac:dyDescent="0.3">
      <c r="A452" s="37" t="s">
        <v>2</v>
      </c>
      <c r="B452" s="37" t="s">
        <v>53</v>
      </c>
      <c r="C452" s="38">
        <v>65000</v>
      </c>
    </row>
    <row r="453" spans="1:3" x14ac:dyDescent="0.3">
      <c r="A453" s="37" t="s">
        <v>2</v>
      </c>
      <c r="B453" s="37" t="s">
        <v>53</v>
      </c>
      <c r="C453" s="38"/>
    </row>
    <row r="454" spans="1:3" x14ac:dyDescent="0.3">
      <c r="A454" s="37" t="s">
        <v>2</v>
      </c>
      <c r="B454" s="37" t="s">
        <v>53</v>
      </c>
      <c r="C454" s="38">
        <v>112500</v>
      </c>
    </row>
    <row r="455" spans="1:3" x14ac:dyDescent="0.3">
      <c r="A455" s="37" t="s">
        <v>2</v>
      </c>
      <c r="B455" s="37" t="s">
        <v>53</v>
      </c>
      <c r="C455" s="38"/>
    </row>
    <row r="456" spans="1:3" x14ac:dyDescent="0.3">
      <c r="A456" s="37" t="s">
        <v>2</v>
      </c>
      <c r="B456" s="37" t="s">
        <v>53</v>
      </c>
      <c r="C456" s="38"/>
    </row>
    <row r="457" spans="1:3" x14ac:dyDescent="0.3">
      <c r="A457" s="37" t="s">
        <v>2</v>
      </c>
      <c r="B457" s="37" t="s">
        <v>104</v>
      </c>
      <c r="C457" s="38">
        <v>111175</v>
      </c>
    </row>
    <row r="458" spans="1:3" x14ac:dyDescent="0.3">
      <c r="A458" s="37" t="s">
        <v>2</v>
      </c>
      <c r="B458" s="37" t="s">
        <v>53</v>
      </c>
      <c r="C458" s="38"/>
    </row>
    <row r="459" spans="1:3" x14ac:dyDescent="0.3">
      <c r="A459" s="37" t="s">
        <v>2</v>
      </c>
      <c r="B459" s="37" t="s">
        <v>53</v>
      </c>
      <c r="C459" s="38"/>
    </row>
    <row r="460" spans="1:3" x14ac:dyDescent="0.3">
      <c r="A460" s="37" t="s">
        <v>2</v>
      </c>
      <c r="B460" s="37" t="s">
        <v>53</v>
      </c>
      <c r="C460" s="38">
        <v>65000</v>
      </c>
    </row>
    <row r="461" spans="1:3" x14ac:dyDescent="0.3">
      <c r="A461" s="37" t="s">
        <v>2</v>
      </c>
      <c r="B461" s="37" t="s">
        <v>53</v>
      </c>
      <c r="C461" s="38">
        <v>217000</v>
      </c>
    </row>
    <row r="462" spans="1:3" x14ac:dyDescent="0.3">
      <c r="A462" s="37" t="s">
        <v>2</v>
      </c>
      <c r="B462" s="37" t="s">
        <v>53</v>
      </c>
      <c r="C462" s="38">
        <v>77500</v>
      </c>
    </row>
    <row r="463" spans="1:3" x14ac:dyDescent="0.3">
      <c r="A463" s="37" t="s">
        <v>2</v>
      </c>
      <c r="B463" s="37" t="s">
        <v>53</v>
      </c>
      <c r="C463" s="38"/>
    </row>
    <row r="464" spans="1:3" x14ac:dyDescent="0.3">
      <c r="A464" s="37" t="s">
        <v>2</v>
      </c>
      <c r="B464" s="37" t="s">
        <v>53</v>
      </c>
      <c r="C464" s="38">
        <v>55000</v>
      </c>
    </row>
    <row r="465" spans="1:3" x14ac:dyDescent="0.3">
      <c r="A465" s="37" t="s">
        <v>2</v>
      </c>
      <c r="B465" s="37" t="s">
        <v>83</v>
      </c>
      <c r="C465" s="38">
        <v>111175</v>
      </c>
    </row>
    <row r="466" spans="1:3" x14ac:dyDescent="0.3">
      <c r="A466" s="37" t="s">
        <v>2</v>
      </c>
      <c r="B466" s="37" t="s">
        <v>64</v>
      </c>
      <c r="C466" s="38">
        <v>111175</v>
      </c>
    </row>
    <row r="467" spans="1:3" x14ac:dyDescent="0.3">
      <c r="A467" s="37" t="s">
        <v>2</v>
      </c>
      <c r="B467" s="37" t="s">
        <v>105</v>
      </c>
      <c r="C467" s="38">
        <v>79200</v>
      </c>
    </row>
    <row r="468" spans="1:3" x14ac:dyDescent="0.3">
      <c r="A468" s="37" t="s">
        <v>2</v>
      </c>
      <c r="B468" s="37" t="s">
        <v>64</v>
      </c>
      <c r="C468" s="38">
        <v>100500</v>
      </c>
    </row>
    <row r="469" spans="1:3" x14ac:dyDescent="0.3">
      <c r="A469" s="37" t="s">
        <v>2</v>
      </c>
      <c r="B469" s="37" t="s">
        <v>53</v>
      </c>
      <c r="C469" s="38">
        <v>180000</v>
      </c>
    </row>
    <row r="470" spans="1:3" x14ac:dyDescent="0.3">
      <c r="A470" s="37" t="s">
        <v>2</v>
      </c>
      <c r="B470" s="37" t="s">
        <v>53</v>
      </c>
      <c r="C470" s="38"/>
    </row>
    <row r="471" spans="1:3" x14ac:dyDescent="0.3">
      <c r="A471" s="37" t="s">
        <v>2</v>
      </c>
      <c r="B471" s="37" t="s">
        <v>53</v>
      </c>
      <c r="C471" s="38"/>
    </row>
    <row r="472" spans="1:3" x14ac:dyDescent="0.3">
      <c r="A472" s="37" t="s">
        <v>2</v>
      </c>
      <c r="B472" s="37" t="s">
        <v>53</v>
      </c>
      <c r="C472" s="38">
        <v>60000</v>
      </c>
    </row>
    <row r="473" spans="1:3" x14ac:dyDescent="0.3">
      <c r="A473" s="37" t="s">
        <v>2</v>
      </c>
      <c r="B473" s="37" t="s">
        <v>53</v>
      </c>
      <c r="C473" s="38"/>
    </row>
    <row r="474" spans="1:3" x14ac:dyDescent="0.3">
      <c r="A474" s="37" t="s">
        <v>2</v>
      </c>
      <c r="B474" s="37" t="s">
        <v>53</v>
      </c>
      <c r="C474" s="38">
        <v>70087</v>
      </c>
    </row>
    <row r="475" spans="1:3" x14ac:dyDescent="0.3">
      <c r="A475" s="37" t="s">
        <v>2</v>
      </c>
      <c r="B475" s="37" t="s">
        <v>53</v>
      </c>
      <c r="C475" s="38">
        <v>52000</v>
      </c>
    </row>
    <row r="476" spans="1:3" x14ac:dyDescent="0.3">
      <c r="A476" s="37" t="s">
        <v>2</v>
      </c>
      <c r="B476" s="37" t="s">
        <v>53</v>
      </c>
      <c r="C476" s="38">
        <v>65000</v>
      </c>
    </row>
    <row r="477" spans="1:3" x14ac:dyDescent="0.3">
      <c r="A477" s="37" t="s">
        <v>2</v>
      </c>
      <c r="B477" s="37" t="s">
        <v>97</v>
      </c>
      <c r="C477" s="38">
        <v>105650</v>
      </c>
    </row>
    <row r="478" spans="1:3" x14ac:dyDescent="0.3">
      <c r="A478" s="37" t="s">
        <v>2</v>
      </c>
      <c r="B478" s="37" t="s">
        <v>53</v>
      </c>
      <c r="C478" s="38"/>
    </row>
    <row r="479" spans="1:3" x14ac:dyDescent="0.3">
      <c r="A479" s="37" t="s">
        <v>2</v>
      </c>
      <c r="B479" s="37" t="s">
        <v>53</v>
      </c>
      <c r="C479" s="38">
        <v>59192.5</v>
      </c>
    </row>
    <row r="480" spans="1:3" x14ac:dyDescent="0.3">
      <c r="A480" s="37" t="s">
        <v>2</v>
      </c>
      <c r="B480" s="37" t="s">
        <v>53</v>
      </c>
      <c r="C480" s="38">
        <v>109159</v>
      </c>
    </row>
    <row r="481" spans="1:3" x14ac:dyDescent="0.3">
      <c r="A481" s="37" t="s">
        <v>2</v>
      </c>
      <c r="B481" s="37" t="s">
        <v>53</v>
      </c>
      <c r="C481" s="38"/>
    </row>
    <row r="482" spans="1:3" x14ac:dyDescent="0.3">
      <c r="A482" s="37" t="s">
        <v>2</v>
      </c>
      <c r="B482" s="37" t="s">
        <v>53</v>
      </c>
      <c r="C482" s="38">
        <v>86500</v>
      </c>
    </row>
    <row r="483" spans="1:3" x14ac:dyDescent="0.3">
      <c r="A483" s="37" t="s">
        <v>2</v>
      </c>
      <c r="B483" s="37" t="s">
        <v>53</v>
      </c>
      <c r="C483" s="38"/>
    </row>
    <row r="484" spans="1:3" x14ac:dyDescent="0.3">
      <c r="A484" s="37" t="s">
        <v>2</v>
      </c>
      <c r="B484" s="37" t="s">
        <v>53</v>
      </c>
      <c r="C484" s="38">
        <v>65000</v>
      </c>
    </row>
    <row r="485" spans="1:3" x14ac:dyDescent="0.3">
      <c r="A485" s="37" t="s">
        <v>2</v>
      </c>
      <c r="B485" s="37" t="s">
        <v>53</v>
      </c>
      <c r="C485" s="38">
        <v>95000</v>
      </c>
    </row>
    <row r="486" spans="1:3" x14ac:dyDescent="0.3">
      <c r="A486" s="37" t="s">
        <v>2</v>
      </c>
      <c r="B486" s="37" t="s">
        <v>53</v>
      </c>
      <c r="C486" s="38">
        <v>51059</v>
      </c>
    </row>
    <row r="487" spans="1:3" x14ac:dyDescent="0.3">
      <c r="A487" s="37" t="s">
        <v>2</v>
      </c>
      <c r="B487" s="37" t="s">
        <v>53</v>
      </c>
      <c r="C487" s="38">
        <v>64105</v>
      </c>
    </row>
    <row r="488" spans="1:3" x14ac:dyDescent="0.3">
      <c r="A488" s="37" t="s">
        <v>2</v>
      </c>
      <c r="B488" s="37" t="s">
        <v>53</v>
      </c>
      <c r="C488" s="38">
        <v>90000</v>
      </c>
    </row>
    <row r="489" spans="1:3" x14ac:dyDescent="0.3">
      <c r="A489" s="37" t="s">
        <v>2</v>
      </c>
      <c r="B489" s="37" t="s">
        <v>58</v>
      </c>
      <c r="C489" s="38"/>
    </row>
    <row r="490" spans="1:3" x14ac:dyDescent="0.3">
      <c r="A490" s="37" t="s">
        <v>2</v>
      </c>
      <c r="B490" s="37" t="s">
        <v>53</v>
      </c>
      <c r="C490" s="38">
        <v>130000</v>
      </c>
    </row>
    <row r="491" spans="1:3" x14ac:dyDescent="0.3">
      <c r="A491" s="37" t="s">
        <v>2</v>
      </c>
      <c r="B491" s="37" t="s">
        <v>53</v>
      </c>
      <c r="C491" s="38">
        <v>109735</v>
      </c>
    </row>
    <row r="492" spans="1:3" x14ac:dyDescent="0.3">
      <c r="A492" s="37" t="s">
        <v>2</v>
      </c>
      <c r="B492" s="37" t="s">
        <v>53</v>
      </c>
      <c r="C492" s="38">
        <v>100000</v>
      </c>
    </row>
    <row r="493" spans="1:3" x14ac:dyDescent="0.3">
      <c r="A493" s="37" t="s">
        <v>2</v>
      </c>
      <c r="B493" s="37" t="s">
        <v>54</v>
      </c>
      <c r="C493" s="38">
        <v>43000</v>
      </c>
    </row>
    <row r="494" spans="1:3" x14ac:dyDescent="0.3">
      <c r="A494" s="37" t="s">
        <v>2</v>
      </c>
      <c r="B494" s="37" t="s">
        <v>53</v>
      </c>
      <c r="C494" s="38"/>
    </row>
    <row r="495" spans="1:3" x14ac:dyDescent="0.3">
      <c r="A495" s="37" t="s">
        <v>2</v>
      </c>
      <c r="B495" s="37" t="s">
        <v>53</v>
      </c>
      <c r="C495" s="38"/>
    </row>
    <row r="496" spans="1:3" x14ac:dyDescent="0.3">
      <c r="A496" s="37" t="s">
        <v>2</v>
      </c>
      <c r="B496" s="37" t="s">
        <v>53</v>
      </c>
      <c r="C496" s="38">
        <v>70000</v>
      </c>
    </row>
    <row r="497" spans="1:3" x14ac:dyDescent="0.3">
      <c r="A497" s="37" t="s">
        <v>2</v>
      </c>
      <c r="B497" s="37" t="s">
        <v>53</v>
      </c>
      <c r="C497" s="38">
        <v>57550</v>
      </c>
    </row>
    <row r="498" spans="1:3" x14ac:dyDescent="0.3">
      <c r="A498" s="37" t="s">
        <v>2</v>
      </c>
      <c r="B498" s="37" t="s">
        <v>53</v>
      </c>
      <c r="C498" s="38">
        <v>90000</v>
      </c>
    </row>
    <row r="499" spans="1:3" x14ac:dyDescent="0.3">
      <c r="A499" s="37" t="s">
        <v>2</v>
      </c>
      <c r="B499" s="37" t="s">
        <v>53</v>
      </c>
      <c r="C499" s="38">
        <v>87500</v>
      </c>
    </row>
    <row r="500" spans="1:3" x14ac:dyDescent="0.3">
      <c r="A500" s="37" t="s">
        <v>2</v>
      </c>
      <c r="B500" s="37" t="s">
        <v>53</v>
      </c>
      <c r="C500" s="38">
        <v>109159</v>
      </c>
    </row>
    <row r="501" spans="1:3" x14ac:dyDescent="0.3">
      <c r="A501" s="37" t="s">
        <v>2</v>
      </c>
      <c r="B501" s="37" t="s">
        <v>53</v>
      </c>
      <c r="C501" s="38">
        <v>105000</v>
      </c>
    </row>
    <row r="502" spans="1:3" x14ac:dyDescent="0.3">
      <c r="A502" s="37" t="s">
        <v>2</v>
      </c>
      <c r="B502" s="37" t="s">
        <v>53</v>
      </c>
      <c r="C502" s="38">
        <v>90000</v>
      </c>
    </row>
    <row r="503" spans="1:3" x14ac:dyDescent="0.3">
      <c r="A503" s="37" t="s">
        <v>2</v>
      </c>
      <c r="B503" s="37" t="s">
        <v>54</v>
      </c>
      <c r="C503" s="38">
        <v>170000</v>
      </c>
    </row>
    <row r="504" spans="1:3" x14ac:dyDescent="0.3">
      <c r="A504" s="37" t="s">
        <v>2</v>
      </c>
      <c r="B504" s="37" t="s">
        <v>53</v>
      </c>
      <c r="C504" s="38">
        <v>100000</v>
      </c>
    </row>
    <row r="505" spans="1:3" x14ac:dyDescent="0.3">
      <c r="A505" s="37" t="s">
        <v>2</v>
      </c>
      <c r="B505" s="37" t="s">
        <v>53</v>
      </c>
      <c r="C505" s="38"/>
    </row>
    <row r="506" spans="1:3" x14ac:dyDescent="0.3">
      <c r="A506" s="37" t="s">
        <v>2</v>
      </c>
      <c r="B506" s="37" t="s">
        <v>53</v>
      </c>
      <c r="C506" s="38">
        <v>96000</v>
      </c>
    </row>
    <row r="507" spans="1:3" x14ac:dyDescent="0.3">
      <c r="A507" s="37" t="s">
        <v>2</v>
      </c>
      <c r="B507" s="37" t="s">
        <v>104</v>
      </c>
      <c r="C507" s="38">
        <v>45000</v>
      </c>
    </row>
    <row r="508" spans="1:3" x14ac:dyDescent="0.3">
      <c r="A508" s="37" t="s">
        <v>2</v>
      </c>
      <c r="B508" s="37" t="s">
        <v>53</v>
      </c>
      <c r="C508" s="38"/>
    </row>
    <row r="509" spans="1:3" x14ac:dyDescent="0.3">
      <c r="A509" s="37" t="s">
        <v>2</v>
      </c>
      <c r="B509" s="37" t="s">
        <v>53</v>
      </c>
      <c r="C509" s="38"/>
    </row>
    <row r="510" spans="1:3" x14ac:dyDescent="0.3">
      <c r="A510" s="37" t="s">
        <v>2</v>
      </c>
      <c r="B510" s="37" t="s">
        <v>53</v>
      </c>
      <c r="C510" s="38"/>
    </row>
    <row r="511" spans="1:3" x14ac:dyDescent="0.3">
      <c r="A511" s="37" t="s">
        <v>2</v>
      </c>
      <c r="B511" s="37" t="s">
        <v>53</v>
      </c>
      <c r="C511" s="38"/>
    </row>
    <row r="512" spans="1:3" x14ac:dyDescent="0.3">
      <c r="A512" s="37" t="s">
        <v>2</v>
      </c>
      <c r="B512" s="37" t="s">
        <v>53</v>
      </c>
      <c r="C512" s="38"/>
    </row>
    <row r="513" spans="1:3" x14ac:dyDescent="0.3">
      <c r="A513" s="37" t="s">
        <v>2</v>
      </c>
      <c r="B513" s="37" t="s">
        <v>53</v>
      </c>
      <c r="C513" s="38"/>
    </row>
    <row r="514" spans="1:3" x14ac:dyDescent="0.3">
      <c r="A514" s="37" t="s">
        <v>2</v>
      </c>
      <c r="B514" s="37" t="s">
        <v>53</v>
      </c>
      <c r="C514" s="38"/>
    </row>
    <row r="515" spans="1:3" x14ac:dyDescent="0.3">
      <c r="A515" s="37" t="s">
        <v>2</v>
      </c>
      <c r="B515" s="37" t="s">
        <v>53</v>
      </c>
      <c r="C515" s="38"/>
    </row>
    <row r="516" spans="1:3" x14ac:dyDescent="0.3">
      <c r="A516" s="37" t="s">
        <v>2</v>
      </c>
      <c r="B516" s="37" t="s">
        <v>53</v>
      </c>
      <c r="C516" s="38">
        <v>105000</v>
      </c>
    </row>
    <row r="517" spans="1:3" x14ac:dyDescent="0.3">
      <c r="A517" s="37" t="s">
        <v>2</v>
      </c>
      <c r="B517" s="37" t="s">
        <v>53</v>
      </c>
      <c r="C517" s="38"/>
    </row>
    <row r="518" spans="1:3" x14ac:dyDescent="0.3">
      <c r="A518" s="37" t="s">
        <v>2</v>
      </c>
      <c r="B518" s="37" t="s">
        <v>53</v>
      </c>
      <c r="C518" s="38">
        <v>95000</v>
      </c>
    </row>
    <row r="519" spans="1:3" x14ac:dyDescent="0.3">
      <c r="A519" s="37" t="s">
        <v>2</v>
      </c>
      <c r="B519" s="37" t="s">
        <v>53</v>
      </c>
      <c r="C519" s="38"/>
    </row>
    <row r="520" spans="1:3" x14ac:dyDescent="0.3">
      <c r="A520" s="37" t="s">
        <v>2</v>
      </c>
      <c r="B520" s="37" t="s">
        <v>54</v>
      </c>
      <c r="C520" s="38"/>
    </row>
    <row r="521" spans="1:3" x14ac:dyDescent="0.3">
      <c r="A521" s="37" t="s">
        <v>2</v>
      </c>
      <c r="B521" s="37" t="s">
        <v>53</v>
      </c>
      <c r="C521" s="38">
        <v>98500</v>
      </c>
    </row>
    <row r="522" spans="1:3" x14ac:dyDescent="0.3">
      <c r="A522" s="37" t="s">
        <v>2</v>
      </c>
      <c r="B522" s="37" t="s">
        <v>53</v>
      </c>
      <c r="C522" s="38">
        <v>127500</v>
      </c>
    </row>
    <row r="523" spans="1:3" x14ac:dyDescent="0.3">
      <c r="A523" s="37" t="s">
        <v>2</v>
      </c>
      <c r="B523" s="37" t="s">
        <v>53</v>
      </c>
      <c r="C523" s="38">
        <v>70000</v>
      </c>
    </row>
    <row r="524" spans="1:3" x14ac:dyDescent="0.3">
      <c r="A524" s="37" t="s">
        <v>2</v>
      </c>
      <c r="B524" s="37" t="s">
        <v>53</v>
      </c>
      <c r="C524" s="38">
        <v>62500</v>
      </c>
    </row>
    <row r="525" spans="1:3" x14ac:dyDescent="0.3">
      <c r="A525" s="37" t="s">
        <v>2</v>
      </c>
      <c r="B525" s="37" t="s">
        <v>53</v>
      </c>
      <c r="C525" s="38">
        <v>67500</v>
      </c>
    </row>
    <row r="526" spans="1:3" x14ac:dyDescent="0.3">
      <c r="A526" s="37" t="s">
        <v>2</v>
      </c>
      <c r="B526" s="37" t="s">
        <v>106</v>
      </c>
      <c r="C526" s="38">
        <v>165000</v>
      </c>
    </row>
    <row r="527" spans="1:3" x14ac:dyDescent="0.3">
      <c r="A527" s="37" t="s">
        <v>2</v>
      </c>
      <c r="B527" s="37" t="s">
        <v>53</v>
      </c>
      <c r="C527" s="38">
        <v>47275.5</v>
      </c>
    </row>
    <row r="528" spans="1:3" x14ac:dyDescent="0.3">
      <c r="A528" s="37" t="s">
        <v>2</v>
      </c>
      <c r="B528" s="37" t="s">
        <v>53</v>
      </c>
      <c r="C528" s="38"/>
    </row>
    <row r="529" spans="1:3" x14ac:dyDescent="0.3">
      <c r="A529" s="37" t="s">
        <v>2</v>
      </c>
      <c r="B529" s="37" t="s">
        <v>53</v>
      </c>
      <c r="C529" s="38">
        <v>95680</v>
      </c>
    </row>
    <row r="530" spans="1:3" x14ac:dyDescent="0.3">
      <c r="A530" s="37" t="s">
        <v>2</v>
      </c>
      <c r="B530" s="37" t="s">
        <v>53</v>
      </c>
      <c r="C530" s="38"/>
    </row>
    <row r="531" spans="1:3" x14ac:dyDescent="0.3">
      <c r="A531" s="37" t="s">
        <v>2</v>
      </c>
      <c r="B531" s="37" t="s">
        <v>53</v>
      </c>
      <c r="C531" s="38">
        <v>62500</v>
      </c>
    </row>
    <row r="532" spans="1:3" x14ac:dyDescent="0.3">
      <c r="A532" s="37" t="s">
        <v>2</v>
      </c>
      <c r="B532" s="37" t="s">
        <v>53</v>
      </c>
      <c r="C532" s="38"/>
    </row>
    <row r="533" spans="1:3" x14ac:dyDescent="0.3">
      <c r="A533" s="37" t="s">
        <v>2</v>
      </c>
      <c r="B533" s="37" t="s">
        <v>69</v>
      </c>
      <c r="C533" s="38">
        <v>51014</v>
      </c>
    </row>
    <row r="534" spans="1:3" x14ac:dyDescent="0.3">
      <c r="A534" s="37" t="s">
        <v>2</v>
      </c>
      <c r="B534" s="37" t="s">
        <v>54</v>
      </c>
      <c r="C534" s="38">
        <v>77250</v>
      </c>
    </row>
    <row r="535" spans="1:3" x14ac:dyDescent="0.3">
      <c r="A535" s="37" t="s">
        <v>2</v>
      </c>
      <c r="B535" s="37" t="s">
        <v>53</v>
      </c>
      <c r="C535" s="38">
        <v>125000</v>
      </c>
    </row>
    <row r="536" spans="1:3" x14ac:dyDescent="0.3">
      <c r="A536" s="37" t="s">
        <v>2</v>
      </c>
      <c r="B536" s="37" t="s">
        <v>53</v>
      </c>
      <c r="C536" s="38">
        <v>70000</v>
      </c>
    </row>
    <row r="537" spans="1:3" x14ac:dyDescent="0.3">
      <c r="A537" s="37" t="s">
        <v>2</v>
      </c>
      <c r="B537" s="37" t="s">
        <v>53</v>
      </c>
      <c r="C537" s="38"/>
    </row>
    <row r="538" spans="1:3" x14ac:dyDescent="0.3">
      <c r="A538" s="37" t="s">
        <v>2</v>
      </c>
      <c r="B538" s="37" t="s">
        <v>53</v>
      </c>
      <c r="C538" s="38"/>
    </row>
    <row r="539" spans="1:3" x14ac:dyDescent="0.3">
      <c r="A539" s="37" t="s">
        <v>2</v>
      </c>
      <c r="B539" s="37" t="s">
        <v>53</v>
      </c>
      <c r="C539" s="38">
        <v>90000</v>
      </c>
    </row>
    <row r="540" spans="1:3" x14ac:dyDescent="0.3">
      <c r="A540" s="37" t="s">
        <v>2</v>
      </c>
      <c r="B540" s="37" t="s">
        <v>53</v>
      </c>
      <c r="C540" s="38"/>
    </row>
    <row r="541" spans="1:3" x14ac:dyDescent="0.3">
      <c r="A541" s="37" t="s">
        <v>2</v>
      </c>
      <c r="B541" s="37" t="s">
        <v>53</v>
      </c>
      <c r="C541" s="38">
        <v>87900</v>
      </c>
    </row>
    <row r="542" spans="1:3" x14ac:dyDescent="0.3">
      <c r="A542" s="37" t="s">
        <v>2</v>
      </c>
      <c r="B542" s="37" t="s">
        <v>53</v>
      </c>
      <c r="C542" s="38">
        <v>140000</v>
      </c>
    </row>
    <row r="543" spans="1:3" x14ac:dyDescent="0.3">
      <c r="A543" s="37" t="s">
        <v>2</v>
      </c>
      <c r="B543" s="37" t="s">
        <v>53</v>
      </c>
      <c r="C543" s="38">
        <v>81167</v>
      </c>
    </row>
    <row r="544" spans="1:3" x14ac:dyDescent="0.3">
      <c r="A544" s="37" t="s">
        <v>2</v>
      </c>
      <c r="B544" s="37" t="s">
        <v>53</v>
      </c>
      <c r="C544" s="38">
        <v>131900</v>
      </c>
    </row>
    <row r="545" spans="1:3" x14ac:dyDescent="0.3">
      <c r="A545" s="37" t="s">
        <v>2</v>
      </c>
      <c r="B545" s="37" t="s">
        <v>53</v>
      </c>
      <c r="C545" s="38">
        <v>151950</v>
      </c>
    </row>
    <row r="546" spans="1:3" x14ac:dyDescent="0.3">
      <c r="A546" s="37" t="s">
        <v>2</v>
      </c>
      <c r="B546" s="37" t="s">
        <v>53</v>
      </c>
      <c r="C546" s="38">
        <v>125000</v>
      </c>
    </row>
    <row r="547" spans="1:3" x14ac:dyDescent="0.3">
      <c r="A547" s="37" t="s">
        <v>2</v>
      </c>
      <c r="B547" s="37" t="s">
        <v>53</v>
      </c>
      <c r="C547" s="38"/>
    </row>
    <row r="548" spans="1:3" x14ac:dyDescent="0.3">
      <c r="A548" s="37" t="s">
        <v>2</v>
      </c>
      <c r="B548" s="37" t="s">
        <v>53</v>
      </c>
      <c r="C548" s="38">
        <v>94500</v>
      </c>
    </row>
    <row r="549" spans="1:3" x14ac:dyDescent="0.3">
      <c r="A549" s="37" t="s">
        <v>2</v>
      </c>
      <c r="B549" s="37" t="s">
        <v>53</v>
      </c>
      <c r="C549" s="38"/>
    </row>
    <row r="550" spans="1:3" x14ac:dyDescent="0.3">
      <c r="A550" s="37" t="s">
        <v>2</v>
      </c>
      <c r="B550" s="37" t="s">
        <v>53</v>
      </c>
      <c r="C550" s="38"/>
    </row>
    <row r="551" spans="1:3" x14ac:dyDescent="0.3">
      <c r="A551" s="37" t="s">
        <v>2</v>
      </c>
      <c r="B551" s="37" t="s">
        <v>53</v>
      </c>
      <c r="C551" s="38">
        <v>143000</v>
      </c>
    </row>
    <row r="552" spans="1:3" x14ac:dyDescent="0.3">
      <c r="A552" s="37" t="s">
        <v>2</v>
      </c>
      <c r="B552" s="37" t="s">
        <v>53</v>
      </c>
      <c r="C552" s="38"/>
    </row>
    <row r="553" spans="1:3" x14ac:dyDescent="0.3">
      <c r="A553" s="37" t="s">
        <v>2</v>
      </c>
      <c r="B553" s="37" t="s">
        <v>53</v>
      </c>
      <c r="C553" s="38"/>
    </row>
    <row r="554" spans="1:3" x14ac:dyDescent="0.3">
      <c r="A554" s="37" t="s">
        <v>2</v>
      </c>
      <c r="B554" s="37" t="s">
        <v>53</v>
      </c>
      <c r="C554" s="38">
        <v>85000</v>
      </c>
    </row>
    <row r="555" spans="1:3" x14ac:dyDescent="0.3">
      <c r="A555" s="37" t="s">
        <v>2</v>
      </c>
      <c r="B555" s="37" t="s">
        <v>53</v>
      </c>
      <c r="C555" s="38">
        <v>138615</v>
      </c>
    </row>
    <row r="556" spans="1:3" x14ac:dyDescent="0.3">
      <c r="A556" s="37" t="s">
        <v>2</v>
      </c>
      <c r="B556" s="37" t="s">
        <v>53</v>
      </c>
      <c r="C556" s="38"/>
    </row>
    <row r="557" spans="1:3" x14ac:dyDescent="0.3">
      <c r="A557" s="37" t="s">
        <v>2</v>
      </c>
      <c r="B557" s="37" t="s">
        <v>54</v>
      </c>
      <c r="C557" s="38">
        <v>57500</v>
      </c>
    </row>
    <row r="558" spans="1:3" x14ac:dyDescent="0.3">
      <c r="A558" s="37" t="s">
        <v>2</v>
      </c>
      <c r="B558" s="37" t="s">
        <v>53</v>
      </c>
      <c r="C558" s="38"/>
    </row>
    <row r="559" spans="1:3" x14ac:dyDescent="0.3">
      <c r="A559" s="37" t="s">
        <v>2</v>
      </c>
      <c r="B559" s="37" t="s">
        <v>53</v>
      </c>
      <c r="C559" s="38"/>
    </row>
    <row r="560" spans="1:3" x14ac:dyDescent="0.3">
      <c r="A560" s="37" t="s">
        <v>2</v>
      </c>
      <c r="B560" s="37" t="s">
        <v>103</v>
      </c>
      <c r="C560" s="38">
        <v>89100</v>
      </c>
    </row>
    <row r="561" spans="1:3" x14ac:dyDescent="0.3">
      <c r="A561" s="37" t="s">
        <v>2</v>
      </c>
      <c r="B561" s="37" t="s">
        <v>53</v>
      </c>
      <c r="C561" s="38"/>
    </row>
    <row r="562" spans="1:3" x14ac:dyDescent="0.3">
      <c r="A562" s="37" t="s">
        <v>2</v>
      </c>
      <c r="B562" s="37" t="s">
        <v>53</v>
      </c>
      <c r="C562" s="38">
        <v>144481.5</v>
      </c>
    </row>
    <row r="563" spans="1:3" x14ac:dyDescent="0.3">
      <c r="A563" s="37" t="s">
        <v>2</v>
      </c>
      <c r="B563" s="37" t="s">
        <v>53</v>
      </c>
      <c r="C563" s="38">
        <v>60000</v>
      </c>
    </row>
    <row r="564" spans="1:3" x14ac:dyDescent="0.3">
      <c r="A564" s="37" t="s">
        <v>2</v>
      </c>
      <c r="B564" s="37" t="s">
        <v>69</v>
      </c>
      <c r="C564" s="38">
        <v>200000</v>
      </c>
    </row>
    <row r="565" spans="1:3" x14ac:dyDescent="0.3">
      <c r="A565" s="37" t="s">
        <v>2</v>
      </c>
      <c r="B565" s="37" t="s">
        <v>53</v>
      </c>
      <c r="C565" s="38">
        <v>97500</v>
      </c>
    </row>
    <row r="566" spans="1:3" x14ac:dyDescent="0.3">
      <c r="A566" s="37" t="s">
        <v>2</v>
      </c>
      <c r="B566" s="37" t="s">
        <v>53</v>
      </c>
      <c r="C566" s="38">
        <v>115000</v>
      </c>
    </row>
    <row r="567" spans="1:3" x14ac:dyDescent="0.3">
      <c r="A567" s="37" t="s">
        <v>2</v>
      </c>
      <c r="B567" s="37" t="s">
        <v>53</v>
      </c>
      <c r="C567" s="38">
        <v>65000</v>
      </c>
    </row>
    <row r="568" spans="1:3" x14ac:dyDescent="0.3">
      <c r="A568" s="37" t="s">
        <v>2</v>
      </c>
      <c r="B568" s="37" t="s">
        <v>53</v>
      </c>
      <c r="C568" s="38"/>
    </row>
    <row r="569" spans="1:3" x14ac:dyDescent="0.3">
      <c r="A569" s="37" t="s">
        <v>2</v>
      </c>
      <c r="B569" s="37" t="s">
        <v>53</v>
      </c>
      <c r="C569" s="38">
        <v>120000</v>
      </c>
    </row>
    <row r="570" spans="1:3" x14ac:dyDescent="0.3">
      <c r="A570" s="37" t="s">
        <v>2</v>
      </c>
      <c r="B570" s="37" t="s">
        <v>53</v>
      </c>
      <c r="C570" s="38"/>
    </row>
    <row r="571" spans="1:3" x14ac:dyDescent="0.3">
      <c r="A571" s="37" t="s">
        <v>2</v>
      </c>
      <c r="B571" s="37" t="s">
        <v>68</v>
      </c>
      <c r="C571" s="38"/>
    </row>
    <row r="572" spans="1:3" x14ac:dyDescent="0.3">
      <c r="A572" s="37" t="s">
        <v>2</v>
      </c>
      <c r="B572" s="37" t="s">
        <v>88</v>
      </c>
      <c r="C572" s="38">
        <v>165000</v>
      </c>
    </row>
    <row r="573" spans="1:3" x14ac:dyDescent="0.3">
      <c r="A573" s="37" t="s">
        <v>2</v>
      </c>
      <c r="B573" s="37" t="s">
        <v>53</v>
      </c>
      <c r="C573" s="38"/>
    </row>
    <row r="574" spans="1:3" x14ac:dyDescent="0.3">
      <c r="A574" s="37" t="s">
        <v>2</v>
      </c>
      <c r="B574" s="37" t="s">
        <v>53</v>
      </c>
      <c r="C574" s="38">
        <v>125000</v>
      </c>
    </row>
    <row r="575" spans="1:3" x14ac:dyDescent="0.3">
      <c r="A575" s="37" t="s">
        <v>2</v>
      </c>
      <c r="B575" s="37" t="s">
        <v>53</v>
      </c>
      <c r="C575" s="38">
        <v>32500</v>
      </c>
    </row>
    <row r="576" spans="1:3" x14ac:dyDescent="0.3">
      <c r="A576" s="37" t="s">
        <v>2</v>
      </c>
      <c r="B576" s="37" t="s">
        <v>53</v>
      </c>
      <c r="C576" s="38">
        <v>55000</v>
      </c>
    </row>
    <row r="577" spans="1:3" x14ac:dyDescent="0.3">
      <c r="A577" s="37" t="s">
        <v>2</v>
      </c>
      <c r="B577" s="37" t="s">
        <v>53</v>
      </c>
      <c r="C577" s="38">
        <v>60500</v>
      </c>
    </row>
    <row r="578" spans="1:3" x14ac:dyDescent="0.3">
      <c r="A578" s="37" t="s">
        <v>2</v>
      </c>
      <c r="B578" s="37" t="s">
        <v>53</v>
      </c>
      <c r="C578" s="38"/>
    </row>
    <row r="579" spans="1:3" x14ac:dyDescent="0.3">
      <c r="A579" s="37" t="s">
        <v>2</v>
      </c>
      <c r="B579" s="37" t="s">
        <v>53</v>
      </c>
      <c r="C579" s="38">
        <v>89830</v>
      </c>
    </row>
    <row r="580" spans="1:3" x14ac:dyDescent="0.3">
      <c r="A580" s="37" t="s">
        <v>2</v>
      </c>
      <c r="B580" s="37" t="s">
        <v>69</v>
      </c>
      <c r="C580" s="38">
        <v>102500</v>
      </c>
    </row>
    <row r="581" spans="1:3" x14ac:dyDescent="0.3">
      <c r="A581" s="37" t="s">
        <v>2</v>
      </c>
      <c r="B581" s="37" t="s">
        <v>53</v>
      </c>
      <c r="C581" s="38"/>
    </row>
    <row r="582" spans="1:3" x14ac:dyDescent="0.3">
      <c r="A582" s="37" t="s">
        <v>2</v>
      </c>
      <c r="B582" s="37" t="s">
        <v>53</v>
      </c>
      <c r="C582" s="38">
        <v>72500</v>
      </c>
    </row>
    <row r="583" spans="1:3" x14ac:dyDescent="0.3">
      <c r="A583" s="37" t="s">
        <v>2</v>
      </c>
      <c r="B583" s="37" t="s">
        <v>53</v>
      </c>
      <c r="C583" s="38"/>
    </row>
    <row r="584" spans="1:3" x14ac:dyDescent="0.3">
      <c r="A584" s="37" t="s">
        <v>2</v>
      </c>
      <c r="B584" s="37" t="s">
        <v>53</v>
      </c>
      <c r="C584" s="38">
        <v>160000</v>
      </c>
    </row>
    <row r="585" spans="1:3" x14ac:dyDescent="0.3">
      <c r="A585" s="37" t="s">
        <v>2</v>
      </c>
      <c r="B585" s="37" t="s">
        <v>53</v>
      </c>
      <c r="C585" s="38">
        <v>60000</v>
      </c>
    </row>
    <row r="586" spans="1:3" x14ac:dyDescent="0.3">
      <c r="A586" s="37" t="s">
        <v>2</v>
      </c>
      <c r="B586" s="37" t="s">
        <v>53</v>
      </c>
      <c r="C586" s="38"/>
    </row>
    <row r="587" spans="1:3" x14ac:dyDescent="0.3">
      <c r="A587" s="37" t="s">
        <v>2</v>
      </c>
      <c r="B587" s="37" t="s">
        <v>53</v>
      </c>
      <c r="C587" s="38">
        <v>55000</v>
      </c>
    </row>
    <row r="588" spans="1:3" x14ac:dyDescent="0.3">
      <c r="A588" s="37" t="s">
        <v>2</v>
      </c>
      <c r="B588" s="37" t="s">
        <v>53</v>
      </c>
      <c r="C588" s="38"/>
    </row>
    <row r="589" spans="1:3" x14ac:dyDescent="0.3">
      <c r="A589" s="37" t="s">
        <v>2</v>
      </c>
      <c r="B589" s="37" t="s">
        <v>53</v>
      </c>
      <c r="C589" s="38"/>
    </row>
    <row r="590" spans="1:3" x14ac:dyDescent="0.3">
      <c r="A590" s="37" t="s">
        <v>2</v>
      </c>
      <c r="B590" s="37" t="s">
        <v>53</v>
      </c>
      <c r="C590" s="38">
        <v>137500</v>
      </c>
    </row>
    <row r="591" spans="1:3" x14ac:dyDescent="0.3">
      <c r="A591" s="37" t="s">
        <v>2</v>
      </c>
      <c r="B591" s="37" t="s">
        <v>53</v>
      </c>
      <c r="C591" s="38">
        <v>64500</v>
      </c>
    </row>
    <row r="592" spans="1:3" x14ac:dyDescent="0.3">
      <c r="A592" s="37" t="s">
        <v>2</v>
      </c>
      <c r="B592" s="37" t="s">
        <v>53</v>
      </c>
      <c r="C592" s="38">
        <v>83862.5</v>
      </c>
    </row>
    <row r="593" spans="1:3" x14ac:dyDescent="0.3">
      <c r="A593" s="37" t="s">
        <v>2</v>
      </c>
      <c r="B593" s="37" t="s">
        <v>53</v>
      </c>
      <c r="C593" s="38">
        <v>128356</v>
      </c>
    </row>
    <row r="594" spans="1:3" x14ac:dyDescent="0.3">
      <c r="A594" s="37" t="s">
        <v>2</v>
      </c>
      <c r="B594" s="37" t="s">
        <v>53</v>
      </c>
      <c r="C594" s="38">
        <v>175000</v>
      </c>
    </row>
    <row r="595" spans="1:3" x14ac:dyDescent="0.3">
      <c r="A595" s="37" t="s">
        <v>2</v>
      </c>
      <c r="B595" s="37" t="s">
        <v>53</v>
      </c>
      <c r="C595" s="38"/>
    </row>
    <row r="596" spans="1:3" x14ac:dyDescent="0.3">
      <c r="A596" s="37" t="s">
        <v>2</v>
      </c>
      <c r="B596" s="37" t="s">
        <v>104</v>
      </c>
      <c r="C596" s="38">
        <v>111202</v>
      </c>
    </row>
    <row r="597" spans="1:3" x14ac:dyDescent="0.3">
      <c r="A597" s="37" t="s">
        <v>2</v>
      </c>
      <c r="B597" s="37" t="s">
        <v>53</v>
      </c>
      <c r="C597" s="38">
        <v>130000</v>
      </c>
    </row>
    <row r="598" spans="1:3" x14ac:dyDescent="0.3">
      <c r="A598" s="37" t="s">
        <v>2</v>
      </c>
      <c r="B598" s="37" t="s">
        <v>53</v>
      </c>
      <c r="C598" s="38">
        <v>109350</v>
      </c>
    </row>
    <row r="599" spans="1:3" x14ac:dyDescent="0.3">
      <c r="A599" s="37" t="s">
        <v>2</v>
      </c>
      <c r="B599" s="37" t="s">
        <v>53</v>
      </c>
      <c r="C599" s="38">
        <v>50000</v>
      </c>
    </row>
    <row r="600" spans="1:3" x14ac:dyDescent="0.3">
      <c r="A600" s="37" t="s">
        <v>2</v>
      </c>
      <c r="B600" s="37" t="s">
        <v>87</v>
      </c>
      <c r="C600" s="38">
        <v>51000</v>
      </c>
    </row>
    <row r="601" spans="1:3" x14ac:dyDescent="0.3">
      <c r="A601" s="37" t="s">
        <v>2</v>
      </c>
      <c r="B601" s="37" t="s">
        <v>53</v>
      </c>
      <c r="C601" s="38"/>
    </row>
    <row r="602" spans="1:3" x14ac:dyDescent="0.3">
      <c r="A602" s="37" t="s">
        <v>2</v>
      </c>
      <c r="B602" s="37" t="s">
        <v>53</v>
      </c>
      <c r="C602" s="38">
        <v>130000</v>
      </c>
    </row>
    <row r="603" spans="1:3" x14ac:dyDescent="0.3">
      <c r="A603" s="37" t="s">
        <v>2</v>
      </c>
      <c r="B603" s="37" t="s">
        <v>53</v>
      </c>
      <c r="C603" s="38">
        <v>88000</v>
      </c>
    </row>
    <row r="604" spans="1:3" x14ac:dyDescent="0.3">
      <c r="A604" s="37" t="s">
        <v>2</v>
      </c>
      <c r="B604" s="37" t="s">
        <v>88</v>
      </c>
      <c r="C604" s="38">
        <v>64800</v>
      </c>
    </row>
    <row r="605" spans="1:3" x14ac:dyDescent="0.3">
      <c r="A605" s="37" t="s">
        <v>2</v>
      </c>
      <c r="B605" s="37" t="s">
        <v>53</v>
      </c>
      <c r="C605" s="38">
        <v>65000</v>
      </c>
    </row>
    <row r="606" spans="1:3" x14ac:dyDescent="0.3">
      <c r="A606" s="37" t="s">
        <v>2</v>
      </c>
      <c r="B606" s="37" t="s">
        <v>53</v>
      </c>
      <c r="C606" s="38"/>
    </row>
    <row r="607" spans="1:3" x14ac:dyDescent="0.3">
      <c r="A607" s="37" t="s">
        <v>2</v>
      </c>
      <c r="B607" s="37" t="s">
        <v>53</v>
      </c>
      <c r="C607" s="38"/>
    </row>
    <row r="608" spans="1:3" x14ac:dyDescent="0.3">
      <c r="A608" s="37" t="s">
        <v>2</v>
      </c>
      <c r="B608" s="37" t="s">
        <v>53</v>
      </c>
      <c r="C608" s="38"/>
    </row>
    <row r="609" spans="1:3" x14ac:dyDescent="0.3">
      <c r="A609" s="37" t="s">
        <v>2</v>
      </c>
      <c r="B609" s="37" t="s">
        <v>53</v>
      </c>
      <c r="C609" s="38"/>
    </row>
    <row r="610" spans="1:3" x14ac:dyDescent="0.3">
      <c r="A610" s="37" t="s">
        <v>2</v>
      </c>
      <c r="B610" s="37" t="s">
        <v>53</v>
      </c>
      <c r="C610" s="38">
        <v>67500</v>
      </c>
    </row>
    <row r="611" spans="1:3" x14ac:dyDescent="0.3">
      <c r="A611" s="37" t="s">
        <v>2</v>
      </c>
      <c r="B611" s="37" t="s">
        <v>53</v>
      </c>
      <c r="C611" s="38">
        <v>105000</v>
      </c>
    </row>
    <row r="612" spans="1:3" x14ac:dyDescent="0.3">
      <c r="A612" s="37" t="s">
        <v>2</v>
      </c>
      <c r="B612" s="37" t="s">
        <v>53</v>
      </c>
      <c r="C612" s="38">
        <v>95700</v>
      </c>
    </row>
    <row r="613" spans="1:3" x14ac:dyDescent="0.3">
      <c r="A613" s="37" t="s">
        <v>2</v>
      </c>
      <c r="B613" s="37" t="s">
        <v>53</v>
      </c>
      <c r="C613" s="38"/>
    </row>
    <row r="614" spans="1:3" x14ac:dyDescent="0.3">
      <c r="A614" s="37" t="s">
        <v>2</v>
      </c>
      <c r="B614" s="37" t="s">
        <v>53</v>
      </c>
      <c r="C614" s="38">
        <v>138516</v>
      </c>
    </row>
    <row r="615" spans="1:3" x14ac:dyDescent="0.3">
      <c r="A615" s="37" t="s">
        <v>2</v>
      </c>
      <c r="B615" s="37" t="s">
        <v>53</v>
      </c>
      <c r="C615" s="38"/>
    </row>
    <row r="616" spans="1:3" x14ac:dyDescent="0.3">
      <c r="A616" s="37" t="s">
        <v>2</v>
      </c>
      <c r="B616" s="37" t="s">
        <v>53</v>
      </c>
      <c r="C616" s="38">
        <v>109159</v>
      </c>
    </row>
    <row r="617" spans="1:3" x14ac:dyDescent="0.3">
      <c r="A617" s="37" t="s">
        <v>2</v>
      </c>
      <c r="B617" s="37" t="s">
        <v>53</v>
      </c>
      <c r="C617" s="38">
        <v>107500</v>
      </c>
    </row>
    <row r="618" spans="1:3" x14ac:dyDescent="0.3">
      <c r="A618" s="37" t="s">
        <v>2</v>
      </c>
      <c r="B618" s="37" t="s">
        <v>53</v>
      </c>
      <c r="C618" s="38">
        <v>95000</v>
      </c>
    </row>
    <row r="619" spans="1:3" x14ac:dyDescent="0.3">
      <c r="A619" s="37" t="s">
        <v>2</v>
      </c>
      <c r="B619" s="37" t="s">
        <v>53</v>
      </c>
      <c r="C619" s="38">
        <v>111500</v>
      </c>
    </row>
    <row r="620" spans="1:3" x14ac:dyDescent="0.3">
      <c r="A620" s="37" t="s">
        <v>2</v>
      </c>
      <c r="B620" s="37" t="s">
        <v>53</v>
      </c>
      <c r="C620" s="38"/>
    </row>
    <row r="621" spans="1:3" x14ac:dyDescent="0.3">
      <c r="A621" s="37" t="s">
        <v>2</v>
      </c>
      <c r="B621" s="37" t="s">
        <v>53</v>
      </c>
      <c r="C621" s="38"/>
    </row>
    <row r="622" spans="1:3" x14ac:dyDescent="0.3">
      <c r="A622" s="37" t="s">
        <v>2</v>
      </c>
      <c r="B622" s="37" t="s">
        <v>53</v>
      </c>
      <c r="C622" s="38">
        <v>50000</v>
      </c>
    </row>
    <row r="623" spans="1:3" x14ac:dyDescent="0.3">
      <c r="A623" s="37" t="s">
        <v>2</v>
      </c>
      <c r="B623" s="37" t="s">
        <v>53</v>
      </c>
      <c r="C623" s="38"/>
    </row>
    <row r="624" spans="1:3" x14ac:dyDescent="0.3">
      <c r="A624" s="37" t="s">
        <v>2</v>
      </c>
      <c r="B624" s="37" t="s">
        <v>53</v>
      </c>
      <c r="C624" s="38"/>
    </row>
    <row r="625" spans="1:3" x14ac:dyDescent="0.3">
      <c r="A625" s="37" t="s">
        <v>2</v>
      </c>
      <c r="B625" s="37" t="s">
        <v>53</v>
      </c>
      <c r="C625" s="38">
        <v>54000</v>
      </c>
    </row>
    <row r="626" spans="1:3" x14ac:dyDescent="0.3">
      <c r="A626" s="37" t="s">
        <v>2</v>
      </c>
      <c r="B626" s="37" t="s">
        <v>53</v>
      </c>
      <c r="C626" s="38"/>
    </row>
    <row r="627" spans="1:3" x14ac:dyDescent="0.3">
      <c r="A627" s="37" t="s">
        <v>2</v>
      </c>
      <c r="B627" s="37" t="s">
        <v>53</v>
      </c>
      <c r="C627" s="38"/>
    </row>
    <row r="628" spans="1:3" x14ac:dyDescent="0.3">
      <c r="A628" s="37" t="s">
        <v>2</v>
      </c>
      <c r="B628" s="37" t="s">
        <v>53</v>
      </c>
      <c r="C628" s="38"/>
    </row>
    <row r="629" spans="1:3" x14ac:dyDescent="0.3">
      <c r="A629" s="37" t="s">
        <v>2</v>
      </c>
      <c r="B629" s="37" t="s">
        <v>53</v>
      </c>
      <c r="C629" s="38">
        <v>62500</v>
      </c>
    </row>
    <row r="630" spans="1:3" x14ac:dyDescent="0.3">
      <c r="A630" s="37" t="s">
        <v>2</v>
      </c>
      <c r="B630" s="37" t="s">
        <v>53</v>
      </c>
      <c r="C630" s="38">
        <v>122500</v>
      </c>
    </row>
    <row r="631" spans="1:3" x14ac:dyDescent="0.3">
      <c r="A631" s="37" t="s">
        <v>2</v>
      </c>
      <c r="B631" s="37" t="s">
        <v>53</v>
      </c>
      <c r="C631" s="38"/>
    </row>
    <row r="632" spans="1:3" x14ac:dyDescent="0.3">
      <c r="A632" s="37" t="s">
        <v>2</v>
      </c>
      <c r="B632" s="37" t="s">
        <v>53</v>
      </c>
      <c r="C632" s="38"/>
    </row>
    <row r="633" spans="1:3" x14ac:dyDescent="0.3">
      <c r="A633" s="37" t="s">
        <v>2</v>
      </c>
      <c r="B633" s="37" t="s">
        <v>95</v>
      </c>
      <c r="C633" s="38">
        <v>109500</v>
      </c>
    </row>
    <row r="634" spans="1:3" x14ac:dyDescent="0.3">
      <c r="A634" s="37" t="s">
        <v>2</v>
      </c>
      <c r="B634" s="37" t="s">
        <v>53</v>
      </c>
      <c r="C634" s="38"/>
    </row>
    <row r="635" spans="1:3" x14ac:dyDescent="0.3">
      <c r="A635" s="37" t="s">
        <v>2</v>
      </c>
      <c r="B635" s="37" t="s">
        <v>53</v>
      </c>
      <c r="C635" s="38">
        <v>95000</v>
      </c>
    </row>
    <row r="636" spans="1:3" x14ac:dyDescent="0.3">
      <c r="A636" s="37" t="s">
        <v>2</v>
      </c>
      <c r="B636" s="37" t="s">
        <v>53</v>
      </c>
      <c r="C636" s="38">
        <v>90000</v>
      </c>
    </row>
    <row r="637" spans="1:3" x14ac:dyDescent="0.3">
      <c r="A637" s="37" t="s">
        <v>2</v>
      </c>
      <c r="B637" s="37" t="s">
        <v>54</v>
      </c>
      <c r="C637" s="38">
        <v>82430</v>
      </c>
    </row>
    <row r="638" spans="1:3" x14ac:dyDescent="0.3">
      <c r="A638" s="37" t="s">
        <v>2</v>
      </c>
      <c r="B638" s="37" t="s">
        <v>53</v>
      </c>
      <c r="C638" s="38"/>
    </row>
    <row r="639" spans="1:3" x14ac:dyDescent="0.3">
      <c r="A639" s="37" t="s">
        <v>2</v>
      </c>
      <c r="B639" s="37" t="s">
        <v>53</v>
      </c>
      <c r="C639" s="38">
        <v>82500</v>
      </c>
    </row>
    <row r="640" spans="1:3" x14ac:dyDescent="0.3">
      <c r="A640" s="37" t="s">
        <v>2</v>
      </c>
      <c r="B640" s="37" t="s">
        <v>97</v>
      </c>
      <c r="C640" s="38">
        <v>51014</v>
      </c>
    </row>
    <row r="641" spans="1:3" x14ac:dyDescent="0.3">
      <c r="A641" s="37" t="s">
        <v>2</v>
      </c>
      <c r="B641" s="37" t="s">
        <v>53</v>
      </c>
      <c r="C641" s="38"/>
    </row>
    <row r="642" spans="1:3" x14ac:dyDescent="0.3">
      <c r="A642" s="37" t="s">
        <v>2</v>
      </c>
      <c r="B642" s="37" t="s">
        <v>53</v>
      </c>
      <c r="C642" s="38"/>
    </row>
    <row r="643" spans="1:3" x14ac:dyDescent="0.3">
      <c r="A643" s="37" t="s">
        <v>2</v>
      </c>
      <c r="B643" s="37" t="s">
        <v>53</v>
      </c>
      <c r="C643" s="38"/>
    </row>
    <row r="644" spans="1:3" x14ac:dyDescent="0.3">
      <c r="A644" s="37" t="s">
        <v>2</v>
      </c>
      <c r="B644" s="37" t="s">
        <v>53</v>
      </c>
      <c r="C644" s="38"/>
    </row>
    <row r="645" spans="1:3" x14ac:dyDescent="0.3">
      <c r="A645" s="37" t="s">
        <v>2</v>
      </c>
      <c r="B645" s="37" t="s">
        <v>53</v>
      </c>
      <c r="C645" s="38">
        <v>70000</v>
      </c>
    </row>
    <row r="646" spans="1:3" x14ac:dyDescent="0.3">
      <c r="A646" s="37" t="s">
        <v>2</v>
      </c>
      <c r="B646" s="37" t="s">
        <v>53</v>
      </c>
      <c r="C646" s="38"/>
    </row>
    <row r="647" spans="1:3" x14ac:dyDescent="0.3">
      <c r="A647" s="37" t="s">
        <v>2</v>
      </c>
      <c r="B647" s="37" t="s">
        <v>105</v>
      </c>
      <c r="C647" s="38">
        <v>111175</v>
      </c>
    </row>
    <row r="648" spans="1:3" x14ac:dyDescent="0.3">
      <c r="A648" s="37" t="s">
        <v>2</v>
      </c>
      <c r="B648" s="37" t="s">
        <v>53</v>
      </c>
      <c r="C648" s="38">
        <v>52500</v>
      </c>
    </row>
    <row r="649" spans="1:3" x14ac:dyDescent="0.3">
      <c r="A649" s="37" t="s">
        <v>2</v>
      </c>
      <c r="B649" s="37" t="s">
        <v>53</v>
      </c>
      <c r="C649" s="38"/>
    </row>
    <row r="650" spans="1:3" x14ac:dyDescent="0.3">
      <c r="A650" s="37" t="s">
        <v>2</v>
      </c>
      <c r="B650" s="37" t="s">
        <v>53</v>
      </c>
      <c r="C650" s="38">
        <v>70000</v>
      </c>
    </row>
    <row r="651" spans="1:3" x14ac:dyDescent="0.3">
      <c r="A651" s="37" t="s">
        <v>2</v>
      </c>
      <c r="B651" s="37" t="s">
        <v>53</v>
      </c>
      <c r="C651" s="38">
        <v>37500</v>
      </c>
    </row>
    <row r="652" spans="1:3" x14ac:dyDescent="0.3">
      <c r="A652" s="37" t="s">
        <v>2</v>
      </c>
      <c r="B652" s="37" t="s">
        <v>53</v>
      </c>
      <c r="C652" s="38">
        <v>159133</v>
      </c>
    </row>
    <row r="653" spans="1:3" x14ac:dyDescent="0.3">
      <c r="A653" s="37" t="s">
        <v>2</v>
      </c>
      <c r="B653" s="37" t="s">
        <v>53</v>
      </c>
      <c r="C653" s="38">
        <v>90000</v>
      </c>
    </row>
    <row r="654" spans="1:3" x14ac:dyDescent="0.3">
      <c r="A654" s="37" t="s">
        <v>2</v>
      </c>
      <c r="B654" s="37" t="s">
        <v>53</v>
      </c>
      <c r="C654" s="38">
        <v>88000</v>
      </c>
    </row>
    <row r="655" spans="1:3" x14ac:dyDescent="0.3">
      <c r="A655" s="37" t="s">
        <v>2</v>
      </c>
      <c r="B655" s="37" t="s">
        <v>53</v>
      </c>
      <c r="C655" s="38"/>
    </row>
    <row r="656" spans="1:3" x14ac:dyDescent="0.3">
      <c r="A656" s="37" t="s">
        <v>2</v>
      </c>
      <c r="B656" s="37" t="s">
        <v>53</v>
      </c>
      <c r="C656" s="38"/>
    </row>
    <row r="657" spans="1:3" x14ac:dyDescent="0.3">
      <c r="A657" s="37" t="s">
        <v>2</v>
      </c>
      <c r="B657" s="37" t="s">
        <v>53</v>
      </c>
      <c r="C657" s="38"/>
    </row>
    <row r="658" spans="1:3" x14ac:dyDescent="0.3">
      <c r="A658" s="37" t="s">
        <v>2</v>
      </c>
      <c r="B658" s="37" t="s">
        <v>53</v>
      </c>
      <c r="C658" s="38"/>
    </row>
    <row r="659" spans="1:3" x14ac:dyDescent="0.3">
      <c r="A659" s="37" t="s">
        <v>2</v>
      </c>
      <c r="B659" s="37" t="s">
        <v>53</v>
      </c>
      <c r="C659" s="38">
        <v>85000</v>
      </c>
    </row>
    <row r="660" spans="1:3" x14ac:dyDescent="0.3">
      <c r="A660" s="37" t="s">
        <v>2</v>
      </c>
      <c r="B660" s="37" t="s">
        <v>53</v>
      </c>
      <c r="C660" s="38"/>
    </row>
    <row r="661" spans="1:3" x14ac:dyDescent="0.3">
      <c r="A661" s="37" t="s">
        <v>2</v>
      </c>
      <c r="B661" s="37" t="s">
        <v>64</v>
      </c>
      <c r="C661" s="38">
        <v>111175</v>
      </c>
    </row>
    <row r="662" spans="1:3" x14ac:dyDescent="0.3">
      <c r="A662" s="37" t="s">
        <v>2</v>
      </c>
      <c r="B662" s="37" t="s">
        <v>105</v>
      </c>
      <c r="C662" s="38">
        <v>111175</v>
      </c>
    </row>
    <row r="663" spans="1:3" x14ac:dyDescent="0.3">
      <c r="A663" s="37" t="s">
        <v>2</v>
      </c>
      <c r="B663" s="37" t="s">
        <v>54</v>
      </c>
      <c r="C663" s="38"/>
    </row>
    <row r="664" spans="1:3" x14ac:dyDescent="0.3">
      <c r="A664" s="37" t="s">
        <v>2</v>
      </c>
      <c r="B664" s="37" t="s">
        <v>53</v>
      </c>
      <c r="C664" s="38">
        <v>100000</v>
      </c>
    </row>
    <row r="665" spans="1:3" x14ac:dyDescent="0.3">
      <c r="A665" s="37" t="s">
        <v>2</v>
      </c>
      <c r="B665" s="37" t="s">
        <v>53</v>
      </c>
      <c r="C665" s="38"/>
    </row>
    <row r="666" spans="1:3" x14ac:dyDescent="0.3">
      <c r="A666" s="37" t="s">
        <v>2</v>
      </c>
      <c r="B666" s="37" t="s">
        <v>53</v>
      </c>
      <c r="C666" s="38">
        <v>90000</v>
      </c>
    </row>
    <row r="667" spans="1:3" x14ac:dyDescent="0.3">
      <c r="A667" s="37" t="s">
        <v>2</v>
      </c>
      <c r="B667" s="37" t="s">
        <v>53</v>
      </c>
      <c r="C667" s="38">
        <v>90000</v>
      </c>
    </row>
    <row r="668" spans="1:3" x14ac:dyDescent="0.3">
      <c r="A668" s="37" t="s">
        <v>2</v>
      </c>
      <c r="B668" s="37" t="s">
        <v>53</v>
      </c>
      <c r="C668" s="38"/>
    </row>
    <row r="669" spans="1:3" x14ac:dyDescent="0.3">
      <c r="A669" s="37" t="s">
        <v>2</v>
      </c>
      <c r="B669" s="37" t="s">
        <v>53</v>
      </c>
      <c r="C669" s="38">
        <v>187875</v>
      </c>
    </row>
    <row r="670" spans="1:3" x14ac:dyDescent="0.3">
      <c r="A670" s="37" t="s">
        <v>2</v>
      </c>
      <c r="B670" s="37" t="s">
        <v>53</v>
      </c>
      <c r="C670" s="38"/>
    </row>
    <row r="671" spans="1:3" x14ac:dyDescent="0.3">
      <c r="A671" s="37" t="s">
        <v>2</v>
      </c>
      <c r="B671" s="37" t="s">
        <v>54</v>
      </c>
      <c r="C671" s="38">
        <v>139246.5</v>
      </c>
    </row>
    <row r="672" spans="1:3" x14ac:dyDescent="0.3">
      <c r="A672" s="37" t="s">
        <v>2</v>
      </c>
      <c r="B672" s="37" t="s">
        <v>53</v>
      </c>
      <c r="C672" s="38"/>
    </row>
    <row r="673" spans="1:3" x14ac:dyDescent="0.3">
      <c r="A673" s="37" t="s">
        <v>2</v>
      </c>
      <c r="B673" s="37" t="s">
        <v>53</v>
      </c>
      <c r="C673" s="38"/>
    </row>
    <row r="674" spans="1:3" x14ac:dyDescent="0.3">
      <c r="A674" s="37" t="s">
        <v>2</v>
      </c>
      <c r="B674" s="37" t="s">
        <v>53</v>
      </c>
      <c r="C674" s="38">
        <v>188675</v>
      </c>
    </row>
    <row r="675" spans="1:3" x14ac:dyDescent="0.3">
      <c r="A675" s="37" t="s">
        <v>2</v>
      </c>
      <c r="B675" s="37" t="s">
        <v>53</v>
      </c>
      <c r="C675" s="38"/>
    </row>
    <row r="676" spans="1:3" x14ac:dyDescent="0.3">
      <c r="A676" s="37" t="s">
        <v>2</v>
      </c>
      <c r="B676" s="37" t="s">
        <v>53</v>
      </c>
      <c r="C676" s="38">
        <v>157000</v>
      </c>
    </row>
    <row r="677" spans="1:3" x14ac:dyDescent="0.3">
      <c r="A677" s="37" t="s">
        <v>2</v>
      </c>
      <c r="B677" s="37" t="s">
        <v>53</v>
      </c>
      <c r="C677" s="38">
        <v>98500</v>
      </c>
    </row>
    <row r="678" spans="1:3" x14ac:dyDescent="0.3">
      <c r="A678" s="37" t="s">
        <v>2</v>
      </c>
      <c r="B678" s="37" t="s">
        <v>79</v>
      </c>
      <c r="C678" s="38">
        <v>100500</v>
      </c>
    </row>
    <row r="679" spans="1:3" x14ac:dyDescent="0.3">
      <c r="A679" s="37" t="s">
        <v>2</v>
      </c>
      <c r="B679" s="37" t="s">
        <v>53</v>
      </c>
      <c r="C679" s="38"/>
    </row>
    <row r="680" spans="1:3" x14ac:dyDescent="0.3">
      <c r="A680" s="37" t="s">
        <v>2</v>
      </c>
      <c r="B680" s="37" t="s">
        <v>53</v>
      </c>
      <c r="C680" s="38"/>
    </row>
    <row r="681" spans="1:3" x14ac:dyDescent="0.3">
      <c r="A681" s="37" t="s">
        <v>2</v>
      </c>
      <c r="B681" s="37" t="s">
        <v>53</v>
      </c>
      <c r="C681" s="38"/>
    </row>
    <row r="682" spans="1:3" x14ac:dyDescent="0.3">
      <c r="A682" s="37" t="s">
        <v>2</v>
      </c>
      <c r="B682" s="37" t="s">
        <v>53</v>
      </c>
      <c r="C682" s="38">
        <v>125000</v>
      </c>
    </row>
    <row r="683" spans="1:3" x14ac:dyDescent="0.3">
      <c r="A683" s="37" t="s">
        <v>2</v>
      </c>
      <c r="B683" s="37" t="s">
        <v>53</v>
      </c>
      <c r="C683" s="38">
        <v>75000</v>
      </c>
    </row>
    <row r="684" spans="1:3" x14ac:dyDescent="0.3">
      <c r="A684" s="37" t="s">
        <v>2</v>
      </c>
      <c r="B684" s="37" t="s">
        <v>53</v>
      </c>
      <c r="C684" s="38"/>
    </row>
    <row r="685" spans="1:3" x14ac:dyDescent="0.3">
      <c r="A685" s="37" t="s">
        <v>2</v>
      </c>
      <c r="B685" s="37" t="s">
        <v>72</v>
      </c>
      <c r="C685" s="38">
        <v>51014</v>
      </c>
    </row>
    <row r="686" spans="1:3" x14ac:dyDescent="0.3">
      <c r="A686" s="37" t="s">
        <v>2</v>
      </c>
      <c r="B686" s="37" t="s">
        <v>74</v>
      </c>
      <c r="C686" s="38">
        <v>45000</v>
      </c>
    </row>
    <row r="687" spans="1:3" x14ac:dyDescent="0.3">
      <c r="A687" s="37" t="s">
        <v>2</v>
      </c>
      <c r="B687" s="37" t="s">
        <v>53</v>
      </c>
      <c r="C687" s="38"/>
    </row>
    <row r="688" spans="1:3" x14ac:dyDescent="0.3">
      <c r="A688" s="37" t="s">
        <v>2</v>
      </c>
      <c r="B688" s="37" t="s">
        <v>53</v>
      </c>
      <c r="C688" s="38"/>
    </row>
    <row r="689" spans="1:3" x14ac:dyDescent="0.3">
      <c r="A689" s="37" t="s">
        <v>2</v>
      </c>
      <c r="B689" s="37" t="s">
        <v>53</v>
      </c>
      <c r="C689" s="38"/>
    </row>
    <row r="690" spans="1:3" x14ac:dyDescent="0.3">
      <c r="A690" s="37" t="s">
        <v>2</v>
      </c>
      <c r="B690" s="37" t="s">
        <v>53</v>
      </c>
      <c r="C690" s="38"/>
    </row>
    <row r="691" spans="1:3" x14ac:dyDescent="0.3">
      <c r="A691" s="37" t="s">
        <v>2</v>
      </c>
      <c r="B691" s="37" t="s">
        <v>53</v>
      </c>
      <c r="C691" s="38">
        <v>115000</v>
      </c>
    </row>
    <row r="692" spans="1:3" x14ac:dyDescent="0.3">
      <c r="A692" s="37" t="s">
        <v>2</v>
      </c>
      <c r="B692" s="37" t="s">
        <v>53</v>
      </c>
      <c r="C692" s="38">
        <v>105900</v>
      </c>
    </row>
    <row r="693" spans="1:3" x14ac:dyDescent="0.3">
      <c r="A693" s="37" t="s">
        <v>2</v>
      </c>
      <c r="B693" s="37" t="s">
        <v>53</v>
      </c>
      <c r="C693" s="38"/>
    </row>
    <row r="694" spans="1:3" x14ac:dyDescent="0.3">
      <c r="A694" s="37" t="s">
        <v>2</v>
      </c>
      <c r="B694" s="37" t="s">
        <v>53</v>
      </c>
      <c r="C694" s="38"/>
    </row>
    <row r="695" spans="1:3" x14ac:dyDescent="0.3">
      <c r="A695" s="37" t="s">
        <v>2</v>
      </c>
      <c r="B695" s="37" t="s">
        <v>53</v>
      </c>
      <c r="C695" s="38"/>
    </row>
    <row r="696" spans="1:3" x14ac:dyDescent="0.3">
      <c r="A696" s="37" t="s">
        <v>2</v>
      </c>
      <c r="B696" s="37" t="s">
        <v>53</v>
      </c>
      <c r="C696" s="38"/>
    </row>
    <row r="697" spans="1:3" x14ac:dyDescent="0.3">
      <c r="A697" s="37" t="s">
        <v>2</v>
      </c>
      <c r="B697" s="37" t="s">
        <v>53</v>
      </c>
      <c r="C697" s="38">
        <v>90000</v>
      </c>
    </row>
    <row r="698" spans="1:3" x14ac:dyDescent="0.3">
      <c r="A698" s="37" t="s">
        <v>2</v>
      </c>
      <c r="B698" s="37" t="s">
        <v>86</v>
      </c>
      <c r="C698" s="38">
        <v>51014</v>
      </c>
    </row>
    <row r="699" spans="1:3" x14ac:dyDescent="0.3">
      <c r="A699" s="37" t="s">
        <v>2</v>
      </c>
      <c r="B699" s="37" t="s">
        <v>53</v>
      </c>
      <c r="C699" s="38"/>
    </row>
    <row r="700" spans="1:3" x14ac:dyDescent="0.3">
      <c r="A700" s="37" t="s">
        <v>2</v>
      </c>
      <c r="B700" s="37" t="s">
        <v>53</v>
      </c>
      <c r="C700" s="38">
        <v>77500</v>
      </c>
    </row>
    <row r="701" spans="1:3" x14ac:dyDescent="0.3">
      <c r="A701" s="37" t="s">
        <v>2</v>
      </c>
      <c r="B701" s="37" t="s">
        <v>53</v>
      </c>
      <c r="C701" s="38"/>
    </row>
    <row r="702" spans="1:3" x14ac:dyDescent="0.3">
      <c r="A702" s="37" t="s">
        <v>2</v>
      </c>
      <c r="B702" s="37" t="s">
        <v>53</v>
      </c>
      <c r="C702" s="38"/>
    </row>
    <row r="703" spans="1:3" x14ac:dyDescent="0.3">
      <c r="A703" s="37" t="s">
        <v>2</v>
      </c>
      <c r="B703" s="37" t="s">
        <v>53</v>
      </c>
      <c r="C703" s="38">
        <v>137500</v>
      </c>
    </row>
    <row r="704" spans="1:3" x14ac:dyDescent="0.3">
      <c r="A704" s="37" t="s">
        <v>2</v>
      </c>
      <c r="B704" s="37" t="s">
        <v>53</v>
      </c>
      <c r="C704" s="38">
        <v>76000</v>
      </c>
    </row>
    <row r="705" spans="1:3" x14ac:dyDescent="0.3">
      <c r="A705" s="37" t="s">
        <v>2</v>
      </c>
      <c r="B705" s="37" t="s">
        <v>53</v>
      </c>
      <c r="C705" s="38">
        <v>73481</v>
      </c>
    </row>
    <row r="706" spans="1:3" x14ac:dyDescent="0.3">
      <c r="A706" s="37" t="s">
        <v>2</v>
      </c>
      <c r="B706" s="37" t="s">
        <v>98</v>
      </c>
      <c r="C706" s="38">
        <v>89100</v>
      </c>
    </row>
    <row r="707" spans="1:3" x14ac:dyDescent="0.3">
      <c r="A707" s="37" t="s">
        <v>2</v>
      </c>
      <c r="B707" s="37" t="s">
        <v>53</v>
      </c>
      <c r="C707" s="38">
        <v>71500</v>
      </c>
    </row>
    <row r="708" spans="1:3" x14ac:dyDescent="0.3">
      <c r="A708" s="37" t="s">
        <v>2</v>
      </c>
      <c r="B708" s="37" t="s">
        <v>53</v>
      </c>
      <c r="C708" s="38">
        <v>100000</v>
      </c>
    </row>
    <row r="709" spans="1:3" x14ac:dyDescent="0.3">
      <c r="A709" s="37" t="s">
        <v>2</v>
      </c>
      <c r="B709" s="37" t="s">
        <v>53</v>
      </c>
      <c r="C709" s="38">
        <v>45000</v>
      </c>
    </row>
    <row r="710" spans="1:3" x14ac:dyDescent="0.3">
      <c r="A710" s="37" t="s">
        <v>2</v>
      </c>
      <c r="B710" s="37" t="s">
        <v>53</v>
      </c>
      <c r="C710" s="38"/>
    </row>
    <row r="711" spans="1:3" x14ac:dyDescent="0.3">
      <c r="A711" s="37" t="s">
        <v>2</v>
      </c>
      <c r="B711" s="37" t="s">
        <v>53</v>
      </c>
      <c r="C711" s="38">
        <v>111202</v>
      </c>
    </row>
    <row r="712" spans="1:3" x14ac:dyDescent="0.3">
      <c r="A712" s="37" t="s">
        <v>2</v>
      </c>
      <c r="B712" s="37" t="s">
        <v>53</v>
      </c>
      <c r="C712" s="38">
        <v>90792</v>
      </c>
    </row>
    <row r="713" spans="1:3" x14ac:dyDescent="0.3">
      <c r="A713" s="37" t="s">
        <v>2</v>
      </c>
      <c r="B713" s="37" t="s">
        <v>53</v>
      </c>
      <c r="C713" s="38">
        <v>85000</v>
      </c>
    </row>
    <row r="714" spans="1:3" x14ac:dyDescent="0.3">
      <c r="A714" s="37" t="s">
        <v>2</v>
      </c>
      <c r="B714" s="37" t="s">
        <v>53</v>
      </c>
      <c r="C714" s="38"/>
    </row>
    <row r="715" spans="1:3" x14ac:dyDescent="0.3">
      <c r="A715" s="37" t="s">
        <v>2</v>
      </c>
      <c r="B715" s="37" t="s">
        <v>53</v>
      </c>
      <c r="C715" s="38"/>
    </row>
    <row r="716" spans="1:3" x14ac:dyDescent="0.3">
      <c r="A716" s="37" t="s">
        <v>2</v>
      </c>
      <c r="B716" s="37" t="s">
        <v>53</v>
      </c>
      <c r="C716" s="38">
        <v>117550</v>
      </c>
    </row>
    <row r="717" spans="1:3" x14ac:dyDescent="0.3">
      <c r="A717" s="37" t="s">
        <v>2</v>
      </c>
      <c r="B717" s="37" t="s">
        <v>53</v>
      </c>
      <c r="C717" s="38">
        <v>181425</v>
      </c>
    </row>
    <row r="718" spans="1:3" x14ac:dyDescent="0.3">
      <c r="A718" s="37" t="s">
        <v>2</v>
      </c>
      <c r="B718" s="37" t="s">
        <v>53</v>
      </c>
      <c r="C718" s="38"/>
    </row>
    <row r="719" spans="1:3" x14ac:dyDescent="0.3">
      <c r="A719" s="37" t="s">
        <v>2</v>
      </c>
      <c r="B719" s="37" t="s">
        <v>53</v>
      </c>
      <c r="C719" s="38">
        <v>150000</v>
      </c>
    </row>
    <row r="720" spans="1:3" x14ac:dyDescent="0.3">
      <c r="A720" s="37" t="s">
        <v>2</v>
      </c>
      <c r="B720" s="37" t="s">
        <v>53</v>
      </c>
      <c r="C720" s="38">
        <v>150000</v>
      </c>
    </row>
    <row r="721" spans="1:3" x14ac:dyDescent="0.3">
      <c r="A721" s="37" t="s">
        <v>2</v>
      </c>
      <c r="B721" s="37" t="s">
        <v>69</v>
      </c>
      <c r="C721" s="38">
        <v>200000</v>
      </c>
    </row>
    <row r="722" spans="1:3" x14ac:dyDescent="0.3">
      <c r="A722" s="37" t="s">
        <v>2</v>
      </c>
      <c r="B722" s="37" t="s">
        <v>53</v>
      </c>
      <c r="C722" s="38">
        <v>52500</v>
      </c>
    </row>
    <row r="723" spans="1:3" x14ac:dyDescent="0.3">
      <c r="A723" s="37" t="s">
        <v>2</v>
      </c>
      <c r="B723" s="37" t="s">
        <v>53</v>
      </c>
      <c r="C723" s="38">
        <v>144481.5</v>
      </c>
    </row>
    <row r="724" spans="1:3" x14ac:dyDescent="0.3">
      <c r="A724" s="37" t="s">
        <v>2</v>
      </c>
      <c r="B724" s="37" t="s">
        <v>53</v>
      </c>
      <c r="C724" s="38"/>
    </row>
    <row r="725" spans="1:3" x14ac:dyDescent="0.3">
      <c r="A725" s="37" t="s">
        <v>2</v>
      </c>
      <c r="B725" s="37" t="s">
        <v>53</v>
      </c>
      <c r="C725" s="38">
        <v>90000</v>
      </c>
    </row>
    <row r="726" spans="1:3" x14ac:dyDescent="0.3">
      <c r="A726" s="37" t="s">
        <v>2</v>
      </c>
      <c r="B726" s="37" t="s">
        <v>98</v>
      </c>
      <c r="C726" s="38">
        <v>98500</v>
      </c>
    </row>
    <row r="727" spans="1:3" x14ac:dyDescent="0.3">
      <c r="A727" s="37" t="s">
        <v>2</v>
      </c>
      <c r="B727" s="37" t="s">
        <v>53</v>
      </c>
      <c r="C727" s="38">
        <v>55000</v>
      </c>
    </row>
    <row r="728" spans="1:3" x14ac:dyDescent="0.3">
      <c r="A728" s="37" t="s">
        <v>2</v>
      </c>
      <c r="B728" s="37" t="s">
        <v>53</v>
      </c>
      <c r="C728" s="38">
        <v>70000</v>
      </c>
    </row>
    <row r="729" spans="1:3" x14ac:dyDescent="0.3">
      <c r="A729" s="37" t="s">
        <v>2</v>
      </c>
      <c r="B729" s="37" t="s">
        <v>53</v>
      </c>
      <c r="C729" s="38">
        <v>52500</v>
      </c>
    </row>
    <row r="730" spans="1:3" x14ac:dyDescent="0.3">
      <c r="A730" s="37" t="s">
        <v>2</v>
      </c>
      <c r="B730" s="37" t="s">
        <v>53</v>
      </c>
      <c r="C730" s="38"/>
    </row>
    <row r="731" spans="1:3" x14ac:dyDescent="0.3">
      <c r="A731" s="37" t="s">
        <v>2</v>
      </c>
      <c r="B731" s="37" t="s">
        <v>53</v>
      </c>
      <c r="C731" s="38">
        <v>65000</v>
      </c>
    </row>
    <row r="732" spans="1:3" x14ac:dyDescent="0.3">
      <c r="A732" s="37" t="s">
        <v>2</v>
      </c>
      <c r="B732" s="37" t="s">
        <v>53</v>
      </c>
      <c r="C732" s="38"/>
    </row>
    <row r="733" spans="1:3" x14ac:dyDescent="0.3">
      <c r="A733" s="37" t="s">
        <v>2</v>
      </c>
      <c r="B733" s="37" t="s">
        <v>53</v>
      </c>
      <c r="C733" s="38">
        <v>58017</v>
      </c>
    </row>
    <row r="734" spans="1:3" x14ac:dyDescent="0.3">
      <c r="A734" s="37" t="s">
        <v>2</v>
      </c>
      <c r="B734" s="37" t="s">
        <v>53</v>
      </c>
      <c r="C734" s="38"/>
    </row>
    <row r="735" spans="1:3" x14ac:dyDescent="0.3">
      <c r="A735" s="37" t="s">
        <v>2</v>
      </c>
      <c r="B735" s="37" t="s">
        <v>69</v>
      </c>
      <c r="C735" s="38">
        <v>89100</v>
      </c>
    </row>
    <row r="736" spans="1:3" x14ac:dyDescent="0.3">
      <c r="A736" s="37" t="s">
        <v>2</v>
      </c>
      <c r="B736" s="37" t="s">
        <v>53</v>
      </c>
      <c r="C736" s="38">
        <v>80000</v>
      </c>
    </row>
    <row r="737" spans="1:3" x14ac:dyDescent="0.3">
      <c r="A737" s="37" t="s">
        <v>2</v>
      </c>
      <c r="B737" s="37" t="s">
        <v>53</v>
      </c>
      <c r="C737" s="38"/>
    </row>
    <row r="738" spans="1:3" x14ac:dyDescent="0.3">
      <c r="A738" s="37" t="s">
        <v>2</v>
      </c>
      <c r="B738" s="37" t="s">
        <v>53</v>
      </c>
      <c r="C738" s="38">
        <v>105000</v>
      </c>
    </row>
    <row r="739" spans="1:3" x14ac:dyDescent="0.3">
      <c r="A739" s="37" t="s">
        <v>2</v>
      </c>
      <c r="B739" s="37" t="s">
        <v>53</v>
      </c>
      <c r="C739" s="38"/>
    </row>
    <row r="740" spans="1:3" x14ac:dyDescent="0.3">
      <c r="A740" s="37" t="s">
        <v>2</v>
      </c>
      <c r="B740" s="37" t="s">
        <v>53</v>
      </c>
      <c r="C740" s="38">
        <v>127100</v>
      </c>
    </row>
    <row r="741" spans="1:3" x14ac:dyDescent="0.3">
      <c r="A741" s="37" t="s">
        <v>2</v>
      </c>
      <c r="B741" s="37" t="s">
        <v>53</v>
      </c>
      <c r="C741" s="38"/>
    </row>
    <row r="742" spans="1:3" x14ac:dyDescent="0.3">
      <c r="A742" s="37" t="s">
        <v>2</v>
      </c>
      <c r="B742" s="37" t="s">
        <v>53</v>
      </c>
      <c r="C742" s="38">
        <v>90000</v>
      </c>
    </row>
    <row r="743" spans="1:3" x14ac:dyDescent="0.3">
      <c r="A743" s="37" t="s">
        <v>2</v>
      </c>
      <c r="B743" s="37" t="s">
        <v>53</v>
      </c>
      <c r="C743" s="38"/>
    </row>
    <row r="744" spans="1:3" x14ac:dyDescent="0.3">
      <c r="A744" s="37" t="s">
        <v>2</v>
      </c>
      <c r="B744" s="37" t="s">
        <v>53</v>
      </c>
      <c r="C744" s="38">
        <v>81350</v>
      </c>
    </row>
    <row r="745" spans="1:3" x14ac:dyDescent="0.3">
      <c r="A745" s="37" t="s">
        <v>2</v>
      </c>
      <c r="B745" s="37" t="s">
        <v>53</v>
      </c>
      <c r="C745" s="38"/>
    </row>
    <row r="746" spans="1:3" x14ac:dyDescent="0.3">
      <c r="A746" s="37" t="s">
        <v>2</v>
      </c>
      <c r="B746" s="37" t="s">
        <v>53</v>
      </c>
      <c r="C746" s="38">
        <v>101540</v>
      </c>
    </row>
    <row r="747" spans="1:3" x14ac:dyDescent="0.3">
      <c r="A747" s="37" t="s">
        <v>2</v>
      </c>
      <c r="B747" s="37" t="s">
        <v>53</v>
      </c>
      <c r="C747" s="38">
        <v>125000</v>
      </c>
    </row>
    <row r="748" spans="1:3" x14ac:dyDescent="0.3">
      <c r="A748" s="37" t="s">
        <v>2</v>
      </c>
      <c r="B748" s="37" t="s">
        <v>53</v>
      </c>
      <c r="C748" s="38">
        <v>49500</v>
      </c>
    </row>
    <row r="749" spans="1:3" x14ac:dyDescent="0.3">
      <c r="A749" s="37" t="s">
        <v>2</v>
      </c>
      <c r="B749" s="37" t="s">
        <v>53</v>
      </c>
      <c r="C749" s="38">
        <v>92500</v>
      </c>
    </row>
    <row r="750" spans="1:3" x14ac:dyDescent="0.3">
      <c r="A750" s="37" t="s">
        <v>2</v>
      </c>
      <c r="B750" s="37" t="s">
        <v>53</v>
      </c>
      <c r="C750" s="38">
        <v>150000</v>
      </c>
    </row>
    <row r="751" spans="1:3" x14ac:dyDescent="0.3">
      <c r="A751" s="37" t="s">
        <v>2</v>
      </c>
      <c r="B751" s="37" t="s">
        <v>53</v>
      </c>
      <c r="C751" s="38">
        <v>70000</v>
      </c>
    </row>
    <row r="752" spans="1:3" x14ac:dyDescent="0.3">
      <c r="A752" s="37" t="s">
        <v>2</v>
      </c>
      <c r="B752" s="37" t="s">
        <v>53</v>
      </c>
      <c r="C752" s="38">
        <v>85000</v>
      </c>
    </row>
    <row r="753" spans="1:3" x14ac:dyDescent="0.3">
      <c r="A753" s="37" t="s">
        <v>2</v>
      </c>
      <c r="B753" s="37" t="s">
        <v>53</v>
      </c>
      <c r="C753" s="38">
        <v>150000</v>
      </c>
    </row>
    <row r="754" spans="1:3" x14ac:dyDescent="0.3">
      <c r="A754" s="37" t="s">
        <v>2</v>
      </c>
      <c r="B754" s="37" t="s">
        <v>53</v>
      </c>
      <c r="C754" s="38">
        <v>115000</v>
      </c>
    </row>
    <row r="755" spans="1:3" x14ac:dyDescent="0.3">
      <c r="A755" s="37" t="s">
        <v>2</v>
      </c>
      <c r="B755" s="37" t="s">
        <v>53</v>
      </c>
      <c r="C755" s="38"/>
    </row>
    <row r="756" spans="1:3" x14ac:dyDescent="0.3">
      <c r="A756" s="37" t="s">
        <v>2</v>
      </c>
      <c r="B756" s="37" t="s">
        <v>53</v>
      </c>
      <c r="C756" s="38">
        <v>115000</v>
      </c>
    </row>
    <row r="757" spans="1:3" x14ac:dyDescent="0.3">
      <c r="A757" s="37" t="s">
        <v>2</v>
      </c>
      <c r="B757" s="37" t="s">
        <v>53</v>
      </c>
      <c r="C757" s="38">
        <v>115000</v>
      </c>
    </row>
    <row r="758" spans="1:3" x14ac:dyDescent="0.3">
      <c r="A758" s="37" t="s">
        <v>2</v>
      </c>
      <c r="B758" s="37" t="s">
        <v>53</v>
      </c>
      <c r="C758" s="38"/>
    </row>
    <row r="759" spans="1:3" x14ac:dyDescent="0.3">
      <c r="A759" s="37" t="s">
        <v>2</v>
      </c>
      <c r="B759" s="37" t="s">
        <v>53</v>
      </c>
      <c r="C759" s="38"/>
    </row>
    <row r="760" spans="1:3" x14ac:dyDescent="0.3">
      <c r="A760" s="37" t="s">
        <v>2</v>
      </c>
      <c r="B760" s="37" t="s">
        <v>53</v>
      </c>
      <c r="C760" s="38"/>
    </row>
    <row r="761" spans="1:3" x14ac:dyDescent="0.3">
      <c r="A761" s="37" t="s">
        <v>2</v>
      </c>
      <c r="B761" s="37" t="s">
        <v>53</v>
      </c>
      <c r="C761" s="38">
        <v>50289.1796875</v>
      </c>
    </row>
    <row r="762" spans="1:3" x14ac:dyDescent="0.3">
      <c r="A762" s="37" t="s">
        <v>2</v>
      </c>
      <c r="B762" s="37" t="s">
        <v>53</v>
      </c>
      <c r="C762" s="38">
        <v>42120</v>
      </c>
    </row>
    <row r="763" spans="1:3" x14ac:dyDescent="0.3">
      <c r="A763" s="37" t="s">
        <v>2</v>
      </c>
      <c r="B763" s="37" t="s">
        <v>53</v>
      </c>
      <c r="C763" s="38"/>
    </row>
    <row r="764" spans="1:3" x14ac:dyDescent="0.3">
      <c r="A764" s="37" t="s">
        <v>2</v>
      </c>
      <c r="B764" s="37" t="s">
        <v>85</v>
      </c>
      <c r="C764" s="38">
        <v>45000</v>
      </c>
    </row>
    <row r="765" spans="1:3" x14ac:dyDescent="0.3">
      <c r="A765" s="37" t="s">
        <v>2</v>
      </c>
      <c r="B765" s="37" t="s">
        <v>53</v>
      </c>
      <c r="C765" s="38">
        <v>70000</v>
      </c>
    </row>
    <row r="766" spans="1:3" x14ac:dyDescent="0.3">
      <c r="A766" s="37" t="s">
        <v>2</v>
      </c>
      <c r="B766" s="37" t="s">
        <v>53</v>
      </c>
      <c r="C766" s="38">
        <v>87000</v>
      </c>
    </row>
    <row r="767" spans="1:3" x14ac:dyDescent="0.3">
      <c r="A767" s="37" t="s">
        <v>2</v>
      </c>
      <c r="B767" s="37" t="s">
        <v>53</v>
      </c>
      <c r="C767" s="38"/>
    </row>
    <row r="768" spans="1:3" x14ac:dyDescent="0.3">
      <c r="A768" s="37" t="s">
        <v>2</v>
      </c>
      <c r="B768" s="37" t="s">
        <v>53</v>
      </c>
      <c r="C768" s="38"/>
    </row>
    <row r="769" spans="1:3" x14ac:dyDescent="0.3">
      <c r="A769" s="37" t="s">
        <v>2</v>
      </c>
      <c r="B769" s="37" t="s">
        <v>53</v>
      </c>
      <c r="C769" s="38">
        <v>110240.109375</v>
      </c>
    </row>
    <row r="770" spans="1:3" x14ac:dyDescent="0.3">
      <c r="A770" s="37" t="s">
        <v>2</v>
      </c>
      <c r="B770" s="37" t="s">
        <v>53</v>
      </c>
      <c r="C770" s="38"/>
    </row>
    <row r="771" spans="1:3" x14ac:dyDescent="0.3">
      <c r="A771" s="37" t="s">
        <v>2</v>
      </c>
      <c r="B771" s="37" t="s">
        <v>53</v>
      </c>
      <c r="C771" s="38"/>
    </row>
    <row r="772" spans="1:3" x14ac:dyDescent="0.3">
      <c r="A772" s="37" t="s">
        <v>2</v>
      </c>
      <c r="B772" s="37" t="s">
        <v>53</v>
      </c>
      <c r="C772" s="38">
        <v>39500</v>
      </c>
    </row>
    <row r="773" spans="1:3" x14ac:dyDescent="0.3">
      <c r="A773" s="37" t="s">
        <v>2</v>
      </c>
      <c r="B773" s="37" t="s">
        <v>53</v>
      </c>
      <c r="C773" s="38"/>
    </row>
    <row r="774" spans="1:3" x14ac:dyDescent="0.3">
      <c r="A774" s="37" t="s">
        <v>2</v>
      </c>
      <c r="B774" s="37" t="s">
        <v>53</v>
      </c>
      <c r="C774" s="38"/>
    </row>
    <row r="775" spans="1:3" x14ac:dyDescent="0.3">
      <c r="A775" s="37" t="s">
        <v>2</v>
      </c>
      <c r="B775" s="37" t="s">
        <v>53</v>
      </c>
      <c r="C775" s="38">
        <v>61500</v>
      </c>
    </row>
    <row r="776" spans="1:3" x14ac:dyDescent="0.3">
      <c r="A776" s="37" t="s">
        <v>2</v>
      </c>
      <c r="B776" s="37" t="s">
        <v>53</v>
      </c>
      <c r="C776" s="38">
        <v>70000</v>
      </c>
    </row>
    <row r="777" spans="1:3" x14ac:dyDescent="0.3">
      <c r="A777" s="37" t="s">
        <v>2</v>
      </c>
      <c r="B777" s="37" t="s">
        <v>57</v>
      </c>
      <c r="C777" s="38">
        <v>60000</v>
      </c>
    </row>
    <row r="778" spans="1:3" x14ac:dyDescent="0.3">
      <c r="A778" s="37" t="s">
        <v>2</v>
      </c>
      <c r="B778" s="37" t="s">
        <v>53</v>
      </c>
      <c r="C778" s="38"/>
    </row>
    <row r="779" spans="1:3" x14ac:dyDescent="0.3">
      <c r="A779" s="37" t="s">
        <v>2</v>
      </c>
      <c r="B779" s="37" t="s">
        <v>53</v>
      </c>
      <c r="C779" s="38">
        <v>75000</v>
      </c>
    </row>
    <row r="780" spans="1:3" x14ac:dyDescent="0.3">
      <c r="A780" s="37" t="s">
        <v>2</v>
      </c>
      <c r="B780" s="37" t="s">
        <v>53</v>
      </c>
      <c r="C780" s="38">
        <v>60000</v>
      </c>
    </row>
    <row r="781" spans="1:3" x14ac:dyDescent="0.3">
      <c r="A781" s="37" t="s">
        <v>2</v>
      </c>
      <c r="B781" s="37" t="s">
        <v>53</v>
      </c>
      <c r="C781" s="38">
        <v>137500</v>
      </c>
    </row>
    <row r="782" spans="1:3" x14ac:dyDescent="0.3">
      <c r="A782" s="37" t="s">
        <v>2</v>
      </c>
      <c r="B782" s="37" t="s">
        <v>53</v>
      </c>
      <c r="C782" s="38">
        <v>89833.5</v>
      </c>
    </row>
    <row r="783" spans="1:3" x14ac:dyDescent="0.3">
      <c r="A783" s="37" t="s">
        <v>2</v>
      </c>
      <c r="B783" s="37" t="s">
        <v>53</v>
      </c>
      <c r="C783" s="38"/>
    </row>
    <row r="784" spans="1:3" x14ac:dyDescent="0.3">
      <c r="A784" s="37" t="s">
        <v>2</v>
      </c>
      <c r="B784" s="37" t="s">
        <v>53</v>
      </c>
      <c r="C784" s="38">
        <v>74801.5</v>
      </c>
    </row>
    <row r="785" spans="1:3" x14ac:dyDescent="0.3">
      <c r="A785" s="37" t="s">
        <v>2</v>
      </c>
      <c r="B785" s="37" t="s">
        <v>53</v>
      </c>
      <c r="C785" s="38"/>
    </row>
    <row r="786" spans="1:3" x14ac:dyDescent="0.3">
      <c r="A786" s="37" t="s">
        <v>2</v>
      </c>
      <c r="B786" s="37" t="s">
        <v>53</v>
      </c>
      <c r="C786" s="38"/>
    </row>
    <row r="787" spans="1:3" x14ac:dyDescent="0.3">
      <c r="A787" s="37" t="s">
        <v>2</v>
      </c>
      <c r="B787" s="37" t="s">
        <v>53</v>
      </c>
      <c r="C787" s="38"/>
    </row>
    <row r="788" spans="1:3" x14ac:dyDescent="0.3">
      <c r="A788" s="37" t="s">
        <v>2</v>
      </c>
      <c r="B788" s="37" t="s">
        <v>53</v>
      </c>
      <c r="C788" s="38">
        <v>50000</v>
      </c>
    </row>
    <row r="789" spans="1:3" x14ac:dyDescent="0.3">
      <c r="A789" s="37" t="s">
        <v>2</v>
      </c>
      <c r="B789" s="37" t="s">
        <v>53</v>
      </c>
      <c r="C789" s="38">
        <v>60000</v>
      </c>
    </row>
    <row r="790" spans="1:3" x14ac:dyDescent="0.3">
      <c r="A790" s="37" t="s">
        <v>2</v>
      </c>
      <c r="B790" s="37" t="s">
        <v>53</v>
      </c>
      <c r="C790" s="38">
        <v>97500</v>
      </c>
    </row>
    <row r="791" spans="1:3" x14ac:dyDescent="0.3">
      <c r="A791" s="37" t="s">
        <v>2</v>
      </c>
      <c r="B791" s="37" t="s">
        <v>107</v>
      </c>
      <c r="C791" s="38">
        <v>56700</v>
      </c>
    </row>
    <row r="792" spans="1:3" x14ac:dyDescent="0.3">
      <c r="A792" s="37" t="s">
        <v>2</v>
      </c>
      <c r="B792" s="37" t="s">
        <v>53</v>
      </c>
      <c r="C792" s="38">
        <v>51014</v>
      </c>
    </row>
    <row r="793" spans="1:3" x14ac:dyDescent="0.3">
      <c r="A793" s="37" t="s">
        <v>2</v>
      </c>
      <c r="B793" s="37" t="s">
        <v>53</v>
      </c>
      <c r="C793" s="38"/>
    </row>
    <row r="794" spans="1:3" x14ac:dyDescent="0.3">
      <c r="A794" s="37" t="s">
        <v>2</v>
      </c>
      <c r="B794" s="37" t="s">
        <v>53</v>
      </c>
      <c r="C794" s="38"/>
    </row>
    <row r="795" spans="1:3" x14ac:dyDescent="0.3">
      <c r="A795" s="37" t="s">
        <v>2</v>
      </c>
      <c r="B795" s="37" t="s">
        <v>53</v>
      </c>
      <c r="C795" s="38"/>
    </row>
    <row r="796" spans="1:3" x14ac:dyDescent="0.3">
      <c r="A796" s="37" t="s">
        <v>2</v>
      </c>
      <c r="B796" s="37" t="s">
        <v>53</v>
      </c>
      <c r="C796" s="38">
        <v>63211</v>
      </c>
    </row>
    <row r="797" spans="1:3" x14ac:dyDescent="0.3">
      <c r="A797" s="37" t="s">
        <v>2</v>
      </c>
      <c r="B797" s="37" t="s">
        <v>53</v>
      </c>
      <c r="C797" s="38"/>
    </row>
    <row r="798" spans="1:3" x14ac:dyDescent="0.3">
      <c r="A798" s="37" t="s">
        <v>2</v>
      </c>
      <c r="B798" s="37" t="s">
        <v>53</v>
      </c>
      <c r="C798" s="38">
        <v>91000</v>
      </c>
    </row>
    <row r="799" spans="1:3" x14ac:dyDescent="0.3">
      <c r="A799" s="37" t="s">
        <v>2</v>
      </c>
      <c r="B799" s="37" t="s">
        <v>53</v>
      </c>
      <c r="C799" s="38"/>
    </row>
    <row r="800" spans="1:3" x14ac:dyDescent="0.3">
      <c r="A800" s="37" t="s">
        <v>2</v>
      </c>
      <c r="B800" s="37" t="s">
        <v>53</v>
      </c>
      <c r="C800" s="38"/>
    </row>
    <row r="801" spans="1:3" x14ac:dyDescent="0.3">
      <c r="A801" s="37" t="s">
        <v>2</v>
      </c>
      <c r="B801" s="37" t="s">
        <v>75</v>
      </c>
      <c r="C801" s="38">
        <v>56700</v>
      </c>
    </row>
    <row r="802" spans="1:3" x14ac:dyDescent="0.3">
      <c r="A802" s="37" t="s">
        <v>2</v>
      </c>
      <c r="B802" s="37" t="s">
        <v>53</v>
      </c>
      <c r="C802" s="38">
        <v>59000</v>
      </c>
    </row>
    <row r="803" spans="1:3" x14ac:dyDescent="0.3">
      <c r="A803" s="37" t="s">
        <v>2</v>
      </c>
      <c r="B803" s="37" t="s">
        <v>53</v>
      </c>
      <c r="C803" s="38">
        <v>64998</v>
      </c>
    </row>
    <row r="804" spans="1:3" x14ac:dyDescent="0.3">
      <c r="A804" s="37" t="s">
        <v>2</v>
      </c>
      <c r="B804" s="37" t="s">
        <v>64</v>
      </c>
      <c r="C804" s="38">
        <v>45000</v>
      </c>
    </row>
    <row r="805" spans="1:3" x14ac:dyDescent="0.3">
      <c r="A805" s="37" t="s">
        <v>2</v>
      </c>
      <c r="B805" s="37" t="s">
        <v>53</v>
      </c>
      <c r="C805" s="38"/>
    </row>
    <row r="806" spans="1:3" x14ac:dyDescent="0.3">
      <c r="A806" s="37" t="s">
        <v>2</v>
      </c>
      <c r="B806" s="37" t="s">
        <v>53</v>
      </c>
      <c r="C806" s="38"/>
    </row>
    <row r="807" spans="1:3" x14ac:dyDescent="0.3">
      <c r="A807" s="37" t="s">
        <v>2</v>
      </c>
      <c r="B807" s="37" t="s">
        <v>53</v>
      </c>
      <c r="C807" s="38">
        <v>85000</v>
      </c>
    </row>
    <row r="808" spans="1:3" x14ac:dyDescent="0.3">
      <c r="A808" s="37" t="s">
        <v>2</v>
      </c>
      <c r="B808" s="37" t="s">
        <v>53</v>
      </c>
      <c r="C808" s="38"/>
    </row>
    <row r="809" spans="1:3" x14ac:dyDescent="0.3">
      <c r="A809" s="37" t="s">
        <v>2</v>
      </c>
      <c r="B809" s="37" t="s">
        <v>53</v>
      </c>
      <c r="C809" s="38">
        <v>132500</v>
      </c>
    </row>
    <row r="810" spans="1:3" x14ac:dyDescent="0.3">
      <c r="A810" s="37" t="s">
        <v>2</v>
      </c>
      <c r="B810" s="37" t="s">
        <v>53</v>
      </c>
      <c r="C810" s="38">
        <v>82430</v>
      </c>
    </row>
    <row r="811" spans="1:3" x14ac:dyDescent="0.3">
      <c r="A811" s="37" t="s">
        <v>2</v>
      </c>
      <c r="B811" s="37" t="s">
        <v>53</v>
      </c>
      <c r="C811" s="38">
        <v>70000</v>
      </c>
    </row>
    <row r="812" spans="1:3" x14ac:dyDescent="0.3">
      <c r="A812" s="37" t="s">
        <v>2</v>
      </c>
      <c r="B812" s="37" t="s">
        <v>53</v>
      </c>
      <c r="C812" s="38">
        <v>140000</v>
      </c>
    </row>
    <row r="813" spans="1:3" x14ac:dyDescent="0.3">
      <c r="A813" s="37" t="s">
        <v>2</v>
      </c>
      <c r="B813" s="37" t="s">
        <v>53</v>
      </c>
      <c r="C813" s="38"/>
    </row>
    <row r="814" spans="1:3" x14ac:dyDescent="0.3">
      <c r="A814" s="37" t="s">
        <v>2</v>
      </c>
      <c r="B814" s="37" t="s">
        <v>53</v>
      </c>
      <c r="C814" s="38">
        <v>115000</v>
      </c>
    </row>
    <row r="815" spans="1:3" x14ac:dyDescent="0.3">
      <c r="A815" s="37" t="s">
        <v>2</v>
      </c>
      <c r="B815" s="37" t="s">
        <v>53</v>
      </c>
      <c r="C815" s="38"/>
    </row>
    <row r="816" spans="1:3" x14ac:dyDescent="0.3">
      <c r="A816" s="37" t="s">
        <v>2</v>
      </c>
      <c r="B816" s="37" t="s">
        <v>70</v>
      </c>
      <c r="C816" s="38">
        <v>89100</v>
      </c>
    </row>
    <row r="817" spans="1:3" x14ac:dyDescent="0.3">
      <c r="A817" s="37" t="s">
        <v>2</v>
      </c>
      <c r="B817" s="37" t="s">
        <v>53</v>
      </c>
      <c r="C817" s="38"/>
    </row>
    <row r="818" spans="1:3" x14ac:dyDescent="0.3">
      <c r="A818" s="37" t="s">
        <v>2</v>
      </c>
      <c r="B818" s="37" t="s">
        <v>53</v>
      </c>
      <c r="C818" s="38"/>
    </row>
    <row r="819" spans="1:3" x14ac:dyDescent="0.3">
      <c r="A819" s="37" t="s">
        <v>2</v>
      </c>
      <c r="B819" s="37" t="s">
        <v>53</v>
      </c>
      <c r="C819" s="38"/>
    </row>
    <row r="820" spans="1:3" x14ac:dyDescent="0.3">
      <c r="A820" s="37" t="s">
        <v>2</v>
      </c>
      <c r="B820" s="37" t="s">
        <v>83</v>
      </c>
      <c r="C820" s="38">
        <v>63000</v>
      </c>
    </row>
    <row r="821" spans="1:3" x14ac:dyDescent="0.3">
      <c r="A821" s="37" t="s">
        <v>2</v>
      </c>
      <c r="B821" s="37" t="s">
        <v>68</v>
      </c>
      <c r="C821" s="38">
        <v>47500</v>
      </c>
    </row>
    <row r="822" spans="1:3" x14ac:dyDescent="0.3">
      <c r="A822" s="37" t="s">
        <v>2</v>
      </c>
      <c r="B822" s="37" t="s">
        <v>53</v>
      </c>
      <c r="C822" s="38"/>
    </row>
    <row r="823" spans="1:3" x14ac:dyDescent="0.3">
      <c r="A823" s="37" t="s">
        <v>2</v>
      </c>
      <c r="B823" s="37" t="s">
        <v>53</v>
      </c>
      <c r="C823" s="38">
        <v>67431</v>
      </c>
    </row>
    <row r="824" spans="1:3" x14ac:dyDescent="0.3">
      <c r="A824" s="37" t="s">
        <v>2</v>
      </c>
      <c r="B824" s="37" t="s">
        <v>53</v>
      </c>
      <c r="C824" s="38">
        <v>115000</v>
      </c>
    </row>
    <row r="825" spans="1:3" x14ac:dyDescent="0.3">
      <c r="A825" s="37" t="s">
        <v>2</v>
      </c>
      <c r="B825" s="37" t="s">
        <v>53</v>
      </c>
      <c r="C825" s="38"/>
    </row>
    <row r="826" spans="1:3" x14ac:dyDescent="0.3">
      <c r="A826" s="37" t="s">
        <v>2</v>
      </c>
      <c r="B826" s="37" t="s">
        <v>53</v>
      </c>
      <c r="C826" s="38">
        <v>97500</v>
      </c>
    </row>
    <row r="827" spans="1:3" x14ac:dyDescent="0.3">
      <c r="A827" s="37" t="s">
        <v>2</v>
      </c>
      <c r="B827" s="37" t="s">
        <v>53</v>
      </c>
      <c r="C827" s="38"/>
    </row>
    <row r="828" spans="1:3" x14ac:dyDescent="0.3">
      <c r="A828" s="37" t="s">
        <v>2</v>
      </c>
      <c r="B828" s="37" t="s">
        <v>53</v>
      </c>
      <c r="C828" s="38"/>
    </row>
    <row r="829" spans="1:3" x14ac:dyDescent="0.3">
      <c r="A829" s="37" t="s">
        <v>2</v>
      </c>
      <c r="B829" s="37" t="s">
        <v>53</v>
      </c>
      <c r="C829" s="38"/>
    </row>
    <row r="830" spans="1:3" x14ac:dyDescent="0.3">
      <c r="A830" s="37" t="s">
        <v>2</v>
      </c>
      <c r="B830" s="37" t="s">
        <v>53</v>
      </c>
      <c r="C830" s="38"/>
    </row>
    <row r="831" spans="1:3" x14ac:dyDescent="0.3">
      <c r="A831" s="37" t="s">
        <v>2</v>
      </c>
      <c r="B831" s="37" t="s">
        <v>53</v>
      </c>
      <c r="C831" s="38"/>
    </row>
    <row r="832" spans="1:3" x14ac:dyDescent="0.3">
      <c r="A832" s="37" t="s">
        <v>2</v>
      </c>
      <c r="B832" s="37" t="s">
        <v>53</v>
      </c>
      <c r="C832" s="38"/>
    </row>
    <row r="833" spans="1:3" x14ac:dyDescent="0.3">
      <c r="A833" s="37" t="s">
        <v>2</v>
      </c>
      <c r="B833" s="37" t="s">
        <v>53</v>
      </c>
      <c r="C833" s="38"/>
    </row>
    <row r="834" spans="1:3" x14ac:dyDescent="0.3">
      <c r="A834" s="37" t="s">
        <v>2</v>
      </c>
      <c r="B834" s="37" t="s">
        <v>53</v>
      </c>
      <c r="C834" s="38"/>
    </row>
    <row r="835" spans="1:3" x14ac:dyDescent="0.3">
      <c r="A835" s="37" t="s">
        <v>2</v>
      </c>
      <c r="B835" s="37" t="s">
        <v>53</v>
      </c>
      <c r="C835" s="38"/>
    </row>
    <row r="836" spans="1:3" x14ac:dyDescent="0.3">
      <c r="A836" s="37" t="s">
        <v>2</v>
      </c>
      <c r="B836" s="37" t="s">
        <v>53</v>
      </c>
      <c r="C836" s="38">
        <v>146100</v>
      </c>
    </row>
    <row r="837" spans="1:3" x14ac:dyDescent="0.3">
      <c r="A837" s="37" t="s">
        <v>2</v>
      </c>
      <c r="B837" s="37" t="s">
        <v>53</v>
      </c>
      <c r="C837" s="38"/>
    </row>
    <row r="838" spans="1:3" x14ac:dyDescent="0.3">
      <c r="A838" s="37" t="s">
        <v>2</v>
      </c>
      <c r="B838" s="37" t="s">
        <v>53</v>
      </c>
      <c r="C838" s="38"/>
    </row>
    <row r="839" spans="1:3" x14ac:dyDescent="0.3">
      <c r="A839" s="37" t="s">
        <v>2</v>
      </c>
      <c r="B839" s="37" t="s">
        <v>53</v>
      </c>
      <c r="C839" s="38">
        <v>112500</v>
      </c>
    </row>
    <row r="840" spans="1:3" x14ac:dyDescent="0.3">
      <c r="A840" s="37" t="s">
        <v>2</v>
      </c>
      <c r="B840" s="37" t="s">
        <v>53</v>
      </c>
      <c r="C840" s="38">
        <v>90000</v>
      </c>
    </row>
    <row r="841" spans="1:3" x14ac:dyDescent="0.3">
      <c r="A841" s="37" t="s">
        <v>2</v>
      </c>
      <c r="B841" s="37" t="s">
        <v>53</v>
      </c>
      <c r="C841" s="38">
        <v>87500</v>
      </c>
    </row>
    <row r="842" spans="1:3" x14ac:dyDescent="0.3">
      <c r="A842" s="37" t="s">
        <v>2</v>
      </c>
      <c r="B842" s="37" t="s">
        <v>53</v>
      </c>
      <c r="C842" s="38"/>
    </row>
    <row r="843" spans="1:3" x14ac:dyDescent="0.3">
      <c r="A843" s="37" t="s">
        <v>2</v>
      </c>
      <c r="B843" s="37" t="s">
        <v>53</v>
      </c>
      <c r="C843" s="38">
        <v>89833.5</v>
      </c>
    </row>
    <row r="844" spans="1:3" x14ac:dyDescent="0.3">
      <c r="A844" s="37" t="s">
        <v>2</v>
      </c>
      <c r="B844" s="37" t="s">
        <v>53</v>
      </c>
      <c r="C844" s="38">
        <v>67500</v>
      </c>
    </row>
    <row r="845" spans="1:3" x14ac:dyDescent="0.3">
      <c r="A845" s="37" t="s">
        <v>2</v>
      </c>
      <c r="B845" s="37" t="s">
        <v>53</v>
      </c>
      <c r="C845" s="38"/>
    </row>
    <row r="846" spans="1:3" x14ac:dyDescent="0.3">
      <c r="A846" s="37" t="s">
        <v>2</v>
      </c>
      <c r="B846" s="37" t="s">
        <v>108</v>
      </c>
      <c r="C846" s="38">
        <v>89100</v>
      </c>
    </row>
    <row r="847" spans="1:3" x14ac:dyDescent="0.3">
      <c r="A847" s="37" t="s">
        <v>2</v>
      </c>
      <c r="B847" s="37" t="s">
        <v>53</v>
      </c>
      <c r="C847" s="38"/>
    </row>
    <row r="848" spans="1:3" x14ac:dyDescent="0.3">
      <c r="A848" s="37" t="s">
        <v>2</v>
      </c>
      <c r="B848" s="37" t="s">
        <v>53</v>
      </c>
      <c r="C848" s="38"/>
    </row>
    <row r="849" spans="1:3" x14ac:dyDescent="0.3">
      <c r="A849" s="37" t="s">
        <v>2</v>
      </c>
      <c r="B849" s="37" t="s">
        <v>53</v>
      </c>
      <c r="C849" s="38">
        <v>65000</v>
      </c>
    </row>
    <row r="850" spans="1:3" x14ac:dyDescent="0.3">
      <c r="A850" s="37" t="s">
        <v>2</v>
      </c>
      <c r="B850" s="37" t="s">
        <v>53</v>
      </c>
      <c r="C850" s="38">
        <v>100000</v>
      </c>
    </row>
    <row r="851" spans="1:3" x14ac:dyDescent="0.3">
      <c r="A851" s="37" t="s">
        <v>2</v>
      </c>
      <c r="B851" s="37" t="s">
        <v>53</v>
      </c>
      <c r="C851" s="38">
        <v>114500</v>
      </c>
    </row>
    <row r="852" spans="1:3" x14ac:dyDescent="0.3">
      <c r="A852" s="37" t="s">
        <v>2</v>
      </c>
      <c r="B852" s="37" t="s">
        <v>53</v>
      </c>
      <c r="C852" s="38"/>
    </row>
    <row r="853" spans="1:3" x14ac:dyDescent="0.3">
      <c r="A853" s="37" t="s">
        <v>2</v>
      </c>
      <c r="B853" s="37" t="s">
        <v>53</v>
      </c>
      <c r="C853" s="38"/>
    </row>
    <row r="854" spans="1:3" x14ac:dyDescent="0.3">
      <c r="A854" s="37" t="s">
        <v>2</v>
      </c>
      <c r="B854" s="37" t="s">
        <v>53</v>
      </c>
      <c r="C854" s="38">
        <v>90000</v>
      </c>
    </row>
    <row r="855" spans="1:3" x14ac:dyDescent="0.3">
      <c r="A855" s="37" t="s">
        <v>2</v>
      </c>
      <c r="B855" s="37" t="s">
        <v>53</v>
      </c>
      <c r="C855" s="38"/>
    </row>
    <row r="856" spans="1:3" x14ac:dyDescent="0.3">
      <c r="A856" s="37" t="s">
        <v>2</v>
      </c>
      <c r="B856" s="37" t="s">
        <v>53</v>
      </c>
      <c r="C856" s="38">
        <v>67500</v>
      </c>
    </row>
    <row r="857" spans="1:3" x14ac:dyDescent="0.3">
      <c r="A857" s="37" t="s">
        <v>2</v>
      </c>
      <c r="B857" s="37" t="s">
        <v>53</v>
      </c>
      <c r="C857" s="38"/>
    </row>
    <row r="858" spans="1:3" x14ac:dyDescent="0.3">
      <c r="A858" s="37" t="s">
        <v>2</v>
      </c>
      <c r="B858" s="37" t="s">
        <v>53</v>
      </c>
      <c r="C858" s="38">
        <v>83002.3828125</v>
      </c>
    </row>
    <row r="859" spans="1:3" x14ac:dyDescent="0.3">
      <c r="A859" s="37" t="s">
        <v>2</v>
      </c>
      <c r="B859" s="37" t="s">
        <v>53</v>
      </c>
      <c r="C859" s="38">
        <v>65000</v>
      </c>
    </row>
    <row r="860" spans="1:3" x14ac:dyDescent="0.3">
      <c r="A860" s="37" t="s">
        <v>2</v>
      </c>
      <c r="B860" s="37" t="s">
        <v>53</v>
      </c>
      <c r="C860" s="38">
        <v>45886</v>
      </c>
    </row>
    <row r="861" spans="1:3" x14ac:dyDescent="0.3">
      <c r="A861" s="37" t="s">
        <v>2</v>
      </c>
      <c r="B861" s="37" t="s">
        <v>53</v>
      </c>
      <c r="C861" s="38">
        <v>105515</v>
      </c>
    </row>
    <row r="862" spans="1:3" x14ac:dyDescent="0.3">
      <c r="A862" s="37" t="s">
        <v>2</v>
      </c>
      <c r="B862" s="37" t="s">
        <v>53</v>
      </c>
      <c r="C862" s="38"/>
    </row>
    <row r="863" spans="1:3" x14ac:dyDescent="0.3">
      <c r="A863" s="37" t="s">
        <v>2</v>
      </c>
      <c r="B863" s="37" t="s">
        <v>83</v>
      </c>
      <c r="C863" s="38">
        <v>44100</v>
      </c>
    </row>
    <row r="864" spans="1:3" x14ac:dyDescent="0.3">
      <c r="A864" s="37" t="s">
        <v>2</v>
      </c>
      <c r="B864" s="37" t="s">
        <v>53</v>
      </c>
      <c r="C864" s="38"/>
    </row>
    <row r="865" spans="1:3" x14ac:dyDescent="0.3">
      <c r="A865" s="37" t="s">
        <v>2</v>
      </c>
      <c r="B865" s="37" t="s">
        <v>53</v>
      </c>
      <c r="C865" s="38"/>
    </row>
    <row r="866" spans="1:3" x14ac:dyDescent="0.3">
      <c r="A866" s="37" t="s">
        <v>2</v>
      </c>
      <c r="B866" s="37" t="s">
        <v>53</v>
      </c>
      <c r="C866" s="38">
        <v>90000</v>
      </c>
    </row>
    <row r="867" spans="1:3" x14ac:dyDescent="0.3">
      <c r="A867" s="37" t="s">
        <v>2</v>
      </c>
      <c r="B867" s="37" t="s">
        <v>53</v>
      </c>
      <c r="C867" s="38"/>
    </row>
    <row r="868" spans="1:3" x14ac:dyDescent="0.3">
      <c r="A868" s="37" t="s">
        <v>2</v>
      </c>
      <c r="B868" s="37" t="s">
        <v>53</v>
      </c>
      <c r="C868" s="38"/>
    </row>
    <row r="869" spans="1:3" x14ac:dyDescent="0.3">
      <c r="A869" s="37" t="s">
        <v>2</v>
      </c>
      <c r="B869" s="37" t="s">
        <v>88</v>
      </c>
      <c r="C869" s="38">
        <v>64800</v>
      </c>
    </row>
    <row r="870" spans="1:3" x14ac:dyDescent="0.3">
      <c r="A870" s="37" t="s">
        <v>2</v>
      </c>
      <c r="B870" s="37" t="s">
        <v>53</v>
      </c>
      <c r="C870" s="38">
        <v>90000</v>
      </c>
    </row>
    <row r="871" spans="1:3" x14ac:dyDescent="0.3">
      <c r="A871" s="37" t="s">
        <v>2</v>
      </c>
      <c r="B871" s="37" t="s">
        <v>109</v>
      </c>
      <c r="C871" s="38"/>
    </row>
    <row r="872" spans="1:3" x14ac:dyDescent="0.3">
      <c r="A872" s="37" t="s">
        <v>2</v>
      </c>
      <c r="B872" s="37" t="s">
        <v>53</v>
      </c>
      <c r="C872" s="38"/>
    </row>
    <row r="873" spans="1:3" x14ac:dyDescent="0.3">
      <c r="A873" s="37" t="s">
        <v>2</v>
      </c>
      <c r="B873" s="37" t="s">
        <v>53</v>
      </c>
      <c r="C873" s="38"/>
    </row>
    <row r="874" spans="1:3" x14ac:dyDescent="0.3">
      <c r="A874" s="37" t="s">
        <v>2</v>
      </c>
      <c r="B874" s="37" t="s">
        <v>53</v>
      </c>
      <c r="C874" s="38">
        <v>150000</v>
      </c>
    </row>
    <row r="875" spans="1:3" x14ac:dyDescent="0.3">
      <c r="A875" s="37" t="s">
        <v>2</v>
      </c>
      <c r="B875" s="37" t="s">
        <v>53</v>
      </c>
      <c r="C875" s="38"/>
    </row>
    <row r="876" spans="1:3" x14ac:dyDescent="0.3">
      <c r="A876" s="37" t="s">
        <v>2</v>
      </c>
      <c r="B876" s="37" t="s">
        <v>53</v>
      </c>
      <c r="C876" s="38">
        <v>82923</v>
      </c>
    </row>
    <row r="877" spans="1:3" x14ac:dyDescent="0.3">
      <c r="A877" s="37" t="s">
        <v>2</v>
      </c>
      <c r="B877" s="37" t="s">
        <v>53</v>
      </c>
      <c r="C877" s="38">
        <v>218500</v>
      </c>
    </row>
    <row r="878" spans="1:3" x14ac:dyDescent="0.3">
      <c r="A878" s="37" t="s">
        <v>2</v>
      </c>
      <c r="B878" s="37" t="s">
        <v>53</v>
      </c>
      <c r="C878" s="38"/>
    </row>
    <row r="879" spans="1:3" x14ac:dyDescent="0.3">
      <c r="A879" s="37" t="s">
        <v>2</v>
      </c>
      <c r="B879" s="37" t="s">
        <v>53</v>
      </c>
      <c r="C879" s="38">
        <v>103000</v>
      </c>
    </row>
    <row r="880" spans="1:3" x14ac:dyDescent="0.3">
      <c r="A880" s="37" t="s">
        <v>2</v>
      </c>
      <c r="B880" s="37" t="s">
        <v>53</v>
      </c>
      <c r="C880" s="38"/>
    </row>
    <row r="881" spans="1:3" x14ac:dyDescent="0.3">
      <c r="A881" s="37" t="s">
        <v>2</v>
      </c>
      <c r="B881" s="37" t="s">
        <v>53</v>
      </c>
      <c r="C881" s="38">
        <v>73453</v>
      </c>
    </row>
    <row r="882" spans="1:3" x14ac:dyDescent="0.3">
      <c r="A882" s="37" t="s">
        <v>2</v>
      </c>
      <c r="B882" s="37" t="s">
        <v>53</v>
      </c>
      <c r="C882" s="38"/>
    </row>
    <row r="883" spans="1:3" x14ac:dyDescent="0.3">
      <c r="A883" s="37" t="s">
        <v>2</v>
      </c>
      <c r="B883" s="37" t="s">
        <v>53</v>
      </c>
      <c r="C883" s="38">
        <v>125000</v>
      </c>
    </row>
    <row r="884" spans="1:3" x14ac:dyDescent="0.3">
      <c r="A884" s="37" t="s">
        <v>2</v>
      </c>
      <c r="B884" s="37" t="s">
        <v>53</v>
      </c>
      <c r="C884" s="38">
        <v>65000</v>
      </c>
    </row>
    <row r="885" spans="1:3" x14ac:dyDescent="0.3">
      <c r="A885" s="37" t="s">
        <v>2</v>
      </c>
      <c r="B885" s="37" t="s">
        <v>95</v>
      </c>
      <c r="C885" s="38">
        <v>80850</v>
      </c>
    </row>
    <row r="886" spans="1:3" x14ac:dyDescent="0.3">
      <c r="A886" s="37" t="s">
        <v>2</v>
      </c>
      <c r="B886" s="37" t="s">
        <v>53</v>
      </c>
      <c r="C886" s="38">
        <v>189000</v>
      </c>
    </row>
    <row r="887" spans="1:3" x14ac:dyDescent="0.3">
      <c r="A887" s="37" t="s">
        <v>2</v>
      </c>
      <c r="B887" s="37" t="s">
        <v>90</v>
      </c>
      <c r="C887" s="38">
        <v>45000</v>
      </c>
    </row>
    <row r="888" spans="1:3" x14ac:dyDescent="0.3">
      <c r="A888" s="37" t="s">
        <v>2</v>
      </c>
      <c r="B888" s="37" t="s">
        <v>53</v>
      </c>
      <c r="C888" s="38">
        <v>95000</v>
      </c>
    </row>
    <row r="889" spans="1:3" x14ac:dyDescent="0.3">
      <c r="A889" s="37" t="s">
        <v>2</v>
      </c>
      <c r="B889" s="37" t="s">
        <v>53</v>
      </c>
      <c r="C889" s="38">
        <v>70000</v>
      </c>
    </row>
    <row r="890" spans="1:3" x14ac:dyDescent="0.3">
      <c r="A890" s="37" t="s">
        <v>2</v>
      </c>
      <c r="B890" s="37" t="s">
        <v>88</v>
      </c>
      <c r="C890" s="38">
        <v>79200</v>
      </c>
    </row>
    <row r="891" spans="1:3" x14ac:dyDescent="0.3">
      <c r="A891" s="37" t="s">
        <v>2</v>
      </c>
      <c r="B891" s="37" t="s">
        <v>53</v>
      </c>
      <c r="C891" s="38">
        <v>81500</v>
      </c>
    </row>
    <row r="892" spans="1:3" x14ac:dyDescent="0.3">
      <c r="A892" s="37" t="s">
        <v>2</v>
      </c>
      <c r="B892" s="37" t="s">
        <v>53</v>
      </c>
      <c r="C892" s="38">
        <v>111202</v>
      </c>
    </row>
    <row r="893" spans="1:3" x14ac:dyDescent="0.3">
      <c r="A893" s="37" t="s">
        <v>2</v>
      </c>
      <c r="B893" s="37" t="s">
        <v>53</v>
      </c>
      <c r="C893" s="38"/>
    </row>
    <row r="894" spans="1:3" x14ac:dyDescent="0.3">
      <c r="A894" s="37" t="s">
        <v>2</v>
      </c>
      <c r="B894" s="37" t="s">
        <v>53</v>
      </c>
      <c r="C894" s="38">
        <v>125000</v>
      </c>
    </row>
    <row r="895" spans="1:3" x14ac:dyDescent="0.3">
      <c r="A895" s="37" t="s">
        <v>2</v>
      </c>
      <c r="B895" s="37" t="s">
        <v>53</v>
      </c>
      <c r="C895" s="38"/>
    </row>
    <row r="896" spans="1:3" x14ac:dyDescent="0.3">
      <c r="A896" s="37" t="s">
        <v>2</v>
      </c>
      <c r="B896" s="37" t="s">
        <v>53</v>
      </c>
      <c r="C896" s="38"/>
    </row>
    <row r="897" spans="1:3" x14ac:dyDescent="0.3">
      <c r="A897" s="37" t="s">
        <v>2</v>
      </c>
      <c r="B897" s="37" t="s">
        <v>53</v>
      </c>
      <c r="C897" s="38">
        <v>72500</v>
      </c>
    </row>
    <row r="898" spans="1:3" x14ac:dyDescent="0.3">
      <c r="A898" s="37" t="s">
        <v>2</v>
      </c>
      <c r="B898" s="37" t="s">
        <v>53</v>
      </c>
      <c r="C898" s="38">
        <v>80000</v>
      </c>
    </row>
    <row r="899" spans="1:3" x14ac:dyDescent="0.3">
      <c r="A899" s="37" t="s">
        <v>2</v>
      </c>
      <c r="B899" s="37" t="s">
        <v>53</v>
      </c>
      <c r="C899" s="38"/>
    </row>
    <row r="900" spans="1:3" x14ac:dyDescent="0.3">
      <c r="A900" s="37" t="s">
        <v>2</v>
      </c>
      <c r="B900" s="37" t="s">
        <v>53</v>
      </c>
      <c r="C900" s="38"/>
    </row>
    <row r="901" spans="1:3" x14ac:dyDescent="0.3">
      <c r="A901" s="37" t="s">
        <v>2</v>
      </c>
      <c r="B901" s="37" t="s">
        <v>53</v>
      </c>
      <c r="C901" s="38"/>
    </row>
    <row r="902" spans="1:3" x14ac:dyDescent="0.3">
      <c r="A902" s="37" t="s">
        <v>2</v>
      </c>
      <c r="B902" s="37" t="s">
        <v>53</v>
      </c>
      <c r="C902" s="38">
        <v>67500</v>
      </c>
    </row>
    <row r="903" spans="1:3" x14ac:dyDescent="0.3">
      <c r="A903" s="37" t="s">
        <v>2</v>
      </c>
      <c r="B903" s="37" t="s">
        <v>53</v>
      </c>
      <c r="C903" s="38">
        <v>52000</v>
      </c>
    </row>
    <row r="904" spans="1:3" x14ac:dyDescent="0.3">
      <c r="A904" s="37" t="s">
        <v>2</v>
      </c>
      <c r="B904" s="37" t="s">
        <v>53</v>
      </c>
      <c r="C904" s="38">
        <v>90000</v>
      </c>
    </row>
    <row r="905" spans="1:3" x14ac:dyDescent="0.3">
      <c r="A905" s="37" t="s">
        <v>2</v>
      </c>
      <c r="B905" s="37" t="s">
        <v>53</v>
      </c>
      <c r="C905" s="38"/>
    </row>
    <row r="906" spans="1:3" x14ac:dyDescent="0.3">
      <c r="A906" s="37" t="s">
        <v>2</v>
      </c>
      <c r="B906" s="37" t="s">
        <v>53</v>
      </c>
      <c r="C906" s="38"/>
    </row>
    <row r="907" spans="1:3" x14ac:dyDescent="0.3">
      <c r="A907" s="37" t="s">
        <v>2</v>
      </c>
      <c r="B907" s="37" t="s">
        <v>53</v>
      </c>
      <c r="C907" s="38"/>
    </row>
    <row r="908" spans="1:3" x14ac:dyDescent="0.3">
      <c r="A908" s="37" t="s">
        <v>2</v>
      </c>
      <c r="B908" s="37" t="s">
        <v>53</v>
      </c>
      <c r="C908" s="38">
        <v>60000</v>
      </c>
    </row>
    <row r="909" spans="1:3" x14ac:dyDescent="0.3">
      <c r="A909" s="37" t="s">
        <v>2</v>
      </c>
      <c r="B909" s="37" t="s">
        <v>53</v>
      </c>
      <c r="C909" s="38">
        <v>115000</v>
      </c>
    </row>
    <row r="910" spans="1:3" x14ac:dyDescent="0.3">
      <c r="A910" s="37" t="s">
        <v>2</v>
      </c>
      <c r="B910" s="37" t="s">
        <v>53</v>
      </c>
      <c r="C910" s="38"/>
    </row>
    <row r="911" spans="1:3" x14ac:dyDescent="0.3">
      <c r="A911" s="37" t="s">
        <v>2</v>
      </c>
      <c r="B911" s="37" t="s">
        <v>53</v>
      </c>
      <c r="C911" s="38"/>
    </row>
    <row r="912" spans="1:3" x14ac:dyDescent="0.3">
      <c r="A912" s="37" t="s">
        <v>2</v>
      </c>
      <c r="B912" s="37" t="s">
        <v>53</v>
      </c>
      <c r="C912" s="38">
        <v>75000</v>
      </c>
    </row>
    <row r="913" spans="1:3" x14ac:dyDescent="0.3">
      <c r="A913" s="37" t="s">
        <v>2</v>
      </c>
      <c r="B913" s="37" t="s">
        <v>53</v>
      </c>
      <c r="C913" s="38"/>
    </row>
    <row r="914" spans="1:3" x14ac:dyDescent="0.3">
      <c r="A914" s="37" t="s">
        <v>2</v>
      </c>
      <c r="B914" s="37" t="s">
        <v>88</v>
      </c>
      <c r="C914" s="38">
        <v>64800</v>
      </c>
    </row>
    <row r="915" spans="1:3" x14ac:dyDescent="0.3">
      <c r="A915" s="37" t="s">
        <v>2</v>
      </c>
      <c r="B915" s="37" t="s">
        <v>105</v>
      </c>
      <c r="C915" s="38">
        <v>111175</v>
      </c>
    </row>
    <row r="916" spans="1:3" x14ac:dyDescent="0.3">
      <c r="A916" s="37" t="s">
        <v>2</v>
      </c>
      <c r="B916" s="37" t="s">
        <v>53</v>
      </c>
      <c r="C916" s="38"/>
    </row>
    <row r="917" spans="1:3" x14ac:dyDescent="0.3">
      <c r="A917" s="37" t="s">
        <v>2</v>
      </c>
      <c r="B917" s="37" t="s">
        <v>53</v>
      </c>
      <c r="C917" s="38"/>
    </row>
    <row r="918" spans="1:3" x14ac:dyDescent="0.3">
      <c r="A918" s="37" t="s">
        <v>2</v>
      </c>
      <c r="B918" s="37" t="s">
        <v>53</v>
      </c>
      <c r="C918" s="38"/>
    </row>
    <row r="919" spans="1:3" x14ac:dyDescent="0.3">
      <c r="A919" s="37" t="s">
        <v>2</v>
      </c>
      <c r="B919" s="37" t="s">
        <v>53</v>
      </c>
      <c r="C919" s="38"/>
    </row>
    <row r="920" spans="1:3" x14ac:dyDescent="0.3">
      <c r="A920" s="37" t="s">
        <v>2</v>
      </c>
      <c r="B920" s="37" t="s">
        <v>53</v>
      </c>
      <c r="C920" s="38">
        <v>146100</v>
      </c>
    </row>
    <row r="921" spans="1:3" x14ac:dyDescent="0.3">
      <c r="A921" s="37" t="s">
        <v>2</v>
      </c>
      <c r="B921" s="37" t="s">
        <v>53</v>
      </c>
      <c r="C921" s="38">
        <v>70000</v>
      </c>
    </row>
    <row r="922" spans="1:3" x14ac:dyDescent="0.3">
      <c r="A922" s="37" t="s">
        <v>2</v>
      </c>
      <c r="B922" s="37" t="s">
        <v>53</v>
      </c>
      <c r="C922" s="38">
        <v>70000</v>
      </c>
    </row>
    <row r="923" spans="1:3" x14ac:dyDescent="0.3">
      <c r="A923" s="37" t="s">
        <v>2</v>
      </c>
      <c r="B923" s="37" t="s">
        <v>53</v>
      </c>
      <c r="C923" s="38"/>
    </row>
    <row r="924" spans="1:3" x14ac:dyDescent="0.3">
      <c r="A924" s="37" t="s">
        <v>2</v>
      </c>
      <c r="B924" s="37" t="s">
        <v>53</v>
      </c>
      <c r="C924" s="38">
        <v>85000</v>
      </c>
    </row>
    <row r="925" spans="1:3" x14ac:dyDescent="0.3">
      <c r="A925" s="37" t="s">
        <v>2</v>
      </c>
      <c r="B925" s="37" t="s">
        <v>54</v>
      </c>
      <c r="C925" s="38"/>
    </row>
    <row r="926" spans="1:3" x14ac:dyDescent="0.3">
      <c r="A926" s="37" t="s">
        <v>2</v>
      </c>
      <c r="B926" s="37" t="s">
        <v>53</v>
      </c>
      <c r="C926" s="38">
        <v>115000</v>
      </c>
    </row>
    <row r="927" spans="1:3" x14ac:dyDescent="0.3">
      <c r="A927" s="37" t="s">
        <v>2</v>
      </c>
      <c r="B927" s="37" t="s">
        <v>53</v>
      </c>
      <c r="C927" s="38"/>
    </row>
    <row r="928" spans="1:3" x14ac:dyDescent="0.3">
      <c r="A928" s="37" t="s">
        <v>2</v>
      </c>
      <c r="B928" s="37" t="s">
        <v>53</v>
      </c>
      <c r="C928" s="38"/>
    </row>
    <row r="929" spans="1:3" x14ac:dyDescent="0.3">
      <c r="A929" s="37" t="s">
        <v>2</v>
      </c>
      <c r="B929" s="37" t="s">
        <v>72</v>
      </c>
      <c r="C929" s="38">
        <v>102500</v>
      </c>
    </row>
    <row r="930" spans="1:3" x14ac:dyDescent="0.3">
      <c r="A930" s="37" t="s">
        <v>2</v>
      </c>
      <c r="B930" s="37" t="s">
        <v>53</v>
      </c>
      <c r="C930" s="38">
        <v>145000</v>
      </c>
    </row>
    <row r="931" spans="1:3" x14ac:dyDescent="0.3">
      <c r="A931" s="37" t="s">
        <v>2</v>
      </c>
      <c r="B931" s="37" t="s">
        <v>53</v>
      </c>
      <c r="C931" s="38"/>
    </row>
    <row r="932" spans="1:3" x14ac:dyDescent="0.3">
      <c r="A932" s="37" t="s">
        <v>2</v>
      </c>
      <c r="B932" s="37" t="s">
        <v>53</v>
      </c>
      <c r="C932" s="38"/>
    </row>
    <row r="933" spans="1:3" x14ac:dyDescent="0.3">
      <c r="A933" s="37" t="s">
        <v>2</v>
      </c>
      <c r="B933" s="37" t="s">
        <v>81</v>
      </c>
      <c r="C933" s="38">
        <v>98500</v>
      </c>
    </row>
    <row r="934" spans="1:3" x14ac:dyDescent="0.3">
      <c r="A934" s="37" t="s">
        <v>2</v>
      </c>
      <c r="B934" s="37" t="s">
        <v>53</v>
      </c>
      <c r="C934" s="38"/>
    </row>
    <row r="935" spans="1:3" x14ac:dyDescent="0.3">
      <c r="A935" s="37" t="s">
        <v>2</v>
      </c>
      <c r="B935" s="37" t="s">
        <v>53</v>
      </c>
      <c r="C935" s="38">
        <v>90000</v>
      </c>
    </row>
    <row r="936" spans="1:3" x14ac:dyDescent="0.3">
      <c r="A936" s="37" t="s">
        <v>2</v>
      </c>
      <c r="B936" s="37" t="s">
        <v>53</v>
      </c>
      <c r="C936" s="38">
        <v>98500</v>
      </c>
    </row>
    <row r="937" spans="1:3" x14ac:dyDescent="0.3">
      <c r="A937" s="37" t="s">
        <v>2</v>
      </c>
      <c r="B937" s="37" t="s">
        <v>53</v>
      </c>
      <c r="C937" s="38">
        <v>82500</v>
      </c>
    </row>
    <row r="938" spans="1:3" x14ac:dyDescent="0.3">
      <c r="A938" s="37" t="s">
        <v>2</v>
      </c>
      <c r="B938" s="37" t="s">
        <v>53</v>
      </c>
      <c r="C938" s="38">
        <v>157500</v>
      </c>
    </row>
    <row r="939" spans="1:3" x14ac:dyDescent="0.3">
      <c r="A939" s="37" t="s">
        <v>2</v>
      </c>
      <c r="B939" s="37" t="s">
        <v>53</v>
      </c>
      <c r="C939" s="38">
        <v>54500</v>
      </c>
    </row>
    <row r="940" spans="1:3" x14ac:dyDescent="0.3">
      <c r="A940" s="37" t="s">
        <v>2</v>
      </c>
      <c r="B940" s="37" t="s">
        <v>53</v>
      </c>
      <c r="C940" s="38">
        <v>97500</v>
      </c>
    </row>
    <row r="941" spans="1:3" x14ac:dyDescent="0.3">
      <c r="A941" s="37" t="s">
        <v>2</v>
      </c>
      <c r="B941" s="37" t="s">
        <v>53</v>
      </c>
      <c r="C941" s="38">
        <v>113000</v>
      </c>
    </row>
    <row r="942" spans="1:3" x14ac:dyDescent="0.3">
      <c r="A942" s="37" t="s">
        <v>2</v>
      </c>
      <c r="B942" s="37" t="s">
        <v>53</v>
      </c>
      <c r="C942" s="38">
        <v>118162</v>
      </c>
    </row>
    <row r="943" spans="1:3" x14ac:dyDescent="0.3">
      <c r="A943" s="37" t="s">
        <v>2</v>
      </c>
      <c r="B943" s="37" t="s">
        <v>53</v>
      </c>
      <c r="C943" s="38"/>
    </row>
    <row r="944" spans="1:3" x14ac:dyDescent="0.3">
      <c r="A944" s="37" t="s">
        <v>2</v>
      </c>
      <c r="B944" s="37" t="s">
        <v>53</v>
      </c>
      <c r="C944" s="38">
        <v>115000</v>
      </c>
    </row>
    <row r="945" spans="1:3" x14ac:dyDescent="0.3">
      <c r="A945" s="37" t="s">
        <v>2</v>
      </c>
      <c r="B945" s="37" t="s">
        <v>53</v>
      </c>
      <c r="C945" s="38"/>
    </row>
    <row r="946" spans="1:3" x14ac:dyDescent="0.3">
      <c r="A946" s="37" t="s">
        <v>2</v>
      </c>
      <c r="B946" s="37" t="s">
        <v>53</v>
      </c>
      <c r="C946" s="38"/>
    </row>
    <row r="947" spans="1:3" x14ac:dyDescent="0.3">
      <c r="A947" s="37" t="s">
        <v>2</v>
      </c>
      <c r="B947" s="37" t="s">
        <v>53</v>
      </c>
      <c r="C947" s="38">
        <v>68328.546875</v>
      </c>
    </row>
    <row r="948" spans="1:3" x14ac:dyDescent="0.3">
      <c r="A948" s="37" t="s">
        <v>2</v>
      </c>
      <c r="B948" s="37" t="s">
        <v>88</v>
      </c>
      <c r="C948" s="38">
        <v>111175</v>
      </c>
    </row>
    <row r="949" spans="1:3" x14ac:dyDescent="0.3">
      <c r="A949" s="37" t="s">
        <v>2</v>
      </c>
      <c r="B949" s="37" t="s">
        <v>53</v>
      </c>
      <c r="C949" s="38"/>
    </row>
    <row r="950" spans="1:3" x14ac:dyDescent="0.3">
      <c r="A950" s="37" t="s">
        <v>2</v>
      </c>
      <c r="B950" s="37" t="s">
        <v>53</v>
      </c>
      <c r="C950" s="38">
        <v>127500</v>
      </c>
    </row>
    <row r="951" spans="1:3" x14ac:dyDescent="0.3">
      <c r="A951" s="37" t="s">
        <v>2</v>
      </c>
      <c r="B951" s="37" t="s">
        <v>53</v>
      </c>
      <c r="C951" s="38">
        <v>110000</v>
      </c>
    </row>
    <row r="952" spans="1:3" x14ac:dyDescent="0.3">
      <c r="A952" s="37" t="s">
        <v>2</v>
      </c>
      <c r="B952" s="37" t="s">
        <v>53</v>
      </c>
      <c r="C952" s="38"/>
    </row>
    <row r="953" spans="1:3" x14ac:dyDescent="0.3">
      <c r="A953" s="37" t="s">
        <v>2</v>
      </c>
      <c r="B953" s="37" t="s">
        <v>53</v>
      </c>
      <c r="C953" s="38">
        <v>71850</v>
      </c>
    </row>
    <row r="954" spans="1:3" x14ac:dyDescent="0.3">
      <c r="A954" s="37" t="s">
        <v>2</v>
      </c>
      <c r="B954" s="37" t="s">
        <v>53</v>
      </c>
      <c r="C954" s="38"/>
    </row>
    <row r="955" spans="1:3" x14ac:dyDescent="0.3">
      <c r="A955" s="37" t="s">
        <v>2</v>
      </c>
      <c r="B955" s="37" t="s">
        <v>53</v>
      </c>
      <c r="C955" s="38"/>
    </row>
    <row r="956" spans="1:3" x14ac:dyDescent="0.3">
      <c r="A956" s="37" t="s">
        <v>2</v>
      </c>
      <c r="B956" s="37" t="s">
        <v>53</v>
      </c>
      <c r="C956" s="38">
        <v>110000</v>
      </c>
    </row>
    <row r="957" spans="1:3" x14ac:dyDescent="0.3">
      <c r="A957" s="37" t="s">
        <v>2</v>
      </c>
      <c r="B957" s="37" t="s">
        <v>53</v>
      </c>
      <c r="C957" s="38"/>
    </row>
    <row r="958" spans="1:3" x14ac:dyDescent="0.3">
      <c r="A958" s="37" t="s">
        <v>2</v>
      </c>
      <c r="B958" s="37" t="s">
        <v>53</v>
      </c>
      <c r="C958" s="38">
        <v>65500.6640625</v>
      </c>
    </row>
    <row r="959" spans="1:3" x14ac:dyDescent="0.3">
      <c r="A959" s="37" t="s">
        <v>2</v>
      </c>
      <c r="B959" s="37" t="s">
        <v>53</v>
      </c>
      <c r="C959" s="38">
        <v>75000</v>
      </c>
    </row>
    <row r="960" spans="1:3" x14ac:dyDescent="0.3">
      <c r="A960" s="37" t="s">
        <v>2</v>
      </c>
      <c r="B960" s="37" t="s">
        <v>53</v>
      </c>
      <c r="C960" s="38"/>
    </row>
    <row r="961" spans="1:3" x14ac:dyDescent="0.3">
      <c r="A961" s="37" t="s">
        <v>2</v>
      </c>
      <c r="B961" s="37" t="s">
        <v>53</v>
      </c>
      <c r="C961" s="38">
        <v>105000</v>
      </c>
    </row>
    <row r="962" spans="1:3" x14ac:dyDescent="0.3">
      <c r="A962" s="37" t="s">
        <v>2</v>
      </c>
      <c r="B962" s="37" t="s">
        <v>53</v>
      </c>
      <c r="C962" s="38">
        <v>115000</v>
      </c>
    </row>
    <row r="963" spans="1:3" x14ac:dyDescent="0.3">
      <c r="A963" s="37" t="s">
        <v>2</v>
      </c>
      <c r="B963" s="37" t="s">
        <v>53</v>
      </c>
      <c r="C963" s="38"/>
    </row>
    <row r="964" spans="1:3" x14ac:dyDescent="0.3">
      <c r="A964" s="37" t="s">
        <v>2</v>
      </c>
      <c r="B964" s="37" t="s">
        <v>53</v>
      </c>
      <c r="C964" s="38">
        <v>102500</v>
      </c>
    </row>
    <row r="965" spans="1:3" x14ac:dyDescent="0.3">
      <c r="A965" s="37" t="s">
        <v>2</v>
      </c>
      <c r="B965" s="37" t="s">
        <v>53</v>
      </c>
      <c r="C965" s="38"/>
    </row>
    <row r="966" spans="1:3" x14ac:dyDescent="0.3">
      <c r="A966" s="37" t="s">
        <v>2</v>
      </c>
      <c r="B966" s="37" t="s">
        <v>53</v>
      </c>
      <c r="C966" s="38"/>
    </row>
    <row r="967" spans="1:3" x14ac:dyDescent="0.3">
      <c r="A967" s="37" t="s">
        <v>2</v>
      </c>
      <c r="B967" s="37" t="s">
        <v>53</v>
      </c>
      <c r="C967" s="38"/>
    </row>
    <row r="968" spans="1:3" x14ac:dyDescent="0.3">
      <c r="A968" s="37" t="s">
        <v>2</v>
      </c>
      <c r="B968" s="37" t="s">
        <v>53</v>
      </c>
      <c r="C968" s="38">
        <v>56745</v>
      </c>
    </row>
    <row r="969" spans="1:3" x14ac:dyDescent="0.3">
      <c r="A969" s="37" t="s">
        <v>2</v>
      </c>
      <c r="B969" s="37" t="s">
        <v>53</v>
      </c>
      <c r="C969" s="38">
        <v>90000</v>
      </c>
    </row>
    <row r="970" spans="1:3" x14ac:dyDescent="0.3">
      <c r="A970" s="37" t="s">
        <v>2</v>
      </c>
      <c r="B970" s="37" t="s">
        <v>53</v>
      </c>
      <c r="C970" s="38">
        <v>125000</v>
      </c>
    </row>
    <row r="971" spans="1:3" x14ac:dyDescent="0.3">
      <c r="A971" s="37" t="s">
        <v>2</v>
      </c>
      <c r="B971" s="37" t="s">
        <v>53</v>
      </c>
      <c r="C971" s="38">
        <v>64140</v>
      </c>
    </row>
    <row r="972" spans="1:3" x14ac:dyDescent="0.3">
      <c r="A972" s="37" t="s">
        <v>2</v>
      </c>
      <c r="B972" s="37" t="s">
        <v>53</v>
      </c>
      <c r="C972" s="38"/>
    </row>
    <row r="973" spans="1:3" x14ac:dyDescent="0.3">
      <c r="A973" s="37" t="s">
        <v>2</v>
      </c>
      <c r="B973" s="37" t="s">
        <v>53</v>
      </c>
      <c r="C973" s="38">
        <v>80000</v>
      </c>
    </row>
    <row r="974" spans="1:3" x14ac:dyDescent="0.3">
      <c r="A974" s="37" t="s">
        <v>2</v>
      </c>
      <c r="B974" s="37" t="s">
        <v>53</v>
      </c>
      <c r="C974" s="38"/>
    </row>
    <row r="975" spans="1:3" x14ac:dyDescent="0.3">
      <c r="A975" s="37" t="s">
        <v>2</v>
      </c>
      <c r="B975" s="37" t="s">
        <v>53</v>
      </c>
      <c r="C975" s="38"/>
    </row>
    <row r="976" spans="1:3" x14ac:dyDescent="0.3">
      <c r="A976" s="37" t="s">
        <v>2</v>
      </c>
      <c r="B976" s="37" t="s">
        <v>53</v>
      </c>
      <c r="C976" s="38"/>
    </row>
    <row r="977" spans="1:3" x14ac:dyDescent="0.3">
      <c r="A977" s="37" t="s">
        <v>2</v>
      </c>
      <c r="B977" s="37" t="s">
        <v>53</v>
      </c>
      <c r="C977" s="38"/>
    </row>
    <row r="978" spans="1:3" x14ac:dyDescent="0.3">
      <c r="A978" s="37" t="s">
        <v>2</v>
      </c>
      <c r="B978" s="37" t="s">
        <v>53</v>
      </c>
      <c r="C978" s="38"/>
    </row>
    <row r="979" spans="1:3" x14ac:dyDescent="0.3">
      <c r="A979" s="37" t="s">
        <v>2</v>
      </c>
      <c r="B979" s="37" t="s">
        <v>53</v>
      </c>
      <c r="C979" s="38"/>
    </row>
    <row r="980" spans="1:3" x14ac:dyDescent="0.3">
      <c r="A980" s="37" t="s">
        <v>2</v>
      </c>
      <c r="B980" s="37" t="s">
        <v>53</v>
      </c>
      <c r="C980" s="38">
        <v>55000</v>
      </c>
    </row>
    <row r="981" spans="1:3" x14ac:dyDescent="0.3">
      <c r="A981" s="37" t="s">
        <v>2</v>
      </c>
      <c r="B981" s="37" t="s">
        <v>53</v>
      </c>
      <c r="C981" s="38"/>
    </row>
    <row r="982" spans="1:3" x14ac:dyDescent="0.3">
      <c r="A982" s="37" t="s">
        <v>2</v>
      </c>
      <c r="B982" s="37" t="s">
        <v>53</v>
      </c>
      <c r="C982" s="38"/>
    </row>
    <row r="983" spans="1:3" x14ac:dyDescent="0.3">
      <c r="A983" s="37" t="s">
        <v>2</v>
      </c>
      <c r="B983" s="37" t="s">
        <v>53</v>
      </c>
      <c r="C983" s="38">
        <v>52500</v>
      </c>
    </row>
    <row r="984" spans="1:3" x14ac:dyDescent="0.3">
      <c r="A984" s="37" t="s">
        <v>2</v>
      </c>
      <c r="B984" s="37" t="s">
        <v>53</v>
      </c>
      <c r="C984" s="38">
        <v>55000</v>
      </c>
    </row>
    <row r="985" spans="1:3" x14ac:dyDescent="0.3">
      <c r="A985" s="37" t="s">
        <v>2</v>
      </c>
      <c r="B985" s="37" t="s">
        <v>53</v>
      </c>
      <c r="C985" s="38">
        <v>81350</v>
      </c>
    </row>
    <row r="986" spans="1:3" x14ac:dyDescent="0.3">
      <c r="A986" s="37" t="s">
        <v>2</v>
      </c>
      <c r="B986" s="37" t="s">
        <v>53</v>
      </c>
      <c r="C986" s="38"/>
    </row>
    <row r="987" spans="1:3" x14ac:dyDescent="0.3">
      <c r="A987" s="37" t="s">
        <v>2</v>
      </c>
      <c r="B987" s="37" t="s">
        <v>53</v>
      </c>
      <c r="C987" s="38"/>
    </row>
    <row r="988" spans="1:3" x14ac:dyDescent="0.3">
      <c r="A988" s="37" t="s">
        <v>2</v>
      </c>
      <c r="B988" s="37" t="s">
        <v>53</v>
      </c>
      <c r="C988" s="38">
        <v>92500</v>
      </c>
    </row>
    <row r="989" spans="1:3" x14ac:dyDescent="0.3">
      <c r="A989" s="37" t="s">
        <v>2</v>
      </c>
      <c r="B989" s="37" t="s">
        <v>53</v>
      </c>
      <c r="C989" s="38">
        <v>65037.5</v>
      </c>
    </row>
    <row r="990" spans="1:3" x14ac:dyDescent="0.3">
      <c r="A990" s="37" t="s">
        <v>2</v>
      </c>
      <c r="B990" s="37" t="s">
        <v>53</v>
      </c>
      <c r="C990" s="38"/>
    </row>
    <row r="991" spans="1:3" x14ac:dyDescent="0.3">
      <c r="A991" s="37" t="s">
        <v>2</v>
      </c>
      <c r="B991" s="37" t="s">
        <v>53</v>
      </c>
      <c r="C991" s="38"/>
    </row>
    <row r="992" spans="1:3" x14ac:dyDescent="0.3">
      <c r="A992" s="37" t="s">
        <v>2</v>
      </c>
      <c r="B992" s="37" t="s">
        <v>53</v>
      </c>
      <c r="C992" s="38">
        <v>75000</v>
      </c>
    </row>
    <row r="993" spans="1:3" x14ac:dyDescent="0.3">
      <c r="A993" s="37" t="s">
        <v>2</v>
      </c>
      <c r="B993" s="37" t="s">
        <v>53</v>
      </c>
      <c r="C993" s="38"/>
    </row>
    <row r="994" spans="1:3" x14ac:dyDescent="0.3">
      <c r="A994" s="37" t="s">
        <v>2</v>
      </c>
      <c r="B994" s="37" t="s">
        <v>53</v>
      </c>
      <c r="C994" s="38"/>
    </row>
    <row r="995" spans="1:3" x14ac:dyDescent="0.3">
      <c r="A995" s="37" t="s">
        <v>2</v>
      </c>
      <c r="B995" s="37" t="s">
        <v>97</v>
      </c>
      <c r="C995" s="38">
        <v>45000</v>
      </c>
    </row>
    <row r="996" spans="1:3" x14ac:dyDescent="0.3">
      <c r="A996" s="37" t="s">
        <v>2</v>
      </c>
      <c r="B996" s="37" t="s">
        <v>53</v>
      </c>
      <c r="C996" s="38">
        <v>95680</v>
      </c>
    </row>
    <row r="997" spans="1:3" x14ac:dyDescent="0.3">
      <c r="A997" s="37" t="s">
        <v>2</v>
      </c>
      <c r="B997" s="37" t="s">
        <v>53</v>
      </c>
      <c r="C997" s="38"/>
    </row>
    <row r="998" spans="1:3" x14ac:dyDescent="0.3">
      <c r="A998" s="37" t="s">
        <v>2</v>
      </c>
      <c r="B998" s="37" t="s">
        <v>88</v>
      </c>
      <c r="C998" s="38">
        <v>100500</v>
      </c>
    </row>
    <row r="999" spans="1:3" x14ac:dyDescent="0.3">
      <c r="A999" s="37" t="s">
        <v>2</v>
      </c>
      <c r="B999" s="37" t="s">
        <v>53</v>
      </c>
      <c r="C999" s="38">
        <v>90000</v>
      </c>
    </row>
    <row r="1000" spans="1:3" x14ac:dyDescent="0.3">
      <c r="A1000" s="37" t="s">
        <v>2</v>
      </c>
      <c r="B1000" s="37" t="s">
        <v>53</v>
      </c>
      <c r="C1000" s="38">
        <v>85000</v>
      </c>
    </row>
    <row r="1001" spans="1:3" x14ac:dyDescent="0.3">
      <c r="A1001" s="37" t="s">
        <v>2</v>
      </c>
      <c r="B1001" s="37" t="s">
        <v>53</v>
      </c>
      <c r="C1001" s="38">
        <v>52500</v>
      </c>
    </row>
    <row r="1002" spans="1:3" x14ac:dyDescent="0.3">
      <c r="A1002" s="37" t="s">
        <v>2</v>
      </c>
      <c r="B1002" s="37" t="s">
        <v>53</v>
      </c>
      <c r="C1002" s="38">
        <v>120710</v>
      </c>
    </row>
    <row r="1003" spans="1:3" x14ac:dyDescent="0.3">
      <c r="A1003" s="37" t="s">
        <v>2</v>
      </c>
      <c r="B1003" s="37" t="s">
        <v>53</v>
      </c>
      <c r="C1003" s="38">
        <v>82500</v>
      </c>
    </row>
    <row r="1004" spans="1:3" x14ac:dyDescent="0.3">
      <c r="A1004" s="37" t="s">
        <v>2</v>
      </c>
      <c r="B1004" s="37" t="s">
        <v>53</v>
      </c>
      <c r="C1004" s="38"/>
    </row>
    <row r="1005" spans="1:3" x14ac:dyDescent="0.3">
      <c r="A1005" s="37" t="s">
        <v>2</v>
      </c>
      <c r="B1005" s="37" t="s">
        <v>53</v>
      </c>
      <c r="C1005" s="38">
        <v>85000</v>
      </c>
    </row>
    <row r="1006" spans="1:3" x14ac:dyDescent="0.3">
      <c r="A1006" s="37" t="s">
        <v>2</v>
      </c>
      <c r="B1006" s="37" t="s">
        <v>53</v>
      </c>
      <c r="C1006" s="38">
        <v>65000</v>
      </c>
    </row>
    <row r="1007" spans="1:3" x14ac:dyDescent="0.3">
      <c r="A1007" s="37" t="s">
        <v>2</v>
      </c>
      <c r="B1007" s="37" t="s">
        <v>53</v>
      </c>
      <c r="C1007" s="38">
        <v>80000</v>
      </c>
    </row>
    <row r="1008" spans="1:3" x14ac:dyDescent="0.3">
      <c r="A1008" s="37" t="s">
        <v>2</v>
      </c>
      <c r="B1008" s="37" t="s">
        <v>53</v>
      </c>
      <c r="C1008" s="38">
        <v>142500</v>
      </c>
    </row>
    <row r="1009" spans="1:3" x14ac:dyDescent="0.3">
      <c r="A1009" s="37" t="s">
        <v>2</v>
      </c>
      <c r="B1009" s="37" t="s">
        <v>53</v>
      </c>
      <c r="C1009" s="38"/>
    </row>
    <row r="1010" spans="1:3" x14ac:dyDescent="0.3">
      <c r="A1010" s="37" t="s">
        <v>2</v>
      </c>
      <c r="B1010" s="37" t="s">
        <v>53</v>
      </c>
      <c r="C1010" s="38"/>
    </row>
    <row r="1011" spans="1:3" x14ac:dyDescent="0.3">
      <c r="A1011" s="37" t="s">
        <v>2</v>
      </c>
      <c r="B1011" s="37" t="s">
        <v>53</v>
      </c>
      <c r="C1011" s="38"/>
    </row>
    <row r="1012" spans="1:3" x14ac:dyDescent="0.3">
      <c r="A1012" s="37" t="s">
        <v>2</v>
      </c>
      <c r="B1012" s="37" t="s">
        <v>53</v>
      </c>
      <c r="C1012" s="38">
        <v>75500</v>
      </c>
    </row>
    <row r="1013" spans="1:3" x14ac:dyDescent="0.3">
      <c r="A1013" s="37" t="s">
        <v>2</v>
      </c>
      <c r="B1013" s="37" t="s">
        <v>53</v>
      </c>
      <c r="C1013" s="38"/>
    </row>
    <row r="1014" spans="1:3" x14ac:dyDescent="0.3">
      <c r="A1014" s="37" t="s">
        <v>2</v>
      </c>
      <c r="B1014" s="37" t="s">
        <v>53</v>
      </c>
      <c r="C1014" s="38">
        <v>95000</v>
      </c>
    </row>
    <row r="1015" spans="1:3" x14ac:dyDescent="0.3">
      <c r="A1015" s="37" t="s">
        <v>2</v>
      </c>
      <c r="B1015" s="37" t="s">
        <v>53</v>
      </c>
      <c r="C1015" s="38">
        <v>65000</v>
      </c>
    </row>
    <row r="1016" spans="1:3" x14ac:dyDescent="0.3">
      <c r="A1016" s="37" t="s">
        <v>2</v>
      </c>
      <c r="B1016" s="37" t="s">
        <v>53</v>
      </c>
      <c r="C1016" s="38">
        <v>56212.5</v>
      </c>
    </row>
    <row r="1017" spans="1:3" x14ac:dyDescent="0.3">
      <c r="A1017" s="37" t="s">
        <v>2</v>
      </c>
      <c r="B1017" s="37" t="s">
        <v>53</v>
      </c>
      <c r="C1017" s="38"/>
    </row>
    <row r="1018" spans="1:3" x14ac:dyDescent="0.3">
      <c r="A1018" s="37" t="s">
        <v>2</v>
      </c>
      <c r="B1018" s="37" t="s">
        <v>53</v>
      </c>
      <c r="C1018" s="38">
        <v>115000</v>
      </c>
    </row>
    <row r="1019" spans="1:3" x14ac:dyDescent="0.3">
      <c r="A1019" s="37" t="s">
        <v>2</v>
      </c>
      <c r="B1019" s="37" t="s">
        <v>53</v>
      </c>
      <c r="C1019" s="38">
        <v>65000</v>
      </c>
    </row>
    <row r="1020" spans="1:3" x14ac:dyDescent="0.3">
      <c r="A1020" s="37" t="s">
        <v>2</v>
      </c>
      <c r="B1020" s="37" t="s">
        <v>53</v>
      </c>
      <c r="C1020" s="38"/>
    </row>
    <row r="1021" spans="1:3" x14ac:dyDescent="0.3">
      <c r="A1021" s="37" t="s">
        <v>2</v>
      </c>
      <c r="B1021" s="37" t="s">
        <v>53</v>
      </c>
      <c r="C1021" s="38"/>
    </row>
    <row r="1022" spans="1:3" x14ac:dyDescent="0.3">
      <c r="A1022" s="37" t="s">
        <v>2</v>
      </c>
      <c r="B1022" s="37" t="s">
        <v>53</v>
      </c>
      <c r="C1022" s="38"/>
    </row>
    <row r="1023" spans="1:3" x14ac:dyDescent="0.3">
      <c r="A1023" s="37" t="s">
        <v>2</v>
      </c>
      <c r="B1023" s="37" t="s">
        <v>53</v>
      </c>
      <c r="C1023" s="38">
        <v>105000</v>
      </c>
    </row>
    <row r="1024" spans="1:3" x14ac:dyDescent="0.3">
      <c r="A1024" s="37" t="s">
        <v>2</v>
      </c>
      <c r="B1024" s="37" t="s">
        <v>53</v>
      </c>
      <c r="C1024" s="38"/>
    </row>
    <row r="1025" spans="1:3" x14ac:dyDescent="0.3">
      <c r="A1025" s="37" t="s">
        <v>2</v>
      </c>
      <c r="B1025" s="37" t="s">
        <v>75</v>
      </c>
      <c r="C1025" s="38">
        <v>56700</v>
      </c>
    </row>
    <row r="1026" spans="1:3" x14ac:dyDescent="0.3">
      <c r="A1026" s="37" t="s">
        <v>2</v>
      </c>
      <c r="B1026" s="37" t="s">
        <v>53</v>
      </c>
      <c r="C1026" s="38"/>
    </row>
    <row r="1027" spans="1:3" x14ac:dyDescent="0.3">
      <c r="A1027" s="37" t="s">
        <v>2</v>
      </c>
      <c r="B1027" s="37" t="s">
        <v>53</v>
      </c>
      <c r="C1027" s="38">
        <v>76579</v>
      </c>
    </row>
    <row r="1028" spans="1:3" x14ac:dyDescent="0.3">
      <c r="A1028" s="37" t="s">
        <v>2</v>
      </c>
      <c r="B1028" s="37" t="s">
        <v>53</v>
      </c>
      <c r="C1028" s="38">
        <v>115791.5</v>
      </c>
    </row>
    <row r="1029" spans="1:3" x14ac:dyDescent="0.3">
      <c r="A1029" s="37" t="s">
        <v>2</v>
      </c>
      <c r="B1029" s="37" t="s">
        <v>53</v>
      </c>
      <c r="C1029" s="38"/>
    </row>
    <row r="1030" spans="1:3" x14ac:dyDescent="0.3">
      <c r="A1030" s="37" t="s">
        <v>2</v>
      </c>
      <c r="B1030" s="37" t="s">
        <v>53</v>
      </c>
      <c r="C1030" s="38">
        <v>79928.40625</v>
      </c>
    </row>
    <row r="1031" spans="1:3" x14ac:dyDescent="0.3">
      <c r="A1031" s="37" t="s">
        <v>2</v>
      </c>
      <c r="B1031" s="37" t="s">
        <v>53</v>
      </c>
      <c r="C1031" s="38">
        <v>56500</v>
      </c>
    </row>
    <row r="1032" spans="1:3" x14ac:dyDescent="0.3">
      <c r="A1032" s="37" t="s">
        <v>2</v>
      </c>
      <c r="B1032" s="37" t="s">
        <v>53</v>
      </c>
      <c r="C1032" s="38"/>
    </row>
    <row r="1033" spans="1:3" x14ac:dyDescent="0.3">
      <c r="A1033" s="37" t="s">
        <v>4</v>
      </c>
      <c r="B1033" s="37" t="s">
        <v>69</v>
      </c>
      <c r="C1033" s="38">
        <v>98301.5</v>
      </c>
    </row>
    <row r="1034" spans="1:3" x14ac:dyDescent="0.3">
      <c r="A1034" s="37" t="s">
        <v>4</v>
      </c>
      <c r="B1034" s="37" t="s">
        <v>53</v>
      </c>
      <c r="C1034" s="38">
        <v>102500</v>
      </c>
    </row>
    <row r="1035" spans="1:3" x14ac:dyDescent="0.3">
      <c r="A1035" s="37" t="s">
        <v>4</v>
      </c>
      <c r="B1035" s="37" t="s">
        <v>53</v>
      </c>
      <c r="C1035" s="38">
        <v>75000</v>
      </c>
    </row>
    <row r="1036" spans="1:3" x14ac:dyDescent="0.3">
      <c r="A1036" s="37" t="s">
        <v>4</v>
      </c>
      <c r="B1036" s="37" t="s">
        <v>53</v>
      </c>
      <c r="C1036" s="38">
        <v>105000</v>
      </c>
    </row>
    <row r="1037" spans="1:3" x14ac:dyDescent="0.3">
      <c r="A1037" s="37" t="s">
        <v>4</v>
      </c>
      <c r="B1037" s="37" t="s">
        <v>53</v>
      </c>
      <c r="C1037" s="38">
        <v>90000</v>
      </c>
    </row>
    <row r="1038" spans="1:3" x14ac:dyDescent="0.3">
      <c r="A1038" s="37" t="s">
        <v>4</v>
      </c>
      <c r="B1038" s="37" t="s">
        <v>54</v>
      </c>
      <c r="C1038" s="38">
        <v>105000</v>
      </c>
    </row>
    <row r="1039" spans="1:3" x14ac:dyDescent="0.3">
      <c r="A1039" s="37" t="s">
        <v>4</v>
      </c>
      <c r="B1039" s="37" t="s">
        <v>53</v>
      </c>
      <c r="C1039" s="38">
        <v>164500</v>
      </c>
    </row>
    <row r="1040" spans="1:3" x14ac:dyDescent="0.3">
      <c r="A1040" s="37" t="s">
        <v>4</v>
      </c>
      <c r="B1040" s="37" t="s">
        <v>53</v>
      </c>
      <c r="C1040" s="38">
        <v>149874</v>
      </c>
    </row>
    <row r="1041" spans="1:3" x14ac:dyDescent="0.3">
      <c r="A1041" s="37" t="s">
        <v>4</v>
      </c>
      <c r="B1041" s="37" t="s">
        <v>53</v>
      </c>
      <c r="C1041" s="38">
        <v>155000</v>
      </c>
    </row>
    <row r="1042" spans="1:3" x14ac:dyDescent="0.3">
      <c r="A1042" s="37" t="s">
        <v>4</v>
      </c>
      <c r="B1042" s="37" t="s">
        <v>53</v>
      </c>
      <c r="C1042" s="38">
        <v>145000</v>
      </c>
    </row>
    <row r="1043" spans="1:3" x14ac:dyDescent="0.3">
      <c r="A1043" s="37" t="s">
        <v>4</v>
      </c>
      <c r="B1043" s="37" t="s">
        <v>53</v>
      </c>
      <c r="C1043" s="38">
        <v>147500</v>
      </c>
    </row>
    <row r="1044" spans="1:3" x14ac:dyDescent="0.3">
      <c r="A1044" s="37" t="s">
        <v>4</v>
      </c>
      <c r="B1044" s="37" t="s">
        <v>53</v>
      </c>
      <c r="C1044" s="38">
        <v>70000</v>
      </c>
    </row>
    <row r="1045" spans="1:3" x14ac:dyDescent="0.3">
      <c r="A1045" s="37" t="s">
        <v>4</v>
      </c>
      <c r="B1045" s="37" t="s">
        <v>54</v>
      </c>
      <c r="C1045" s="38">
        <v>125000</v>
      </c>
    </row>
    <row r="1046" spans="1:3" x14ac:dyDescent="0.3">
      <c r="A1046" s="37" t="s">
        <v>4</v>
      </c>
      <c r="B1046" s="37" t="s">
        <v>53</v>
      </c>
      <c r="C1046" s="38">
        <v>127500</v>
      </c>
    </row>
    <row r="1047" spans="1:3" x14ac:dyDescent="0.3">
      <c r="A1047" s="37" t="s">
        <v>4</v>
      </c>
      <c r="B1047" s="37" t="s">
        <v>54</v>
      </c>
      <c r="C1047" s="38">
        <v>150000</v>
      </c>
    </row>
    <row r="1048" spans="1:3" x14ac:dyDescent="0.3">
      <c r="A1048" s="37" t="s">
        <v>4</v>
      </c>
      <c r="B1048" s="37" t="s">
        <v>53</v>
      </c>
      <c r="C1048" s="38"/>
    </row>
    <row r="1049" spans="1:3" x14ac:dyDescent="0.3">
      <c r="A1049" s="37" t="s">
        <v>4</v>
      </c>
      <c r="B1049" s="37" t="s">
        <v>53</v>
      </c>
      <c r="C1049" s="38">
        <v>115000</v>
      </c>
    </row>
    <row r="1050" spans="1:3" x14ac:dyDescent="0.3">
      <c r="A1050" s="37" t="s">
        <v>4</v>
      </c>
      <c r="B1050" s="37" t="s">
        <v>53</v>
      </c>
      <c r="C1050" s="38">
        <v>155000</v>
      </c>
    </row>
    <row r="1051" spans="1:3" x14ac:dyDescent="0.3">
      <c r="A1051" s="37" t="s">
        <v>4</v>
      </c>
      <c r="B1051" s="37" t="s">
        <v>53</v>
      </c>
      <c r="C1051" s="38">
        <v>145000</v>
      </c>
    </row>
    <row r="1052" spans="1:3" x14ac:dyDescent="0.3">
      <c r="A1052" s="37" t="s">
        <v>4</v>
      </c>
      <c r="B1052" s="37" t="s">
        <v>53</v>
      </c>
      <c r="C1052" s="38">
        <v>90000</v>
      </c>
    </row>
    <row r="1053" spans="1:3" x14ac:dyDescent="0.3">
      <c r="A1053" s="37" t="s">
        <v>4</v>
      </c>
      <c r="B1053" s="37" t="s">
        <v>54</v>
      </c>
      <c r="C1053" s="38">
        <v>80000</v>
      </c>
    </row>
    <row r="1054" spans="1:3" x14ac:dyDescent="0.3">
      <c r="A1054" s="37" t="s">
        <v>4</v>
      </c>
      <c r="B1054" s="37" t="s">
        <v>53</v>
      </c>
      <c r="C1054" s="38">
        <v>140000</v>
      </c>
    </row>
    <row r="1055" spans="1:3" x14ac:dyDescent="0.3">
      <c r="A1055" s="37" t="s">
        <v>4</v>
      </c>
      <c r="B1055" s="37" t="s">
        <v>53</v>
      </c>
      <c r="C1055" s="38">
        <v>85000</v>
      </c>
    </row>
    <row r="1056" spans="1:3" x14ac:dyDescent="0.3">
      <c r="A1056" s="37" t="s">
        <v>4</v>
      </c>
      <c r="B1056" s="37" t="s">
        <v>81</v>
      </c>
      <c r="C1056" s="38">
        <v>124000</v>
      </c>
    </row>
    <row r="1057" spans="1:3" x14ac:dyDescent="0.3">
      <c r="A1057" s="37" t="s">
        <v>4</v>
      </c>
      <c r="B1057" s="37" t="s">
        <v>53</v>
      </c>
      <c r="C1057" s="38"/>
    </row>
    <row r="1058" spans="1:3" x14ac:dyDescent="0.3">
      <c r="A1058" s="37" t="s">
        <v>4</v>
      </c>
      <c r="B1058" s="37" t="s">
        <v>53</v>
      </c>
      <c r="C1058" s="38">
        <v>110000</v>
      </c>
    </row>
    <row r="1059" spans="1:3" x14ac:dyDescent="0.3">
      <c r="A1059" s="37" t="s">
        <v>4</v>
      </c>
      <c r="B1059" s="37" t="s">
        <v>53</v>
      </c>
      <c r="C1059" s="38">
        <v>165000</v>
      </c>
    </row>
    <row r="1060" spans="1:3" x14ac:dyDescent="0.3">
      <c r="A1060" s="37" t="s">
        <v>4</v>
      </c>
      <c r="B1060" s="37" t="s">
        <v>53</v>
      </c>
      <c r="C1060" s="38"/>
    </row>
    <row r="1061" spans="1:3" x14ac:dyDescent="0.3">
      <c r="A1061" s="37" t="s">
        <v>4</v>
      </c>
      <c r="B1061" s="37" t="s">
        <v>53</v>
      </c>
      <c r="C1061" s="38">
        <v>123600</v>
      </c>
    </row>
    <row r="1062" spans="1:3" x14ac:dyDescent="0.3">
      <c r="A1062" s="37" t="s">
        <v>4</v>
      </c>
      <c r="B1062" s="37" t="s">
        <v>87</v>
      </c>
      <c r="C1062" s="38">
        <v>147500</v>
      </c>
    </row>
    <row r="1063" spans="1:3" x14ac:dyDescent="0.3">
      <c r="A1063" s="37" t="s">
        <v>4</v>
      </c>
      <c r="B1063" s="37" t="s">
        <v>53</v>
      </c>
      <c r="C1063" s="38">
        <v>208114</v>
      </c>
    </row>
    <row r="1064" spans="1:3" x14ac:dyDescent="0.3">
      <c r="A1064" s="37" t="s">
        <v>4</v>
      </c>
      <c r="B1064" s="37" t="s">
        <v>53</v>
      </c>
      <c r="C1064" s="38">
        <v>175000</v>
      </c>
    </row>
    <row r="1065" spans="1:3" x14ac:dyDescent="0.3">
      <c r="A1065" s="37" t="s">
        <v>4</v>
      </c>
      <c r="B1065" s="37" t="s">
        <v>53</v>
      </c>
      <c r="C1065" s="38">
        <v>160000</v>
      </c>
    </row>
    <row r="1066" spans="1:3" x14ac:dyDescent="0.3">
      <c r="A1066" s="37" t="s">
        <v>4</v>
      </c>
      <c r="B1066" s="37" t="s">
        <v>110</v>
      </c>
      <c r="C1066" s="38">
        <v>165000</v>
      </c>
    </row>
    <row r="1067" spans="1:3" x14ac:dyDescent="0.3">
      <c r="A1067" s="37" t="s">
        <v>4</v>
      </c>
      <c r="B1067" s="37" t="s">
        <v>53</v>
      </c>
      <c r="C1067" s="38">
        <v>127500</v>
      </c>
    </row>
    <row r="1068" spans="1:3" x14ac:dyDescent="0.3">
      <c r="A1068" s="37" t="s">
        <v>4</v>
      </c>
      <c r="B1068" s="37" t="s">
        <v>53</v>
      </c>
      <c r="C1068" s="38">
        <v>160000</v>
      </c>
    </row>
    <row r="1069" spans="1:3" x14ac:dyDescent="0.3">
      <c r="A1069" s="37" t="s">
        <v>4</v>
      </c>
      <c r="B1069" s="37" t="s">
        <v>53</v>
      </c>
      <c r="C1069" s="38"/>
    </row>
    <row r="1070" spans="1:3" x14ac:dyDescent="0.3">
      <c r="A1070" s="37" t="s">
        <v>4</v>
      </c>
      <c r="B1070" s="37" t="s">
        <v>88</v>
      </c>
      <c r="C1070" s="38">
        <v>147500</v>
      </c>
    </row>
    <row r="1071" spans="1:3" x14ac:dyDescent="0.3">
      <c r="A1071" s="37" t="s">
        <v>4</v>
      </c>
      <c r="B1071" s="37" t="s">
        <v>53</v>
      </c>
      <c r="C1071" s="38">
        <v>125000</v>
      </c>
    </row>
    <row r="1072" spans="1:3" x14ac:dyDescent="0.3">
      <c r="A1072" s="37" t="s">
        <v>4</v>
      </c>
      <c r="B1072" s="37" t="s">
        <v>105</v>
      </c>
      <c r="C1072" s="38">
        <v>98301.5</v>
      </c>
    </row>
    <row r="1073" spans="1:3" x14ac:dyDescent="0.3">
      <c r="A1073" s="37" t="s">
        <v>4</v>
      </c>
      <c r="B1073" s="37" t="s">
        <v>53</v>
      </c>
      <c r="C1073" s="38">
        <v>90000</v>
      </c>
    </row>
    <row r="1074" spans="1:3" x14ac:dyDescent="0.3">
      <c r="A1074" s="37" t="s">
        <v>4</v>
      </c>
      <c r="B1074" s="37" t="s">
        <v>53</v>
      </c>
      <c r="C1074" s="38">
        <v>102500</v>
      </c>
    </row>
    <row r="1075" spans="1:3" x14ac:dyDescent="0.3">
      <c r="A1075" s="37" t="s">
        <v>4</v>
      </c>
      <c r="B1075" s="37" t="s">
        <v>53</v>
      </c>
      <c r="C1075" s="38">
        <v>120000</v>
      </c>
    </row>
    <row r="1076" spans="1:3" x14ac:dyDescent="0.3">
      <c r="A1076" s="37" t="s">
        <v>4</v>
      </c>
      <c r="B1076" s="37" t="s">
        <v>53</v>
      </c>
      <c r="C1076" s="38">
        <v>120000</v>
      </c>
    </row>
    <row r="1077" spans="1:3" x14ac:dyDescent="0.3">
      <c r="A1077" s="37" t="s">
        <v>4</v>
      </c>
      <c r="B1077" s="37" t="s">
        <v>53</v>
      </c>
      <c r="C1077" s="38">
        <v>160060.234375</v>
      </c>
    </row>
    <row r="1078" spans="1:3" x14ac:dyDescent="0.3">
      <c r="A1078" s="37" t="s">
        <v>4</v>
      </c>
      <c r="B1078" s="37" t="s">
        <v>53</v>
      </c>
      <c r="C1078" s="38">
        <v>90000</v>
      </c>
    </row>
    <row r="1079" spans="1:3" x14ac:dyDescent="0.3">
      <c r="A1079" s="37" t="s">
        <v>4</v>
      </c>
      <c r="B1079" s="37" t="s">
        <v>79</v>
      </c>
      <c r="C1079" s="38">
        <v>147500</v>
      </c>
    </row>
    <row r="1080" spans="1:3" x14ac:dyDescent="0.3">
      <c r="A1080" s="37" t="s">
        <v>4</v>
      </c>
      <c r="B1080" s="37" t="s">
        <v>53</v>
      </c>
      <c r="C1080" s="38">
        <v>127500</v>
      </c>
    </row>
    <row r="1081" spans="1:3" x14ac:dyDescent="0.3">
      <c r="A1081" s="37" t="s">
        <v>4</v>
      </c>
      <c r="B1081" s="37" t="s">
        <v>53</v>
      </c>
      <c r="C1081" s="38">
        <v>90000</v>
      </c>
    </row>
    <row r="1082" spans="1:3" x14ac:dyDescent="0.3">
      <c r="A1082" s="37" t="s">
        <v>4</v>
      </c>
      <c r="B1082" s="37" t="s">
        <v>53</v>
      </c>
      <c r="C1082" s="38">
        <v>96500</v>
      </c>
    </row>
    <row r="1083" spans="1:3" x14ac:dyDescent="0.3">
      <c r="A1083" s="37" t="s">
        <v>4</v>
      </c>
      <c r="B1083" s="37" t="s">
        <v>54</v>
      </c>
      <c r="C1083" s="38">
        <v>112500</v>
      </c>
    </row>
    <row r="1084" spans="1:3" x14ac:dyDescent="0.3">
      <c r="A1084" s="37" t="s">
        <v>4</v>
      </c>
      <c r="B1084" s="37" t="s">
        <v>75</v>
      </c>
      <c r="C1084" s="38">
        <v>98301.5</v>
      </c>
    </row>
    <row r="1085" spans="1:3" x14ac:dyDescent="0.3">
      <c r="A1085" s="37" t="s">
        <v>4</v>
      </c>
      <c r="B1085" s="37" t="s">
        <v>53</v>
      </c>
      <c r="C1085" s="38">
        <v>150000</v>
      </c>
    </row>
    <row r="1086" spans="1:3" x14ac:dyDescent="0.3">
      <c r="A1086" s="37" t="s">
        <v>4</v>
      </c>
      <c r="B1086" s="37" t="s">
        <v>54</v>
      </c>
      <c r="C1086" s="38">
        <v>125000</v>
      </c>
    </row>
    <row r="1087" spans="1:3" x14ac:dyDescent="0.3">
      <c r="A1087" s="37" t="s">
        <v>4</v>
      </c>
      <c r="B1087" s="37" t="s">
        <v>53</v>
      </c>
      <c r="C1087" s="38">
        <v>125000</v>
      </c>
    </row>
    <row r="1088" spans="1:3" x14ac:dyDescent="0.3">
      <c r="A1088" s="37" t="s">
        <v>4</v>
      </c>
      <c r="B1088" s="37" t="s">
        <v>53</v>
      </c>
      <c r="C1088" s="38">
        <v>90000</v>
      </c>
    </row>
    <row r="1089" spans="1:3" x14ac:dyDescent="0.3">
      <c r="A1089" s="37" t="s">
        <v>4</v>
      </c>
      <c r="B1089" s="37" t="s">
        <v>53</v>
      </c>
      <c r="C1089" s="38">
        <v>125000</v>
      </c>
    </row>
    <row r="1090" spans="1:3" x14ac:dyDescent="0.3">
      <c r="A1090" s="37" t="s">
        <v>4</v>
      </c>
      <c r="B1090" s="37" t="s">
        <v>53</v>
      </c>
      <c r="C1090" s="38">
        <v>98301.5</v>
      </c>
    </row>
    <row r="1091" spans="1:3" x14ac:dyDescent="0.3">
      <c r="A1091" s="37" t="s">
        <v>4</v>
      </c>
      <c r="B1091" s="37" t="s">
        <v>53</v>
      </c>
      <c r="C1091" s="38">
        <v>160000</v>
      </c>
    </row>
    <row r="1092" spans="1:3" x14ac:dyDescent="0.3">
      <c r="A1092" s="37" t="s">
        <v>4</v>
      </c>
      <c r="B1092" s="37" t="s">
        <v>53</v>
      </c>
      <c r="C1092" s="38"/>
    </row>
    <row r="1093" spans="1:3" x14ac:dyDescent="0.3">
      <c r="A1093" s="37" t="s">
        <v>4</v>
      </c>
      <c r="B1093" s="37" t="s">
        <v>53</v>
      </c>
      <c r="C1093" s="38">
        <v>115000</v>
      </c>
    </row>
    <row r="1094" spans="1:3" x14ac:dyDescent="0.3">
      <c r="A1094" s="37" t="s">
        <v>4</v>
      </c>
      <c r="B1094" s="37" t="s">
        <v>54</v>
      </c>
      <c r="C1094" s="38"/>
    </row>
    <row r="1095" spans="1:3" x14ac:dyDescent="0.3">
      <c r="A1095" s="37" t="s">
        <v>4</v>
      </c>
      <c r="B1095" s="37" t="s">
        <v>53</v>
      </c>
      <c r="C1095" s="38">
        <v>90000</v>
      </c>
    </row>
    <row r="1096" spans="1:3" x14ac:dyDescent="0.3">
      <c r="A1096" s="37" t="s">
        <v>4</v>
      </c>
      <c r="B1096" s="37" t="s">
        <v>53</v>
      </c>
      <c r="C1096" s="38">
        <v>50000</v>
      </c>
    </row>
    <row r="1097" spans="1:3" x14ac:dyDescent="0.3">
      <c r="A1097" s="37" t="s">
        <v>4</v>
      </c>
      <c r="B1097" s="37" t="s">
        <v>53</v>
      </c>
      <c r="C1097" s="38">
        <v>172500</v>
      </c>
    </row>
    <row r="1098" spans="1:3" x14ac:dyDescent="0.3">
      <c r="A1098" s="37" t="s">
        <v>4</v>
      </c>
      <c r="B1098" s="37" t="s">
        <v>53</v>
      </c>
      <c r="C1098" s="38">
        <v>105000</v>
      </c>
    </row>
    <row r="1099" spans="1:3" x14ac:dyDescent="0.3">
      <c r="A1099" s="37" t="s">
        <v>4</v>
      </c>
      <c r="B1099" s="37" t="s">
        <v>53</v>
      </c>
      <c r="C1099" s="38">
        <v>144481.5</v>
      </c>
    </row>
    <row r="1100" spans="1:3" x14ac:dyDescent="0.3">
      <c r="A1100" s="37" t="s">
        <v>4</v>
      </c>
      <c r="B1100" s="37" t="s">
        <v>53</v>
      </c>
      <c r="C1100" s="38">
        <v>110000</v>
      </c>
    </row>
    <row r="1101" spans="1:3" x14ac:dyDescent="0.3">
      <c r="A1101" s="37" t="s">
        <v>4</v>
      </c>
      <c r="B1101" s="37" t="s">
        <v>70</v>
      </c>
      <c r="C1101" s="38">
        <v>147500</v>
      </c>
    </row>
    <row r="1102" spans="1:3" x14ac:dyDescent="0.3">
      <c r="A1102" s="37" t="s">
        <v>4</v>
      </c>
      <c r="B1102" s="37" t="s">
        <v>53</v>
      </c>
      <c r="C1102" s="38">
        <v>115000</v>
      </c>
    </row>
    <row r="1103" spans="1:3" x14ac:dyDescent="0.3">
      <c r="A1103" s="37" t="s">
        <v>4</v>
      </c>
      <c r="B1103" s="37" t="s">
        <v>53</v>
      </c>
      <c r="C1103" s="38"/>
    </row>
    <row r="1104" spans="1:3" x14ac:dyDescent="0.3">
      <c r="A1104" s="37" t="s">
        <v>4</v>
      </c>
      <c r="B1104" s="37" t="s">
        <v>53</v>
      </c>
      <c r="C1104" s="38">
        <v>175000</v>
      </c>
    </row>
    <row r="1105" spans="1:3" x14ac:dyDescent="0.3">
      <c r="A1105" s="37" t="s">
        <v>4</v>
      </c>
      <c r="B1105" s="37" t="s">
        <v>53</v>
      </c>
      <c r="C1105" s="38">
        <v>115000</v>
      </c>
    </row>
    <row r="1106" spans="1:3" x14ac:dyDescent="0.3">
      <c r="A1106" s="37" t="s">
        <v>4</v>
      </c>
      <c r="B1106" s="37" t="s">
        <v>53</v>
      </c>
      <c r="C1106" s="38"/>
    </row>
    <row r="1107" spans="1:3" x14ac:dyDescent="0.3">
      <c r="A1107" s="37" t="s">
        <v>4</v>
      </c>
      <c r="B1107" s="37" t="s">
        <v>53</v>
      </c>
      <c r="C1107" s="38">
        <v>157500</v>
      </c>
    </row>
    <row r="1108" spans="1:3" x14ac:dyDescent="0.3">
      <c r="A1108" s="37" t="s">
        <v>4</v>
      </c>
      <c r="B1108" s="37" t="s">
        <v>54</v>
      </c>
      <c r="C1108" s="38">
        <v>133900</v>
      </c>
    </row>
    <row r="1109" spans="1:3" x14ac:dyDescent="0.3">
      <c r="A1109" s="37" t="s">
        <v>4</v>
      </c>
      <c r="B1109" s="37" t="s">
        <v>53</v>
      </c>
      <c r="C1109" s="38">
        <v>125000</v>
      </c>
    </row>
    <row r="1110" spans="1:3" x14ac:dyDescent="0.3">
      <c r="A1110" s="37" t="s">
        <v>4</v>
      </c>
      <c r="B1110" s="37" t="s">
        <v>53</v>
      </c>
      <c r="C1110" s="38">
        <v>120000</v>
      </c>
    </row>
    <row r="1111" spans="1:3" x14ac:dyDescent="0.3">
      <c r="A1111" s="37" t="s">
        <v>4</v>
      </c>
      <c r="B1111" s="37" t="s">
        <v>53</v>
      </c>
      <c r="C1111" s="38">
        <v>160000</v>
      </c>
    </row>
    <row r="1112" spans="1:3" x14ac:dyDescent="0.3">
      <c r="A1112" s="37" t="s">
        <v>4</v>
      </c>
      <c r="B1112" s="37" t="s">
        <v>54</v>
      </c>
      <c r="C1112" s="38"/>
    </row>
    <row r="1113" spans="1:3" x14ac:dyDescent="0.3">
      <c r="A1113" s="37" t="s">
        <v>4</v>
      </c>
      <c r="B1113" s="37" t="s">
        <v>100</v>
      </c>
      <c r="C1113" s="38">
        <v>96760.5</v>
      </c>
    </row>
    <row r="1114" spans="1:3" x14ac:dyDescent="0.3">
      <c r="A1114" s="37" t="s">
        <v>4</v>
      </c>
      <c r="B1114" s="37" t="s">
        <v>104</v>
      </c>
      <c r="C1114" s="38">
        <v>98301.5</v>
      </c>
    </row>
    <row r="1115" spans="1:3" x14ac:dyDescent="0.3">
      <c r="A1115" s="37" t="s">
        <v>4</v>
      </c>
      <c r="B1115" s="37" t="s">
        <v>53</v>
      </c>
      <c r="C1115" s="38">
        <v>140000</v>
      </c>
    </row>
    <row r="1116" spans="1:3" x14ac:dyDescent="0.3">
      <c r="A1116" s="37" t="s">
        <v>4</v>
      </c>
      <c r="B1116" s="37" t="s">
        <v>53</v>
      </c>
      <c r="C1116" s="38">
        <v>214000</v>
      </c>
    </row>
    <row r="1117" spans="1:3" x14ac:dyDescent="0.3">
      <c r="A1117" s="37" t="s">
        <v>4</v>
      </c>
      <c r="B1117" s="37" t="s">
        <v>53</v>
      </c>
      <c r="C1117" s="38">
        <v>119037.5</v>
      </c>
    </row>
    <row r="1118" spans="1:3" x14ac:dyDescent="0.3">
      <c r="A1118" s="37" t="s">
        <v>4</v>
      </c>
      <c r="B1118" s="37" t="s">
        <v>54</v>
      </c>
      <c r="C1118" s="38">
        <v>215000</v>
      </c>
    </row>
    <row r="1119" spans="1:3" x14ac:dyDescent="0.3">
      <c r="A1119" s="37" t="s">
        <v>4</v>
      </c>
      <c r="B1119" s="37" t="s">
        <v>100</v>
      </c>
      <c r="C1119" s="38">
        <v>249000</v>
      </c>
    </row>
    <row r="1120" spans="1:3" x14ac:dyDescent="0.3">
      <c r="A1120" s="37" t="s">
        <v>4</v>
      </c>
      <c r="B1120" s="37" t="s">
        <v>54</v>
      </c>
      <c r="C1120" s="38">
        <v>112500</v>
      </c>
    </row>
    <row r="1121" spans="1:3" x14ac:dyDescent="0.3">
      <c r="A1121" s="37" t="s">
        <v>4</v>
      </c>
      <c r="B1121" s="37" t="s">
        <v>53</v>
      </c>
      <c r="C1121" s="38">
        <v>130000</v>
      </c>
    </row>
    <row r="1122" spans="1:3" x14ac:dyDescent="0.3">
      <c r="A1122" s="37" t="s">
        <v>4</v>
      </c>
      <c r="B1122" s="37" t="s">
        <v>53</v>
      </c>
      <c r="C1122" s="38">
        <v>155000</v>
      </c>
    </row>
    <row r="1123" spans="1:3" x14ac:dyDescent="0.3">
      <c r="A1123" s="37" t="s">
        <v>4</v>
      </c>
      <c r="B1123" s="37" t="s">
        <v>53</v>
      </c>
      <c r="C1123" s="38">
        <v>175000</v>
      </c>
    </row>
    <row r="1124" spans="1:3" x14ac:dyDescent="0.3">
      <c r="A1124" s="37" t="s">
        <v>4</v>
      </c>
      <c r="B1124" s="37" t="s">
        <v>54</v>
      </c>
      <c r="C1124" s="38">
        <v>145000</v>
      </c>
    </row>
    <row r="1125" spans="1:3" x14ac:dyDescent="0.3">
      <c r="A1125" s="37" t="s">
        <v>4</v>
      </c>
      <c r="B1125" s="37" t="s">
        <v>53</v>
      </c>
      <c r="C1125" s="38">
        <v>131000</v>
      </c>
    </row>
    <row r="1126" spans="1:3" x14ac:dyDescent="0.3">
      <c r="A1126" s="37" t="s">
        <v>4</v>
      </c>
      <c r="B1126" s="37" t="s">
        <v>53</v>
      </c>
      <c r="C1126" s="38">
        <v>90000</v>
      </c>
    </row>
    <row r="1127" spans="1:3" x14ac:dyDescent="0.3">
      <c r="A1127" s="37" t="s">
        <v>4</v>
      </c>
      <c r="B1127" s="37" t="s">
        <v>54</v>
      </c>
      <c r="C1127" s="38">
        <v>151000</v>
      </c>
    </row>
    <row r="1128" spans="1:3" x14ac:dyDescent="0.3">
      <c r="A1128" s="37" t="s">
        <v>4</v>
      </c>
      <c r="B1128" s="37" t="s">
        <v>53</v>
      </c>
      <c r="C1128" s="38">
        <v>117500</v>
      </c>
    </row>
    <row r="1129" spans="1:3" x14ac:dyDescent="0.3">
      <c r="A1129" s="37" t="s">
        <v>4</v>
      </c>
      <c r="B1129" s="37" t="s">
        <v>88</v>
      </c>
      <c r="C1129" s="38">
        <v>96760.5</v>
      </c>
    </row>
    <row r="1130" spans="1:3" x14ac:dyDescent="0.3">
      <c r="A1130" s="37" t="s">
        <v>4</v>
      </c>
      <c r="B1130" s="37" t="s">
        <v>97</v>
      </c>
      <c r="C1130" s="38">
        <v>98283</v>
      </c>
    </row>
    <row r="1131" spans="1:3" x14ac:dyDescent="0.3">
      <c r="A1131" s="37" t="s">
        <v>4</v>
      </c>
      <c r="B1131" s="37" t="s">
        <v>53</v>
      </c>
      <c r="C1131" s="38">
        <v>193562.5</v>
      </c>
    </row>
    <row r="1132" spans="1:3" x14ac:dyDescent="0.3">
      <c r="A1132" s="37" t="s">
        <v>4</v>
      </c>
      <c r="B1132" s="37" t="s">
        <v>53</v>
      </c>
      <c r="C1132" s="38">
        <v>90000</v>
      </c>
    </row>
    <row r="1133" spans="1:3" x14ac:dyDescent="0.3">
      <c r="A1133" s="37" t="s">
        <v>4</v>
      </c>
      <c r="B1133" s="37" t="s">
        <v>54</v>
      </c>
      <c r="C1133" s="38"/>
    </row>
    <row r="1134" spans="1:3" x14ac:dyDescent="0.3">
      <c r="A1134" s="37" t="s">
        <v>4</v>
      </c>
      <c r="B1134" s="37" t="s">
        <v>53</v>
      </c>
      <c r="C1134" s="38">
        <v>105000</v>
      </c>
    </row>
    <row r="1135" spans="1:3" x14ac:dyDescent="0.3">
      <c r="A1135" s="37" t="s">
        <v>4</v>
      </c>
      <c r="B1135" s="37" t="s">
        <v>53</v>
      </c>
      <c r="C1135" s="38">
        <v>80000</v>
      </c>
    </row>
    <row r="1136" spans="1:3" x14ac:dyDescent="0.3">
      <c r="A1136" s="37" t="s">
        <v>4</v>
      </c>
      <c r="B1136" s="37" t="s">
        <v>56</v>
      </c>
      <c r="C1136" s="38">
        <v>98301.5</v>
      </c>
    </row>
    <row r="1137" spans="1:3" x14ac:dyDescent="0.3">
      <c r="A1137" s="37" t="s">
        <v>4</v>
      </c>
      <c r="B1137" s="37" t="s">
        <v>54</v>
      </c>
      <c r="C1137" s="38">
        <v>140000</v>
      </c>
    </row>
    <row r="1138" spans="1:3" x14ac:dyDescent="0.3">
      <c r="A1138" s="37" t="s">
        <v>4</v>
      </c>
      <c r="B1138" s="37" t="s">
        <v>81</v>
      </c>
      <c r="C1138" s="38">
        <v>147500</v>
      </c>
    </row>
    <row r="1139" spans="1:3" x14ac:dyDescent="0.3">
      <c r="A1139" s="37" t="s">
        <v>4</v>
      </c>
      <c r="B1139" s="37" t="s">
        <v>110</v>
      </c>
      <c r="C1139" s="38">
        <v>89100</v>
      </c>
    </row>
    <row r="1140" spans="1:3" x14ac:dyDescent="0.3">
      <c r="A1140" s="37" t="s">
        <v>4</v>
      </c>
      <c r="B1140" s="37" t="s">
        <v>53</v>
      </c>
      <c r="C1140" s="38">
        <v>122500</v>
      </c>
    </row>
    <row r="1141" spans="1:3" x14ac:dyDescent="0.3">
      <c r="A1141" s="37" t="s">
        <v>4</v>
      </c>
      <c r="B1141" s="37" t="s">
        <v>53</v>
      </c>
      <c r="C1141" s="38">
        <v>110000</v>
      </c>
    </row>
    <row r="1142" spans="1:3" x14ac:dyDescent="0.3">
      <c r="A1142" s="37" t="s">
        <v>4</v>
      </c>
      <c r="B1142" s="37" t="s">
        <v>53</v>
      </c>
      <c r="C1142" s="38">
        <v>105000</v>
      </c>
    </row>
    <row r="1143" spans="1:3" x14ac:dyDescent="0.3">
      <c r="A1143" s="37" t="s">
        <v>4</v>
      </c>
      <c r="B1143" s="37" t="s">
        <v>53</v>
      </c>
      <c r="C1143" s="38">
        <v>99800</v>
      </c>
    </row>
    <row r="1144" spans="1:3" x14ac:dyDescent="0.3">
      <c r="A1144" s="37" t="s">
        <v>4</v>
      </c>
      <c r="B1144" s="37" t="s">
        <v>53</v>
      </c>
      <c r="C1144" s="38"/>
    </row>
    <row r="1145" spans="1:3" x14ac:dyDescent="0.3">
      <c r="A1145" s="37" t="s">
        <v>4</v>
      </c>
      <c r="B1145" s="37" t="s">
        <v>53</v>
      </c>
      <c r="C1145" s="38">
        <v>200000</v>
      </c>
    </row>
    <row r="1146" spans="1:3" x14ac:dyDescent="0.3">
      <c r="A1146" s="37" t="s">
        <v>4</v>
      </c>
      <c r="B1146" s="37" t="s">
        <v>53</v>
      </c>
      <c r="C1146" s="38">
        <v>200000</v>
      </c>
    </row>
    <row r="1147" spans="1:3" x14ac:dyDescent="0.3">
      <c r="A1147" s="37" t="s">
        <v>4</v>
      </c>
      <c r="B1147" s="37" t="s">
        <v>53</v>
      </c>
      <c r="C1147" s="38">
        <v>105000</v>
      </c>
    </row>
    <row r="1148" spans="1:3" x14ac:dyDescent="0.3">
      <c r="A1148" s="37" t="s">
        <v>4</v>
      </c>
      <c r="B1148" s="37" t="s">
        <v>53</v>
      </c>
      <c r="C1148" s="38">
        <v>106256.8984375</v>
      </c>
    </row>
    <row r="1149" spans="1:3" x14ac:dyDescent="0.3">
      <c r="A1149" s="37" t="s">
        <v>4</v>
      </c>
      <c r="B1149" s="37" t="s">
        <v>53</v>
      </c>
      <c r="C1149" s="38">
        <v>58926</v>
      </c>
    </row>
    <row r="1150" spans="1:3" x14ac:dyDescent="0.3">
      <c r="A1150" s="37" t="s">
        <v>4</v>
      </c>
      <c r="B1150" s="37" t="s">
        <v>53</v>
      </c>
      <c r="C1150" s="38">
        <v>105000</v>
      </c>
    </row>
    <row r="1151" spans="1:3" x14ac:dyDescent="0.3">
      <c r="A1151" s="37" t="s">
        <v>4</v>
      </c>
      <c r="B1151" s="37" t="s">
        <v>53</v>
      </c>
      <c r="C1151" s="38">
        <v>105000</v>
      </c>
    </row>
    <row r="1152" spans="1:3" x14ac:dyDescent="0.3">
      <c r="A1152" s="37" t="s">
        <v>4</v>
      </c>
      <c r="B1152" s="37" t="s">
        <v>71</v>
      </c>
      <c r="C1152" s="38">
        <v>64800</v>
      </c>
    </row>
    <row r="1153" spans="1:3" x14ac:dyDescent="0.3">
      <c r="A1153" s="37" t="s">
        <v>4</v>
      </c>
      <c r="B1153" s="37" t="s">
        <v>53</v>
      </c>
      <c r="C1153" s="38"/>
    </row>
    <row r="1154" spans="1:3" x14ac:dyDescent="0.3">
      <c r="A1154" s="37" t="s">
        <v>4</v>
      </c>
      <c r="B1154" s="37" t="s">
        <v>53</v>
      </c>
      <c r="C1154" s="38">
        <v>190950</v>
      </c>
    </row>
    <row r="1155" spans="1:3" x14ac:dyDescent="0.3">
      <c r="A1155" s="37" t="s">
        <v>4</v>
      </c>
      <c r="B1155" s="37" t="s">
        <v>54</v>
      </c>
      <c r="C1155" s="38">
        <v>122500</v>
      </c>
    </row>
    <row r="1156" spans="1:3" x14ac:dyDescent="0.3">
      <c r="A1156" s="37" t="s">
        <v>4</v>
      </c>
      <c r="B1156" s="37" t="s">
        <v>53</v>
      </c>
      <c r="C1156" s="38">
        <v>245000</v>
      </c>
    </row>
    <row r="1157" spans="1:3" x14ac:dyDescent="0.3">
      <c r="A1157" s="37" t="s">
        <v>4</v>
      </c>
      <c r="B1157" s="37" t="s">
        <v>53</v>
      </c>
      <c r="C1157" s="38">
        <v>165000</v>
      </c>
    </row>
    <row r="1158" spans="1:3" x14ac:dyDescent="0.3">
      <c r="A1158" s="37" t="s">
        <v>4</v>
      </c>
      <c r="B1158" s="37" t="s">
        <v>53</v>
      </c>
      <c r="C1158" s="38">
        <v>133000</v>
      </c>
    </row>
    <row r="1159" spans="1:3" x14ac:dyDescent="0.3">
      <c r="A1159" s="37" t="s">
        <v>4</v>
      </c>
      <c r="B1159" s="37" t="s">
        <v>68</v>
      </c>
      <c r="C1159" s="38">
        <v>98283</v>
      </c>
    </row>
    <row r="1160" spans="1:3" x14ac:dyDescent="0.3">
      <c r="A1160" s="37" t="s">
        <v>4</v>
      </c>
      <c r="B1160" s="37" t="s">
        <v>53</v>
      </c>
      <c r="C1160" s="38"/>
    </row>
    <row r="1161" spans="1:3" x14ac:dyDescent="0.3">
      <c r="A1161" s="37" t="s">
        <v>4</v>
      </c>
      <c r="B1161" s="37" t="s">
        <v>53</v>
      </c>
      <c r="C1161" s="38"/>
    </row>
    <row r="1162" spans="1:3" x14ac:dyDescent="0.3">
      <c r="A1162" s="37" t="s">
        <v>4</v>
      </c>
      <c r="B1162" s="37" t="s">
        <v>53</v>
      </c>
      <c r="C1162" s="38">
        <v>147500</v>
      </c>
    </row>
    <row r="1163" spans="1:3" x14ac:dyDescent="0.3">
      <c r="A1163" s="37" t="s">
        <v>4</v>
      </c>
      <c r="B1163" s="37" t="s">
        <v>53</v>
      </c>
      <c r="C1163" s="38"/>
    </row>
    <row r="1164" spans="1:3" x14ac:dyDescent="0.3">
      <c r="A1164" s="37" t="s">
        <v>4</v>
      </c>
      <c r="B1164" s="37" t="s">
        <v>54</v>
      </c>
      <c r="C1164" s="38">
        <v>137320.3125</v>
      </c>
    </row>
    <row r="1165" spans="1:3" x14ac:dyDescent="0.3">
      <c r="A1165" s="37" t="s">
        <v>4</v>
      </c>
      <c r="B1165" s="37" t="s">
        <v>54</v>
      </c>
      <c r="C1165" s="38">
        <v>98275.5</v>
      </c>
    </row>
    <row r="1166" spans="1:3" x14ac:dyDescent="0.3">
      <c r="A1166" s="37" t="s">
        <v>4</v>
      </c>
      <c r="B1166" s="37" t="s">
        <v>53</v>
      </c>
      <c r="C1166" s="38">
        <v>122470.5</v>
      </c>
    </row>
    <row r="1167" spans="1:3" x14ac:dyDescent="0.3">
      <c r="A1167" s="37" t="s">
        <v>4</v>
      </c>
      <c r="B1167" s="37" t="s">
        <v>53</v>
      </c>
      <c r="C1167" s="38"/>
    </row>
    <row r="1168" spans="1:3" x14ac:dyDescent="0.3">
      <c r="A1168" s="37" t="s">
        <v>4</v>
      </c>
      <c r="B1168" s="37" t="s">
        <v>54</v>
      </c>
      <c r="C1168" s="38"/>
    </row>
    <row r="1169" spans="1:3" x14ac:dyDescent="0.3">
      <c r="A1169" s="37" t="s">
        <v>4</v>
      </c>
      <c r="B1169" s="37" t="s">
        <v>53</v>
      </c>
      <c r="C1169" s="38">
        <v>117500</v>
      </c>
    </row>
    <row r="1170" spans="1:3" x14ac:dyDescent="0.3">
      <c r="A1170" s="37" t="s">
        <v>4</v>
      </c>
      <c r="B1170" s="37" t="s">
        <v>53</v>
      </c>
      <c r="C1170" s="38">
        <v>125000</v>
      </c>
    </row>
    <row r="1171" spans="1:3" x14ac:dyDescent="0.3">
      <c r="A1171" s="37" t="s">
        <v>4</v>
      </c>
      <c r="B1171" s="37" t="s">
        <v>53</v>
      </c>
      <c r="C1171" s="38">
        <v>190950</v>
      </c>
    </row>
    <row r="1172" spans="1:3" x14ac:dyDescent="0.3">
      <c r="A1172" s="37" t="s">
        <v>4</v>
      </c>
      <c r="B1172" s="37" t="s">
        <v>53</v>
      </c>
      <c r="C1172" s="38"/>
    </row>
    <row r="1173" spans="1:3" x14ac:dyDescent="0.3">
      <c r="A1173" s="37" t="s">
        <v>4</v>
      </c>
      <c r="B1173" s="37" t="s">
        <v>111</v>
      </c>
      <c r="C1173" s="38">
        <v>147500</v>
      </c>
    </row>
    <row r="1174" spans="1:3" x14ac:dyDescent="0.3">
      <c r="A1174" s="37" t="s">
        <v>4</v>
      </c>
      <c r="B1174" s="37" t="s">
        <v>53</v>
      </c>
      <c r="C1174" s="38"/>
    </row>
    <row r="1175" spans="1:3" x14ac:dyDescent="0.3">
      <c r="A1175" s="37" t="s">
        <v>4</v>
      </c>
      <c r="B1175" s="37" t="s">
        <v>53</v>
      </c>
      <c r="C1175" s="38"/>
    </row>
    <row r="1176" spans="1:3" x14ac:dyDescent="0.3">
      <c r="A1176" s="37" t="s">
        <v>4</v>
      </c>
      <c r="B1176" s="37" t="s">
        <v>54</v>
      </c>
      <c r="C1176" s="38"/>
    </row>
    <row r="1177" spans="1:3" x14ac:dyDescent="0.3">
      <c r="A1177" s="37" t="s">
        <v>4</v>
      </c>
      <c r="B1177" s="37" t="s">
        <v>53</v>
      </c>
      <c r="C1177" s="38">
        <v>110144.390625</v>
      </c>
    </row>
    <row r="1178" spans="1:3" x14ac:dyDescent="0.3">
      <c r="A1178" s="37" t="s">
        <v>4</v>
      </c>
      <c r="B1178" s="37" t="s">
        <v>53</v>
      </c>
      <c r="C1178" s="38">
        <v>109750</v>
      </c>
    </row>
    <row r="1179" spans="1:3" x14ac:dyDescent="0.3">
      <c r="A1179" s="37" t="s">
        <v>4</v>
      </c>
      <c r="B1179" s="37" t="s">
        <v>54</v>
      </c>
      <c r="C1179" s="38"/>
    </row>
    <row r="1180" spans="1:3" x14ac:dyDescent="0.3">
      <c r="A1180" s="37" t="s">
        <v>4</v>
      </c>
      <c r="B1180" s="37" t="s">
        <v>53</v>
      </c>
      <c r="C1180" s="38"/>
    </row>
    <row r="1181" spans="1:3" x14ac:dyDescent="0.3">
      <c r="A1181" s="37" t="s">
        <v>4</v>
      </c>
      <c r="B1181" s="37" t="s">
        <v>54</v>
      </c>
      <c r="C1181" s="38">
        <v>135000</v>
      </c>
    </row>
    <row r="1182" spans="1:3" x14ac:dyDescent="0.3">
      <c r="A1182" s="37" t="s">
        <v>4</v>
      </c>
      <c r="B1182" s="37" t="s">
        <v>73</v>
      </c>
      <c r="C1182" s="38">
        <v>96773</v>
      </c>
    </row>
    <row r="1183" spans="1:3" x14ac:dyDescent="0.3">
      <c r="A1183" s="37" t="s">
        <v>4</v>
      </c>
      <c r="B1183" s="37" t="s">
        <v>53</v>
      </c>
      <c r="C1183" s="38">
        <v>136000</v>
      </c>
    </row>
    <row r="1184" spans="1:3" x14ac:dyDescent="0.3">
      <c r="A1184" s="37" t="s">
        <v>4</v>
      </c>
      <c r="B1184" s="37" t="s">
        <v>88</v>
      </c>
      <c r="C1184" s="38">
        <v>131580</v>
      </c>
    </row>
    <row r="1185" spans="1:3" x14ac:dyDescent="0.3">
      <c r="A1185" s="37" t="s">
        <v>4</v>
      </c>
      <c r="B1185" s="37" t="s">
        <v>53</v>
      </c>
      <c r="C1185" s="38">
        <v>125000</v>
      </c>
    </row>
    <row r="1186" spans="1:3" x14ac:dyDescent="0.3">
      <c r="A1186" s="37" t="s">
        <v>4</v>
      </c>
      <c r="B1186" s="37" t="s">
        <v>88</v>
      </c>
      <c r="C1186" s="38">
        <v>147500</v>
      </c>
    </row>
    <row r="1187" spans="1:3" x14ac:dyDescent="0.3">
      <c r="A1187" s="37" t="s">
        <v>4</v>
      </c>
      <c r="B1187" s="37" t="s">
        <v>54</v>
      </c>
      <c r="C1187" s="38">
        <v>180000</v>
      </c>
    </row>
    <row r="1188" spans="1:3" x14ac:dyDescent="0.3">
      <c r="A1188" s="37" t="s">
        <v>4</v>
      </c>
      <c r="B1188" s="37" t="s">
        <v>53</v>
      </c>
      <c r="C1188" s="38">
        <v>175000</v>
      </c>
    </row>
    <row r="1189" spans="1:3" x14ac:dyDescent="0.3">
      <c r="A1189" s="37" t="s">
        <v>4</v>
      </c>
      <c r="B1189" s="37" t="s">
        <v>65</v>
      </c>
      <c r="C1189" s="38">
        <v>96773</v>
      </c>
    </row>
    <row r="1190" spans="1:3" x14ac:dyDescent="0.3">
      <c r="A1190" s="37" t="s">
        <v>4</v>
      </c>
      <c r="B1190" s="37" t="s">
        <v>53</v>
      </c>
      <c r="C1190" s="38"/>
    </row>
    <row r="1191" spans="1:3" x14ac:dyDescent="0.3">
      <c r="A1191" s="37" t="s">
        <v>4</v>
      </c>
      <c r="B1191" s="37" t="s">
        <v>53</v>
      </c>
      <c r="C1191" s="38">
        <v>154000</v>
      </c>
    </row>
    <row r="1192" spans="1:3" x14ac:dyDescent="0.3">
      <c r="A1192" s="37" t="s">
        <v>4</v>
      </c>
      <c r="B1192" s="37" t="s">
        <v>53</v>
      </c>
      <c r="C1192" s="38"/>
    </row>
    <row r="1193" spans="1:3" x14ac:dyDescent="0.3">
      <c r="A1193" s="37" t="s">
        <v>4</v>
      </c>
      <c r="B1193" s="37" t="s">
        <v>53</v>
      </c>
      <c r="C1193" s="38">
        <v>208114</v>
      </c>
    </row>
    <row r="1194" spans="1:3" x14ac:dyDescent="0.3">
      <c r="A1194" s="37" t="s">
        <v>4</v>
      </c>
      <c r="B1194" s="37" t="s">
        <v>53</v>
      </c>
      <c r="C1194" s="38">
        <v>175000</v>
      </c>
    </row>
    <row r="1195" spans="1:3" x14ac:dyDescent="0.3">
      <c r="A1195" s="37" t="s">
        <v>4</v>
      </c>
      <c r="B1195" s="37" t="s">
        <v>53</v>
      </c>
      <c r="C1195" s="38">
        <v>90000</v>
      </c>
    </row>
    <row r="1196" spans="1:3" x14ac:dyDescent="0.3">
      <c r="A1196" s="37" t="s">
        <v>4</v>
      </c>
      <c r="B1196" s="37" t="s">
        <v>53</v>
      </c>
      <c r="C1196" s="38"/>
    </row>
    <row r="1197" spans="1:3" x14ac:dyDescent="0.3">
      <c r="A1197" s="37" t="s">
        <v>4</v>
      </c>
      <c r="B1197" s="37" t="s">
        <v>53</v>
      </c>
      <c r="C1197" s="38">
        <v>115000</v>
      </c>
    </row>
    <row r="1198" spans="1:3" x14ac:dyDescent="0.3">
      <c r="A1198" s="37" t="s">
        <v>4</v>
      </c>
      <c r="B1198" s="37" t="s">
        <v>53</v>
      </c>
      <c r="C1198" s="38">
        <v>144481.5</v>
      </c>
    </row>
    <row r="1199" spans="1:3" x14ac:dyDescent="0.3">
      <c r="A1199" s="37" t="s">
        <v>4</v>
      </c>
      <c r="B1199" s="37" t="s">
        <v>53</v>
      </c>
      <c r="C1199" s="38"/>
    </row>
    <row r="1200" spans="1:3" x14ac:dyDescent="0.3">
      <c r="A1200" s="37" t="s">
        <v>4</v>
      </c>
      <c r="B1200" s="37" t="s">
        <v>53</v>
      </c>
      <c r="C1200" s="38"/>
    </row>
    <row r="1201" spans="1:3" x14ac:dyDescent="0.3">
      <c r="A1201" s="37" t="s">
        <v>4</v>
      </c>
      <c r="B1201" s="37" t="s">
        <v>53</v>
      </c>
      <c r="C1201" s="38"/>
    </row>
    <row r="1202" spans="1:3" x14ac:dyDescent="0.3">
      <c r="A1202" s="37" t="s">
        <v>4</v>
      </c>
      <c r="B1202" s="37" t="s">
        <v>53</v>
      </c>
      <c r="C1202" s="38">
        <v>115000</v>
      </c>
    </row>
    <row r="1203" spans="1:3" x14ac:dyDescent="0.3">
      <c r="A1203" s="37" t="s">
        <v>4</v>
      </c>
      <c r="B1203" s="37" t="s">
        <v>54</v>
      </c>
      <c r="C1203" s="38"/>
    </row>
    <row r="1204" spans="1:3" x14ac:dyDescent="0.3">
      <c r="A1204" s="37" t="s">
        <v>4</v>
      </c>
      <c r="B1204" s="37" t="s">
        <v>53</v>
      </c>
      <c r="C1204" s="38">
        <v>146000</v>
      </c>
    </row>
    <row r="1205" spans="1:3" x14ac:dyDescent="0.3">
      <c r="A1205" s="37" t="s">
        <v>4</v>
      </c>
      <c r="B1205" s="37" t="s">
        <v>74</v>
      </c>
      <c r="C1205" s="38">
        <v>50400</v>
      </c>
    </row>
    <row r="1206" spans="1:3" x14ac:dyDescent="0.3">
      <c r="A1206" s="37" t="s">
        <v>4</v>
      </c>
      <c r="B1206" s="37" t="s">
        <v>53</v>
      </c>
      <c r="C1206" s="38">
        <v>160000</v>
      </c>
    </row>
    <row r="1207" spans="1:3" x14ac:dyDescent="0.3">
      <c r="A1207" s="37" t="s">
        <v>4</v>
      </c>
      <c r="B1207" s="37" t="s">
        <v>53</v>
      </c>
      <c r="C1207" s="38">
        <v>155000</v>
      </c>
    </row>
    <row r="1208" spans="1:3" x14ac:dyDescent="0.3">
      <c r="A1208" s="37" t="s">
        <v>4</v>
      </c>
      <c r="B1208" s="37" t="s">
        <v>53</v>
      </c>
      <c r="C1208" s="38">
        <v>187500</v>
      </c>
    </row>
    <row r="1209" spans="1:3" x14ac:dyDescent="0.3">
      <c r="A1209" s="37" t="s">
        <v>4</v>
      </c>
      <c r="B1209" s="37" t="s">
        <v>53</v>
      </c>
      <c r="C1209" s="38">
        <v>137290.484375</v>
      </c>
    </row>
    <row r="1210" spans="1:3" x14ac:dyDescent="0.3">
      <c r="A1210" s="37" t="s">
        <v>4</v>
      </c>
      <c r="B1210" s="37" t="s">
        <v>53</v>
      </c>
      <c r="C1210" s="38">
        <v>172500</v>
      </c>
    </row>
    <row r="1211" spans="1:3" x14ac:dyDescent="0.3">
      <c r="A1211" s="37" t="s">
        <v>4</v>
      </c>
      <c r="B1211" s="37" t="s">
        <v>53</v>
      </c>
      <c r="C1211" s="38">
        <v>89500</v>
      </c>
    </row>
    <row r="1212" spans="1:3" x14ac:dyDescent="0.3">
      <c r="A1212" s="37" t="s">
        <v>4</v>
      </c>
      <c r="B1212" s="37" t="s">
        <v>53</v>
      </c>
      <c r="C1212" s="38">
        <v>125000</v>
      </c>
    </row>
    <row r="1213" spans="1:3" x14ac:dyDescent="0.3">
      <c r="A1213" s="37" t="s">
        <v>4</v>
      </c>
      <c r="B1213" s="37" t="s">
        <v>53</v>
      </c>
      <c r="C1213" s="38">
        <v>180000</v>
      </c>
    </row>
    <row r="1214" spans="1:3" x14ac:dyDescent="0.3">
      <c r="A1214" s="37" t="s">
        <v>4</v>
      </c>
      <c r="B1214" s="37" t="s">
        <v>53</v>
      </c>
      <c r="C1214" s="38">
        <v>87500</v>
      </c>
    </row>
    <row r="1215" spans="1:3" x14ac:dyDescent="0.3">
      <c r="A1215" s="37" t="s">
        <v>4</v>
      </c>
      <c r="B1215" s="37" t="s">
        <v>98</v>
      </c>
      <c r="C1215" s="38">
        <v>96760.5</v>
      </c>
    </row>
    <row r="1216" spans="1:3" x14ac:dyDescent="0.3">
      <c r="A1216" s="37" t="s">
        <v>4</v>
      </c>
      <c r="B1216" s="37" t="s">
        <v>88</v>
      </c>
      <c r="C1216" s="38">
        <v>147500</v>
      </c>
    </row>
    <row r="1217" spans="1:3" x14ac:dyDescent="0.3">
      <c r="A1217" s="37" t="s">
        <v>4</v>
      </c>
      <c r="B1217" s="37" t="s">
        <v>53</v>
      </c>
      <c r="C1217" s="38">
        <v>112500</v>
      </c>
    </row>
    <row r="1218" spans="1:3" x14ac:dyDescent="0.3">
      <c r="A1218" s="37" t="s">
        <v>4</v>
      </c>
      <c r="B1218" s="37" t="s">
        <v>53</v>
      </c>
      <c r="C1218" s="38">
        <v>95000</v>
      </c>
    </row>
    <row r="1219" spans="1:3" x14ac:dyDescent="0.3">
      <c r="A1219" s="37" t="s">
        <v>4</v>
      </c>
      <c r="B1219" s="37" t="s">
        <v>53</v>
      </c>
      <c r="C1219" s="38">
        <v>95000</v>
      </c>
    </row>
    <row r="1220" spans="1:3" x14ac:dyDescent="0.3">
      <c r="A1220" s="37" t="s">
        <v>4</v>
      </c>
      <c r="B1220" s="37" t="s">
        <v>54</v>
      </c>
      <c r="C1220" s="38">
        <v>99500</v>
      </c>
    </row>
    <row r="1221" spans="1:3" x14ac:dyDescent="0.3">
      <c r="A1221" s="37" t="s">
        <v>4</v>
      </c>
      <c r="B1221" s="37" t="s">
        <v>53</v>
      </c>
      <c r="C1221" s="38"/>
    </row>
    <row r="1222" spans="1:3" x14ac:dyDescent="0.3">
      <c r="A1222" s="37" t="s">
        <v>4</v>
      </c>
      <c r="B1222" s="37" t="s">
        <v>53</v>
      </c>
      <c r="C1222" s="38">
        <v>150000</v>
      </c>
    </row>
    <row r="1223" spans="1:3" x14ac:dyDescent="0.3">
      <c r="A1223" s="37" t="s">
        <v>4</v>
      </c>
      <c r="B1223" s="37" t="s">
        <v>88</v>
      </c>
      <c r="C1223" s="38">
        <v>147500</v>
      </c>
    </row>
    <row r="1224" spans="1:3" x14ac:dyDescent="0.3">
      <c r="A1224" s="37" t="s">
        <v>4</v>
      </c>
      <c r="B1224" s="37" t="s">
        <v>53</v>
      </c>
      <c r="C1224" s="38"/>
    </row>
    <row r="1225" spans="1:3" x14ac:dyDescent="0.3">
      <c r="A1225" s="37" t="s">
        <v>4</v>
      </c>
      <c r="B1225" s="37" t="s">
        <v>53</v>
      </c>
      <c r="C1225" s="38">
        <v>190950</v>
      </c>
    </row>
    <row r="1226" spans="1:3" x14ac:dyDescent="0.3">
      <c r="A1226" s="37" t="s">
        <v>4</v>
      </c>
      <c r="B1226" s="37" t="s">
        <v>53</v>
      </c>
      <c r="C1226" s="38">
        <v>145000</v>
      </c>
    </row>
    <row r="1227" spans="1:3" x14ac:dyDescent="0.3">
      <c r="A1227" s="37" t="s">
        <v>4</v>
      </c>
      <c r="B1227" s="37" t="s">
        <v>53</v>
      </c>
      <c r="C1227" s="38"/>
    </row>
    <row r="1228" spans="1:3" x14ac:dyDescent="0.3">
      <c r="A1228" s="37" t="s">
        <v>4</v>
      </c>
      <c r="B1228" s="37" t="s">
        <v>53</v>
      </c>
      <c r="C1228" s="38"/>
    </row>
    <row r="1229" spans="1:3" x14ac:dyDescent="0.3">
      <c r="A1229" s="37" t="s">
        <v>4</v>
      </c>
      <c r="B1229" s="37" t="s">
        <v>53</v>
      </c>
      <c r="C1229" s="38">
        <v>102500</v>
      </c>
    </row>
    <row r="1230" spans="1:3" x14ac:dyDescent="0.3">
      <c r="A1230" s="37" t="s">
        <v>4</v>
      </c>
      <c r="B1230" s="37" t="s">
        <v>53</v>
      </c>
      <c r="C1230" s="38"/>
    </row>
    <row r="1231" spans="1:3" x14ac:dyDescent="0.3">
      <c r="A1231" s="37" t="s">
        <v>4</v>
      </c>
      <c r="B1231" s="37" t="s">
        <v>53</v>
      </c>
      <c r="C1231" s="38">
        <v>80000</v>
      </c>
    </row>
    <row r="1232" spans="1:3" x14ac:dyDescent="0.3">
      <c r="A1232" s="37" t="s">
        <v>4</v>
      </c>
      <c r="B1232" s="37" t="s">
        <v>53</v>
      </c>
      <c r="C1232" s="38">
        <v>130000</v>
      </c>
    </row>
    <row r="1233" spans="1:3" x14ac:dyDescent="0.3">
      <c r="A1233" s="37" t="s">
        <v>4</v>
      </c>
      <c r="B1233" s="37" t="s">
        <v>88</v>
      </c>
      <c r="C1233" s="38">
        <v>147500</v>
      </c>
    </row>
    <row r="1234" spans="1:3" x14ac:dyDescent="0.3">
      <c r="A1234" s="37" t="s">
        <v>4</v>
      </c>
      <c r="B1234" s="37" t="s">
        <v>54</v>
      </c>
      <c r="C1234" s="38">
        <v>165000</v>
      </c>
    </row>
    <row r="1235" spans="1:3" x14ac:dyDescent="0.3">
      <c r="A1235" s="37" t="s">
        <v>4</v>
      </c>
      <c r="B1235" s="37" t="s">
        <v>53</v>
      </c>
      <c r="C1235" s="38"/>
    </row>
    <row r="1236" spans="1:3" x14ac:dyDescent="0.3">
      <c r="A1236" s="37" t="s">
        <v>4</v>
      </c>
      <c r="B1236" s="37" t="s">
        <v>75</v>
      </c>
      <c r="C1236" s="38">
        <v>147500</v>
      </c>
    </row>
    <row r="1237" spans="1:3" x14ac:dyDescent="0.3">
      <c r="A1237" s="37" t="s">
        <v>4</v>
      </c>
      <c r="B1237" s="37" t="s">
        <v>54</v>
      </c>
      <c r="C1237" s="38"/>
    </row>
    <row r="1238" spans="1:3" x14ac:dyDescent="0.3">
      <c r="A1238" s="37" t="s">
        <v>4</v>
      </c>
      <c r="B1238" s="37" t="s">
        <v>53</v>
      </c>
      <c r="C1238" s="38">
        <v>117500</v>
      </c>
    </row>
    <row r="1239" spans="1:3" x14ac:dyDescent="0.3">
      <c r="A1239" s="37" t="s">
        <v>4</v>
      </c>
      <c r="B1239" s="37" t="s">
        <v>53</v>
      </c>
      <c r="C1239" s="38">
        <v>150000</v>
      </c>
    </row>
    <row r="1240" spans="1:3" x14ac:dyDescent="0.3">
      <c r="A1240" s="37" t="s">
        <v>4</v>
      </c>
      <c r="B1240" s="37" t="s">
        <v>54</v>
      </c>
      <c r="C1240" s="38">
        <v>90000</v>
      </c>
    </row>
    <row r="1241" spans="1:3" x14ac:dyDescent="0.3">
      <c r="A1241" s="37" t="s">
        <v>4</v>
      </c>
      <c r="B1241" s="37" t="s">
        <v>53</v>
      </c>
      <c r="C1241" s="38"/>
    </row>
    <row r="1242" spans="1:3" x14ac:dyDescent="0.3">
      <c r="A1242" s="37" t="s">
        <v>4</v>
      </c>
      <c r="B1242" s="37" t="s">
        <v>100</v>
      </c>
      <c r="C1242" s="38">
        <v>72960</v>
      </c>
    </row>
    <row r="1243" spans="1:3" x14ac:dyDescent="0.3">
      <c r="A1243" s="37" t="s">
        <v>4</v>
      </c>
      <c r="B1243" s="37" t="s">
        <v>53</v>
      </c>
      <c r="C1243" s="38">
        <v>80000</v>
      </c>
    </row>
    <row r="1244" spans="1:3" x14ac:dyDescent="0.3">
      <c r="A1244" s="37" t="s">
        <v>4</v>
      </c>
      <c r="B1244" s="37" t="s">
        <v>54</v>
      </c>
      <c r="C1244" s="38">
        <v>150000</v>
      </c>
    </row>
    <row r="1245" spans="1:3" x14ac:dyDescent="0.3">
      <c r="A1245" s="37" t="s">
        <v>4</v>
      </c>
      <c r="B1245" s="37" t="s">
        <v>53</v>
      </c>
      <c r="C1245" s="38">
        <v>200256</v>
      </c>
    </row>
    <row r="1246" spans="1:3" x14ac:dyDescent="0.3">
      <c r="A1246" s="37" t="s">
        <v>4</v>
      </c>
      <c r="B1246" s="37" t="s">
        <v>53</v>
      </c>
      <c r="C1246" s="38">
        <v>145000</v>
      </c>
    </row>
    <row r="1247" spans="1:3" x14ac:dyDescent="0.3">
      <c r="A1247" s="37" t="s">
        <v>4</v>
      </c>
      <c r="B1247" s="37" t="s">
        <v>69</v>
      </c>
      <c r="C1247" s="38">
        <v>56700</v>
      </c>
    </row>
    <row r="1248" spans="1:3" x14ac:dyDescent="0.3">
      <c r="A1248" s="37" t="s">
        <v>4</v>
      </c>
      <c r="B1248" s="37" t="s">
        <v>53</v>
      </c>
      <c r="C1248" s="38"/>
    </row>
    <row r="1249" spans="1:3" x14ac:dyDescent="0.3">
      <c r="A1249" s="37" t="s">
        <v>4</v>
      </c>
      <c r="B1249" s="37" t="s">
        <v>53</v>
      </c>
      <c r="C1249" s="38"/>
    </row>
    <row r="1250" spans="1:3" x14ac:dyDescent="0.3">
      <c r="A1250" s="37" t="s">
        <v>4</v>
      </c>
      <c r="B1250" s="37" t="s">
        <v>53</v>
      </c>
      <c r="C1250" s="38">
        <v>145000</v>
      </c>
    </row>
    <row r="1251" spans="1:3" x14ac:dyDescent="0.3">
      <c r="A1251" s="37" t="s">
        <v>4</v>
      </c>
      <c r="B1251" s="37" t="s">
        <v>65</v>
      </c>
      <c r="C1251" s="38">
        <v>80850</v>
      </c>
    </row>
    <row r="1252" spans="1:3" x14ac:dyDescent="0.3">
      <c r="A1252" s="37" t="s">
        <v>4</v>
      </c>
      <c r="B1252" s="37" t="s">
        <v>56</v>
      </c>
      <c r="C1252" s="38">
        <v>98283</v>
      </c>
    </row>
    <row r="1253" spans="1:3" x14ac:dyDescent="0.3">
      <c r="A1253" s="37" t="s">
        <v>4</v>
      </c>
      <c r="B1253" s="37" t="s">
        <v>63</v>
      </c>
      <c r="C1253" s="38">
        <v>96773</v>
      </c>
    </row>
    <row r="1254" spans="1:3" x14ac:dyDescent="0.3">
      <c r="A1254" s="37" t="s">
        <v>4</v>
      </c>
      <c r="B1254" s="37" t="s">
        <v>53</v>
      </c>
      <c r="C1254" s="38">
        <v>142500</v>
      </c>
    </row>
    <row r="1255" spans="1:3" x14ac:dyDescent="0.3">
      <c r="A1255" s="37" t="s">
        <v>4</v>
      </c>
      <c r="B1255" s="37" t="s">
        <v>53</v>
      </c>
      <c r="C1255" s="38"/>
    </row>
    <row r="1256" spans="1:3" x14ac:dyDescent="0.3">
      <c r="A1256" s="37" t="s">
        <v>4</v>
      </c>
      <c r="B1256" s="37" t="s">
        <v>53</v>
      </c>
      <c r="C1256" s="38">
        <v>169000</v>
      </c>
    </row>
    <row r="1257" spans="1:3" x14ac:dyDescent="0.3">
      <c r="A1257" s="37" t="s">
        <v>4</v>
      </c>
      <c r="B1257" s="37" t="s">
        <v>53</v>
      </c>
      <c r="C1257" s="38">
        <v>135600</v>
      </c>
    </row>
    <row r="1258" spans="1:3" x14ac:dyDescent="0.3">
      <c r="A1258" s="37" t="s">
        <v>4</v>
      </c>
      <c r="B1258" s="37" t="s">
        <v>63</v>
      </c>
      <c r="C1258" s="38">
        <v>147500</v>
      </c>
    </row>
    <row r="1259" spans="1:3" x14ac:dyDescent="0.3">
      <c r="A1259" s="37" t="s">
        <v>4</v>
      </c>
      <c r="B1259" s="37" t="s">
        <v>54</v>
      </c>
      <c r="C1259" s="38">
        <v>106358</v>
      </c>
    </row>
    <row r="1260" spans="1:3" x14ac:dyDescent="0.3">
      <c r="A1260" s="37" t="s">
        <v>4</v>
      </c>
      <c r="B1260" s="37" t="s">
        <v>53</v>
      </c>
      <c r="C1260" s="38"/>
    </row>
    <row r="1261" spans="1:3" x14ac:dyDescent="0.3">
      <c r="A1261" s="37" t="s">
        <v>4</v>
      </c>
      <c r="B1261" s="37" t="s">
        <v>53</v>
      </c>
      <c r="C1261" s="38"/>
    </row>
    <row r="1262" spans="1:3" x14ac:dyDescent="0.3">
      <c r="A1262" s="37" t="s">
        <v>4</v>
      </c>
      <c r="B1262" s="37" t="s">
        <v>53</v>
      </c>
      <c r="C1262" s="38"/>
    </row>
    <row r="1263" spans="1:3" x14ac:dyDescent="0.3">
      <c r="A1263" s="37" t="s">
        <v>4</v>
      </c>
      <c r="B1263" s="37" t="s">
        <v>53</v>
      </c>
      <c r="C1263" s="38">
        <v>205000</v>
      </c>
    </row>
    <row r="1264" spans="1:3" x14ac:dyDescent="0.3">
      <c r="A1264" s="37" t="s">
        <v>4</v>
      </c>
      <c r="B1264" s="37" t="s">
        <v>53</v>
      </c>
      <c r="C1264" s="38">
        <v>90000</v>
      </c>
    </row>
    <row r="1265" spans="1:3" x14ac:dyDescent="0.3">
      <c r="A1265" s="37" t="s">
        <v>4</v>
      </c>
      <c r="B1265" s="37" t="s">
        <v>53</v>
      </c>
      <c r="C1265" s="38">
        <v>127500</v>
      </c>
    </row>
    <row r="1266" spans="1:3" x14ac:dyDescent="0.3">
      <c r="A1266" s="37" t="s">
        <v>4</v>
      </c>
      <c r="B1266" s="37" t="s">
        <v>54</v>
      </c>
      <c r="C1266" s="38"/>
    </row>
    <row r="1267" spans="1:3" x14ac:dyDescent="0.3">
      <c r="A1267" s="37" t="s">
        <v>4</v>
      </c>
      <c r="B1267" s="37" t="s">
        <v>53</v>
      </c>
      <c r="C1267" s="38">
        <v>147500</v>
      </c>
    </row>
    <row r="1268" spans="1:3" x14ac:dyDescent="0.3">
      <c r="A1268" s="37" t="s">
        <v>4</v>
      </c>
      <c r="B1268" s="37" t="s">
        <v>53</v>
      </c>
      <c r="C1268" s="38">
        <v>87500</v>
      </c>
    </row>
    <row r="1269" spans="1:3" x14ac:dyDescent="0.3">
      <c r="A1269" s="37" t="s">
        <v>4</v>
      </c>
      <c r="B1269" s="37" t="s">
        <v>53</v>
      </c>
      <c r="C1269" s="38"/>
    </row>
    <row r="1270" spans="1:3" x14ac:dyDescent="0.3">
      <c r="A1270" s="37" t="s">
        <v>4</v>
      </c>
      <c r="B1270" s="37" t="s">
        <v>53</v>
      </c>
      <c r="C1270" s="38">
        <v>144000</v>
      </c>
    </row>
    <row r="1271" spans="1:3" x14ac:dyDescent="0.3">
      <c r="A1271" s="37" t="s">
        <v>4</v>
      </c>
      <c r="B1271" s="37" t="s">
        <v>53</v>
      </c>
      <c r="C1271" s="38"/>
    </row>
    <row r="1272" spans="1:3" x14ac:dyDescent="0.3">
      <c r="A1272" s="37" t="s">
        <v>4</v>
      </c>
      <c r="B1272" s="37" t="s">
        <v>53</v>
      </c>
      <c r="C1272" s="38">
        <v>112500</v>
      </c>
    </row>
    <row r="1273" spans="1:3" x14ac:dyDescent="0.3">
      <c r="A1273" s="37" t="s">
        <v>4</v>
      </c>
      <c r="B1273" s="37" t="s">
        <v>53</v>
      </c>
      <c r="C1273" s="38"/>
    </row>
    <row r="1274" spans="1:3" x14ac:dyDescent="0.3">
      <c r="A1274" s="37" t="s">
        <v>4</v>
      </c>
      <c r="B1274" s="37" t="s">
        <v>53</v>
      </c>
      <c r="C1274" s="38">
        <v>130000</v>
      </c>
    </row>
    <row r="1275" spans="1:3" x14ac:dyDescent="0.3">
      <c r="A1275" s="37" t="s">
        <v>4</v>
      </c>
      <c r="B1275" s="37" t="s">
        <v>53</v>
      </c>
      <c r="C1275" s="38">
        <v>120000</v>
      </c>
    </row>
    <row r="1276" spans="1:3" x14ac:dyDescent="0.3">
      <c r="A1276" s="37" t="s">
        <v>4</v>
      </c>
      <c r="B1276" s="37" t="s">
        <v>53</v>
      </c>
      <c r="C1276" s="38">
        <v>146100</v>
      </c>
    </row>
    <row r="1277" spans="1:3" x14ac:dyDescent="0.3">
      <c r="A1277" s="37" t="s">
        <v>4</v>
      </c>
      <c r="B1277" s="37" t="s">
        <v>53</v>
      </c>
      <c r="C1277" s="38"/>
    </row>
    <row r="1278" spans="1:3" x14ac:dyDescent="0.3">
      <c r="A1278" s="37" t="s">
        <v>4</v>
      </c>
      <c r="B1278" s="37" t="s">
        <v>69</v>
      </c>
      <c r="C1278" s="38">
        <v>147500</v>
      </c>
    </row>
    <row r="1279" spans="1:3" x14ac:dyDescent="0.3">
      <c r="A1279" s="37" t="s">
        <v>4</v>
      </c>
      <c r="B1279" s="37" t="s">
        <v>54</v>
      </c>
      <c r="C1279" s="38">
        <v>120000</v>
      </c>
    </row>
    <row r="1280" spans="1:3" x14ac:dyDescent="0.3">
      <c r="A1280" s="37" t="s">
        <v>4</v>
      </c>
      <c r="B1280" s="37" t="s">
        <v>97</v>
      </c>
      <c r="C1280" s="38">
        <v>89100</v>
      </c>
    </row>
    <row r="1281" spans="1:3" x14ac:dyDescent="0.3">
      <c r="A1281" s="37" t="s">
        <v>4</v>
      </c>
      <c r="B1281" s="37" t="s">
        <v>98</v>
      </c>
      <c r="C1281" s="38">
        <v>147500</v>
      </c>
    </row>
    <row r="1282" spans="1:3" x14ac:dyDescent="0.3">
      <c r="A1282" s="37" t="s">
        <v>4</v>
      </c>
      <c r="B1282" s="37" t="s">
        <v>53</v>
      </c>
      <c r="C1282" s="38">
        <v>112500</v>
      </c>
    </row>
    <row r="1283" spans="1:3" x14ac:dyDescent="0.3">
      <c r="A1283" s="37" t="s">
        <v>4</v>
      </c>
      <c r="B1283" s="37" t="s">
        <v>53</v>
      </c>
      <c r="C1283" s="38">
        <v>99150</v>
      </c>
    </row>
    <row r="1284" spans="1:3" x14ac:dyDescent="0.3">
      <c r="A1284" s="37" t="s">
        <v>4</v>
      </c>
      <c r="B1284" s="37" t="s">
        <v>53</v>
      </c>
      <c r="C1284" s="38">
        <v>175000</v>
      </c>
    </row>
    <row r="1285" spans="1:3" x14ac:dyDescent="0.3">
      <c r="A1285" s="37" t="s">
        <v>4</v>
      </c>
      <c r="B1285" s="37" t="s">
        <v>53</v>
      </c>
      <c r="C1285" s="38">
        <v>150000</v>
      </c>
    </row>
    <row r="1286" spans="1:3" x14ac:dyDescent="0.3">
      <c r="A1286" s="37" t="s">
        <v>4</v>
      </c>
      <c r="B1286" s="37" t="s">
        <v>54</v>
      </c>
      <c r="C1286" s="38">
        <v>125000</v>
      </c>
    </row>
    <row r="1287" spans="1:3" x14ac:dyDescent="0.3">
      <c r="A1287" s="37" t="s">
        <v>4</v>
      </c>
      <c r="B1287" s="37" t="s">
        <v>53</v>
      </c>
      <c r="C1287" s="38">
        <v>95000</v>
      </c>
    </row>
    <row r="1288" spans="1:3" x14ac:dyDescent="0.3">
      <c r="A1288" s="37" t="s">
        <v>4</v>
      </c>
      <c r="B1288" s="37" t="s">
        <v>53</v>
      </c>
      <c r="C1288" s="38">
        <v>105000</v>
      </c>
    </row>
    <row r="1289" spans="1:3" x14ac:dyDescent="0.3">
      <c r="A1289" s="37" t="s">
        <v>4</v>
      </c>
      <c r="B1289" s="37" t="s">
        <v>112</v>
      </c>
      <c r="C1289" s="38">
        <v>133000</v>
      </c>
    </row>
    <row r="1290" spans="1:3" x14ac:dyDescent="0.3">
      <c r="A1290" s="37" t="s">
        <v>4</v>
      </c>
      <c r="B1290" s="37" t="s">
        <v>53</v>
      </c>
      <c r="C1290" s="38">
        <v>130000</v>
      </c>
    </row>
    <row r="1291" spans="1:3" x14ac:dyDescent="0.3">
      <c r="A1291" s="37" t="s">
        <v>4</v>
      </c>
      <c r="B1291" s="37" t="s">
        <v>53</v>
      </c>
      <c r="C1291" s="38">
        <v>110000</v>
      </c>
    </row>
    <row r="1292" spans="1:3" x14ac:dyDescent="0.3">
      <c r="A1292" s="37" t="s">
        <v>4</v>
      </c>
      <c r="B1292" s="37" t="s">
        <v>53</v>
      </c>
      <c r="C1292" s="38">
        <v>102150</v>
      </c>
    </row>
    <row r="1293" spans="1:3" x14ac:dyDescent="0.3">
      <c r="A1293" s="37" t="s">
        <v>4</v>
      </c>
      <c r="B1293" s="37" t="s">
        <v>53</v>
      </c>
      <c r="C1293" s="38">
        <v>130000</v>
      </c>
    </row>
    <row r="1294" spans="1:3" x14ac:dyDescent="0.3">
      <c r="A1294" s="37" t="s">
        <v>4</v>
      </c>
      <c r="B1294" s="37" t="s">
        <v>54</v>
      </c>
      <c r="C1294" s="38">
        <v>107500</v>
      </c>
    </row>
    <row r="1295" spans="1:3" x14ac:dyDescent="0.3">
      <c r="A1295" s="37" t="s">
        <v>4</v>
      </c>
      <c r="B1295" s="37" t="s">
        <v>53</v>
      </c>
      <c r="C1295" s="38">
        <v>130000</v>
      </c>
    </row>
    <row r="1296" spans="1:3" x14ac:dyDescent="0.3">
      <c r="A1296" s="37" t="s">
        <v>4</v>
      </c>
      <c r="B1296" s="37" t="s">
        <v>53</v>
      </c>
      <c r="C1296" s="38">
        <v>146000</v>
      </c>
    </row>
    <row r="1297" spans="1:3" x14ac:dyDescent="0.3">
      <c r="A1297" s="37" t="s">
        <v>4</v>
      </c>
      <c r="B1297" s="37" t="s">
        <v>53</v>
      </c>
      <c r="C1297" s="38">
        <v>255000</v>
      </c>
    </row>
    <row r="1298" spans="1:3" x14ac:dyDescent="0.3">
      <c r="A1298" s="37" t="s">
        <v>4</v>
      </c>
      <c r="B1298" s="37" t="s">
        <v>54</v>
      </c>
      <c r="C1298" s="38"/>
    </row>
    <row r="1299" spans="1:3" x14ac:dyDescent="0.3">
      <c r="A1299" s="37" t="s">
        <v>4</v>
      </c>
      <c r="B1299" s="37" t="s">
        <v>53</v>
      </c>
      <c r="C1299" s="38">
        <v>117500</v>
      </c>
    </row>
    <row r="1300" spans="1:3" x14ac:dyDescent="0.3">
      <c r="A1300" s="37" t="s">
        <v>4</v>
      </c>
      <c r="B1300" s="37" t="s">
        <v>81</v>
      </c>
      <c r="C1300" s="38">
        <v>131580</v>
      </c>
    </row>
    <row r="1301" spans="1:3" x14ac:dyDescent="0.3">
      <c r="A1301" s="37" t="s">
        <v>4</v>
      </c>
      <c r="B1301" s="37" t="s">
        <v>53</v>
      </c>
      <c r="C1301" s="38"/>
    </row>
    <row r="1302" spans="1:3" x14ac:dyDescent="0.3">
      <c r="A1302" s="37" t="s">
        <v>4</v>
      </c>
      <c r="B1302" s="37" t="s">
        <v>53</v>
      </c>
      <c r="C1302" s="38"/>
    </row>
    <row r="1303" spans="1:3" x14ac:dyDescent="0.3">
      <c r="A1303" s="37" t="s">
        <v>4</v>
      </c>
      <c r="B1303" s="37" t="s">
        <v>53</v>
      </c>
      <c r="C1303" s="38"/>
    </row>
    <row r="1304" spans="1:3" x14ac:dyDescent="0.3">
      <c r="A1304" s="37" t="s">
        <v>4</v>
      </c>
      <c r="B1304" s="37" t="s">
        <v>53</v>
      </c>
      <c r="C1304" s="38"/>
    </row>
    <row r="1305" spans="1:3" x14ac:dyDescent="0.3">
      <c r="A1305" s="37" t="s">
        <v>4</v>
      </c>
      <c r="B1305" s="37" t="s">
        <v>53</v>
      </c>
      <c r="C1305" s="38">
        <v>130000</v>
      </c>
    </row>
    <row r="1306" spans="1:3" x14ac:dyDescent="0.3">
      <c r="A1306" s="37" t="s">
        <v>4</v>
      </c>
      <c r="B1306" s="37" t="s">
        <v>53</v>
      </c>
      <c r="C1306" s="38">
        <v>127500</v>
      </c>
    </row>
    <row r="1307" spans="1:3" x14ac:dyDescent="0.3">
      <c r="A1307" s="37" t="s">
        <v>4</v>
      </c>
      <c r="B1307" s="37" t="s">
        <v>53</v>
      </c>
      <c r="C1307" s="38">
        <v>207500</v>
      </c>
    </row>
    <row r="1308" spans="1:3" x14ac:dyDescent="0.3">
      <c r="A1308" s="37" t="s">
        <v>4</v>
      </c>
      <c r="B1308" s="37" t="s">
        <v>74</v>
      </c>
      <c r="C1308" s="38">
        <v>45000</v>
      </c>
    </row>
    <row r="1309" spans="1:3" x14ac:dyDescent="0.3">
      <c r="A1309" s="37" t="s">
        <v>4</v>
      </c>
      <c r="B1309" s="37" t="s">
        <v>53</v>
      </c>
      <c r="C1309" s="38"/>
    </row>
    <row r="1310" spans="1:3" x14ac:dyDescent="0.3">
      <c r="A1310" s="37" t="s">
        <v>4</v>
      </c>
      <c r="B1310" s="37" t="s">
        <v>53</v>
      </c>
      <c r="C1310" s="38"/>
    </row>
    <row r="1311" spans="1:3" x14ac:dyDescent="0.3">
      <c r="A1311" s="37" t="s">
        <v>4</v>
      </c>
      <c r="B1311" s="37" t="s">
        <v>88</v>
      </c>
      <c r="C1311" s="38">
        <v>98301.5</v>
      </c>
    </row>
    <row r="1312" spans="1:3" x14ac:dyDescent="0.3">
      <c r="A1312" s="37" t="s">
        <v>4</v>
      </c>
      <c r="B1312" s="37" t="s">
        <v>53</v>
      </c>
      <c r="C1312" s="38"/>
    </row>
    <row r="1313" spans="1:3" x14ac:dyDescent="0.3">
      <c r="A1313" s="37" t="s">
        <v>4</v>
      </c>
      <c r="B1313" s="37" t="s">
        <v>53</v>
      </c>
      <c r="C1313" s="38">
        <v>135000</v>
      </c>
    </row>
    <row r="1314" spans="1:3" x14ac:dyDescent="0.3">
      <c r="A1314" s="37" t="s">
        <v>4</v>
      </c>
      <c r="B1314" s="37" t="s">
        <v>53</v>
      </c>
      <c r="C1314" s="38">
        <v>100000</v>
      </c>
    </row>
    <row r="1315" spans="1:3" x14ac:dyDescent="0.3">
      <c r="A1315" s="37" t="s">
        <v>4</v>
      </c>
      <c r="B1315" s="37" t="s">
        <v>53</v>
      </c>
      <c r="C1315" s="38"/>
    </row>
    <row r="1316" spans="1:3" x14ac:dyDescent="0.3">
      <c r="A1316" s="37" t="s">
        <v>4</v>
      </c>
      <c r="B1316" s="37" t="s">
        <v>53</v>
      </c>
      <c r="C1316" s="38">
        <v>125000</v>
      </c>
    </row>
    <row r="1317" spans="1:3" x14ac:dyDescent="0.3">
      <c r="A1317" s="37" t="s">
        <v>4</v>
      </c>
      <c r="B1317" s="37" t="s">
        <v>53</v>
      </c>
      <c r="C1317" s="38">
        <v>90000</v>
      </c>
    </row>
    <row r="1318" spans="1:3" x14ac:dyDescent="0.3">
      <c r="A1318" s="37" t="s">
        <v>4</v>
      </c>
      <c r="B1318" s="37" t="s">
        <v>53</v>
      </c>
      <c r="C1318" s="38">
        <v>99150</v>
      </c>
    </row>
    <row r="1319" spans="1:3" x14ac:dyDescent="0.3">
      <c r="A1319" s="37" t="s">
        <v>4</v>
      </c>
      <c r="B1319" s="37" t="s">
        <v>53</v>
      </c>
      <c r="C1319" s="38"/>
    </row>
    <row r="1320" spans="1:3" x14ac:dyDescent="0.3">
      <c r="A1320" s="37" t="s">
        <v>4</v>
      </c>
      <c r="B1320" s="37" t="s">
        <v>92</v>
      </c>
      <c r="C1320" s="38">
        <v>98301.5</v>
      </c>
    </row>
    <row r="1321" spans="1:3" x14ac:dyDescent="0.3">
      <c r="A1321" s="37" t="s">
        <v>4</v>
      </c>
      <c r="B1321" s="37" t="s">
        <v>63</v>
      </c>
      <c r="C1321" s="38">
        <v>98283</v>
      </c>
    </row>
    <row r="1322" spans="1:3" x14ac:dyDescent="0.3">
      <c r="A1322" s="37" t="s">
        <v>4</v>
      </c>
      <c r="B1322" s="37" t="s">
        <v>53</v>
      </c>
      <c r="C1322" s="38">
        <v>130000</v>
      </c>
    </row>
    <row r="1323" spans="1:3" x14ac:dyDescent="0.3">
      <c r="A1323" s="37" t="s">
        <v>4</v>
      </c>
      <c r="B1323" s="37" t="s">
        <v>53</v>
      </c>
      <c r="C1323" s="38">
        <v>123600</v>
      </c>
    </row>
    <row r="1324" spans="1:3" x14ac:dyDescent="0.3">
      <c r="A1324" s="37" t="s">
        <v>4</v>
      </c>
      <c r="B1324" s="37" t="s">
        <v>74</v>
      </c>
      <c r="C1324" s="38">
        <v>147500</v>
      </c>
    </row>
    <row r="1325" spans="1:3" x14ac:dyDescent="0.3">
      <c r="A1325" s="37" t="s">
        <v>4</v>
      </c>
      <c r="B1325" s="37" t="s">
        <v>69</v>
      </c>
      <c r="C1325" s="38">
        <v>200000</v>
      </c>
    </row>
    <row r="1326" spans="1:3" x14ac:dyDescent="0.3">
      <c r="A1326" s="37" t="s">
        <v>4</v>
      </c>
      <c r="B1326" s="37" t="s">
        <v>53</v>
      </c>
      <c r="C1326" s="38"/>
    </row>
    <row r="1327" spans="1:3" x14ac:dyDescent="0.3">
      <c r="A1327" s="37" t="s">
        <v>4</v>
      </c>
      <c r="B1327" s="37" t="s">
        <v>53</v>
      </c>
      <c r="C1327" s="38">
        <v>125000</v>
      </c>
    </row>
    <row r="1328" spans="1:3" x14ac:dyDescent="0.3">
      <c r="A1328" s="37" t="s">
        <v>4</v>
      </c>
      <c r="B1328" s="37" t="s">
        <v>70</v>
      </c>
      <c r="C1328" s="38">
        <v>45000</v>
      </c>
    </row>
    <row r="1329" spans="1:3" x14ac:dyDescent="0.3">
      <c r="A1329" s="37" t="s">
        <v>4</v>
      </c>
      <c r="B1329" s="37" t="s">
        <v>86</v>
      </c>
      <c r="C1329" s="38"/>
    </row>
    <row r="1330" spans="1:3" x14ac:dyDescent="0.3">
      <c r="A1330" s="37" t="s">
        <v>4</v>
      </c>
      <c r="B1330" s="37" t="s">
        <v>53</v>
      </c>
      <c r="C1330" s="38"/>
    </row>
    <row r="1331" spans="1:3" x14ac:dyDescent="0.3">
      <c r="A1331" s="37" t="s">
        <v>4</v>
      </c>
      <c r="B1331" s="37" t="s">
        <v>53</v>
      </c>
      <c r="C1331" s="38">
        <v>125000</v>
      </c>
    </row>
    <row r="1332" spans="1:3" x14ac:dyDescent="0.3">
      <c r="A1332" s="37" t="s">
        <v>4</v>
      </c>
      <c r="B1332" s="37" t="s">
        <v>53</v>
      </c>
      <c r="C1332" s="38">
        <v>122500</v>
      </c>
    </row>
    <row r="1333" spans="1:3" x14ac:dyDescent="0.3">
      <c r="A1333" s="37" t="s">
        <v>4</v>
      </c>
      <c r="B1333" s="37" t="s">
        <v>53</v>
      </c>
      <c r="C1333" s="38">
        <v>105000</v>
      </c>
    </row>
    <row r="1334" spans="1:3" x14ac:dyDescent="0.3">
      <c r="A1334" s="37" t="s">
        <v>4</v>
      </c>
      <c r="B1334" s="37" t="s">
        <v>99</v>
      </c>
      <c r="C1334" s="38">
        <v>147500</v>
      </c>
    </row>
    <row r="1335" spans="1:3" x14ac:dyDescent="0.3">
      <c r="A1335" s="37" t="s">
        <v>4</v>
      </c>
      <c r="B1335" s="37" t="s">
        <v>53</v>
      </c>
      <c r="C1335" s="38">
        <v>251000</v>
      </c>
    </row>
    <row r="1336" spans="1:3" x14ac:dyDescent="0.3">
      <c r="A1336" s="37" t="s">
        <v>4</v>
      </c>
      <c r="B1336" s="37" t="s">
        <v>53</v>
      </c>
      <c r="C1336" s="38">
        <v>109500</v>
      </c>
    </row>
    <row r="1337" spans="1:3" x14ac:dyDescent="0.3">
      <c r="A1337" s="37" t="s">
        <v>4</v>
      </c>
      <c r="B1337" s="37" t="s">
        <v>54</v>
      </c>
      <c r="C1337" s="38"/>
    </row>
    <row r="1338" spans="1:3" x14ac:dyDescent="0.3">
      <c r="A1338" s="37" t="s">
        <v>4</v>
      </c>
      <c r="B1338" s="37" t="s">
        <v>98</v>
      </c>
      <c r="C1338" s="38">
        <v>89100</v>
      </c>
    </row>
    <row r="1339" spans="1:3" x14ac:dyDescent="0.3">
      <c r="A1339" s="37" t="s">
        <v>4</v>
      </c>
      <c r="B1339" s="37" t="s">
        <v>53</v>
      </c>
      <c r="C1339" s="38">
        <v>185000</v>
      </c>
    </row>
    <row r="1340" spans="1:3" x14ac:dyDescent="0.3">
      <c r="A1340" s="37" t="s">
        <v>4</v>
      </c>
      <c r="B1340" s="37" t="s">
        <v>53</v>
      </c>
      <c r="C1340" s="38">
        <v>80000</v>
      </c>
    </row>
    <row r="1341" spans="1:3" x14ac:dyDescent="0.3">
      <c r="A1341" s="37" t="s">
        <v>4</v>
      </c>
      <c r="B1341" s="37" t="s">
        <v>53</v>
      </c>
      <c r="C1341" s="38"/>
    </row>
    <row r="1342" spans="1:3" x14ac:dyDescent="0.3">
      <c r="A1342" s="37" t="s">
        <v>4</v>
      </c>
      <c r="B1342" s="37" t="s">
        <v>53</v>
      </c>
      <c r="C1342" s="38">
        <v>230000</v>
      </c>
    </row>
    <row r="1343" spans="1:3" x14ac:dyDescent="0.3">
      <c r="A1343" s="37" t="s">
        <v>4</v>
      </c>
      <c r="B1343" s="37" t="s">
        <v>86</v>
      </c>
      <c r="C1343" s="38">
        <v>147500</v>
      </c>
    </row>
    <row r="1344" spans="1:3" x14ac:dyDescent="0.3">
      <c r="A1344" s="37" t="s">
        <v>4</v>
      </c>
      <c r="B1344" s="37" t="s">
        <v>54</v>
      </c>
      <c r="C1344" s="38"/>
    </row>
    <row r="1345" spans="1:3" x14ac:dyDescent="0.3">
      <c r="A1345" s="37" t="s">
        <v>4</v>
      </c>
      <c r="B1345" s="37" t="s">
        <v>98</v>
      </c>
      <c r="C1345" s="38">
        <v>96773</v>
      </c>
    </row>
    <row r="1346" spans="1:3" x14ac:dyDescent="0.3">
      <c r="A1346" s="37" t="s">
        <v>4</v>
      </c>
      <c r="B1346" s="37" t="s">
        <v>53</v>
      </c>
      <c r="C1346" s="38">
        <v>180000</v>
      </c>
    </row>
    <row r="1347" spans="1:3" x14ac:dyDescent="0.3">
      <c r="A1347" s="37" t="s">
        <v>4</v>
      </c>
      <c r="B1347" s="37" t="s">
        <v>54</v>
      </c>
      <c r="C1347" s="38">
        <v>165000</v>
      </c>
    </row>
    <row r="1348" spans="1:3" x14ac:dyDescent="0.3">
      <c r="A1348" s="37" t="s">
        <v>4</v>
      </c>
      <c r="B1348" s="37" t="s">
        <v>113</v>
      </c>
      <c r="C1348" s="38">
        <v>98283</v>
      </c>
    </row>
    <row r="1349" spans="1:3" x14ac:dyDescent="0.3">
      <c r="A1349" s="37" t="s">
        <v>4</v>
      </c>
      <c r="B1349" s="37" t="s">
        <v>53</v>
      </c>
      <c r="C1349" s="38">
        <v>114500</v>
      </c>
    </row>
    <row r="1350" spans="1:3" x14ac:dyDescent="0.3">
      <c r="A1350" s="37" t="s">
        <v>4</v>
      </c>
      <c r="B1350" s="37" t="s">
        <v>53</v>
      </c>
      <c r="C1350" s="38">
        <v>145000</v>
      </c>
    </row>
    <row r="1351" spans="1:3" x14ac:dyDescent="0.3">
      <c r="A1351" s="37" t="s">
        <v>4</v>
      </c>
      <c r="B1351" s="37" t="s">
        <v>81</v>
      </c>
      <c r="C1351" s="38">
        <v>90000</v>
      </c>
    </row>
    <row r="1352" spans="1:3" x14ac:dyDescent="0.3">
      <c r="A1352" s="37" t="s">
        <v>4</v>
      </c>
      <c r="B1352" s="37" t="s">
        <v>53</v>
      </c>
      <c r="C1352" s="38">
        <v>130000</v>
      </c>
    </row>
    <row r="1353" spans="1:3" x14ac:dyDescent="0.3">
      <c r="A1353" s="37" t="s">
        <v>4</v>
      </c>
      <c r="B1353" s="37" t="s">
        <v>53</v>
      </c>
      <c r="C1353" s="38"/>
    </row>
    <row r="1354" spans="1:3" x14ac:dyDescent="0.3">
      <c r="A1354" s="37" t="s">
        <v>4</v>
      </c>
      <c r="B1354" s="37" t="s">
        <v>53</v>
      </c>
      <c r="C1354" s="38">
        <v>215000</v>
      </c>
    </row>
    <row r="1355" spans="1:3" x14ac:dyDescent="0.3">
      <c r="A1355" s="37" t="s">
        <v>4</v>
      </c>
      <c r="B1355" s="37" t="s">
        <v>53</v>
      </c>
      <c r="C1355" s="38">
        <v>119523</v>
      </c>
    </row>
    <row r="1356" spans="1:3" x14ac:dyDescent="0.3">
      <c r="A1356" s="37" t="s">
        <v>4</v>
      </c>
      <c r="B1356" s="37" t="s">
        <v>54</v>
      </c>
      <c r="C1356" s="38">
        <v>133000</v>
      </c>
    </row>
    <row r="1357" spans="1:3" x14ac:dyDescent="0.3">
      <c r="A1357" s="37" t="s">
        <v>4</v>
      </c>
      <c r="B1357" s="37" t="s">
        <v>53</v>
      </c>
      <c r="C1357" s="38">
        <v>145000</v>
      </c>
    </row>
    <row r="1358" spans="1:3" x14ac:dyDescent="0.3">
      <c r="A1358" s="37" t="s">
        <v>4</v>
      </c>
      <c r="B1358" s="37" t="s">
        <v>53</v>
      </c>
      <c r="C1358" s="38">
        <v>110144.390625</v>
      </c>
    </row>
    <row r="1359" spans="1:3" x14ac:dyDescent="0.3">
      <c r="A1359" s="37" t="s">
        <v>4</v>
      </c>
      <c r="B1359" s="37" t="s">
        <v>97</v>
      </c>
      <c r="C1359" s="38">
        <v>98301.5</v>
      </c>
    </row>
    <row r="1360" spans="1:3" x14ac:dyDescent="0.3">
      <c r="A1360" s="37" t="s">
        <v>4</v>
      </c>
      <c r="B1360" s="37" t="s">
        <v>114</v>
      </c>
      <c r="C1360" s="38">
        <v>93600</v>
      </c>
    </row>
    <row r="1361" spans="1:3" x14ac:dyDescent="0.3">
      <c r="A1361" s="37" t="s">
        <v>4</v>
      </c>
      <c r="B1361" s="37" t="s">
        <v>53</v>
      </c>
      <c r="C1361" s="38">
        <v>192500</v>
      </c>
    </row>
    <row r="1362" spans="1:3" x14ac:dyDescent="0.3">
      <c r="A1362" s="37" t="s">
        <v>4</v>
      </c>
      <c r="B1362" s="37" t="s">
        <v>53</v>
      </c>
      <c r="C1362" s="38">
        <v>96500</v>
      </c>
    </row>
    <row r="1363" spans="1:3" x14ac:dyDescent="0.3">
      <c r="A1363" s="37" t="s">
        <v>4</v>
      </c>
      <c r="B1363" s="37" t="s">
        <v>53</v>
      </c>
      <c r="C1363" s="38">
        <v>110000</v>
      </c>
    </row>
    <row r="1364" spans="1:3" x14ac:dyDescent="0.3">
      <c r="A1364" s="37" t="s">
        <v>4</v>
      </c>
      <c r="B1364" s="37" t="s">
        <v>111</v>
      </c>
      <c r="C1364" s="38">
        <v>147500</v>
      </c>
    </row>
    <row r="1365" spans="1:3" x14ac:dyDescent="0.3">
      <c r="A1365" s="37" t="s">
        <v>4</v>
      </c>
      <c r="B1365" s="37" t="s">
        <v>53</v>
      </c>
      <c r="C1365" s="38"/>
    </row>
    <row r="1366" spans="1:3" x14ac:dyDescent="0.3">
      <c r="A1366" s="37" t="s">
        <v>4</v>
      </c>
      <c r="B1366" s="37" t="s">
        <v>86</v>
      </c>
      <c r="C1366" s="38">
        <v>98283</v>
      </c>
    </row>
    <row r="1367" spans="1:3" x14ac:dyDescent="0.3">
      <c r="A1367" s="37" t="s">
        <v>4</v>
      </c>
      <c r="B1367" s="37" t="s">
        <v>53</v>
      </c>
      <c r="C1367" s="38">
        <v>152500</v>
      </c>
    </row>
    <row r="1368" spans="1:3" x14ac:dyDescent="0.3">
      <c r="A1368" s="37" t="s">
        <v>4</v>
      </c>
      <c r="B1368" s="37" t="s">
        <v>53</v>
      </c>
      <c r="C1368" s="38"/>
    </row>
    <row r="1369" spans="1:3" x14ac:dyDescent="0.3">
      <c r="A1369" s="37" t="s">
        <v>4</v>
      </c>
      <c r="B1369" s="37" t="s">
        <v>53</v>
      </c>
      <c r="C1369" s="38">
        <v>190950</v>
      </c>
    </row>
    <row r="1370" spans="1:3" x14ac:dyDescent="0.3">
      <c r="A1370" s="37" t="s">
        <v>4</v>
      </c>
      <c r="B1370" s="37" t="s">
        <v>53</v>
      </c>
      <c r="C1370" s="38">
        <v>150000</v>
      </c>
    </row>
    <row r="1371" spans="1:3" x14ac:dyDescent="0.3">
      <c r="A1371" s="37" t="s">
        <v>4</v>
      </c>
      <c r="B1371" s="37" t="s">
        <v>115</v>
      </c>
      <c r="C1371" s="38">
        <v>50500</v>
      </c>
    </row>
    <row r="1372" spans="1:3" x14ac:dyDescent="0.3">
      <c r="A1372" s="37" t="s">
        <v>4</v>
      </c>
      <c r="B1372" s="37" t="s">
        <v>53</v>
      </c>
      <c r="C1372" s="38">
        <v>99150</v>
      </c>
    </row>
    <row r="1373" spans="1:3" x14ac:dyDescent="0.3">
      <c r="A1373" s="37" t="s">
        <v>4</v>
      </c>
      <c r="B1373" s="37" t="s">
        <v>98</v>
      </c>
      <c r="C1373" s="38">
        <v>96773</v>
      </c>
    </row>
    <row r="1374" spans="1:3" x14ac:dyDescent="0.3">
      <c r="A1374" s="37" t="s">
        <v>4</v>
      </c>
      <c r="B1374" s="37" t="s">
        <v>53</v>
      </c>
      <c r="C1374" s="38">
        <v>184500</v>
      </c>
    </row>
    <row r="1375" spans="1:3" x14ac:dyDescent="0.3">
      <c r="A1375" s="37" t="s">
        <v>4</v>
      </c>
      <c r="B1375" s="37" t="s">
        <v>97</v>
      </c>
      <c r="C1375" s="38">
        <v>131580</v>
      </c>
    </row>
    <row r="1376" spans="1:3" x14ac:dyDescent="0.3">
      <c r="A1376" s="37" t="s">
        <v>4</v>
      </c>
      <c r="B1376" s="37" t="s">
        <v>53</v>
      </c>
      <c r="C1376" s="38">
        <v>136125</v>
      </c>
    </row>
    <row r="1377" spans="1:3" x14ac:dyDescent="0.3">
      <c r="A1377" s="37" t="s">
        <v>4</v>
      </c>
      <c r="B1377" s="37" t="s">
        <v>53</v>
      </c>
      <c r="C1377" s="38">
        <v>172475.5</v>
      </c>
    </row>
    <row r="1378" spans="1:3" x14ac:dyDescent="0.3">
      <c r="A1378" s="37" t="s">
        <v>4</v>
      </c>
      <c r="B1378" s="37" t="s">
        <v>110</v>
      </c>
      <c r="C1378" s="38">
        <v>131580</v>
      </c>
    </row>
    <row r="1379" spans="1:3" x14ac:dyDescent="0.3">
      <c r="A1379" s="37" t="s">
        <v>4</v>
      </c>
      <c r="B1379" s="37" t="s">
        <v>53</v>
      </c>
      <c r="C1379" s="38"/>
    </row>
    <row r="1380" spans="1:3" x14ac:dyDescent="0.3">
      <c r="A1380" s="37" t="s">
        <v>4</v>
      </c>
      <c r="B1380" s="37" t="s">
        <v>53</v>
      </c>
      <c r="C1380" s="38">
        <v>140000</v>
      </c>
    </row>
    <row r="1381" spans="1:3" x14ac:dyDescent="0.3">
      <c r="A1381" s="37" t="s">
        <v>4</v>
      </c>
      <c r="B1381" s="37" t="s">
        <v>93</v>
      </c>
      <c r="C1381" s="38">
        <v>98283</v>
      </c>
    </row>
    <row r="1382" spans="1:3" x14ac:dyDescent="0.3">
      <c r="A1382" s="37" t="s">
        <v>4</v>
      </c>
      <c r="B1382" s="37" t="s">
        <v>91</v>
      </c>
      <c r="C1382" s="38">
        <v>147500</v>
      </c>
    </row>
    <row r="1383" spans="1:3" x14ac:dyDescent="0.3">
      <c r="A1383" s="37" t="s">
        <v>4</v>
      </c>
      <c r="B1383" s="37" t="s">
        <v>54</v>
      </c>
      <c r="C1383" s="38">
        <v>115000</v>
      </c>
    </row>
    <row r="1384" spans="1:3" x14ac:dyDescent="0.3">
      <c r="A1384" s="37" t="s">
        <v>4</v>
      </c>
      <c r="B1384" s="37" t="s">
        <v>53</v>
      </c>
      <c r="C1384" s="38"/>
    </row>
    <row r="1385" spans="1:3" x14ac:dyDescent="0.3">
      <c r="A1385" s="37" t="s">
        <v>4</v>
      </c>
      <c r="B1385" s="37" t="s">
        <v>53</v>
      </c>
      <c r="C1385" s="38">
        <v>135000</v>
      </c>
    </row>
    <row r="1386" spans="1:3" x14ac:dyDescent="0.3">
      <c r="A1386" s="37" t="s">
        <v>4</v>
      </c>
      <c r="B1386" s="37" t="s">
        <v>53</v>
      </c>
      <c r="C1386" s="38"/>
    </row>
    <row r="1387" spans="1:3" x14ac:dyDescent="0.3">
      <c r="A1387" s="37" t="s">
        <v>4</v>
      </c>
      <c r="B1387" s="37" t="s">
        <v>53</v>
      </c>
      <c r="C1387" s="38">
        <v>105000</v>
      </c>
    </row>
    <row r="1388" spans="1:3" x14ac:dyDescent="0.3">
      <c r="A1388" s="37" t="s">
        <v>4</v>
      </c>
      <c r="B1388" s="37" t="s">
        <v>54</v>
      </c>
      <c r="C1388" s="38">
        <v>177500</v>
      </c>
    </row>
    <row r="1389" spans="1:3" x14ac:dyDescent="0.3">
      <c r="A1389" s="37" t="s">
        <v>4</v>
      </c>
      <c r="B1389" s="37" t="s">
        <v>81</v>
      </c>
      <c r="C1389" s="38">
        <v>110000</v>
      </c>
    </row>
    <row r="1390" spans="1:3" x14ac:dyDescent="0.3">
      <c r="A1390" s="37" t="s">
        <v>4</v>
      </c>
      <c r="B1390" s="37" t="s">
        <v>70</v>
      </c>
      <c r="C1390" s="38">
        <v>98283</v>
      </c>
    </row>
    <row r="1391" spans="1:3" x14ac:dyDescent="0.3">
      <c r="A1391" s="37" t="s">
        <v>4</v>
      </c>
      <c r="B1391" s="37" t="s">
        <v>81</v>
      </c>
      <c r="C1391" s="38">
        <v>90000</v>
      </c>
    </row>
    <row r="1392" spans="1:3" x14ac:dyDescent="0.3">
      <c r="A1392" s="37" t="s">
        <v>4</v>
      </c>
      <c r="B1392" s="37" t="s">
        <v>72</v>
      </c>
      <c r="C1392" s="38">
        <v>131580</v>
      </c>
    </row>
    <row r="1393" spans="1:3" x14ac:dyDescent="0.3">
      <c r="A1393" s="37" t="s">
        <v>4</v>
      </c>
      <c r="B1393" s="37" t="s">
        <v>53</v>
      </c>
      <c r="C1393" s="38">
        <v>152650</v>
      </c>
    </row>
    <row r="1394" spans="1:3" x14ac:dyDescent="0.3">
      <c r="A1394" s="37" t="s">
        <v>4</v>
      </c>
      <c r="B1394" s="37" t="s">
        <v>53</v>
      </c>
      <c r="C1394" s="38"/>
    </row>
    <row r="1395" spans="1:3" x14ac:dyDescent="0.3">
      <c r="A1395" s="37" t="s">
        <v>4</v>
      </c>
      <c r="B1395" s="37" t="s">
        <v>53</v>
      </c>
      <c r="C1395" s="38"/>
    </row>
    <row r="1396" spans="1:3" x14ac:dyDescent="0.3">
      <c r="A1396" s="37" t="s">
        <v>4</v>
      </c>
      <c r="B1396" s="37" t="s">
        <v>53</v>
      </c>
      <c r="C1396" s="38">
        <v>140000</v>
      </c>
    </row>
    <row r="1397" spans="1:3" x14ac:dyDescent="0.3">
      <c r="A1397" s="37" t="s">
        <v>4</v>
      </c>
      <c r="B1397" s="37" t="s">
        <v>54</v>
      </c>
      <c r="C1397" s="38">
        <v>90000</v>
      </c>
    </row>
    <row r="1398" spans="1:3" x14ac:dyDescent="0.3">
      <c r="A1398" s="37" t="s">
        <v>4</v>
      </c>
      <c r="B1398" s="37" t="s">
        <v>53</v>
      </c>
      <c r="C1398" s="38"/>
    </row>
    <row r="1399" spans="1:3" x14ac:dyDescent="0.3">
      <c r="A1399" s="37" t="s">
        <v>4</v>
      </c>
      <c r="B1399" s="37" t="s">
        <v>53</v>
      </c>
      <c r="C1399" s="38"/>
    </row>
    <row r="1400" spans="1:3" x14ac:dyDescent="0.3">
      <c r="A1400" s="37" t="s">
        <v>4</v>
      </c>
      <c r="B1400" s="37" t="s">
        <v>53</v>
      </c>
      <c r="C1400" s="38">
        <v>125000</v>
      </c>
    </row>
    <row r="1401" spans="1:3" x14ac:dyDescent="0.3">
      <c r="A1401" s="37" t="s">
        <v>4</v>
      </c>
      <c r="B1401" s="37" t="s">
        <v>116</v>
      </c>
      <c r="C1401" s="38">
        <v>96760.5</v>
      </c>
    </row>
    <row r="1402" spans="1:3" x14ac:dyDescent="0.3">
      <c r="A1402" s="37" t="s">
        <v>4</v>
      </c>
      <c r="B1402" s="37" t="s">
        <v>53</v>
      </c>
      <c r="C1402" s="38"/>
    </row>
    <row r="1403" spans="1:3" x14ac:dyDescent="0.3">
      <c r="A1403" s="37" t="s">
        <v>4</v>
      </c>
      <c r="B1403" s="37" t="s">
        <v>81</v>
      </c>
      <c r="C1403" s="38">
        <v>90000</v>
      </c>
    </row>
    <row r="1404" spans="1:3" x14ac:dyDescent="0.3">
      <c r="A1404" s="37" t="s">
        <v>4</v>
      </c>
      <c r="B1404" s="37" t="s">
        <v>53</v>
      </c>
      <c r="C1404" s="38"/>
    </row>
    <row r="1405" spans="1:3" x14ac:dyDescent="0.3">
      <c r="A1405" s="37" t="s">
        <v>4</v>
      </c>
      <c r="B1405" s="37" t="s">
        <v>81</v>
      </c>
      <c r="C1405" s="38">
        <v>125000</v>
      </c>
    </row>
    <row r="1406" spans="1:3" x14ac:dyDescent="0.3">
      <c r="A1406" s="37" t="s">
        <v>4</v>
      </c>
      <c r="B1406" s="37" t="s">
        <v>53</v>
      </c>
      <c r="C1406" s="38">
        <v>208114</v>
      </c>
    </row>
    <row r="1407" spans="1:3" x14ac:dyDescent="0.3">
      <c r="A1407" s="37" t="s">
        <v>4</v>
      </c>
      <c r="B1407" s="37" t="s">
        <v>53</v>
      </c>
      <c r="C1407" s="38">
        <v>150000</v>
      </c>
    </row>
    <row r="1408" spans="1:3" x14ac:dyDescent="0.3">
      <c r="A1408" s="37" t="s">
        <v>4</v>
      </c>
      <c r="B1408" s="37" t="s">
        <v>68</v>
      </c>
      <c r="C1408" s="38"/>
    </row>
    <row r="1409" spans="1:3" x14ac:dyDescent="0.3">
      <c r="A1409" s="37" t="s">
        <v>4</v>
      </c>
      <c r="B1409" s="37" t="s">
        <v>69</v>
      </c>
      <c r="C1409" s="38">
        <v>98283</v>
      </c>
    </row>
    <row r="1410" spans="1:3" x14ac:dyDescent="0.3">
      <c r="A1410" s="37" t="s">
        <v>4</v>
      </c>
      <c r="B1410" s="37" t="s">
        <v>117</v>
      </c>
      <c r="C1410" s="38">
        <v>235000</v>
      </c>
    </row>
    <row r="1411" spans="1:3" x14ac:dyDescent="0.3">
      <c r="A1411" s="37" t="s">
        <v>4</v>
      </c>
      <c r="B1411" s="37" t="s">
        <v>81</v>
      </c>
      <c r="C1411" s="38">
        <v>90000</v>
      </c>
    </row>
    <row r="1412" spans="1:3" x14ac:dyDescent="0.3">
      <c r="A1412" s="37" t="s">
        <v>4</v>
      </c>
      <c r="B1412" s="37" t="s">
        <v>53</v>
      </c>
      <c r="C1412" s="38">
        <v>125000</v>
      </c>
    </row>
    <row r="1413" spans="1:3" x14ac:dyDescent="0.3">
      <c r="A1413" s="37" t="s">
        <v>4</v>
      </c>
      <c r="B1413" s="37" t="s">
        <v>53</v>
      </c>
      <c r="C1413" s="38">
        <v>115000</v>
      </c>
    </row>
    <row r="1414" spans="1:3" x14ac:dyDescent="0.3">
      <c r="A1414" s="37" t="s">
        <v>4</v>
      </c>
      <c r="B1414" s="37" t="s">
        <v>118</v>
      </c>
      <c r="C1414" s="38">
        <v>147500</v>
      </c>
    </row>
    <row r="1415" spans="1:3" x14ac:dyDescent="0.3">
      <c r="A1415" s="37" t="s">
        <v>4</v>
      </c>
      <c r="B1415" s="37" t="s">
        <v>116</v>
      </c>
      <c r="C1415" s="38">
        <v>133000</v>
      </c>
    </row>
    <row r="1416" spans="1:3" x14ac:dyDescent="0.3">
      <c r="A1416" s="37" t="s">
        <v>4</v>
      </c>
      <c r="B1416" s="37" t="s">
        <v>53</v>
      </c>
      <c r="C1416" s="38"/>
    </row>
    <row r="1417" spans="1:3" x14ac:dyDescent="0.3">
      <c r="A1417" s="37" t="s">
        <v>4</v>
      </c>
      <c r="B1417" s="37" t="s">
        <v>53</v>
      </c>
      <c r="C1417" s="38"/>
    </row>
    <row r="1418" spans="1:3" x14ac:dyDescent="0.3">
      <c r="A1418" s="37" t="s">
        <v>4</v>
      </c>
      <c r="B1418" s="37" t="s">
        <v>81</v>
      </c>
      <c r="C1418" s="38">
        <v>99150</v>
      </c>
    </row>
    <row r="1419" spans="1:3" x14ac:dyDescent="0.3">
      <c r="A1419" s="37" t="s">
        <v>4</v>
      </c>
      <c r="B1419" s="37" t="s">
        <v>53</v>
      </c>
      <c r="C1419" s="38">
        <v>150000</v>
      </c>
    </row>
    <row r="1420" spans="1:3" x14ac:dyDescent="0.3">
      <c r="A1420" s="37" t="s">
        <v>4</v>
      </c>
      <c r="B1420" s="37" t="s">
        <v>97</v>
      </c>
      <c r="C1420" s="38">
        <v>98301.5</v>
      </c>
    </row>
    <row r="1421" spans="1:3" x14ac:dyDescent="0.3">
      <c r="A1421" s="37" t="s">
        <v>4</v>
      </c>
      <c r="B1421" s="37" t="s">
        <v>53</v>
      </c>
      <c r="C1421" s="38">
        <v>147500</v>
      </c>
    </row>
    <row r="1422" spans="1:3" x14ac:dyDescent="0.3">
      <c r="A1422" s="37" t="s">
        <v>4</v>
      </c>
      <c r="B1422" s="37" t="s">
        <v>53</v>
      </c>
      <c r="C1422" s="38"/>
    </row>
    <row r="1423" spans="1:3" x14ac:dyDescent="0.3">
      <c r="A1423" s="37" t="s">
        <v>4</v>
      </c>
      <c r="B1423" s="37" t="s">
        <v>73</v>
      </c>
      <c r="C1423" s="38">
        <v>147500</v>
      </c>
    </row>
    <row r="1424" spans="1:3" x14ac:dyDescent="0.3">
      <c r="A1424" s="37" t="s">
        <v>4</v>
      </c>
      <c r="B1424" s="37" t="s">
        <v>73</v>
      </c>
      <c r="C1424" s="38">
        <v>133000</v>
      </c>
    </row>
    <row r="1425" spans="1:3" x14ac:dyDescent="0.3">
      <c r="A1425" s="37" t="s">
        <v>4</v>
      </c>
      <c r="B1425" s="37" t="s">
        <v>53</v>
      </c>
      <c r="C1425" s="38">
        <v>115000</v>
      </c>
    </row>
    <row r="1426" spans="1:3" x14ac:dyDescent="0.3">
      <c r="A1426" s="37" t="s">
        <v>4</v>
      </c>
      <c r="B1426" s="37" t="s">
        <v>53</v>
      </c>
      <c r="C1426" s="38">
        <v>90000</v>
      </c>
    </row>
    <row r="1427" spans="1:3" x14ac:dyDescent="0.3">
      <c r="A1427" s="37" t="s">
        <v>4</v>
      </c>
      <c r="B1427" s="37" t="s">
        <v>81</v>
      </c>
      <c r="C1427" s="38">
        <v>90000</v>
      </c>
    </row>
    <row r="1428" spans="1:3" x14ac:dyDescent="0.3">
      <c r="A1428" s="37" t="s">
        <v>4</v>
      </c>
      <c r="B1428" s="37" t="s">
        <v>113</v>
      </c>
      <c r="C1428" s="38">
        <v>131580</v>
      </c>
    </row>
    <row r="1429" spans="1:3" x14ac:dyDescent="0.3">
      <c r="A1429" s="37" t="s">
        <v>4</v>
      </c>
      <c r="B1429" s="37" t="s">
        <v>81</v>
      </c>
      <c r="C1429" s="38">
        <v>90000</v>
      </c>
    </row>
    <row r="1430" spans="1:3" x14ac:dyDescent="0.3">
      <c r="A1430" s="37" t="s">
        <v>4</v>
      </c>
      <c r="B1430" s="37" t="s">
        <v>53</v>
      </c>
      <c r="C1430" s="38">
        <v>175000</v>
      </c>
    </row>
    <row r="1431" spans="1:3" x14ac:dyDescent="0.3">
      <c r="A1431" s="37" t="s">
        <v>4</v>
      </c>
      <c r="B1431" s="37" t="s">
        <v>53</v>
      </c>
      <c r="C1431" s="38">
        <v>269500</v>
      </c>
    </row>
    <row r="1432" spans="1:3" x14ac:dyDescent="0.3">
      <c r="A1432" s="37" t="s">
        <v>4</v>
      </c>
      <c r="B1432" s="37" t="s">
        <v>53</v>
      </c>
      <c r="C1432" s="38"/>
    </row>
    <row r="1433" spans="1:3" x14ac:dyDescent="0.3">
      <c r="A1433" s="37" t="s">
        <v>4</v>
      </c>
      <c r="B1433" s="37" t="s">
        <v>69</v>
      </c>
      <c r="C1433" s="38">
        <v>98283</v>
      </c>
    </row>
    <row r="1434" spans="1:3" x14ac:dyDescent="0.3">
      <c r="A1434" s="37" t="s">
        <v>4</v>
      </c>
      <c r="B1434" s="37" t="s">
        <v>86</v>
      </c>
      <c r="C1434" s="38">
        <v>147500</v>
      </c>
    </row>
    <row r="1435" spans="1:3" x14ac:dyDescent="0.3">
      <c r="A1435" s="37" t="s">
        <v>4</v>
      </c>
      <c r="B1435" s="37" t="s">
        <v>53</v>
      </c>
      <c r="C1435" s="38"/>
    </row>
    <row r="1436" spans="1:3" x14ac:dyDescent="0.3">
      <c r="A1436" s="37" t="s">
        <v>4</v>
      </c>
      <c r="B1436" s="37" t="s">
        <v>97</v>
      </c>
      <c r="C1436" s="38">
        <v>89100</v>
      </c>
    </row>
    <row r="1437" spans="1:3" x14ac:dyDescent="0.3">
      <c r="A1437" s="37" t="s">
        <v>4</v>
      </c>
      <c r="B1437" s="37" t="s">
        <v>53</v>
      </c>
      <c r="C1437" s="38">
        <v>125000</v>
      </c>
    </row>
    <row r="1438" spans="1:3" x14ac:dyDescent="0.3">
      <c r="A1438" s="37" t="s">
        <v>4</v>
      </c>
      <c r="B1438" s="37" t="s">
        <v>53</v>
      </c>
      <c r="C1438" s="38"/>
    </row>
    <row r="1439" spans="1:3" x14ac:dyDescent="0.3">
      <c r="A1439" s="37" t="s">
        <v>4</v>
      </c>
      <c r="B1439" s="37" t="s">
        <v>54</v>
      </c>
      <c r="C1439" s="38">
        <v>175000</v>
      </c>
    </row>
    <row r="1440" spans="1:3" x14ac:dyDescent="0.3">
      <c r="A1440" s="37" t="s">
        <v>4</v>
      </c>
      <c r="B1440" s="37" t="s">
        <v>71</v>
      </c>
      <c r="C1440" s="38">
        <v>79200</v>
      </c>
    </row>
    <row r="1441" spans="1:3" x14ac:dyDescent="0.3">
      <c r="A1441" s="37" t="s">
        <v>4</v>
      </c>
      <c r="B1441" s="37" t="s">
        <v>119</v>
      </c>
      <c r="C1441" s="38">
        <v>147500</v>
      </c>
    </row>
    <row r="1442" spans="1:3" x14ac:dyDescent="0.3">
      <c r="A1442" s="37" t="s">
        <v>4</v>
      </c>
      <c r="B1442" s="37" t="s">
        <v>97</v>
      </c>
      <c r="C1442" s="38">
        <v>147500</v>
      </c>
    </row>
    <row r="1443" spans="1:3" x14ac:dyDescent="0.3">
      <c r="A1443" s="37" t="s">
        <v>4</v>
      </c>
      <c r="B1443" s="37" t="s">
        <v>53</v>
      </c>
      <c r="C1443" s="38">
        <v>325000</v>
      </c>
    </row>
    <row r="1444" spans="1:3" x14ac:dyDescent="0.3">
      <c r="A1444" s="37" t="s">
        <v>4</v>
      </c>
      <c r="B1444" s="37" t="s">
        <v>53</v>
      </c>
      <c r="C1444" s="38"/>
    </row>
    <row r="1445" spans="1:3" x14ac:dyDescent="0.3">
      <c r="A1445" s="37" t="s">
        <v>4</v>
      </c>
      <c r="B1445" s="37" t="s">
        <v>53</v>
      </c>
      <c r="C1445" s="38">
        <v>90000</v>
      </c>
    </row>
    <row r="1446" spans="1:3" x14ac:dyDescent="0.3">
      <c r="A1446" s="37" t="s">
        <v>4</v>
      </c>
      <c r="B1446" s="37" t="s">
        <v>53</v>
      </c>
      <c r="C1446" s="38">
        <v>125000</v>
      </c>
    </row>
    <row r="1447" spans="1:3" x14ac:dyDescent="0.3">
      <c r="A1447" s="37" t="s">
        <v>4</v>
      </c>
      <c r="B1447" s="37" t="s">
        <v>53</v>
      </c>
      <c r="C1447" s="38">
        <v>137610</v>
      </c>
    </row>
    <row r="1448" spans="1:3" x14ac:dyDescent="0.3">
      <c r="A1448" s="37" t="s">
        <v>4</v>
      </c>
      <c r="B1448" s="37" t="s">
        <v>56</v>
      </c>
      <c r="C1448" s="38">
        <v>98283</v>
      </c>
    </row>
    <row r="1449" spans="1:3" x14ac:dyDescent="0.3">
      <c r="A1449" s="37" t="s">
        <v>4</v>
      </c>
      <c r="B1449" s="37" t="s">
        <v>53</v>
      </c>
      <c r="C1449" s="38">
        <v>101001.5</v>
      </c>
    </row>
    <row r="1450" spans="1:3" x14ac:dyDescent="0.3">
      <c r="A1450" s="37" t="s">
        <v>4</v>
      </c>
      <c r="B1450" s="37" t="s">
        <v>53</v>
      </c>
      <c r="C1450" s="38"/>
    </row>
    <row r="1451" spans="1:3" x14ac:dyDescent="0.3">
      <c r="A1451" s="37" t="s">
        <v>4</v>
      </c>
      <c r="B1451" s="37" t="s">
        <v>53</v>
      </c>
      <c r="C1451" s="38">
        <v>209500</v>
      </c>
    </row>
    <row r="1452" spans="1:3" x14ac:dyDescent="0.3">
      <c r="A1452" s="37" t="s">
        <v>4</v>
      </c>
      <c r="B1452" s="37" t="s">
        <v>107</v>
      </c>
      <c r="C1452" s="38">
        <v>89100</v>
      </c>
    </row>
    <row r="1453" spans="1:3" x14ac:dyDescent="0.3">
      <c r="A1453" s="37" t="s">
        <v>4</v>
      </c>
      <c r="B1453" s="37" t="s">
        <v>53</v>
      </c>
      <c r="C1453" s="38">
        <v>105000</v>
      </c>
    </row>
    <row r="1454" spans="1:3" x14ac:dyDescent="0.3">
      <c r="A1454" s="37" t="s">
        <v>4</v>
      </c>
      <c r="B1454" s="37" t="s">
        <v>110</v>
      </c>
      <c r="C1454" s="38">
        <v>133000</v>
      </c>
    </row>
    <row r="1455" spans="1:3" x14ac:dyDescent="0.3">
      <c r="A1455" s="37" t="s">
        <v>4</v>
      </c>
      <c r="B1455" s="37" t="s">
        <v>53</v>
      </c>
      <c r="C1455" s="38">
        <v>165000</v>
      </c>
    </row>
    <row r="1456" spans="1:3" x14ac:dyDescent="0.3">
      <c r="A1456" s="37" t="s">
        <v>4</v>
      </c>
      <c r="B1456" s="37" t="s">
        <v>53</v>
      </c>
      <c r="C1456" s="38">
        <v>97500</v>
      </c>
    </row>
    <row r="1457" spans="1:3" x14ac:dyDescent="0.3">
      <c r="A1457" s="37" t="s">
        <v>4</v>
      </c>
      <c r="B1457" s="37" t="s">
        <v>54</v>
      </c>
      <c r="C1457" s="38">
        <v>112500</v>
      </c>
    </row>
    <row r="1458" spans="1:3" x14ac:dyDescent="0.3">
      <c r="A1458" s="37" t="s">
        <v>4</v>
      </c>
      <c r="B1458" s="37" t="s">
        <v>88</v>
      </c>
      <c r="C1458" s="38">
        <v>147500</v>
      </c>
    </row>
    <row r="1459" spans="1:3" x14ac:dyDescent="0.3">
      <c r="A1459" s="37" t="s">
        <v>4</v>
      </c>
      <c r="B1459" s="37" t="s">
        <v>53</v>
      </c>
      <c r="C1459" s="38">
        <v>135000</v>
      </c>
    </row>
    <row r="1460" spans="1:3" x14ac:dyDescent="0.3">
      <c r="A1460" s="37" t="s">
        <v>4</v>
      </c>
      <c r="B1460" s="37" t="s">
        <v>63</v>
      </c>
      <c r="C1460" s="38">
        <v>50400</v>
      </c>
    </row>
    <row r="1461" spans="1:3" x14ac:dyDescent="0.3">
      <c r="A1461" s="37" t="s">
        <v>4</v>
      </c>
      <c r="B1461" s="37" t="s">
        <v>53</v>
      </c>
      <c r="C1461" s="38"/>
    </row>
    <row r="1462" spans="1:3" x14ac:dyDescent="0.3">
      <c r="A1462" s="37" t="s">
        <v>4</v>
      </c>
      <c r="B1462" s="37" t="s">
        <v>53</v>
      </c>
      <c r="C1462" s="38">
        <v>300000</v>
      </c>
    </row>
    <row r="1463" spans="1:3" x14ac:dyDescent="0.3">
      <c r="A1463" s="37" t="s">
        <v>4</v>
      </c>
      <c r="B1463" s="37" t="s">
        <v>68</v>
      </c>
      <c r="C1463" s="38">
        <v>98301.5</v>
      </c>
    </row>
    <row r="1464" spans="1:3" x14ac:dyDescent="0.3">
      <c r="A1464" s="37" t="s">
        <v>4</v>
      </c>
      <c r="B1464" s="37" t="s">
        <v>88</v>
      </c>
      <c r="C1464" s="38">
        <v>147500</v>
      </c>
    </row>
    <row r="1465" spans="1:3" x14ac:dyDescent="0.3">
      <c r="A1465" s="37" t="s">
        <v>4</v>
      </c>
      <c r="B1465" s="37" t="s">
        <v>120</v>
      </c>
      <c r="C1465" s="38">
        <v>56700</v>
      </c>
    </row>
    <row r="1466" spans="1:3" x14ac:dyDescent="0.3">
      <c r="A1466" s="37" t="s">
        <v>4</v>
      </c>
      <c r="B1466" s="37" t="s">
        <v>53</v>
      </c>
      <c r="C1466" s="38">
        <v>99150</v>
      </c>
    </row>
    <row r="1467" spans="1:3" x14ac:dyDescent="0.3">
      <c r="A1467" s="37" t="s">
        <v>4</v>
      </c>
      <c r="B1467" s="37" t="s">
        <v>53</v>
      </c>
      <c r="C1467" s="38">
        <v>90000</v>
      </c>
    </row>
    <row r="1468" spans="1:3" x14ac:dyDescent="0.3">
      <c r="A1468" s="37" t="s">
        <v>4</v>
      </c>
      <c r="B1468" s="37" t="s">
        <v>53</v>
      </c>
      <c r="C1468" s="38">
        <v>87500</v>
      </c>
    </row>
    <row r="1469" spans="1:3" x14ac:dyDescent="0.3">
      <c r="A1469" s="37" t="s">
        <v>4</v>
      </c>
      <c r="B1469" s="37" t="s">
        <v>98</v>
      </c>
      <c r="C1469" s="38">
        <v>72900</v>
      </c>
    </row>
    <row r="1470" spans="1:3" x14ac:dyDescent="0.3">
      <c r="A1470" s="37" t="s">
        <v>4</v>
      </c>
      <c r="B1470" s="37" t="s">
        <v>97</v>
      </c>
      <c r="C1470" s="38">
        <v>147500</v>
      </c>
    </row>
    <row r="1471" spans="1:3" x14ac:dyDescent="0.3">
      <c r="A1471" s="37" t="s">
        <v>4</v>
      </c>
      <c r="B1471" s="37" t="s">
        <v>53</v>
      </c>
      <c r="C1471" s="38">
        <v>177500</v>
      </c>
    </row>
    <row r="1472" spans="1:3" x14ac:dyDescent="0.3">
      <c r="A1472" s="37" t="s">
        <v>4</v>
      </c>
      <c r="B1472" s="37" t="s">
        <v>97</v>
      </c>
      <c r="C1472" s="38">
        <v>98301.5</v>
      </c>
    </row>
    <row r="1473" spans="1:3" x14ac:dyDescent="0.3">
      <c r="A1473" s="37" t="s">
        <v>4</v>
      </c>
      <c r="B1473" s="37" t="s">
        <v>73</v>
      </c>
      <c r="C1473" s="38">
        <v>249000</v>
      </c>
    </row>
    <row r="1474" spans="1:3" x14ac:dyDescent="0.3">
      <c r="A1474" s="37" t="s">
        <v>4</v>
      </c>
      <c r="B1474" s="37" t="s">
        <v>54</v>
      </c>
      <c r="C1474" s="38">
        <v>80000</v>
      </c>
    </row>
    <row r="1475" spans="1:3" x14ac:dyDescent="0.3">
      <c r="A1475" s="37" t="s">
        <v>4</v>
      </c>
      <c r="B1475" s="37" t="s">
        <v>53</v>
      </c>
      <c r="C1475" s="38">
        <v>125000</v>
      </c>
    </row>
    <row r="1476" spans="1:3" x14ac:dyDescent="0.3">
      <c r="A1476" s="37" t="s">
        <v>4</v>
      </c>
      <c r="B1476" s="37" t="s">
        <v>88</v>
      </c>
      <c r="C1476" s="38">
        <v>147500</v>
      </c>
    </row>
    <row r="1477" spans="1:3" x14ac:dyDescent="0.3">
      <c r="A1477" s="37" t="s">
        <v>4</v>
      </c>
      <c r="B1477" s="37" t="s">
        <v>98</v>
      </c>
      <c r="C1477" s="38">
        <v>45000</v>
      </c>
    </row>
    <row r="1478" spans="1:3" x14ac:dyDescent="0.3">
      <c r="A1478" s="37" t="s">
        <v>4</v>
      </c>
      <c r="B1478" s="37" t="s">
        <v>81</v>
      </c>
      <c r="C1478" s="38">
        <v>125000</v>
      </c>
    </row>
    <row r="1479" spans="1:3" x14ac:dyDescent="0.3">
      <c r="A1479" s="37" t="s">
        <v>4</v>
      </c>
      <c r="B1479" s="37" t="s">
        <v>89</v>
      </c>
      <c r="C1479" s="38">
        <v>147500</v>
      </c>
    </row>
    <row r="1480" spans="1:3" x14ac:dyDescent="0.3">
      <c r="A1480" s="37" t="s">
        <v>4</v>
      </c>
      <c r="B1480" s="37" t="s">
        <v>81</v>
      </c>
      <c r="C1480" s="38">
        <v>90000</v>
      </c>
    </row>
    <row r="1481" spans="1:3" x14ac:dyDescent="0.3">
      <c r="A1481" s="37" t="s">
        <v>4</v>
      </c>
      <c r="B1481" s="37" t="s">
        <v>54</v>
      </c>
      <c r="C1481" s="38">
        <v>157000</v>
      </c>
    </row>
    <row r="1482" spans="1:3" x14ac:dyDescent="0.3">
      <c r="A1482" s="37" t="s">
        <v>4</v>
      </c>
      <c r="B1482" s="37" t="s">
        <v>86</v>
      </c>
      <c r="C1482" s="38">
        <v>147500</v>
      </c>
    </row>
    <row r="1483" spans="1:3" x14ac:dyDescent="0.3">
      <c r="A1483" s="37" t="s">
        <v>4</v>
      </c>
      <c r="B1483" s="37" t="s">
        <v>88</v>
      </c>
      <c r="C1483" s="38">
        <v>79200</v>
      </c>
    </row>
    <row r="1484" spans="1:3" x14ac:dyDescent="0.3">
      <c r="A1484" s="37" t="s">
        <v>4</v>
      </c>
      <c r="B1484" s="37" t="s">
        <v>88</v>
      </c>
      <c r="C1484" s="38">
        <v>79200</v>
      </c>
    </row>
    <row r="1485" spans="1:3" x14ac:dyDescent="0.3">
      <c r="A1485" s="37" t="s">
        <v>4</v>
      </c>
      <c r="B1485" s="37" t="s">
        <v>53</v>
      </c>
      <c r="C1485" s="38"/>
    </row>
    <row r="1486" spans="1:3" x14ac:dyDescent="0.3">
      <c r="A1486" s="37" t="s">
        <v>4</v>
      </c>
      <c r="B1486" s="37" t="s">
        <v>68</v>
      </c>
      <c r="C1486" s="38">
        <v>147500</v>
      </c>
    </row>
    <row r="1487" spans="1:3" x14ac:dyDescent="0.3">
      <c r="A1487" s="37" t="s">
        <v>4</v>
      </c>
      <c r="B1487" s="37" t="s">
        <v>53</v>
      </c>
      <c r="C1487" s="38">
        <v>110000</v>
      </c>
    </row>
    <row r="1488" spans="1:3" x14ac:dyDescent="0.3">
      <c r="A1488" s="37" t="s">
        <v>4</v>
      </c>
      <c r="B1488" s="37" t="s">
        <v>96</v>
      </c>
      <c r="C1488" s="38">
        <v>96773</v>
      </c>
    </row>
    <row r="1489" spans="1:3" x14ac:dyDescent="0.3">
      <c r="A1489" s="37" t="s">
        <v>4</v>
      </c>
      <c r="B1489" s="37" t="s">
        <v>76</v>
      </c>
      <c r="C1489" s="38">
        <v>133000</v>
      </c>
    </row>
    <row r="1490" spans="1:3" x14ac:dyDescent="0.3">
      <c r="A1490" s="37" t="s">
        <v>4</v>
      </c>
      <c r="B1490" s="37" t="s">
        <v>63</v>
      </c>
      <c r="C1490" s="38">
        <v>65000</v>
      </c>
    </row>
    <row r="1491" spans="1:3" x14ac:dyDescent="0.3">
      <c r="A1491" s="37" t="s">
        <v>4</v>
      </c>
      <c r="B1491" s="37" t="s">
        <v>53</v>
      </c>
      <c r="C1491" s="38">
        <v>125000</v>
      </c>
    </row>
    <row r="1492" spans="1:3" x14ac:dyDescent="0.3">
      <c r="A1492" s="37" t="s">
        <v>4</v>
      </c>
      <c r="B1492" s="37" t="s">
        <v>81</v>
      </c>
      <c r="C1492" s="38">
        <v>90000</v>
      </c>
    </row>
    <row r="1493" spans="1:3" x14ac:dyDescent="0.3">
      <c r="A1493" s="37" t="s">
        <v>4</v>
      </c>
      <c r="B1493" s="37" t="s">
        <v>81</v>
      </c>
      <c r="C1493" s="38">
        <v>190000</v>
      </c>
    </row>
    <row r="1494" spans="1:3" x14ac:dyDescent="0.3">
      <c r="A1494" s="37" t="s">
        <v>4</v>
      </c>
      <c r="B1494" s="37" t="s">
        <v>97</v>
      </c>
      <c r="C1494" s="38">
        <v>147500</v>
      </c>
    </row>
    <row r="1495" spans="1:3" x14ac:dyDescent="0.3">
      <c r="A1495" s="37" t="s">
        <v>4</v>
      </c>
      <c r="B1495" s="37" t="s">
        <v>103</v>
      </c>
      <c r="C1495" s="38">
        <v>147500</v>
      </c>
    </row>
    <row r="1496" spans="1:3" x14ac:dyDescent="0.3">
      <c r="A1496" s="37" t="s">
        <v>4</v>
      </c>
      <c r="B1496" s="37" t="s">
        <v>53</v>
      </c>
      <c r="C1496" s="38">
        <v>162500</v>
      </c>
    </row>
    <row r="1497" spans="1:3" x14ac:dyDescent="0.3">
      <c r="A1497" s="37" t="s">
        <v>4</v>
      </c>
      <c r="B1497" s="37" t="s">
        <v>53</v>
      </c>
      <c r="C1497" s="38">
        <v>208114</v>
      </c>
    </row>
    <row r="1498" spans="1:3" x14ac:dyDescent="0.3">
      <c r="A1498" s="37" t="s">
        <v>4</v>
      </c>
      <c r="B1498" s="37" t="s">
        <v>81</v>
      </c>
      <c r="C1498" s="38"/>
    </row>
    <row r="1499" spans="1:3" x14ac:dyDescent="0.3">
      <c r="A1499" s="37" t="s">
        <v>4</v>
      </c>
      <c r="B1499" s="37" t="s">
        <v>88</v>
      </c>
      <c r="C1499" s="38">
        <v>147500</v>
      </c>
    </row>
    <row r="1500" spans="1:3" x14ac:dyDescent="0.3">
      <c r="A1500" s="37" t="s">
        <v>4</v>
      </c>
      <c r="B1500" s="37" t="s">
        <v>53</v>
      </c>
      <c r="C1500" s="38"/>
    </row>
    <row r="1501" spans="1:3" x14ac:dyDescent="0.3">
      <c r="A1501" s="37" t="s">
        <v>4</v>
      </c>
      <c r="B1501" s="37" t="s">
        <v>65</v>
      </c>
      <c r="C1501" s="38">
        <v>147500</v>
      </c>
    </row>
    <row r="1502" spans="1:3" x14ac:dyDescent="0.3">
      <c r="A1502" s="37" t="s">
        <v>4</v>
      </c>
      <c r="B1502" s="37" t="s">
        <v>68</v>
      </c>
      <c r="C1502" s="38">
        <v>115000</v>
      </c>
    </row>
    <row r="1503" spans="1:3" x14ac:dyDescent="0.3">
      <c r="A1503" s="37" t="s">
        <v>4</v>
      </c>
      <c r="B1503" s="37" t="s">
        <v>53</v>
      </c>
      <c r="C1503" s="38"/>
    </row>
    <row r="1504" spans="1:3" x14ac:dyDescent="0.3">
      <c r="A1504" s="37" t="s">
        <v>4</v>
      </c>
      <c r="B1504" s="37" t="s">
        <v>81</v>
      </c>
      <c r="C1504" s="38"/>
    </row>
    <row r="1505" spans="1:3" x14ac:dyDescent="0.3">
      <c r="A1505" s="37" t="s">
        <v>4</v>
      </c>
      <c r="B1505" s="37" t="s">
        <v>53</v>
      </c>
      <c r="C1505" s="38">
        <v>205000</v>
      </c>
    </row>
    <row r="1506" spans="1:3" x14ac:dyDescent="0.3">
      <c r="A1506" s="37" t="s">
        <v>4</v>
      </c>
      <c r="B1506" s="37" t="s">
        <v>53</v>
      </c>
      <c r="C1506" s="38">
        <v>102500</v>
      </c>
    </row>
    <row r="1507" spans="1:3" x14ac:dyDescent="0.3">
      <c r="A1507" s="37" t="s">
        <v>4</v>
      </c>
      <c r="B1507" s="37" t="s">
        <v>83</v>
      </c>
      <c r="C1507" s="38">
        <v>147500</v>
      </c>
    </row>
    <row r="1508" spans="1:3" x14ac:dyDescent="0.3">
      <c r="A1508" s="37" t="s">
        <v>4</v>
      </c>
      <c r="B1508" s="37" t="s">
        <v>69</v>
      </c>
      <c r="C1508" s="38">
        <v>147500</v>
      </c>
    </row>
    <row r="1509" spans="1:3" x14ac:dyDescent="0.3">
      <c r="A1509" s="37" t="s">
        <v>4</v>
      </c>
      <c r="B1509" s="37" t="s">
        <v>81</v>
      </c>
      <c r="C1509" s="38">
        <v>147500</v>
      </c>
    </row>
    <row r="1510" spans="1:3" x14ac:dyDescent="0.3">
      <c r="A1510" s="37" t="s">
        <v>4</v>
      </c>
      <c r="B1510" s="37" t="s">
        <v>53</v>
      </c>
      <c r="C1510" s="38">
        <v>105000</v>
      </c>
    </row>
    <row r="1511" spans="1:3" x14ac:dyDescent="0.3">
      <c r="A1511" s="37" t="s">
        <v>4</v>
      </c>
      <c r="B1511" s="37" t="s">
        <v>54</v>
      </c>
      <c r="C1511" s="38">
        <v>91000</v>
      </c>
    </row>
    <row r="1512" spans="1:3" x14ac:dyDescent="0.3">
      <c r="A1512" s="37" t="s">
        <v>4</v>
      </c>
      <c r="B1512" s="37" t="s">
        <v>88</v>
      </c>
      <c r="C1512" s="38">
        <v>96760.5</v>
      </c>
    </row>
    <row r="1513" spans="1:3" x14ac:dyDescent="0.3">
      <c r="A1513" s="37" t="s">
        <v>4</v>
      </c>
      <c r="B1513" s="37" t="s">
        <v>53</v>
      </c>
      <c r="C1513" s="38">
        <v>106000</v>
      </c>
    </row>
    <row r="1514" spans="1:3" x14ac:dyDescent="0.3">
      <c r="A1514" s="37" t="s">
        <v>4</v>
      </c>
      <c r="B1514" s="37" t="s">
        <v>72</v>
      </c>
      <c r="C1514" s="38">
        <v>96760.5</v>
      </c>
    </row>
    <row r="1515" spans="1:3" x14ac:dyDescent="0.3">
      <c r="A1515" s="37" t="s">
        <v>4</v>
      </c>
      <c r="B1515" s="37" t="s">
        <v>58</v>
      </c>
      <c r="C1515" s="38"/>
    </row>
    <row r="1516" spans="1:3" x14ac:dyDescent="0.3">
      <c r="A1516" s="37" t="s">
        <v>4</v>
      </c>
      <c r="B1516" s="37" t="s">
        <v>54</v>
      </c>
      <c r="C1516" s="38">
        <v>120000</v>
      </c>
    </row>
    <row r="1517" spans="1:3" x14ac:dyDescent="0.3">
      <c r="A1517" s="37" t="s">
        <v>4</v>
      </c>
      <c r="B1517" s="37" t="s">
        <v>53</v>
      </c>
      <c r="C1517" s="38"/>
    </row>
    <row r="1518" spans="1:3" x14ac:dyDescent="0.3">
      <c r="A1518" s="37" t="s">
        <v>4</v>
      </c>
      <c r="B1518" s="37" t="s">
        <v>81</v>
      </c>
      <c r="C1518" s="38">
        <v>147500</v>
      </c>
    </row>
    <row r="1519" spans="1:3" x14ac:dyDescent="0.3">
      <c r="A1519" s="37" t="s">
        <v>4</v>
      </c>
      <c r="B1519" s="37" t="s">
        <v>53</v>
      </c>
      <c r="C1519" s="38">
        <v>138200</v>
      </c>
    </row>
    <row r="1520" spans="1:3" x14ac:dyDescent="0.3">
      <c r="A1520" s="37" t="s">
        <v>4</v>
      </c>
      <c r="B1520" s="37" t="s">
        <v>53</v>
      </c>
      <c r="C1520" s="38">
        <v>221000</v>
      </c>
    </row>
    <row r="1521" spans="1:3" x14ac:dyDescent="0.3">
      <c r="A1521" s="37" t="s">
        <v>4</v>
      </c>
      <c r="B1521" s="37" t="s">
        <v>53</v>
      </c>
      <c r="C1521" s="38">
        <v>98283</v>
      </c>
    </row>
    <row r="1522" spans="1:3" x14ac:dyDescent="0.3">
      <c r="A1522" s="37" t="s">
        <v>4</v>
      </c>
      <c r="B1522" s="37" t="s">
        <v>53</v>
      </c>
      <c r="C1522" s="38">
        <v>165000</v>
      </c>
    </row>
    <row r="1523" spans="1:3" x14ac:dyDescent="0.3">
      <c r="A1523" s="37" t="s">
        <v>4</v>
      </c>
      <c r="B1523" s="37" t="s">
        <v>80</v>
      </c>
      <c r="C1523" s="38">
        <v>96760.5</v>
      </c>
    </row>
    <row r="1524" spans="1:3" x14ac:dyDescent="0.3">
      <c r="A1524" s="37" t="s">
        <v>4</v>
      </c>
      <c r="B1524" s="37" t="s">
        <v>72</v>
      </c>
      <c r="C1524" s="38">
        <v>96773</v>
      </c>
    </row>
    <row r="1525" spans="1:3" x14ac:dyDescent="0.3">
      <c r="A1525" s="37" t="s">
        <v>4</v>
      </c>
      <c r="B1525" s="37" t="s">
        <v>81</v>
      </c>
      <c r="C1525" s="38">
        <v>90000</v>
      </c>
    </row>
    <row r="1526" spans="1:3" x14ac:dyDescent="0.3">
      <c r="A1526" s="37" t="s">
        <v>4</v>
      </c>
      <c r="B1526" s="37" t="s">
        <v>53</v>
      </c>
      <c r="C1526" s="38">
        <v>243000</v>
      </c>
    </row>
    <row r="1527" spans="1:3" x14ac:dyDescent="0.3">
      <c r="A1527" s="37" t="s">
        <v>4</v>
      </c>
      <c r="B1527" s="37" t="s">
        <v>68</v>
      </c>
      <c r="C1527" s="38"/>
    </row>
    <row r="1528" spans="1:3" x14ac:dyDescent="0.3">
      <c r="A1528" s="37" t="s">
        <v>4</v>
      </c>
      <c r="B1528" s="37" t="s">
        <v>105</v>
      </c>
      <c r="C1528" s="38">
        <v>96760.5</v>
      </c>
    </row>
    <row r="1529" spans="1:3" x14ac:dyDescent="0.3">
      <c r="A1529" s="37" t="s">
        <v>4</v>
      </c>
      <c r="B1529" s="37" t="s">
        <v>53</v>
      </c>
      <c r="C1529" s="38">
        <v>103000</v>
      </c>
    </row>
    <row r="1530" spans="1:3" x14ac:dyDescent="0.3">
      <c r="A1530" s="37" t="s">
        <v>4</v>
      </c>
      <c r="B1530" s="37" t="s">
        <v>110</v>
      </c>
      <c r="C1530" s="38">
        <v>96760.5</v>
      </c>
    </row>
    <row r="1531" spans="1:3" x14ac:dyDescent="0.3">
      <c r="A1531" s="37" t="s">
        <v>4</v>
      </c>
      <c r="B1531" s="37" t="s">
        <v>81</v>
      </c>
      <c r="C1531" s="38"/>
    </row>
    <row r="1532" spans="1:3" x14ac:dyDescent="0.3">
      <c r="A1532" s="37" t="s">
        <v>4</v>
      </c>
      <c r="B1532" s="37" t="s">
        <v>53</v>
      </c>
      <c r="C1532" s="38">
        <v>87500</v>
      </c>
    </row>
    <row r="1533" spans="1:3" x14ac:dyDescent="0.3">
      <c r="A1533" s="37" t="s">
        <v>4</v>
      </c>
      <c r="B1533" s="37" t="s">
        <v>81</v>
      </c>
      <c r="C1533" s="38">
        <v>147500</v>
      </c>
    </row>
    <row r="1534" spans="1:3" x14ac:dyDescent="0.3">
      <c r="A1534" s="37" t="s">
        <v>4</v>
      </c>
      <c r="B1534" s="37" t="s">
        <v>54</v>
      </c>
      <c r="C1534" s="38">
        <v>115000</v>
      </c>
    </row>
    <row r="1535" spans="1:3" x14ac:dyDescent="0.3">
      <c r="A1535" s="37" t="s">
        <v>4</v>
      </c>
      <c r="B1535" s="37" t="s">
        <v>53</v>
      </c>
      <c r="C1535" s="38">
        <v>90000</v>
      </c>
    </row>
    <row r="1536" spans="1:3" x14ac:dyDescent="0.3">
      <c r="A1536" s="37" t="s">
        <v>4</v>
      </c>
      <c r="B1536" s="37" t="s">
        <v>64</v>
      </c>
      <c r="C1536" s="38">
        <v>98301.5</v>
      </c>
    </row>
    <row r="1537" spans="1:3" x14ac:dyDescent="0.3">
      <c r="A1537" s="37" t="s">
        <v>4</v>
      </c>
      <c r="B1537" s="37" t="s">
        <v>68</v>
      </c>
      <c r="C1537" s="38"/>
    </row>
    <row r="1538" spans="1:3" x14ac:dyDescent="0.3">
      <c r="A1538" s="37" t="s">
        <v>4</v>
      </c>
      <c r="B1538" s="37" t="s">
        <v>81</v>
      </c>
      <c r="C1538" s="38">
        <v>90000</v>
      </c>
    </row>
    <row r="1539" spans="1:3" x14ac:dyDescent="0.3">
      <c r="A1539" s="37" t="s">
        <v>4</v>
      </c>
      <c r="B1539" s="37" t="s">
        <v>69</v>
      </c>
      <c r="C1539" s="38">
        <v>98301.5</v>
      </c>
    </row>
    <row r="1540" spans="1:3" x14ac:dyDescent="0.3">
      <c r="A1540" s="37" t="s">
        <v>4</v>
      </c>
      <c r="B1540" s="37" t="s">
        <v>53</v>
      </c>
      <c r="C1540" s="38"/>
    </row>
    <row r="1541" spans="1:3" x14ac:dyDescent="0.3">
      <c r="A1541" s="37" t="s">
        <v>4</v>
      </c>
      <c r="B1541" s="37" t="s">
        <v>53</v>
      </c>
      <c r="C1541" s="38">
        <v>130000</v>
      </c>
    </row>
    <row r="1542" spans="1:3" x14ac:dyDescent="0.3">
      <c r="A1542" s="37" t="s">
        <v>4</v>
      </c>
      <c r="B1542" s="37" t="s">
        <v>53</v>
      </c>
      <c r="C1542" s="38">
        <v>209000</v>
      </c>
    </row>
    <row r="1543" spans="1:3" x14ac:dyDescent="0.3">
      <c r="A1543" s="37" t="s">
        <v>4</v>
      </c>
      <c r="B1543" s="37" t="s">
        <v>72</v>
      </c>
      <c r="C1543" s="38">
        <v>50000</v>
      </c>
    </row>
    <row r="1544" spans="1:3" x14ac:dyDescent="0.3">
      <c r="A1544" s="37" t="s">
        <v>4</v>
      </c>
      <c r="B1544" s="37" t="s">
        <v>81</v>
      </c>
      <c r="C1544" s="38">
        <v>125000</v>
      </c>
    </row>
    <row r="1545" spans="1:3" x14ac:dyDescent="0.3">
      <c r="A1545" s="37" t="s">
        <v>4</v>
      </c>
      <c r="B1545" s="37" t="s">
        <v>88</v>
      </c>
      <c r="C1545" s="38">
        <v>45000</v>
      </c>
    </row>
    <row r="1546" spans="1:3" x14ac:dyDescent="0.3">
      <c r="A1546" s="37" t="s">
        <v>4</v>
      </c>
      <c r="B1546" s="37" t="s">
        <v>54</v>
      </c>
      <c r="C1546" s="38">
        <v>140000</v>
      </c>
    </row>
    <row r="1547" spans="1:3" x14ac:dyDescent="0.3">
      <c r="A1547" s="37" t="s">
        <v>4</v>
      </c>
      <c r="B1547" s="37" t="s">
        <v>53</v>
      </c>
      <c r="C1547" s="38">
        <v>125000</v>
      </c>
    </row>
    <row r="1548" spans="1:3" x14ac:dyDescent="0.3">
      <c r="A1548" s="37" t="s">
        <v>4</v>
      </c>
      <c r="B1548" s="37" t="s">
        <v>88</v>
      </c>
      <c r="C1548" s="38">
        <v>147500</v>
      </c>
    </row>
    <row r="1549" spans="1:3" x14ac:dyDescent="0.3">
      <c r="A1549" s="37" t="s">
        <v>4</v>
      </c>
      <c r="B1549" s="37" t="s">
        <v>81</v>
      </c>
      <c r="C1549" s="38">
        <v>125000</v>
      </c>
    </row>
    <row r="1550" spans="1:3" x14ac:dyDescent="0.3">
      <c r="A1550" s="37" t="s">
        <v>4</v>
      </c>
      <c r="B1550" s="37" t="s">
        <v>97</v>
      </c>
      <c r="C1550" s="38">
        <v>98283</v>
      </c>
    </row>
    <row r="1551" spans="1:3" x14ac:dyDescent="0.3">
      <c r="A1551" s="37" t="s">
        <v>4</v>
      </c>
      <c r="B1551" s="37" t="s">
        <v>53</v>
      </c>
      <c r="C1551" s="38">
        <v>208114</v>
      </c>
    </row>
    <row r="1552" spans="1:3" x14ac:dyDescent="0.3">
      <c r="A1552" s="37" t="s">
        <v>4</v>
      </c>
      <c r="B1552" s="37" t="s">
        <v>53</v>
      </c>
      <c r="C1552" s="38">
        <v>208114</v>
      </c>
    </row>
    <row r="1553" spans="1:3" x14ac:dyDescent="0.3">
      <c r="A1553" s="37" t="s">
        <v>4</v>
      </c>
      <c r="B1553" s="37" t="s">
        <v>69</v>
      </c>
      <c r="C1553" s="38">
        <v>147500</v>
      </c>
    </row>
    <row r="1554" spans="1:3" x14ac:dyDescent="0.3">
      <c r="A1554" s="37" t="s">
        <v>4</v>
      </c>
      <c r="B1554" s="37" t="s">
        <v>88</v>
      </c>
      <c r="C1554" s="38">
        <v>147500</v>
      </c>
    </row>
    <row r="1555" spans="1:3" x14ac:dyDescent="0.3">
      <c r="A1555" s="37" t="s">
        <v>0</v>
      </c>
      <c r="B1555" s="37" t="s">
        <v>53</v>
      </c>
      <c r="C1555" s="38">
        <v>224500</v>
      </c>
    </row>
    <row r="1556" spans="1:3" x14ac:dyDescent="0.3">
      <c r="A1556" s="37" t="s">
        <v>0</v>
      </c>
      <c r="B1556" s="37" t="s">
        <v>53</v>
      </c>
      <c r="C1556" s="38">
        <v>157500</v>
      </c>
    </row>
    <row r="1557" spans="1:3" x14ac:dyDescent="0.3">
      <c r="A1557" s="37" t="s">
        <v>0</v>
      </c>
      <c r="B1557" s="37" t="s">
        <v>97</v>
      </c>
      <c r="C1557" s="38">
        <v>88128</v>
      </c>
    </row>
    <row r="1558" spans="1:3" x14ac:dyDescent="0.3">
      <c r="A1558" s="37" t="s">
        <v>0</v>
      </c>
      <c r="B1558" s="37" t="s">
        <v>53</v>
      </c>
      <c r="C1558" s="38"/>
    </row>
    <row r="1559" spans="1:3" x14ac:dyDescent="0.3">
      <c r="A1559" s="37" t="s">
        <v>0</v>
      </c>
      <c r="B1559" s="37" t="s">
        <v>53</v>
      </c>
      <c r="C1559" s="38">
        <v>105800</v>
      </c>
    </row>
    <row r="1560" spans="1:3" x14ac:dyDescent="0.3">
      <c r="A1560" s="37" t="s">
        <v>0</v>
      </c>
      <c r="B1560" s="37" t="s">
        <v>53</v>
      </c>
      <c r="C1560" s="38">
        <v>115000</v>
      </c>
    </row>
    <row r="1561" spans="1:3" x14ac:dyDescent="0.3">
      <c r="A1561" s="37" t="s">
        <v>0</v>
      </c>
      <c r="B1561" s="37" t="s">
        <v>53</v>
      </c>
      <c r="C1561" s="38">
        <v>200000</v>
      </c>
    </row>
    <row r="1562" spans="1:3" x14ac:dyDescent="0.3">
      <c r="A1562" s="37" t="s">
        <v>0</v>
      </c>
      <c r="B1562" s="37" t="s">
        <v>53</v>
      </c>
      <c r="C1562" s="38">
        <v>57500</v>
      </c>
    </row>
    <row r="1563" spans="1:3" x14ac:dyDescent="0.3">
      <c r="A1563" s="37" t="s">
        <v>0</v>
      </c>
      <c r="B1563" s="37" t="s">
        <v>54</v>
      </c>
      <c r="C1563" s="38">
        <v>77500</v>
      </c>
    </row>
    <row r="1564" spans="1:3" x14ac:dyDescent="0.3">
      <c r="A1564" s="37" t="s">
        <v>0</v>
      </c>
      <c r="B1564" s="37" t="s">
        <v>53</v>
      </c>
      <c r="C1564" s="38"/>
    </row>
    <row r="1565" spans="1:3" x14ac:dyDescent="0.3">
      <c r="A1565" s="37" t="s">
        <v>0</v>
      </c>
      <c r="B1565" s="37" t="s">
        <v>53</v>
      </c>
      <c r="C1565" s="38"/>
    </row>
    <row r="1566" spans="1:3" x14ac:dyDescent="0.3">
      <c r="A1566" s="37" t="s">
        <v>0</v>
      </c>
      <c r="B1566" s="37" t="s">
        <v>54</v>
      </c>
      <c r="C1566" s="38">
        <v>110000</v>
      </c>
    </row>
    <row r="1567" spans="1:3" x14ac:dyDescent="0.3">
      <c r="A1567" s="37" t="s">
        <v>0</v>
      </c>
      <c r="B1567" s="37" t="s">
        <v>53</v>
      </c>
      <c r="C1567" s="38"/>
    </row>
    <row r="1568" spans="1:3" x14ac:dyDescent="0.3">
      <c r="A1568" s="37" t="s">
        <v>0</v>
      </c>
      <c r="B1568" s="37" t="s">
        <v>53</v>
      </c>
      <c r="C1568" s="38">
        <v>350000</v>
      </c>
    </row>
    <row r="1569" spans="1:3" x14ac:dyDescent="0.3">
      <c r="A1569" s="37" t="s">
        <v>0</v>
      </c>
      <c r="B1569" s="37" t="s">
        <v>53</v>
      </c>
      <c r="C1569" s="38">
        <v>202500</v>
      </c>
    </row>
    <row r="1570" spans="1:3" x14ac:dyDescent="0.3">
      <c r="A1570" s="37" t="s">
        <v>0</v>
      </c>
      <c r="B1570" s="37" t="s">
        <v>54</v>
      </c>
      <c r="C1570" s="38">
        <v>265500</v>
      </c>
    </row>
    <row r="1571" spans="1:3" x14ac:dyDescent="0.3">
      <c r="A1571" s="37" t="s">
        <v>0</v>
      </c>
      <c r="B1571" s="37" t="s">
        <v>53</v>
      </c>
      <c r="C1571" s="38">
        <v>135000</v>
      </c>
    </row>
    <row r="1572" spans="1:3" x14ac:dyDescent="0.3">
      <c r="A1572" s="37" t="s">
        <v>0</v>
      </c>
      <c r="B1572" s="37" t="s">
        <v>54</v>
      </c>
      <c r="C1572" s="38">
        <v>215000</v>
      </c>
    </row>
    <row r="1573" spans="1:3" x14ac:dyDescent="0.3">
      <c r="A1573" s="37" t="s">
        <v>0</v>
      </c>
      <c r="B1573" s="37" t="s">
        <v>53</v>
      </c>
      <c r="C1573" s="38">
        <v>160000</v>
      </c>
    </row>
    <row r="1574" spans="1:3" x14ac:dyDescent="0.3">
      <c r="A1574" s="37" t="s">
        <v>0</v>
      </c>
      <c r="B1574" s="37" t="s">
        <v>53</v>
      </c>
      <c r="C1574" s="38">
        <v>143910.5</v>
      </c>
    </row>
    <row r="1575" spans="1:3" x14ac:dyDescent="0.3">
      <c r="A1575" s="37" t="s">
        <v>0</v>
      </c>
      <c r="B1575" s="37" t="s">
        <v>53</v>
      </c>
      <c r="C1575" s="38">
        <v>75000</v>
      </c>
    </row>
    <row r="1576" spans="1:3" x14ac:dyDescent="0.3">
      <c r="A1576" s="37" t="s">
        <v>0</v>
      </c>
      <c r="B1576" s="37" t="s">
        <v>54</v>
      </c>
      <c r="C1576" s="38">
        <v>137110</v>
      </c>
    </row>
    <row r="1577" spans="1:3" x14ac:dyDescent="0.3">
      <c r="A1577" s="37" t="s">
        <v>0</v>
      </c>
      <c r="B1577" s="37" t="s">
        <v>84</v>
      </c>
      <c r="C1577" s="38">
        <v>56700</v>
      </c>
    </row>
    <row r="1578" spans="1:3" x14ac:dyDescent="0.3">
      <c r="A1578" s="37" t="s">
        <v>0</v>
      </c>
      <c r="B1578" s="37" t="s">
        <v>54</v>
      </c>
      <c r="C1578" s="38">
        <v>99790</v>
      </c>
    </row>
    <row r="1579" spans="1:3" x14ac:dyDescent="0.3">
      <c r="A1579" s="37" t="s">
        <v>0</v>
      </c>
      <c r="B1579" s="37" t="s">
        <v>53</v>
      </c>
      <c r="C1579" s="38">
        <v>128500</v>
      </c>
    </row>
    <row r="1580" spans="1:3" x14ac:dyDescent="0.3">
      <c r="A1580" s="37" t="s">
        <v>0</v>
      </c>
      <c r="B1580" s="37" t="s">
        <v>53</v>
      </c>
      <c r="C1580" s="38">
        <v>209955.5</v>
      </c>
    </row>
    <row r="1581" spans="1:3" x14ac:dyDescent="0.3">
      <c r="A1581" s="37" t="s">
        <v>0</v>
      </c>
      <c r="B1581" s="37" t="s">
        <v>86</v>
      </c>
      <c r="C1581" s="38">
        <v>105300</v>
      </c>
    </row>
    <row r="1582" spans="1:3" x14ac:dyDescent="0.3">
      <c r="A1582" s="37" t="s">
        <v>0</v>
      </c>
      <c r="B1582" s="37" t="s">
        <v>53</v>
      </c>
      <c r="C1582" s="38">
        <v>107500</v>
      </c>
    </row>
    <row r="1583" spans="1:3" x14ac:dyDescent="0.3">
      <c r="A1583" s="37" t="s">
        <v>0</v>
      </c>
      <c r="B1583" s="37" t="s">
        <v>53</v>
      </c>
      <c r="C1583" s="38"/>
    </row>
    <row r="1584" spans="1:3" x14ac:dyDescent="0.3">
      <c r="A1584" s="37" t="s">
        <v>0</v>
      </c>
      <c r="B1584" s="37" t="s">
        <v>53</v>
      </c>
      <c r="C1584" s="38">
        <v>120000.5</v>
      </c>
    </row>
    <row r="1585" spans="1:3" x14ac:dyDescent="0.3">
      <c r="A1585" s="37" t="s">
        <v>0</v>
      </c>
      <c r="B1585" s="37" t="s">
        <v>53</v>
      </c>
      <c r="C1585" s="38">
        <v>115000</v>
      </c>
    </row>
    <row r="1586" spans="1:3" x14ac:dyDescent="0.3">
      <c r="A1586" s="37" t="s">
        <v>0</v>
      </c>
      <c r="B1586" s="37" t="s">
        <v>53</v>
      </c>
      <c r="C1586" s="38">
        <v>115000</v>
      </c>
    </row>
    <row r="1587" spans="1:3" x14ac:dyDescent="0.3">
      <c r="A1587" s="37" t="s">
        <v>0</v>
      </c>
      <c r="B1587" s="37" t="s">
        <v>53</v>
      </c>
      <c r="C1587" s="38">
        <v>250000</v>
      </c>
    </row>
    <row r="1588" spans="1:3" x14ac:dyDescent="0.3">
      <c r="A1588" s="37" t="s">
        <v>0</v>
      </c>
      <c r="B1588" s="37" t="s">
        <v>54</v>
      </c>
      <c r="C1588" s="38"/>
    </row>
    <row r="1589" spans="1:3" x14ac:dyDescent="0.3">
      <c r="A1589" s="37" t="s">
        <v>0</v>
      </c>
      <c r="B1589" s="37" t="s">
        <v>53</v>
      </c>
      <c r="C1589" s="38">
        <v>175000</v>
      </c>
    </row>
    <row r="1590" spans="1:3" x14ac:dyDescent="0.3">
      <c r="A1590" s="37" t="s">
        <v>0</v>
      </c>
      <c r="B1590" s="37" t="s">
        <v>53</v>
      </c>
      <c r="C1590" s="38">
        <v>130000</v>
      </c>
    </row>
    <row r="1591" spans="1:3" x14ac:dyDescent="0.3">
      <c r="A1591" s="37" t="s">
        <v>0</v>
      </c>
      <c r="B1591" s="37" t="s">
        <v>53</v>
      </c>
      <c r="C1591" s="38"/>
    </row>
    <row r="1592" spans="1:3" x14ac:dyDescent="0.3">
      <c r="A1592" s="37" t="s">
        <v>0</v>
      </c>
      <c r="B1592" s="37" t="s">
        <v>53</v>
      </c>
      <c r="C1592" s="38"/>
    </row>
    <row r="1593" spans="1:3" x14ac:dyDescent="0.3">
      <c r="A1593" s="37" t="s">
        <v>0</v>
      </c>
      <c r="B1593" s="37" t="s">
        <v>53</v>
      </c>
      <c r="C1593" s="38"/>
    </row>
    <row r="1594" spans="1:3" x14ac:dyDescent="0.3">
      <c r="A1594" s="37" t="s">
        <v>0</v>
      </c>
      <c r="B1594" s="37" t="s">
        <v>53</v>
      </c>
      <c r="C1594" s="38">
        <v>150000</v>
      </c>
    </row>
    <row r="1595" spans="1:3" x14ac:dyDescent="0.3">
      <c r="A1595" s="37" t="s">
        <v>0</v>
      </c>
      <c r="B1595" s="37" t="s">
        <v>53</v>
      </c>
      <c r="C1595" s="38">
        <v>120000.5</v>
      </c>
    </row>
    <row r="1596" spans="1:3" x14ac:dyDescent="0.3">
      <c r="A1596" s="37" t="s">
        <v>0</v>
      </c>
      <c r="B1596" s="37" t="s">
        <v>53</v>
      </c>
      <c r="C1596" s="38">
        <v>105000</v>
      </c>
    </row>
    <row r="1597" spans="1:3" x14ac:dyDescent="0.3">
      <c r="A1597" s="37" t="s">
        <v>0</v>
      </c>
      <c r="B1597" s="37" t="s">
        <v>53</v>
      </c>
      <c r="C1597" s="38">
        <v>250000</v>
      </c>
    </row>
    <row r="1598" spans="1:3" x14ac:dyDescent="0.3">
      <c r="A1598" s="37" t="s">
        <v>0</v>
      </c>
      <c r="B1598" s="37" t="s">
        <v>53</v>
      </c>
      <c r="C1598" s="38"/>
    </row>
    <row r="1599" spans="1:3" x14ac:dyDescent="0.3">
      <c r="A1599" s="37" t="s">
        <v>0</v>
      </c>
      <c r="B1599" s="37" t="s">
        <v>53</v>
      </c>
      <c r="C1599" s="38">
        <v>100000</v>
      </c>
    </row>
    <row r="1600" spans="1:3" x14ac:dyDescent="0.3">
      <c r="A1600" s="37" t="s">
        <v>0</v>
      </c>
      <c r="B1600" s="37" t="s">
        <v>53</v>
      </c>
      <c r="C1600" s="38">
        <v>140000</v>
      </c>
    </row>
    <row r="1601" spans="1:3" x14ac:dyDescent="0.3">
      <c r="A1601" s="37" t="s">
        <v>0</v>
      </c>
      <c r="B1601" s="37" t="s">
        <v>53</v>
      </c>
      <c r="C1601" s="38">
        <v>160000</v>
      </c>
    </row>
    <row r="1602" spans="1:3" x14ac:dyDescent="0.3">
      <c r="A1602" s="37" t="s">
        <v>0</v>
      </c>
      <c r="B1602" s="37" t="s">
        <v>81</v>
      </c>
      <c r="C1602" s="38">
        <v>99150</v>
      </c>
    </row>
    <row r="1603" spans="1:3" x14ac:dyDescent="0.3">
      <c r="A1603" s="37" t="s">
        <v>0</v>
      </c>
      <c r="B1603" s="37" t="s">
        <v>53</v>
      </c>
      <c r="C1603" s="38"/>
    </row>
    <row r="1604" spans="1:3" x14ac:dyDescent="0.3">
      <c r="A1604" s="37" t="s">
        <v>0</v>
      </c>
      <c r="B1604" s="37" t="s">
        <v>53</v>
      </c>
      <c r="C1604" s="38">
        <v>125000</v>
      </c>
    </row>
    <row r="1605" spans="1:3" x14ac:dyDescent="0.3">
      <c r="A1605" s="37" t="s">
        <v>0</v>
      </c>
      <c r="B1605" s="37" t="s">
        <v>53</v>
      </c>
      <c r="C1605" s="38">
        <v>182000</v>
      </c>
    </row>
    <row r="1606" spans="1:3" x14ac:dyDescent="0.3">
      <c r="A1606" s="37" t="s">
        <v>0</v>
      </c>
      <c r="B1606" s="37" t="s">
        <v>53</v>
      </c>
      <c r="C1606" s="38"/>
    </row>
    <row r="1607" spans="1:3" x14ac:dyDescent="0.3">
      <c r="A1607" s="37" t="s">
        <v>0</v>
      </c>
      <c r="B1607" s="37" t="s">
        <v>53</v>
      </c>
      <c r="C1607" s="38">
        <v>190000</v>
      </c>
    </row>
    <row r="1608" spans="1:3" x14ac:dyDescent="0.3">
      <c r="A1608" s="37" t="s">
        <v>0</v>
      </c>
      <c r="B1608" s="37" t="s">
        <v>53</v>
      </c>
      <c r="C1608" s="38">
        <v>150000</v>
      </c>
    </row>
    <row r="1609" spans="1:3" x14ac:dyDescent="0.3">
      <c r="A1609" s="37" t="s">
        <v>0</v>
      </c>
      <c r="B1609" s="37" t="s">
        <v>53</v>
      </c>
      <c r="C1609" s="38">
        <v>212500</v>
      </c>
    </row>
    <row r="1610" spans="1:3" x14ac:dyDescent="0.3">
      <c r="A1610" s="37" t="s">
        <v>0</v>
      </c>
      <c r="B1610" s="37" t="s">
        <v>53</v>
      </c>
      <c r="C1610" s="38">
        <v>135000</v>
      </c>
    </row>
    <row r="1611" spans="1:3" x14ac:dyDescent="0.3">
      <c r="A1611" s="37" t="s">
        <v>0</v>
      </c>
      <c r="B1611" s="37" t="s">
        <v>53</v>
      </c>
      <c r="C1611" s="38"/>
    </row>
    <row r="1612" spans="1:3" x14ac:dyDescent="0.3">
      <c r="A1612" s="37" t="s">
        <v>0</v>
      </c>
      <c r="B1612" s="37" t="s">
        <v>54</v>
      </c>
      <c r="C1612" s="38">
        <v>146383</v>
      </c>
    </row>
    <row r="1613" spans="1:3" x14ac:dyDescent="0.3">
      <c r="A1613" s="37" t="s">
        <v>0</v>
      </c>
      <c r="B1613" s="37" t="s">
        <v>53</v>
      </c>
      <c r="C1613" s="38"/>
    </row>
    <row r="1614" spans="1:3" x14ac:dyDescent="0.3">
      <c r="A1614" s="37" t="s">
        <v>0</v>
      </c>
      <c r="B1614" s="37" t="s">
        <v>53</v>
      </c>
      <c r="C1614" s="38"/>
    </row>
    <row r="1615" spans="1:3" x14ac:dyDescent="0.3">
      <c r="A1615" s="37" t="s">
        <v>0</v>
      </c>
      <c r="B1615" s="37" t="s">
        <v>93</v>
      </c>
      <c r="C1615" s="38">
        <v>132500</v>
      </c>
    </row>
    <row r="1616" spans="1:3" x14ac:dyDescent="0.3">
      <c r="A1616" s="37" t="s">
        <v>0</v>
      </c>
      <c r="B1616" s="37" t="s">
        <v>53</v>
      </c>
      <c r="C1616" s="38">
        <v>134000</v>
      </c>
    </row>
    <row r="1617" spans="1:3" x14ac:dyDescent="0.3">
      <c r="A1617" s="37" t="s">
        <v>0</v>
      </c>
      <c r="B1617" s="37" t="s">
        <v>79</v>
      </c>
      <c r="C1617" s="38">
        <v>79200</v>
      </c>
    </row>
    <row r="1618" spans="1:3" x14ac:dyDescent="0.3">
      <c r="A1618" s="37" t="s">
        <v>0</v>
      </c>
      <c r="B1618" s="37" t="s">
        <v>53</v>
      </c>
      <c r="C1618" s="38">
        <v>120000</v>
      </c>
    </row>
    <row r="1619" spans="1:3" x14ac:dyDescent="0.3">
      <c r="A1619" s="37" t="s">
        <v>0</v>
      </c>
      <c r="B1619" s="37" t="s">
        <v>53</v>
      </c>
      <c r="C1619" s="38"/>
    </row>
    <row r="1620" spans="1:3" x14ac:dyDescent="0.3">
      <c r="A1620" s="37" t="s">
        <v>0</v>
      </c>
      <c r="B1620" s="37" t="s">
        <v>53</v>
      </c>
      <c r="C1620" s="38">
        <v>130000</v>
      </c>
    </row>
    <row r="1621" spans="1:3" x14ac:dyDescent="0.3">
      <c r="A1621" s="37" t="s">
        <v>0</v>
      </c>
      <c r="B1621" s="37" t="s">
        <v>53</v>
      </c>
      <c r="C1621" s="38">
        <v>145000</v>
      </c>
    </row>
    <row r="1622" spans="1:3" x14ac:dyDescent="0.3">
      <c r="A1622" s="37" t="s">
        <v>0</v>
      </c>
      <c r="B1622" s="37" t="s">
        <v>85</v>
      </c>
      <c r="C1622" s="38">
        <v>64821.5</v>
      </c>
    </row>
    <row r="1623" spans="1:3" x14ac:dyDescent="0.3">
      <c r="A1623" s="37" t="s">
        <v>0</v>
      </c>
      <c r="B1623" s="37" t="s">
        <v>53</v>
      </c>
      <c r="C1623" s="38">
        <v>90000</v>
      </c>
    </row>
    <row r="1624" spans="1:3" x14ac:dyDescent="0.3">
      <c r="A1624" s="37" t="s">
        <v>0</v>
      </c>
      <c r="B1624" s="37" t="s">
        <v>53</v>
      </c>
      <c r="C1624" s="38">
        <v>112500</v>
      </c>
    </row>
    <row r="1625" spans="1:3" x14ac:dyDescent="0.3">
      <c r="A1625" s="37" t="s">
        <v>0</v>
      </c>
      <c r="B1625" s="37" t="s">
        <v>53</v>
      </c>
      <c r="C1625" s="38">
        <v>155000</v>
      </c>
    </row>
    <row r="1626" spans="1:3" x14ac:dyDescent="0.3">
      <c r="A1626" s="37" t="s">
        <v>0</v>
      </c>
      <c r="B1626" s="37" t="s">
        <v>53</v>
      </c>
      <c r="C1626" s="38">
        <v>157500</v>
      </c>
    </row>
    <row r="1627" spans="1:3" x14ac:dyDescent="0.3">
      <c r="A1627" s="37" t="s">
        <v>0</v>
      </c>
      <c r="B1627" s="37" t="s">
        <v>53</v>
      </c>
      <c r="C1627" s="38"/>
    </row>
    <row r="1628" spans="1:3" x14ac:dyDescent="0.3">
      <c r="A1628" s="37" t="s">
        <v>0</v>
      </c>
      <c r="B1628" s="37" t="s">
        <v>53</v>
      </c>
      <c r="C1628" s="38"/>
    </row>
    <row r="1629" spans="1:3" x14ac:dyDescent="0.3">
      <c r="A1629" s="37" t="s">
        <v>0</v>
      </c>
      <c r="B1629" s="37" t="s">
        <v>53</v>
      </c>
      <c r="C1629" s="38"/>
    </row>
    <row r="1630" spans="1:3" x14ac:dyDescent="0.3">
      <c r="A1630" s="37" t="s">
        <v>0</v>
      </c>
      <c r="B1630" s="37" t="s">
        <v>53</v>
      </c>
      <c r="C1630" s="38">
        <v>115000</v>
      </c>
    </row>
    <row r="1631" spans="1:3" x14ac:dyDescent="0.3">
      <c r="A1631" s="37" t="s">
        <v>0</v>
      </c>
      <c r="B1631" s="37" t="s">
        <v>53</v>
      </c>
      <c r="C1631" s="38">
        <v>169500</v>
      </c>
    </row>
    <row r="1632" spans="1:3" x14ac:dyDescent="0.3">
      <c r="A1632" s="37" t="s">
        <v>0</v>
      </c>
      <c r="B1632" s="37" t="s">
        <v>53</v>
      </c>
      <c r="C1632" s="38">
        <v>72500</v>
      </c>
    </row>
    <row r="1633" spans="1:3" x14ac:dyDescent="0.3">
      <c r="A1633" s="37" t="s">
        <v>0</v>
      </c>
      <c r="B1633" s="37" t="s">
        <v>53</v>
      </c>
      <c r="C1633" s="38">
        <v>100000</v>
      </c>
    </row>
    <row r="1634" spans="1:3" x14ac:dyDescent="0.3">
      <c r="A1634" s="37" t="s">
        <v>0</v>
      </c>
      <c r="B1634" s="37" t="s">
        <v>53</v>
      </c>
      <c r="C1634" s="38">
        <v>90000</v>
      </c>
    </row>
    <row r="1635" spans="1:3" x14ac:dyDescent="0.3">
      <c r="A1635" s="37" t="s">
        <v>0</v>
      </c>
      <c r="B1635" s="37" t="s">
        <v>53</v>
      </c>
      <c r="C1635" s="38">
        <v>85050</v>
      </c>
    </row>
    <row r="1636" spans="1:3" x14ac:dyDescent="0.3">
      <c r="A1636" s="37" t="s">
        <v>0</v>
      </c>
      <c r="B1636" s="37" t="s">
        <v>53</v>
      </c>
      <c r="C1636" s="38">
        <v>225000</v>
      </c>
    </row>
    <row r="1637" spans="1:3" x14ac:dyDescent="0.3">
      <c r="A1637" s="37" t="s">
        <v>0</v>
      </c>
      <c r="B1637" s="37" t="s">
        <v>53</v>
      </c>
      <c r="C1637" s="38"/>
    </row>
    <row r="1638" spans="1:3" x14ac:dyDescent="0.3">
      <c r="A1638" s="37" t="s">
        <v>0</v>
      </c>
      <c r="B1638" s="37" t="s">
        <v>53</v>
      </c>
      <c r="C1638" s="38">
        <v>130000</v>
      </c>
    </row>
    <row r="1639" spans="1:3" x14ac:dyDescent="0.3">
      <c r="A1639" s="37" t="s">
        <v>0</v>
      </c>
      <c r="B1639" s="37" t="s">
        <v>53</v>
      </c>
      <c r="C1639" s="38">
        <v>150000</v>
      </c>
    </row>
    <row r="1640" spans="1:3" x14ac:dyDescent="0.3">
      <c r="A1640" s="37" t="s">
        <v>0</v>
      </c>
      <c r="B1640" s="37" t="s">
        <v>53</v>
      </c>
      <c r="C1640" s="38">
        <v>185000</v>
      </c>
    </row>
    <row r="1641" spans="1:3" x14ac:dyDescent="0.3">
      <c r="A1641" s="37" t="s">
        <v>0</v>
      </c>
      <c r="B1641" s="37" t="s">
        <v>53</v>
      </c>
      <c r="C1641" s="38">
        <v>168018.5</v>
      </c>
    </row>
    <row r="1642" spans="1:3" x14ac:dyDescent="0.3">
      <c r="A1642" s="37" t="s">
        <v>0</v>
      </c>
      <c r="B1642" s="37" t="s">
        <v>53</v>
      </c>
      <c r="C1642" s="38"/>
    </row>
    <row r="1643" spans="1:3" x14ac:dyDescent="0.3">
      <c r="A1643" s="37" t="s">
        <v>0</v>
      </c>
      <c r="B1643" s="37" t="s">
        <v>107</v>
      </c>
      <c r="C1643" s="38">
        <v>109500</v>
      </c>
    </row>
    <row r="1644" spans="1:3" x14ac:dyDescent="0.3">
      <c r="A1644" s="37" t="s">
        <v>0</v>
      </c>
      <c r="B1644" s="37" t="s">
        <v>53</v>
      </c>
      <c r="C1644" s="38">
        <v>150000</v>
      </c>
    </row>
    <row r="1645" spans="1:3" x14ac:dyDescent="0.3">
      <c r="A1645" s="37" t="s">
        <v>0</v>
      </c>
      <c r="B1645" s="37" t="s">
        <v>54</v>
      </c>
      <c r="C1645" s="38">
        <v>145000</v>
      </c>
    </row>
    <row r="1646" spans="1:3" x14ac:dyDescent="0.3">
      <c r="A1646" s="37" t="s">
        <v>0</v>
      </c>
      <c r="B1646" s="37" t="s">
        <v>53</v>
      </c>
      <c r="C1646" s="38">
        <v>250000</v>
      </c>
    </row>
    <row r="1647" spans="1:3" x14ac:dyDescent="0.3">
      <c r="A1647" s="37" t="s">
        <v>0</v>
      </c>
      <c r="B1647" s="37" t="s">
        <v>53</v>
      </c>
      <c r="C1647" s="38">
        <v>146383</v>
      </c>
    </row>
    <row r="1648" spans="1:3" x14ac:dyDescent="0.3">
      <c r="A1648" s="37" t="s">
        <v>0</v>
      </c>
      <c r="B1648" s="37" t="s">
        <v>54</v>
      </c>
      <c r="C1648" s="38">
        <v>200000</v>
      </c>
    </row>
    <row r="1649" spans="1:3" x14ac:dyDescent="0.3">
      <c r="A1649" s="37" t="s">
        <v>0</v>
      </c>
      <c r="B1649" s="37" t="s">
        <v>121</v>
      </c>
      <c r="C1649" s="38">
        <v>88128</v>
      </c>
    </row>
    <row r="1650" spans="1:3" x14ac:dyDescent="0.3">
      <c r="A1650" s="37" t="s">
        <v>0</v>
      </c>
      <c r="B1650" s="37" t="s">
        <v>53</v>
      </c>
      <c r="C1650" s="38">
        <v>224500</v>
      </c>
    </row>
    <row r="1651" spans="1:3" x14ac:dyDescent="0.3">
      <c r="A1651" s="37" t="s">
        <v>0</v>
      </c>
      <c r="B1651" s="37" t="s">
        <v>56</v>
      </c>
      <c r="C1651" s="38">
        <v>157500</v>
      </c>
    </row>
    <row r="1652" spans="1:3" x14ac:dyDescent="0.3">
      <c r="A1652" s="37" t="s">
        <v>0</v>
      </c>
      <c r="B1652" s="37" t="s">
        <v>54</v>
      </c>
      <c r="C1652" s="38">
        <v>100000</v>
      </c>
    </row>
    <row r="1653" spans="1:3" x14ac:dyDescent="0.3">
      <c r="A1653" s="37" t="s">
        <v>0</v>
      </c>
      <c r="B1653" s="37" t="s">
        <v>53</v>
      </c>
      <c r="C1653" s="38">
        <v>115000</v>
      </c>
    </row>
    <row r="1654" spans="1:3" x14ac:dyDescent="0.3">
      <c r="A1654" s="37" t="s">
        <v>0</v>
      </c>
      <c r="B1654" s="37" t="s">
        <v>53</v>
      </c>
      <c r="C1654" s="38">
        <v>140000</v>
      </c>
    </row>
    <row r="1655" spans="1:3" x14ac:dyDescent="0.3">
      <c r="A1655" s="37" t="s">
        <v>0</v>
      </c>
      <c r="B1655" s="37" t="s">
        <v>53</v>
      </c>
      <c r="C1655" s="38">
        <v>90000</v>
      </c>
    </row>
    <row r="1656" spans="1:3" x14ac:dyDescent="0.3">
      <c r="A1656" s="37" t="s">
        <v>0</v>
      </c>
      <c r="B1656" s="37" t="s">
        <v>58</v>
      </c>
      <c r="C1656" s="38"/>
    </row>
    <row r="1657" spans="1:3" x14ac:dyDescent="0.3">
      <c r="A1657" s="37" t="s">
        <v>0</v>
      </c>
      <c r="B1657" s="37" t="s">
        <v>53</v>
      </c>
      <c r="C1657" s="38">
        <v>165000</v>
      </c>
    </row>
    <row r="1658" spans="1:3" x14ac:dyDescent="0.3">
      <c r="A1658" s="37" t="s">
        <v>0</v>
      </c>
      <c r="B1658" s="37" t="s">
        <v>54</v>
      </c>
      <c r="C1658" s="38">
        <v>152700</v>
      </c>
    </row>
    <row r="1659" spans="1:3" x14ac:dyDescent="0.3">
      <c r="A1659" s="37" t="s">
        <v>0</v>
      </c>
      <c r="B1659" s="37" t="s">
        <v>53</v>
      </c>
      <c r="C1659" s="38">
        <v>125000</v>
      </c>
    </row>
    <row r="1660" spans="1:3" x14ac:dyDescent="0.3">
      <c r="A1660" s="37" t="s">
        <v>0</v>
      </c>
      <c r="B1660" s="37" t="s">
        <v>53</v>
      </c>
      <c r="C1660" s="38"/>
    </row>
    <row r="1661" spans="1:3" x14ac:dyDescent="0.3">
      <c r="A1661" s="37" t="s">
        <v>0</v>
      </c>
      <c r="B1661" s="37" t="s">
        <v>53</v>
      </c>
      <c r="C1661" s="38">
        <v>224500</v>
      </c>
    </row>
    <row r="1662" spans="1:3" x14ac:dyDescent="0.3">
      <c r="A1662" s="37" t="s">
        <v>0</v>
      </c>
      <c r="B1662" s="37" t="s">
        <v>53</v>
      </c>
      <c r="C1662" s="38">
        <v>165000</v>
      </c>
    </row>
    <row r="1663" spans="1:3" x14ac:dyDescent="0.3">
      <c r="A1663" s="37" t="s">
        <v>0</v>
      </c>
      <c r="B1663" s="37" t="s">
        <v>54</v>
      </c>
      <c r="C1663" s="38"/>
    </row>
    <row r="1664" spans="1:3" x14ac:dyDescent="0.3">
      <c r="A1664" s="37" t="s">
        <v>0</v>
      </c>
      <c r="B1664" s="37" t="s">
        <v>53</v>
      </c>
      <c r="C1664" s="38">
        <v>99150</v>
      </c>
    </row>
    <row r="1665" spans="1:3" x14ac:dyDescent="0.3">
      <c r="A1665" s="37" t="s">
        <v>0</v>
      </c>
      <c r="B1665" s="37" t="s">
        <v>54</v>
      </c>
      <c r="C1665" s="38">
        <v>237500</v>
      </c>
    </row>
    <row r="1666" spans="1:3" x14ac:dyDescent="0.3">
      <c r="A1666" s="37" t="s">
        <v>0</v>
      </c>
      <c r="B1666" s="37" t="s">
        <v>53</v>
      </c>
      <c r="C1666" s="38"/>
    </row>
    <row r="1667" spans="1:3" x14ac:dyDescent="0.3">
      <c r="A1667" s="37" t="s">
        <v>0</v>
      </c>
      <c r="B1667" s="37" t="s">
        <v>53</v>
      </c>
      <c r="C1667" s="38">
        <v>115000</v>
      </c>
    </row>
    <row r="1668" spans="1:3" x14ac:dyDescent="0.3">
      <c r="A1668" s="37" t="s">
        <v>0</v>
      </c>
      <c r="B1668" s="37" t="s">
        <v>53</v>
      </c>
      <c r="C1668" s="38"/>
    </row>
    <row r="1669" spans="1:3" x14ac:dyDescent="0.3">
      <c r="A1669" s="37" t="s">
        <v>0</v>
      </c>
      <c r="B1669" s="37" t="s">
        <v>53</v>
      </c>
      <c r="C1669" s="38">
        <v>167500</v>
      </c>
    </row>
    <row r="1670" spans="1:3" x14ac:dyDescent="0.3">
      <c r="A1670" s="37" t="s">
        <v>0</v>
      </c>
      <c r="B1670" s="37" t="s">
        <v>53</v>
      </c>
      <c r="C1670" s="38"/>
    </row>
    <row r="1671" spans="1:3" x14ac:dyDescent="0.3">
      <c r="A1671" s="37" t="s">
        <v>0</v>
      </c>
      <c r="B1671" s="37" t="s">
        <v>65</v>
      </c>
      <c r="C1671" s="38">
        <v>89100</v>
      </c>
    </row>
    <row r="1672" spans="1:3" x14ac:dyDescent="0.3">
      <c r="A1672" s="37" t="s">
        <v>0</v>
      </c>
      <c r="B1672" s="37" t="s">
        <v>64</v>
      </c>
      <c r="C1672" s="38">
        <v>157500</v>
      </c>
    </row>
    <row r="1673" spans="1:3" x14ac:dyDescent="0.3">
      <c r="A1673" s="37" t="s">
        <v>0</v>
      </c>
      <c r="B1673" s="37" t="s">
        <v>53</v>
      </c>
      <c r="C1673" s="38">
        <v>130000</v>
      </c>
    </row>
    <row r="1674" spans="1:3" x14ac:dyDescent="0.3">
      <c r="A1674" s="37" t="s">
        <v>0</v>
      </c>
      <c r="B1674" s="37" t="s">
        <v>53</v>
      </c>
      <c r="C1674" s="38">
        <v>105000</v>
      </c>
    </row>
    <row r="1675" spans="1:3" x14ac:dyDescent="0.3">
      <c r="A1675" s="37" t="s">
        <v>0</v>
      </c>
      <c r="B1675" s="37" t="s">
        <v>54</v>
      </c>
      <c r="C1675" s="38">
        <v>195500</v>
      </c>
    </row>
    <row r="1676" spans="1:3" x14ac:dyDescent="0.3">
      <c r="A1676" s="37" t="s">
        <v>0</v>
      </c>
      <c r="B1676" s="37" t="s">
        <v>54</v>
      </c>
      <c r="C1676" s="38"/>
    </row>
    <row r="1677" spans="1:3" x14ac:dyDescent="0.3">
      <c r="A1677" s="37" t="s">
        <v>0</v>
      </c>
      <c r="B1677" s="37" t="s">
        <v>53</v>
      </c>
      <c r="C1677" s="38"/>
    </row>
    <row r="1678" spans="1:3" x14ac:dyDescent="0.3">
      <c r="A1678" s="37" t="s">
        <v>0</v>
      </c>
      <c r="B1678" s="37" t="s">
        <v>53</v>
      </c>
      <c r="C1678" s="38">
        <v>90000</v>
      </c>
    </row>
    <row r="1679" spans="1:3" x14ac:dyDescent="0.3">
      <c r="A1679" s="37" t="s">
        <v>0</v>
      </c>
      <c r="B1679" s="37" t="s">
        <v>53</v>
      </c>
      <c r="C1679" s="38">
        <v>90000</v>
      </c>
    </row>
    <row r="1680" spans="1:3" x14ac:dyDescent="0.3">
      <c r="A1680" s="37" t="s">
        <v>0</v>
      </c>
      <c r="B1680" s="37" t="s">
        <v>53</v>
      </c>
      <c r="C1680" s="38">
        <v>90000</v>
      </c>
    </row>
    <row r="1681" spans="1:3" x14ac:dyDescent="0.3">
      <c r="A1681" s="37" t="s">
        <v>0</v>
      </c>
      <c r="B1681" s="37" t="s">
        <v>53</v>
      </c>
      <c r="C1681" s="38">
        <v>125000</v>
      </c>
    </row>
    <row r="1682" spans="1:3" x14ac:dyDescent="0.3">
      <c r="A1682" s="37" t="s">
        <v>0</v>
      </c>
      <c r="B1682" s="37" t="s">
        <v>53</v>
      </c>
      <c r="C1682" s="38">
        <v>135720</v>
      </c>
    </row>
    <row r="1683" spans="1:3" x14ac:dyDescent="0.3">
      <c r="A1683" s="37" t="s">
        <v>0</v>
      </c>
      <c r="B1683" s="37" t="s">
        <v>97</v>
      </c>
      <c r="C1683" s="38">
        <v>89100</v>
      </c>
    </row>
    <row r="1684" spans="1:3" x14ac:dyDescent="0.3">
      <c r="A1684" s="37" t="s">
        <v>0</v>
      </c>
      <c r="B1684" s="37" t="s">
        <v>53</v>
      </c>
      <c r="C1684" s="38">
        <v>225000</v>
      </c>
    </row>
    <row r="1685" spans="1:3" x14ac:dyDescent="0.3">
      <c r="A1685" s="37" t="s">
        <v>0</v>
      </c>
      <c r="B1685" s="37" t="s">
        <v>115</v>
      </c>
      <c r="C1685" s="38">
        <v>157500</v>
      </c>
    </row>
    <row r="1686" spans="1:3" x14ac:dyDescent="0.3">
      <c r="A1686" s="37" t="s">
        <v>0</v>
      </c>
      <c r="B1686" s="37" t="s">
        <v>53</v>
      </c>
      <c r="C1686" s="38">
        <v>109500</v>
      </c>
    </row>
    <row r="1687" spans="1:3" x14ac:dyDescent="0.3">
      <c r="A1687" s="37" t="s">
        <v>0</v>
      </c>
      <c r="B1687" s="37" t="s">
        <v>53</v>
      </c>
      <c r="C1687" s="38">
        <v>155000</v>
      </c>
    </row>
    <row r="1688" spans="1:3" x14ac:dyDescent="0.3">
      <c r="A1688" s="37" t="s">
        <v>0</v>
      </c>
      <c r="B1688" s="37" t="s">
        <v>53</v>
      </c>
      <c r="C1688" s="38">
        <v>84620</v>
      </c>
    </row>
    <row r="1689" spans="1:3" x14ac:dyDescent="0.3">
      <c r="A1689" s="37" t="s">
        <v>0</v>
      </c>
      <c r="B1689" s="37" t="s">
        <v>54</v>
      </c>
      <c r="C1689" s="38"/>
    </row>
    <row r="1690" spans="1:3" x14ac:dyDescent="0.3">
      <c r="A1690" s="37" t="s">
        <v>0</v>
      </c>
      <c r="B1690" s="37" t="s">
        <v>53</v>
      </c>
      <c r="C1690" s="38">
        <v>115000</v>
      </c>
    </row>
    <row r="1691" spans="1:3" x14ac:dyDescent="0.3">
      <c r="A1691" s="37" t="s">
        <v>0</v>
      </c>
      <c r="B1691" s="37" t="s">
        <v>53</v>
      </c>
      <c r="C1691" s="38">
        <v>115000</v>
      </c>
    </row>
    <row r="1692" spans="1:3" x14ac:dyDescent="0.3">
      <c r="A1692" s="37" t="s">
        <v>0</v>
      </c>
      <c r="B1692" s="37" t="s">
        <v>97</v>
      </c>
      <c r="C1692" s="38">
        <v>64821.5</v>
      </c>
    </row>
    <row r="1693" spans="1:3" x14ac:dyDescent="0.3">
      <c r="A1693" s="37" t="s">
        <v>0</v>
      </c>
      <c r="B1693" s="37" t="s">
        <v>88</v>
      </c>
      <c r="C1693" s="38">
        <v>81000</v>
      </c>
    </row>
    <row r="1694" spans="1:3" x14ac:dyDescent="0.3">
      <c r="A1694" s="37" t="s">
        <v>0</v>
      </c>
      <c r="B1694" s="37" t="s">
        <v>54</v>
      </c>
      <c r="C1694" s="38">
        <v>115000</v>
      </c>
    </row>
    <row r="1695" spans="1:3" x14ac:dyDescent="0.3">
      <c r="A1695" s="37" t="s">
        <v>0</v>
      </c>
      <c r="B1695" s="37" t="s">
        <v>54</v>
      </c>
      <c r="C1695" s="38">
        <v>105000</v>
      </c>
    </row>
    <row r="1696" spans="1:3" x14ac:dyDescent="0.3">
      <c r="A1696" s="37" t="s">
        <v>0</v>
      </c>
      <c r="B1696" s="37" t="s">
        <v>53</v>
      </c>
      <c r="C1696" s="38">
        <v>165000</v>
      </c>
    </row>
    <row r="1697" spans="1:3" x14ac:dyDescent="0.3">
      <c r="A1697" s="37" t="s">
        <v>0</v>
      </c>
      <c r="B1697" s="37" t="s">
        <v>53</v>
      </c>
      <c r="C1697" s="38">
        <v>105000</v>
      </c>
    </row>
    <row r="1698" spans="1:3" x14ac:dyDescent="0.3">
      <c r="A1698" s="37" t="s">
        <v>0</v>
      </c>
      <c r="B1698" s="37" t="s">
        <v>53</v>
      </c>
      <c r="C1698" s="38">
        <v>135000</v>
      </c>
    </row>
    <row r="1699" spans="1:3" x14ac:dyDescent="0.3">
      <c r="A1699" s="37" t="s">
        <v>0</v>
      </c>
      <c r="B1699" s="37" t="s">
        <v>53</v>
      </c>
      <c r="C1699" s="38">
        <v>115000</v>
      </c>
    </row>
    <row r="1700" spans="1:3" x14ac:dyDescent="0.3">
      <c r="A1700" s="37" t="s">
        <v>0</v>
      </c>
      <c r="B1700" s="37" t="s">
        <v>53</v>
      </c>
      <c r="C1700" s="38">
        <v>140000</v>
      </c>
    </row>
    <row r="1701" spans="1:3" x14ac:dyDescent="0.3">
      <c r="A1701" s="37" t="s">
        <v>0</v>
      </c>
      <c r="B1701" s="37" t="s">
        <v>54</v>
      </c>
      <c r="C1701" s="38">
        <v>113500</v>
      </c>
    </row>
    <row r="1702" spans="1:3" x14ac:dyDescent="0.3">
      <c r="A1702" s="37" t="s">
        <v>0</v>
      </c>
      <c r="B1702" s="37" t="s">
        <v>53</v>
      </c>
      <c r="C1702" s="38"/>
    </row>
    <row r="1703" spans="1:3" x14ac:dyDescent="0.3">
      <c r="A1703" s="37" t="s">
        <v>0</v>
      </c>
      <c r="B1703" s="37" t="s">
        <v>53</v>
      </c>
      <c r="C1703" s="38"/>
    </row>
    <row r="1704" spans="1:3" x14ac:dyDescent="0.3">
      <c r="A1704" s="37" t="s">
        <v>0</v>
      </c>
      <c r="B1704" s="37" t="s">
        <v>80</v>
      </c>
      <c r="C1704" s="38">
        <v>166941.5</v>
      </c>
    </row>
    <row r="1705" spans="1:3" x14ac:dyDescent="0.3">
      <c r="A1705" s="37" t="s">
        <v>0</v>
      </c>
      <c r="B1705" s="37" t="s">
        <v>53</v>
      </c>
      <c r="C1705" s="38">
        <v>130000</v>
      </c>
    </row>
    <row r="1706" spans="1:3" x14ac:dyDescent="0.3">
      <c r="A1706" s="37" t="s">
        <v>0</v>
      </c>
      <c r="B1706" s="37" t="s">
        <v>53</v>
      </c>
      <c r="C1706" s="38"/>
    </row>
    <row r="1707" spans="1:3" x14ac:dyDescent="0.3">
      <c r="A1707" s="37" t="s">
        <v>0</v>
      </c>
      <c r="B1707" s="37" t="s">
        <v>53</v>
      </c>
      <c r="C1707" s="38">
        <v>119550</v>
      </c>
    </row>
    <row r="1708" spans="1:3" x14ac:dyDescent="0.3">
      <c r="A1708" s="37" t="s">
        <v>0</v>
      </c>
      <c r="B1708" s="37" t="s">
        <v>53</v>
      </c>
      <c r="C1708" s="38">
        <v>152500</v>
      </c>
    </row>
    <row r="1709" spans="1:3" x14ac:dyDescent="0.3">
      <c r="A1709" s="37" t="s">
        <v>0</v>
      </c>
      <c r="B1709" s="37" t="s">
        <v>53</v>
      </c>
      <c r="C1709" s="38">
        <v>225000</v>
      </c>
    </row>
    <row r="1710" spans="1:3" x14ac:dyDescent="0.3">
      <c r="A1710" s="37" t="s">
        <v>0</v>
      </c>
      <c r="B1710" s="37" t="s">
        <v>53</v>
      </c>
      <c r="C1710" s="38">
        <v>90000</v>
      </c>
    </row>
    <row r="1711" spans="1:3" x14ac:dyDescent="0.3">
      <c r="A1711" s="37" t="s">
        <v>0</v>
      </c>
      <c r="B1711" s="37" t="s">
        <v>53</v>
      </c>
      <c r="C1711" s="38">
        <v>120000</v>
      </c>
    </row>
    <row r="1712" spans="1:3" x14ac:dyDescent="0.3">
      <c r="A1712" s="37" t="s">
        <v>0</v>
      </c>
      <c r="B1712" s="37" t="s">
        <v>53</v>
      </c>
      <c r="C1712" s="38"/>
    </row>
    <row r="1713" spans="1:3" x14ac:dyDescent="0.3">
      <c r="A1713" s="37" t="s">
        <v>0</v>
      </c>
      <c r="B1713" s="37" t="s">
        <v>54</v>
      </c>
      <c r="C1713" s="38"/>
    </row>
    <row r="1714" spans="1:3" x14ac:dyDescent="0.3">
      <c r="A1714" s="37" t="s">
        <v>0</v>
      </c>
      <c r="B1714" s="37" t="s">
        <v>53</v>
      </c>
      <c r="C1714" s="38"/>
    </row>
    <row r="1715" spans="1:3" x14ac:dyDescent="0.3">
      <c r="A1715" s="37" t="s">
        <v>0</v>
      </c>
      <c r="B1715" s="37" t="s">
        <v>53</v>
      </c>
      <c r="C1715" s="38">
        <v>152650</v>
      </c>
    </row>
    <row r="1716" spans="1:3" x14ac:dyDescent="0.3">
      <c r="A1716" s="37" t="s">
        <v>0</v>
      </c>
      <c r="B1716" s="37" t="s">
        <v>53</v>
      </c>
      <c r="C1716" s="38">
        <v>101950</v>
      </c>
    </row>
    <row r="1717" spans="1:3" x14ac:dyDescent="0.3">
      <c r="A1717" s="37" t="s">
        <v>0</v>
      </c>
      <c r="B1717" s="37" t="s">
        <v>53</v>
      </c>
      <c r="C1717" s="38">
        <v>130000</v>
      </c>
    </row>
    <row r="1718" spans="1:3" x14ac:dyDescent="0.3">
      <c r="A1718" s="37" t="s">
        <v>0</v>
      </c>
      <c r="B1718" s="37" t="s">
        <v>53</v>
      </c>
      <c r="C1718" s="38">
        <v>110000</v>
      </c>
    </row>
    <row r="1719" spans="1:3" x14ac:dyDescent="0.3">
      <c r="A1719" s="37" t="s">
        <v>0</v>
      </c>
      <c r="B1719" s="37" t="s">
        <v>53</v>
      </c>
      <c r="C1719" s="38">
        <v>127390</v>
      </c>
    </row>
    <row r="1720" spans="1:3" x14ac:dyDescent="0.3">
      <c r="A1720" s="37" t="s">
        <v>0</v>
      </c>
      <c r="B1720" s="37" t="s">
        <v>53</v>
      </c>
      <c r="C1720" s="38"/>
    </row>
    <row r="1721" spans="1:3" x14ac:dyDescent="0.3">
      <c r="A1721" s="37" t="s">
        <v>0</v>
      </c>
      <c r="B1721" s="37" t="s">
        <v>53</v>
      </c>
      <c r="C1721" s="38">
        <v>135233.34375</v>
      </c>
    </row>
    <row r="1722" spans="1:3" x14ac:dyDescent="0.3">
      <c r="A1722" s="37" t="s">
        <v>0</v>
      </c>
      <c r="B1722" s="37" t="s">
        <v>53</v>
      </c>
      <c r="C1722" s="38">
        <v>123500</v>
      </c>
    </row>
    <row r="1723" spans="1:3" x14ac:dyDescent="0.3">
      <c r="A1723" s="37" t="s">
        <v>0</v>
      </c>
      <c r="B1723" s="37" t="s">
        <v>53</v>
      </c>
      <c r="C1723" s="38">
        <v>90000</v>
      </c>
    </row>
    <row r="1724" spans="1:3" x14ac:dyDescent="0.3">
      <c r="A1724" s="37" t="s">
        <v>0</v>
      </c>
      <c r="B1724" s="37" t="s">
        <v>53</v>
      </c>
      <c r="C1724" s="38">
        <v>90000</v>
      </c>
    </row>
    <row r="1725" spans="1:3" x14ac:dyDescent="0.3">
      <c r="A1725" s="37" t="s">
        <v>0</v>
      </c>
      <c r="B1725" s="37" t="s">
        <v>80</v>
      </c>
      <c r="C1725" s="38">
        <v>64821.5</v>
      </c>
    </row>
    <row r="1726" spans="1:3" x14ac:dyDescent="0.3">
      <c r="A1726" s="37" t="s">
        <v>0</v>
      </c>
      <c r="B1726" s="37" t="s">
        <v>54</v>
      </c>
      <c r="C1726" s="38">
        <v>114500</v>
      </c>
    </row>
    <row r="1727" spans="1:3" x14ac:dyDescent="0.3">
      <c r="A1727" s="37" t="s">
        <v>0</v>
      </c>
      <c r="B1727" s="37" t="s">
        <v>53</v>
      </c>
      <c r="C1727" s="38"/>
    </row>
    <row r="1728" spans="1:3" x14ac:dyDescent="0.3">
      <c r="A1728" s="37" t="s">
        <v>0</v>
      </c>
      <c r="B1728" s="37" t="s">
        <v>53</v>
      </c>
      <c r="C1728" s="38"/>
    </row>
    <row r="1729" spans="1:3" x14ac:dyDescent="0.3">
      <c r="A1729" s="37" t="s">
        <v>0</v>
      </c>
      <c r="B1729" s="37" t="s">
        <v>53</v>
      </c>
      <c r="C1729" s="38"/>
    </row>
    <row r="1730" spans="1:3" x14ac:dyDescent="0.3">
      <c r="A1730" s="37" t="s">
        <v>0</v>
      </c>
      <c r="B1730" s="37" t="s">
        <v>53</v>
      </c>
      <c r="C1730" s="38">
        <v>63977</v>
      </c>
    </row>
    <row r="1731" spans="1:3" x14ac:dyDescent="0.3">
      <c r="A1731" s="37" t="s">
        <v>0</v>
      </c>
      <c r="B1731" s="37" t="s">
        <v>53</v>
      </c>
      <c r="C1731" s="38">
        <v>112500</v>
      </c>
    </row>
    <row r="1732" spans="1:3" x14ac:dyDescent="0.3">
      <c r="A1732" s="37" t="s">
        <v>0</v>
      </c>
      <c r="B1732" s="37" t="s">
        <v>53</v>
      </c>
      <c r="C1732" s="38"/>
    </row>
    <row r="1733" spans="1:3" x14ac:dyDescent="0.3">
      <c r="A1733" s="37" t="s">
        <v>0</v>
      </c>
      <c r="B1733" s="37" t="s">
        <v>53</v>
      </c>
      <c r="C1733" s="38">
        <v>186000</v>
      </c>
    </row>
    <row r="1734" spans="1:3" x14ac:dyDescent="0.3">
      <c r="A1734" s="37" t="s">
        <v>0</v>
      </c>
      <c r="B1734" s="37" t="s">
        <v>53</v>
      </c>
      <c r="C1734" s="38"/>
    </row>
    <row r="1735" spans="1:3" x14ac:dyDescent="0.3">
      <c r="A1735" s="37" t="s">
        <v>0</v>
      </c>
      <c r="B1735" s="37" t="s">
        <v>53</v>
      </c>
      <c r="C1735" s="38">
        <v>90000</v>
      </c>
    </row>
    <row r="1736" spans="1:3" x14ac:dyDescent="0.3">
      <c r="A1736" s="37" t="s">
        <v>0</v>
      </c>
      <c r="B1736" s="37" t="s">
        <v>53</v>
      </c>
      <c r="C1736" s="38"/>
    </row>
    <row r="1737" spans="1:3" x14ac:dyDescent="0.3">
      <c r="A1737" s="37" t="s">
        <v>0</v>
      </c>
      <c r="B1737" s="37" t="s">
        <v>53</v>
      </c>
      <c r="C1737" s="38">
        <v>109450</v>
      </c>
    </row>
    <row r="1738" spans="1:3" x14ac:dyDescent="0.3">
      <c r="A1738" s="37" t="s">
        <v>0</v>
      </c>
      <c r="B1738" s="37" t="s">
        <v>53</v>
      </c>
      <c r="C1738" s="38">
        <v>195500</v>
      </c>
    </row>
    <row r="1739" spans="1:3" x14ac:dyDescent="0.3">
      <c r="A1739" s="37" t="s">
        <v>0</v>
      </c>
      <c r="B1739" s="37" t="s">
        <v>53</v>
      </c>
      <c r="C1739" s="38"/>
    </row>
    <row r="1740" spans="1:3" x14ac:dyDescent="0.3">
      <c r="A1740" s="37" t="s">
        <v>0</v>
      </c>
      <c r="B1740" s="37" t="s">
        <v>80</v>
      </c>
      <c r="C1740" s="38">
        <v>79200</v>
      </c>
    </row>
    <row r="1741" spans="1:3" x14ac:dyDescent="0.3">
      <c r="A1741" s="37" t="s">
        <v>0</v>
      </c>
      <c r="B1741" s="37" t="s">
        <v>53</v>
      </c>
      <c r="C1741" s="38">
        <v>187000</v>
      </c>
    </row>
    <row r="1742" spans="1:3" x14ac:dyDescent="0.3">
      <c r="A1742" s="37" t="s">
        <v>0</v>
      </c>
      <c r="B1742" s="37" t="s">
        <v>53</v>
      </c>
      <c r="C1742" s="38">
        <v>115000</v>
      </c>
    </row>
    <row r="1743" spans="1:3" x14ac:dyDescent="0.3">
      <c r="A1743" s="37" t="s">
        <v>0</v>
      </c>
      <c r="B1743" s="37" t="s">
        <v>53</v>
      </c>
      <c r="C1743" s="38">
        <v>145000</v>
      </c>
    </row>
    <row r="1744" spans="1:3" x14ac:dyDescent="0.3">
      <c r="A1744" s="37" t="s">
        <v>0</v>
      </c>
      <c r="B1744" s="37" t="s">
        <v>53</v>
      </c>
      <c r="C1744" s="38">
        <v>115000</v>
      </c>
    </row>
    <row r="1745" spans="1:3" x14ac:dyDescent="0.3">
      <c r="A1745" s="37" t="s">
        <v>0</v>
      </c>
      <c r="B1745" s="37" t="s">
        <v>54</v>
      </c>
      <c r="C1745" s="38">
        <v>157000</v>
      </c>
    </row>
    <row r="1746" spans="1:3" x14ac:dyDescent="0.3">
      <c r="A1746" s="37" t="s">
        <v>0</v>
      </c>
      <c r="B1746" s="37" t="s">
        <v>54</v>
      </c>
      <c r="C1746" s="38">
        <v>59480</v>
      </c>
    </row>
    <row r="1747" spans="1:3" x14ac:dyDescent="0.3">
      <c r="A1747" s="37" t="s">
        <v>0</v>
      </c>
      <c r="B1747" s="37" t="s">
        <v>53</v>
      </c>
      <c r="C1747" s="38">
        <v>205000</v>
      </c>
    </row>
    <row r="1748" spans="1:3" x14ac:dyDescent="0.3">
      <c r="A1748" s="37" t="s">
        <v>0</v>
      </c>
      <c r="B1748" s="37" t="s">
        <v>53</v>
      </c>
      <c r="C1748" s="38">
        <v>158500</v>
      </c>
    </row>
    <row r="1749" spans="1:3" x14ac:dyDescent="0.3">
      <c r="A1749" s="37" t="s">
        <v>0</v>
      </c>
      <c r="B1749" s="37" t="s">
        <v>53</v>
      </c>
      <c r="C1749" s="38">
        <v>210000</v>
      </c>
    </row>
    <row r="1750" spans="1:3" x14ac:dyDescent="0.3">
      <c r="A1750" s="37" t="s">
        <v>0</v>
      </c>
      <c r="B1750" s="37" t="s">
        <v>122</v>
      </c>
      <c r="C1750" s="38">
        <v>157500</v>
      </c>
    </row>
    <row r="1751" spans="1:3" x14ac:dyDescent="0.3">
      <c r="A1751" s="37" t="s">
        <v>0</v>
      </c>
      <c r="B1751" s="37" t="s">
        <v>53</v>
      </c>
      <c r="C1751" s="38">
        <v>234500</v>
      </c>
    </row>
    <row r="1752" spans="1:3" x14ac:dyDescent="0.3">
      <c r="A1752" s="37" t="s">
        <v>0</v>
      </c>
      <c r="B1752" s="37" t="s">
        <v>53</v>
      </c>
      <c r="C1752" s="38"/>
    </row>
    <row r="1753" spans="1:3" x14ac:dyDescent="0.3">
      <c r="A1753" s="37" t="s">
        <v>0</v>
      </c>
      <c r="B1753" s="37" t="s">
        <v>53</v>
      </c>
      <c r="C1753" s="38">
        <v>157500</v>
      </c>
    </row>
    <row r="1754" spans="1:3" x14ac:dyDescent="0.3">
      <c r="A1754" s="37" t="s">
        <v>0</v>
      </c>
      <c r="B1754" s="37" t="s">
        <v>53</v>
      </c>
      <c r="C1754" s="38"/>
    </row>
    <row r="1755" spans="1:3" x14ac:dyDescent="0.3">
      <c r="A1755" s="37" t="s">
        <v>0</v>
      </c>
      <c r="B1755" s="37" t="s">
        <v>53</v>
      </c>
      <c r="C1755" s="38">
        <v>255000</v>
      </c>
    </row>
    <row r="1756" spans="1:3" x14ac:dyDescent="0.3">
      <c r="A1756" s="37" t="s">
        <v>0</v>
      </c>
      <c r="B1756" s="37" t="s">
        <v>72</v>
      </c>
      <c r="C1756" s="38">
        <v>89100</v>
      </c>
    </row>
    <row r="1757" spans="1:3" x14ac:dyDescent="0.3">
      <c r="A1757" s="37" t="s">
        <v>0</v>
      </c>
      <c r="B1757" s="37" t="s">
        <v>53</v>
      </c>
      <c r="C1757" s="38">
        <v>169500</v>
      </c>
    </row>
    <row r="1758" spans="1:3" x14ac:dyDescent="0.3">
      <c r="A1758" s="37" t="s">
        <v>0</v>
      </c>
      <c r="B1758" s="37" t="s">
        <v>53</v>
      </c>
      <c r="C1758" s="38">
        <v>200000</v>
      </c>
    </row>
    <row r="1759" spans="1:3" x14ac:dyDescent="0.3">
      <c r="A1759" s="37" t="s">
        <v>0</v>
      </c>
      <c r="B1759" s="37" t="s">
        <v>54</v>
      </c>
      <c r="C1759" s="38">
        <v>84692</v>
      </c>
    </row>
    <row r="1760" spans="1:3" x14ac:dyDescent="0.3">
      <c r="A1760" s="37" t="s">
        <v>0</v>
      </c>
      <c r="B1760" s="37" t="s">
        <v>53</v>
      </c>
      <c r="C1760" s="38"/>
    </row>
    <row r="1761" spans="1:3" x14ac:dyDescent="0.3">
      <c r="A1761" s="37" t="s">
        <v>0</v>
      </c>
      <c r="B1761" s="37" t="s">
        <v>53</v>
      </c>
      <c r="C1761" s="38">
        <v>90000</v>
      </c>
    </row>
    <row r="1762" spans="1:3" x14ac:dyDescent="0.3">
      <c r="A1762" s="37" t="s">
        <v>0</v>
      </c>
      <c r="B1762" s="37" t="s">
        <v>53</v>
      </c>
      <c r="C1762" s="38"/>
    </row>
    <row r="1763" spans="1:3" x14ac:dyDescent="0.3">
      <c r="A1763" s="37" t="s">
        <v>0</v>
      </c>
      <c r="B1763" s="37" t="s">
        <v>53</v>
      </c>
      <c r="C1763" s="38"/>
    </row>
    <row r="1764" spans="1:3" x14ac:dyDescent="0.3">
      <c r="A1764" s="37" t="s">
        <v>0</v>
      </c>
      <c r="B1764" s="37" t="s">
        <v>53</v>
      </c>
      <c r="C1764" s="38">
        <v>150000</v>
      </c>
    </row>
    <row r="1765" spans="1:3" x14ac:dyDescent="0.3">
      <c r="A1765" s="37" t="s">
        <v>0</v>
      </c>
      <c r="B1765" s="37" t="s">
        <v>53</v>
      </c>
      <c r="C1765" s="38">
        <v>205000</v>
      </c>
    </row>
    <row r="1766" spans="1:3" x14ac:dyDescent="0.3">
      <c r="A1766" s="37" t="s">
        <v>0</v>
      </c>
      <c r="B1766" s="37" t="s">
        <v>53</v>
      </c>
      <c r="C1766" s="38">
        <v>182500</v>
      </c>
    </row>
    <row r="1767" spans="1:3" x14ac:dyDescent="0.3">
      <c r="A1767" s="37" t="s">
        <v>0</v>
      </c>
      <c r="B1767" s="37" t="s">
        <v>53</v>
      </c>
      <c r="C1767" s="38">
        <v>160000</v>
      </c>
    </row>
    <row r="1768" spans="1:3" x14ac:dyDescent="0.3">
      <c r="A1768" s="37" t="s">
        <v>0</v>
      </c>
      <c r="B1768" s="37" t="s">
        <v>53</v>
      </c>
      <c r="C1768" s="38">
        <v>150000</v>
      </c>
    </row>
    <row r="1769" spans="1:3" x14ac:dyDescent="0.3">
      <c r="A1769" s="37" t="s">
        <v>0</v>
      </c>
      <c r="B1769" s="37" t="s">
        <v>53</v>
      </c>
      <c r="C1769" s="38"/>
    </row>
    <row r="1770" spans="1:3" x14ac:dyDescent="0.3">
      <c r="A1770" s="37" t="s">
        <v>0</v>
      </c>
      <c r="B1770" s="37" t="s">
        <v>54</v>
      </c>
      <c r="C1770" s="38">
        <v>180000</v>
      </c>
    </row>
    <row r="1771" spans="1:3" x14ac:dyDescent="0.3">
      <c r="A1771" s="37" t="s">
        <v>0</v>
      </c>
      <c r="B1771" s="37" t="s">
        <v>53</v>
      </c>
      <c r="C1771" s="38">
        <v>225000</v>
      </c>
    </row>
    <row r="1772" spans="1:3" x14ac:dyDescent="0.3">
      <c r="A1772" s="37" t="s">
        <v>0</v>
      </c>
      <c r="B1772" s="37" t="s">
        <v>54</v>
      </c>
      <c r="C1772" s="38"/>
    </row>
    <row r="1773" spans="1:3" x14ac:dyDescent="0.3">
      <c r="A1773" s="37" t="s">
        <v>0</v>
      </c>
      <c r="B1773" s="37" t="s">
        <v>58</v>
      </c>
      <c r="C1773" s="38"/>
    </row>
    <row r="1774" spans="1:3" x14ac:dyDescent="0.3">
      <c r="A1774" s="37" t="s">
        <v>0</v>
      </c>
      <c r="B1774" s="37" t="s">
        <v>54</v>
      </c>
      <c r="C1774" s="38">
        <v>132500</v>
      </c>
    </row>
    <row r="1775" spans="1:3" x14ac:dyDescent="0.3">
      <c r="A1775" s="37" t="s">
        <v>0</v>
      </c>
      <c r="B1775" s="37" t="s">
        <v>53</v>
      </c>
      <c r="C1775" s="38">
        <v>143500</v>
      </c>
    </row>
    <row r="1776" spans="1:3" x14ac:dyDescent="0.3">
      <c r="A1776" s="37" t="s">
        <v>0</v>
      </c>
      <c r="B1776" s="37" t="s">
        <v>53</v>
      </c>
      <c r="C1776" s="38"/>
    </row>
    <row r="1777" spans="1:3" x14ac:dyDescent="0.3">
      <c r="A1777" s="37" t="s">
        <v>0</v>
      </c>
      <c r="B1777" s="37" t="s">
        <v>73</v>
      </c>
      <c r="C1777" s="38">
        <v>157500</v>
      </c>
    </row>
    <row r="1778" spans="1:3" x14ac:dyDescent="0.3">
      <c r="A1778" s="37" t="s">
        <v>0</v>
      </c>
      <c r="B1778" s="37" t="s">
        <v>53</v>
      </c>
      <c r="C1778" s="38"/>
    </row>
    <row r="1779" spans="1:3" x14ac:dyDescent="0.3">
      <c r="A1779" s="37" t="s">
        <v>0</v>
      </c>
      <c r="B1779" s="37" t="s">
        <v>53</v>
      </c>
      <c r="C1779" s="38"/>
    </row>
    <row r="1780" spans="1:3" x14ac:dyDescent="0.3">
      <c r="A1780" s="37" t="s">
        <v>0</v>
      </c>
      <c r="B1780" s="37" t="s">
        <v>53</v>
      </c>
      <c r="C1780" s="38">
        <v>157375</v>
      </c>
    </row>
    <row r="1781" spans="1:3" x14ac:dyDescent="0.3">
      <c r="A1781" s="37" t="s">
        <v>0</v>
      </c>
      <c r="B1781" s="37" t="s">
        <v>53</v>
      </c>
      <c r="C1781" s="38">
        <v>220000</v>
      </c>
    </row>
    <row r="1782" spans="1:3" x14ac:dyDescent="0.3">
      <c r="A1782" s="37" t="s">
        <v>0</v>
      </c>
      <c r="B1782" s="37" t="s">
        <v>53</v>
      </c>
      <c r="C1782" s="38">
        <v>190000</v>
      </c>
    </row>
    <row r="1783" spans="1:3" x14ac:dyDescent="0.3">
      <c r="A1783" s="37" t="s">
        <v>0</v>
      </c>
      <c r="B1783" s="37" t="s">
        <v>53</v>
      </c>
      <c r="C1783" s="38">
        <v>125000</v>
      </c>
    </row>
    <row r="1784" spans="1:3" x14ac:dyDescent="0.3">
      <c r="A1784" s="37" t="s">
        <v>0</v>
      </c>
      <c r="B1784" s="37" t="s">
        <v>53</v>
      </c>
      <c r="C1784" s="38">
        <v>178500</v>
      </c>
    </row>
    <row r="1785" spans="1:3" x14ac:dyDescent="0.3">
      <c r="A1785" s="37" t="s">
        <v>0</v>
      </c>
      <c r="B1785" s="37" t="s">
        <v>53</v>
      </c>
      <c r="C1785" s="38">
        <v>106000</v>
      </c>
    </row>
    <row r="1786" spans="1:3" x14ac:dyDescent="0.3">
      <c r="A1786" s="37" t="s">
        <v>0</v>
      </c>
      <c r="B1786" s="37" t="s">
        <v>53</v>
      </c>
      <c r="C1786" s="38">
        <v>119550</v>
      </c>
    </row>
    <row r="1787" spans="1:3" x14ac:dyDescent="0.3">
      <c r="A1787" s="37" t="s">
        <v>0</v>
      </c>
      <c r="B1787" s="37" t="s">
        <v>53</v>
      </c>
      <c r="C1787" s="38">
        <v>120000</v>
      </c>
    </row>
    <row r="1788" spans="1:3" x14ac:dyDescent="0.3">
      <c r="A1788" s="37" t="s">
        <v>0</v>
      </c>
      <c r="B1788" s="37" t="s">
        <v>53</v>
      </c>
      <c r="C1788" s="38">
        <v>165000</v>
      </c>
    </row>
    <row r="1789" spans="1:3" x14ac:dyDescent="0.3">
      <c r="A1789" s="37" t="s">
        <v>0</v>
      </c>
      <c r="B1789" s="37" t="s">
        <v>75</v>
      </c>
      <c r="C1789" s="38">
        <v>56700</v>
      </c>
    </row>
    <row r="1790" spans="1:3" x14ac:dyDescent="0.3">
      <c r="A1790" s="37" t="s">
        <v>0</v>
      </c>
      <c r="B1790" s="37" t="s">
        <v>53</v>
      </c>
      <c r="C1790" s="38">
        <v>115000</v>
      </c>
    </row>
    <row r="1791" spans="1:3" x14ac:dyDescent="0.3">
      <c r="A1791" s="37" t="s">
        <v>0</v>
      </c>
      <c r="B1791" s="37" t="s">
        <v>53</v>
      </c>
      <c r="C1791" s="38"/>
    </row>
    <row r="1792" spans="1:3" x14ac:dyDescent="0.3">
      <c r="A1792" s="37" t="s">
        <v>0</v>
      </c>
      <c r="B1792" s="37" t="s">
        <v>53</v>
      </c>
      <c r="C1792" s="38">
        <v>79000</v>
      </c>
    </row>
    <row r="1793" spans="1:3" x14ac:dyDescent="0.3">
      <c r="A1793" s="37" t="s">
        <v>0</v>
      </c>
      <c r="B1793" s="37" t="s">
        <v>53</v>
      </c>
      <c r="C1793" s="38">
        <v>224500</v>
      </c>
    </row>
    <row r="1794" spans="1:3" x14ac:dyDescent="0.3">
      <c r="A1794" s="37" t="s">
        <v>0</v>
      </c>
      <c r="B1794" s="37" t="s">
        <v>71</v>
      </c>
      <c r="C1794" s="38">
        <v>157500</v>
      </c>
    </row>
    <row r="1795" spans="1:3" x14ac:dyDescent="0.3">
      <c r="A1795" s="37" t="s">
        <v>0</v>
      </c>
      <c r="B1795" s="37" t="s">
        <v>54</v>
      </c>
      <c r="C1795" s="38">
        <v>90000</v>
      </c>
    </row>
    <row r="1796" spans="1:3" x14ac:dyDescent="0.3">
      <c r="A1796" s="37" t="s">
        <v>0</v>
      </c>
      <c r="B1796" s="37" t="s">
        <v>72</v>
      </c>
      <c r="C1796" s="38">
        <v>64821.5</v>
      </c>
    </row>
    <row r="1797" spans="1:3" x14ac:dyDescent="0.3">
      <c r="A1797" s="37" t="s">
        <v>0</v>
      </c>
      <c r="B1797" s="37" t="s">
        <v>53</v>
      </c>
      <c r="C1797" s="38">
        <v>245000</v>
      </c>
    </row>
    <row r="1798" spans="1:3" x14ac:dyDescent="0.3">
      <c r="A1798" s="37" t="s">
        <v>0</v>
      </c>
      <c r="B1798" s="37" t="s">
        <v>53</v>
      </c>
      <c r="C1798" s="38">
        <v>207560</v>
      </c>
    </row>
    <row r="1799" spans="1:3" x14ac:dyDescent="0.3">
      <c r="A1799" s="37" t="s">
        <v>0</v>
      </c>
      <c r="B1799" s="37" t="s">
        <v>53</v>
      </c>
      <c r="C1799" s="38">
        <v>245000</v>
      </c>
    </row>
    <row r="1800" spans="1:3" x14ac:dyDescent="0.3">
      <c r="A1800" s="37" t="s">
        <v>0</v>
      </c>
      <c r="B1800" s="37" t="s">
        <v>53</v>
      </c>
      <c r="C1800" s="38"/>
    </row>
    <row r="1801" spans="1:3" x14ac:dyDescent="0.3">
      <c r="A1801" s="37" t="s">
        <v>0</v>
      </c>
      <c r="B1801" s="37" t="s">
        <v>54</v>
      </c>
      <c r="C1801" s="38"/>
    </row>
    <row r="1802" spans="1:3" x14ac:dyDescent="0.3">
      <c r="A1802" s="37" t="s">
        <v>0</v>
      </c>
      <c r="B1802" s="37" t="s">
        <v>53</v>
      </c>
      <c r="C1802" s="38">
        <v>74235</v>
      </c>
    </row>
    <row r="1803" spans="1:3" x14ac:dyDescent="0.3">
      <c r="A1803" s="37" t="s">
        <v>0</v>
      </c>
      <c r="B1803" s="37" t="s">
        <v>88</v>
      </c>
      <c r="C1803" s="38">
        <v>79200</v>
      </c>
    </row>
    <row r="1804" spans="1:3" x14ac:dyDescent="0.3">
      <c r="A1804" s="37" t="s">
        <v>0</v>
      </c>
      <c r="B1804" s="37" t="s">
        <v>54</v>
      </c>
      <c r="C1804" s="38">
        <v>104830</v>
      </c>
    </row>
    <row r="1805" spans="1:3" x14ac:dyDescent="0.3">
      <c r="A1805" s="37" t="s">
        <v>0</v>
      </c>
      <c r="B1805" s="37" t="s">
        <v>53</v>
      </c>
      <c r="C1805" s="38">
        <v>130000</v>
      </c>
    </row>
    <row r="1806" spans="1:3" x14ac:dyDescent="0.3">
      <c r="A1806" s="37" t="s">
        <v>0</v>
      </c>
      <c r="B1806" s="37" t="s">
        <v>53</v>
      </c>
      <c r="C1806" s="38"/>
    </row>
    <row r="1807" spans="1:3" x14ac:dyDescent="0.3">
      <c r="A1807" s="37" t="s">
        <v>0</v>
      </c>
      <c r="B1807" s="37" t="s">
        <v>53</v>
      </c>
      <c r="C1807" s="38">
        <v>190000</v>
      </c>
    </row>
    <row r="1808" spans="1:3" x14ac:dyDescent="0.3">
      <c r="A1808" s="37" t="s">
        <v>0</v>
      </c>
      <c r="B1808" s="37" t="s">
        <v>53</v>
      </c>
      <c r="C1808" s="38"/>
    </row>
    <row r="1809" spans="1:3" x14ac:dyDescent="0.3">
      <c r="A1809" s="37" t="s">
        <v>0</v>
      </c>
      <c r="B1809" s="37" t="s">
        <v>54</v>
      </c>
      <c r="C1809" s="38">
        <v>225000</v>
      </c>
    </row>
    <row r="1810" spans="1:3" x14ac:dyDescent="0.3">
      <c r="A1810" s="37" t="s">
        <v>0</v>
      </c>
      <c r="B1810" s="37" t="s">
        <v>53</v>
      </c>
      <c r="C1810" s="38"/>
    </row>
    <row r="1811" spans="1:3" x14ac:dyDescent="0.3">
      <c r="A1811" s="37" t="s">
        <v>0</v>
      </c>
      <c r="B1811" s="37" t="s">
        <v>53</v>
      </c>
      <c r="C1811" s="38">
        <v>115000</v>
      </c>
    </row>
    <row r="1812" spans="1:3" x14ac:dyDescent="0.3">
      <c r="A1812" s="37" t="s">
        <v>0</v>
      </c>
      <c r="B1812" s="37" t="s">
        <v>53</v>
      </c>
      <c r="C1812" s="38"/>
    </row>
    <row r="1813" spans="1:3" x14ac:dyDescent="0.3">
      <c r="A1813" s="37" t="s">
        <v>0</v>
      </c>
      <c r="B1813" s="37" t="s">
        <v>53</v>
      </c>
      <c r="C1813" s="38"/>
    </row>
    <row r="1814" spans="1:3" x14ac:dyDescent="0.3">
      <c r="A1814" s="37" t="s">
        <v>0</v>
      </c>
      <c r="B1814" s="37" t="s">
        <v>54</v>
      </c>
      <c r="C1814" s="38"/>
    </row>
    <row r="1815" spans="1:3" x14ac:dyDescent="0.3">
      <c r="A1815" s="37" t="s">
        <v>0</v>
      </c>
      <c r="B1815" s="37" t="s">
        <v>53</v>
      </c>
      <c r="C1815" s="38">
        <v>130000</v>
      </c>
    </row>
    <row r="1816" spans="1:3" x14ac:dyDescent="0.3">
      <c r="A1816" s="37" t="s">
        <v>0</v>
      </c>
      <c r="B1816" s="37" t="s">
        <v>54</v>
      </c>
      <c r="C1816" s="38"/>
    </row>
    <row r="1817" spans="1:3" x14ac:dyDescent="0.3">
      <c r="A1817" s="37" t="s">
        <v>0</v>
      </c>
      <c r="B1817" s="37" t="s">
        <v>53</v>
      </c>
      <c r="C1817" s="38"/>
    </row>
    <row r="1818" spans="1:3" x14ac:dyDescent="0.3">
      <c r="A1818" s="37" t="s">
        <v>0</v>
      </c>
      <c r="B1818" s="37" t="s">
        <v>53</v>
      </c>
      <c r="C1818" s="38"/>
    </row>
    <row r="1819" spans="1:3" x14ac:dyDescent="0.3">
      <c r="A1819" s="37" t="s">
        <v>0</v>
      </c>
      <c r="B1819" s="37" t="s">
        <v>70</v>
      </c>
      <c r="C1819" s="38">
        <v>89100</v>
      </c>
    </row>
    <row r="1820" spans="1:3" x14ac:dyDescent="0.3">
      <c r="A1820" s="37" t="s">
        <v>0</v>
      </c>
      <c r="B1820" s="37" t="s">
        <v>53</v>
      </c>
      <c r="C1820" s="38">
        <v>129500</v>
      </c>
    </row>
    <row r="1821" spans="1:3" x14ac:dyDescent="0.3">
      <c r="A1821" s="37" t="s">
        <v>0</v>
      </c>
      <c r="B1821" s="37" t="s">
        <v>123</v>
      </c>
      <c r="C1821" s="38">
        <v>55000</v>
      </c>
    </row>
    <row r="1822" spans="1:3" x14ac:dyDescent="0.3">
      <c r="A1822" s="37" t="s">
        <v>0</v>
      </c>
      <c r="B1822" s="37" t="s">
        <v>53</v>
      </c>
      <c r="C1822" s="38">
        <v>117500</v>
      </c>
    </row>
    <row r="1823" spans="1:3" x14ac:dyDescent="0.3">
      <c r="A1823" s="37" t="s">
        <v>0</v>
      </c>
      <c r="B1823" s="37" t="s">
        <v>72</v>
      </c>
      <c r="C1823" s="38">
        <v>157500</v>
      </c>
    </row>
    <row r="1824" spans="1:3" x14ac:dyDescent="0.3">
      <c r="A1824" s="37" t="s">
        <v>0</v>
      </c>
      <c r="B1824" s="37" t="s">
        <v>53</v>
      </c>
      <c r="C1824" s="38">
        <v>105000</v>
      </c>
    </row>
    <row r="1825" spans="1:3" x14ac:dyDescent="0.3">
      <c r="A1825" s="37" t="s">
        <v>0</v>
      </c>
      <c r="B1825" s="37" t="s">
        <v>53</v>
      </c>
      <c r="C1825" s="38"/>
    </row>
    <row r="1826" spans="1:3" x14ac:dyDescent="0.3">
      <c r="A1826" s="37" t="s">
        <v>0</v>
      </c>
      <c r="B1826" s="37" t="s">
        <v>54</v>
      </c>
      <c r="C1826" s="38"/>
    </row>
    <row r="1827" spans="1:3" x14ac:dyDescent="0.3">
      <c r="A1827" s="37" t="s">
        <v>0</v>
      </c>
      <c r="B1827" s="37" t="s">
        <v>53</v>
      </c>
      <c r="C1827" s="38">
        <v>136000</v>
      </c>
    </row>
    <row r="1828" spans="1:3" x14ac:dyDescent="0.3">
      <c r="A1828" s="37" t="s">
        <v>0</v>
      </c>
      <c r="B1828" s="37" t="s">
        <v>53</v>
      </c>
      <c r="C1828" s="38">
        <v>63000</v>
      </c>
    </row>
    <row r="1829" spans="1:3" x14ac:dyDescent="0.3">
      <c r="A1829" s="37" t="s">
        <v>0</v>
      </c>
      <c r="B1829" s="37" t="s">
        <v>53</v>
      </c>
      <c r="C1829" s="38">
        <v>224500</v>
      </c>
    </row>
    <row r="1830" spans="1:3" x14ac:dyDescent="0.3">
      <c r="A1830" s="37" t="s">
        <v>0</v>
      </c>
      <c r="B1830" s="37" t="s">
        <v>53</v>
      </c>
      <c r="C1830" s="38">
        <v>131867</v>
      </c>
    </row>
    <row r="1831" spans="1:3" x14ac:dyDescent="0.3">
      <c r="A1831" s="37" t="s">
        <v>0</v>
      </c>
      <c r="B1831" s="37" t="s">
        <v>74</v>
      </c>
      <c r="C1831" s="38">
        <v>139216</v>
      </c>
    </row>
    <row r="1832" spans="1:3" x14ac:dyDescent="0.3">
      <c r="A1832" s="37" t="s">
        <v>0</v>
      </c>
      <c r="B1832" s="37" t="s">
        <v>53</v>
      </c>
      <c r="C1832" s="38">
        <v>95303.5</v>
      </c>
    </row>
    <row r="1833" spans="1:3" x14ac:dyDescent="0.3">
      <c r="A1833" s="37" t="s">
        <v>0</v>
      </c>
      <c r="B1833" s="37" t="s">
        <v>53</v>
      </c>
      <c r="C1833" s="38">
        <v>133500</v>
      </c>
    </row>
    <row r="1834" spans="1:3" x14ac:dyDescent="0.3">
      <c r="A1834" s="37" t="s">
        <v>0</v>
      </c>
      <c r="B1834" s="37" t="s">
        <v>53</v>
      </c>
      <c r="C1834" s="38"/>
    </row>
    <row r="1835" spans="1:3" x14ac:dyDescent="0.3">
      <c r="A1835" s="37" t="s">
        <v>0</v>
      </c>
      <c r="B1835" s="37" t="s">
        <v>53</v>
      </c>
      <c r="C1835" s="38"/>
    </row>
    <row r="1836" spans="1:3" x14ac:dyDescent="0.3">
      <c r="A1836" s="37" t="s">
        <v>0</v>
      </c>
      <c r="B1836" s="37" t="s">
        <v>53</v>
      </c>
      <c r="C1836" s="38">
        <v>205000</v>
      </c>
    </row>
    <row r="1837" spans="1:3" x14ac:dyDescent="0.3">
      <c r="A1837" s="37" t="s">
        <v>0</v>
      </c>
      <c r="B1837" s="37" t="s">
        <v>53</v>
      </c>
      <c r="C1837" s="38"/>
    </row>
    <row r="1838" spans="1:3" x14ac:dyDescent="0.3">
      <c r="A1838" s="37" t="s">
        <v>0</v>
      </c>
      <c r="B1838" s="37" t="s">
        <v>54</v>
      </c>
      <c r="C1838" s="38">
        <v>162500</v>
      </c>
    </row>
    <row r="1839" spans="1:3" x14ac:dyDescent="0.3">
      <c r="A1839" s="37" t="s">
        <v>0</v>
      </c>
      <c r="B1839" s="37" t="s">
        <v>53</v>
      </c>
      <c r="C1839" s="38">
        <v>90000</v>
      </c>
    </row>
    <row r="1840" spans="1:3" x14ac:dyDescent="0.3">
      <c r="A1840" s="37" t="s">
        <v>0</v>
      </c>
      <c r="B1840" s="37" t="s">
        <v>81</v>
      </c>
      <c r="C1840" s="38">
        <v>90000</v>
      </c>
    </row>
    <row r="1841" spans="1:3" x14ac:dyDescent="0.3">
      <c r="A1841" s="37" t="s">
        <v>0</v>
      </c>
      <c r="B1841" s="37" t="s">
        <v>53</v>
      </c>
      <c r="C1841" s="38">
        <v>137500</v>
      </c>
    </row>
    <row r="1842" spans="1:3" x14ac:dyDescent="0.3">
      <c r="A1842" s="37" t="s">
        <v>0</v>
      </c>
      <c r="B1842" s="37" t="s">
        <v>53</v>
      </c>
      <c r="C1842" s="38">
        <v>162000</v>
      </c>
    </row>
    <row r="1843" spans="1:3" x14ac:dyDescent="0.3">
      <c r="A1843" s="37" t="s">
        <v>0</v>
      </c>
      <c r="B1843" s="37" t="s">
        <v>53</v>
      </c>
      <c r="C1843" s="38"/>
    </row>
    <row r="1844" spans="1:3" x14ac:dyDescent="0.3">
      <c r="A1844" s="37" t="s">
        <v>0</v>
      </c>
      <c r="B1844" s="37" t="s">
        <v>53</v>
      </c>
      <c r="C1844" s="38">
        <v>125000</v>
      </c>
    </row>
    <row r="1845" spans="1:3" x14ac:dyDescent="0.3">
      <c r="A1845" s="37" t="s">
        <v>0</v>
      </c>
      <c r="B1845" s="37" t="s">
        <v>53</v>
      </c>
      <c r="C1845" s="38">
        <v>195249.5</v>
      </c>
    </row>
    <row r="1846" spans="1:3" x14ac:dyDescent="0.3">
      <c r="A1846" s="37" t="s">
        <v>0</v>
      </c>
      <c r="B1846" s="37" t="s">
        <v>53</v>
      </c>
      <c r="C1846" s="38"/>
    </row>
    <row r="1847" spans="1:3" x14ac:dyDescent="0.3">
      <c r="A1847" s="37" t="s">
        <v>0</v>
      </c>
      <c r="B1847" s="37" t="s">
        <v>54</v>
      </c>
      <c r="C1847" s="38">
        <v>245000</v>
      </c>
    </row>
    <row r="1848" spans="1:3" x14ac:dyDescent="0.3">
      <c r="A1848" s="37" t="s">
        <v>0</v>
      </c>
      <c r="B1848" s="37" t="s">
        <v>53</v>
      </c>
      <c r="C1848" s="38">
        <v>110000</v>
      </c>
    </row>
    <row r="1849" spans="1:3" x14ac:dyDescent="0.3">
      <c r="A1849" s="37" t="s">
        <v>0</v>
      </c>
      <c r="B1849" s="37" t="s">
        <v>54</v>
      </c>
      <c r="C1849" s="38"/>
    </row>
    <row r="1850" spans="1:3" x14ac:dyDescent="0.3">
      <c r="A1850" s="37" t="s">
        <v>0</v>
      </c>
      <c r="B1850" s="37" t="s">
        <v>53</v>
      </c>
      <c r="C1850" s="38">
        <v>130000</v>
      </c>
    </row>
    <row r="1851" spans="1:3" x14ac:dyDescent="0.3">
      <c r="A1851" s="37" t="s">
        <v>0</v>
      </c>
      <c r="B1851" s="37" t="s">
        <v>54</v>
      </c>
      <c r="C1851" s="38">
        <v>165000</v>
      </c>
    </row>
    <row r="1852" spans="1:3" x14ac:dyDescent="0.3">
      <c r="A1852" s="37" t="s">
        <v>0</v>
      </c>
      <c r="B1852" s="37" t="s">
        <v>53</v>
      </c>
      <c r="C1852" s="38">
        <v>99876.2734375</v>
      </c>
    </row>
    <row r="1853" spans="1:3" x14ac:dyDescent="0.3">
      <c r="A1853" s="37" t="s">
        <v>0</v>
      </c>
      <c r="B1853" s="37" t="s">
        <v>53</v>
      </c>
      <c r="C1853" s="38">
        <v>196800</v>
      </c>
    </row>
    <row r="1854" spans="1:3" x14ac:dyDescent="0.3">
      <c r="A1854" s="37" t="s">
        <v>0</v>
      </c>
      <c r="B1854" s="37" t="s">
        <v>54</v>
      </c>
      <c r="C1854" s="38"/>
    </row>
    <row r="1855" spans="1:3" x14ac:dyDescent="0.3">
      <c r="A1855" s="37" t="s">
        <v>0</v>
      </c>
      <c r="B1855" s="37" t="s">
        <v>54</v>
      </c>
      <c r="C1855" s="38">
        <v>145000</v>
      </c>
    </row>
    <row r="1856" spans="1:3" x14ac:dyDescent="0.3">
      <c r="A1856" s="37" t="s">
        <v>0</v>
      </c>
      <c r="B1856" s="37" t="s">
        <v>53</v>
      </c>
      <c r="C1856" s="38">
        <v>125000</v>
      </c>
    </row>
    <row r="1857" spans="1:3" x14ac:dyDescent="0.3">
      <c r="A1857" s="37" t="s">
        <v>0</v>
      </c>
      <c r="B1857" s="37" t="s">
        <v>54</v>
      </c>
      <c r="C1857" s="38">
        <v>210000</v>
      </c>
    </row>
    <row r="1858" spans="1:3" x14ac:dyDescent="0.3">
      <c r="A1858" s="37" t="s">
        <v>0</v>
      </c>
      <c r="B1858" s="37" t="s">
        <v>53</v>
      </c>
      <c r="C1858" s="38">
        <v>192000</v>
      </c>
    </row>
    <row r="1859" spans="1:3" x14ac:dyDescent="0.3">
      <c r="A1859" s="37" t="s">
        <v>0</v>
      </c>
      <c r="B1859" s="37" t="s">
        <v>53</v>
      </c>
      <c r="C1859" s="38">
        <v>125000</v>
      </c>
    </row>
    <row r="1860" spans="1:3" x14ac:dyDescent="0.3">
      <c r="A1860" s="37" t="s">
        <v>0</v>
      </c>
      <c r="B1860" s="37" t="s">
        <v>53</v>
      </c>
      <c r="C1860" s="38">
        <v>190000</v>
      </c>
    </row>
    <row r="1861" spans="1:3" x14ac:dyDescent="0.3">
      <c r="A1861" s="37" t="s">
        <v>0</v>
      </c>
      <c r="B1861" s="37" t="s">
        <v>53</v>
      </c>
      <c r="C1861" s="38">
        <v>86000</v>
      </c>
    </row>
    <row r="1862" spans="1:3" x14ac:dyDescent="0.3">
      <c r="A1862" s="37" t="s">
        <v>0</v>
      </c>
      <c r="B1862" s="37" t="s">
        <v>53</v>
      </c>
      <c r="C1862" s="38">
        <v>110000</v>
      </c>
    </row>
    <row r="1863" spans="1:3" x14ac:dyDescent="0.3">
      <c r="A1863" s="37" t="s">
        <v>0</v>
      </c>
      <c r="B1863" s="37" t="s">
        <v>87</v>
      </c>
      <c r="C1863" s="38">
        <v>64821.5</v>
      </c>
    </row>
    <row r="1864" spans="1:3" x14ac:dyDescent="0.3">
      <c r="A1864" s="37" t="s">
        <v>0</v>
      </c>
      <c r="B1864" s="37" t="s">
        <v>53</v>
      </c>
      <c r="C1864" s="38"/>
    </row>
    <row r="1865" spans="1:3" x14ac:dyDescent="0.3">
      <c r="A1865" s="37" t="s">
        <v>0</v>
      </c>
      <c r="B1865" s="37" t="s">
        <v>53</v>
      </c>
      <c r="C1865" s="38">
        <v>120000</v>
      </c>
    </row>
    <row r="1866" spans="1:3" x14ac:dyDescent="0.3">
      <c r="A1866" s="37" t="s">
        <v>0</v>
      </c>
      <c r="B1866" s="37" t="s">
        <v>53</v>
      </c>
      <c r="C1866" s="38">
        <v>150000</v>
      </c>
    </row>
    <row r="1867" spans="1:3" x14ac:dyDescent="0.3">
      <c r="A1867" s="37" t="s">
        <v>0</v>
      </c>
      <c r="B1867" s="37" t="s">
        <v>54</v>
      </c>
      <c r="C1867" s="38">
        <v>110000</v>
      </c>
    </row>
    <row r="1868" spans="1:3" x14ac:dyDescent="0.3">
      <c r="A1868" s="37" t="s">
        <v>0</v>
      </c>
      <c r="B1868" s="37" t="s">
        <v>53</v>
      </c>
      <c r="C1868" s="38">
        <v>160000</v>
      </c>
    </row>
    <row r="1869" spans="1:3" x14ac:dyDescent="0.3">
      <c r="A1869" s="37" t="s">
        <v>0</v>
      </c>
      <c r="B1869" s="37" t="s">
        <v>53</v>
      </c>
      <c r="C1869" s="38">
        <v>225000</v>
      </c>
    </row>
    <row r="1870" spans="1:3" x14ac:dyDescent="0.3">
      <c r="A1870" s="37" t="s">
        <v>0</v>
      </c>
      <c r="B1870" s="37" t="s">
        <v>53</v>
      </c>
      <c r="C1870" s="38">
        <v>222500</v>
      </c>
    </row>
    <row r="1871" spans="1:3" x14ac:dyDescent="0.3">
      <c r="A1871" s="37" t="s">
        <v>0</v>
      </c>
      <c r="B1871" s="37" t="s">
        <v>53</v>
      </c>
      <c r="C1871" s="38">
        <v>103330</v>
      </c>
    </row>
    <row r="1872" spans="1:3" x14ac:dyDescent="0.3">
      <c r="A1872" s="37" t="s">
        <v>0</v>
      </c>
      <c r="B1872" s="37" t="s">
        <v>53</v>
      </c>
      <c r="C1872" s="38">
        <v>90000</v>
      </c>
    </row>
    <row r="1873" spans="1:3" x14ac:dyDescent="0.3">
      <c r="A1873" s="37" t="s">
        <v>0</v>
      </c>
      <c r="B1873" s="37" t="s">
        <v>53</v>
      </c>
      <c r="C1873" s="38">
        <v>140000</v>
      </c>
    </row>
    <row r="1874" spans="1:3" x14ac:dyDescent="0.3">
      <c r="A1874" s="37" t="s">
        <v>0</v>
      </c>
      <c r="B1874" s="37" t="s">
        <v>54</v>
      </c>
      <c r="C1874" s="38">
        <v>150000</v>
      </c>
    </row>
    <row r="1875" spans="1:3" x14ac:dyDescent="0.3">
      <c r="A1875" s="37" t="s">
        <v>0</v>
      </c>
      <c r="B1875" s="37" t="s">
        <v>53</v>
      </c>
      <c r="C1875" s="38"/>
    </row>
    <row r="1876" spans="1:3" x14ac:dyDescent="0.3">
      <c r="A1876" s="37" t="s">
        <v>0</v>
      </c>
      <c r="B1876" s="37" t="s">
        <v>53</v>
      </c>
      <c r="C1876" s="38">
        <v>145000</v>
      </c>
    </row>
    <row r="1877" spans="1:3" x14ac:dyDescent="0.3">
      <c r="A1877" s="37" t="s">
        <v>0</v>
      </c>
      <c r="B1877" s="37" t="s">
        <v>53</v>
      </c>
      <c r="C1877" s="38">
        <v>158857.5</v>
      </c>
    </row>
    <row r="1878" spans="1:3" x14ac:dyDescent="0.3">
      <c r="A1878" s="37" t="s">
        <v>0</v>
      </c>
      <c r="B1878" s="37" t="s">
        <v>53</v>
      </c>
      <c r="C1878" s="38">
        <v>96103</v>
      </c>
    </row>
    <row r="1879" spans="1:3" x14ac:dyDescent="0.3">
      <c r="A1879" s="37" t="s">
        <v>0</v>
      </c>
      <c r="B1879" s="37" t="s">
        <v>54</v>
      </c>
      <c r="C1879" s="38"/>
    </row>
    <row r="1880" spans="1:3" x14ac:dyDescent="0.3">
      <c r="A1880" s="37" t="s">
        <v>0</v>
      </c>
      <c r="B1880" s="37" t="s">
        <v>54</v>
      </c>
      <c r="C1880" s="38">
        <v>140000</v>
      </c>
    </row>
    <row r="1881" spans="1:3" x14ac:dyDescent="0.3">
      <c r="A1881" s="37" t="s">
        <v>0</v>
      </c>
      <c r="B1881" s="37" t="s">
        <v>53</v>
      </c>
      <c r="C1881" s="38">
        <v>157500</v>
      </c>
    </row>
    <row r="1882" spans="1:3" x14ac:dyDescent="0.3">
      <c r="A1882" s="37" t="s">
        <v>0</v>
      </c>
      <c r="B1882" s="37" t="s">
        <v>54</v>
      </c>
      <c r="C1882" s="38"/>
    </row>
    <row r="1883" spans="1:3" x14ac:dyDescent="0.3">
      <c r="A1883" s="37" t="s">
        <v>0</v>
      </c>
      <c r="B1883" s="37" t="s">
        <v>53</v>
      </c>
      <c r="C1883" s="38">
        <v>212500</v>
      </c>
    </row>
    <row r="1884" spans="1:3" x14ac:dyDescent="0.3">
      <c r="A1884" s="37" t="s">
        <v>0</v>
      </c>
      <c r="B1884" s="37" t="s">
        <v>54</v>
      </c>
      <c r="C1884" s="38">
        <v>110000</v>
      </c>
    </row>
    <row r="1885" spans="1:3" x14ac:dyDescent="0.3">
      <c r="A1885" s="37" t="s">
        <v>0</v>
      </c>
      <c r="B1885" s="37" t="s">
        <v>83</v>
      </c>
      <c r="C1885" s="38">
        <v>81900</v>
      </c>
    </row>
    <row r="1886" spans="1:3" x14ac:dyDescent="0.3">
      <c r="A1886" s="37" t="s">
        <v>0</v>
      </c>
      <c r="B1886" s="37" t="s">
        <v>54</v>
      </c>
      <c r="C1886" s="38">
        <v>250000</v>
      </c>
    </row>
    <row r="1887" spans="1:3" x14ac:dyDescent="0.3">
      <c r="A1887" s="37" t="s">
        <v>0</v>
      </c>
      <c r="B1887" s="37" t="s">
        <v>53</v>
      </c>
      <c r="C1887" s="38">
        <v>119550</v>
      </c>
    </row>
    <row r="1888" spans="1:3" x14ac:dyDescent="0.3">
      <c r="A1888" s="37" t="s">
        <v>0</v>
      </c>
      <c r="B1888" s="37" t="s">
        <v>97</v>
      </c>
      <c r="C1888" s="38">
        <v>56700</v>
      </c>
    </row>
    <row r="1889" spans="1:3" x14ac:dyDescent="0.3">
      <c r="A1889" s="37" t="s">
        <v>0</v>
      </c>
      <c r="B1889" s="37" t="s">
        <v>53</v>
      </c>
      <c r="C1889" s="38">
        <v>150000</v>
      </c>
    </row>
    <row r="1890" spans="1:3" x14ac:dyDescent="0.3">
      <c r="A1890" s="37" t="s">
        <v>0</v>
      </c>
      <c r="B1890" s="37" t="s">
        <v>53</v>
      </c>
      <c r="C1890" s="38">
        <v>150000</v>
      </c>
    </row>
    <row r="1891" spans="1:3" x14ac:dyDescent="0.3">
      <c r="A1891" s="37" t="s">
        <v>0</v>
      </c>
      <c r="B1891" s="37" t="s">
        <v>53</v>
      </c>
      <c r="C1891" s="38">
        <v>113000</v>
      </c>
    </row>
    <row r="1892" spans="1:3" x14ac:dyDescent="0.3">
      <c r="A1892" s="37" t="s">
        <v>0</v>
      </c>
      <c r="B1892" s="37" t="s">
        <v>53</v>
      </c>
      <c r="C1892" s="38">
        <v>132500</v>
      </c>
    </row>
    <row r="1893" spans="1:3" x14ac:dyDescent="0.3">
      <c r="A1893" s="37" t="s">
        <v>0</v>
      </c>
      <c r="B1893" s="37" t="s">
        <v>54</v>
      </c>
      <c r="C1893" s="38"/>
    </row>
    <row r="1894" spans="1:3" x14ac:dyDescent="0.3">
      <c r="A1894" s="37" t="s">
        <v>0</v>
      </c>
      <c r="B1894" s="37" t="s">
        <v>121</v>
      </c>
      <c r="C1894" s="38">
        <v>88128</v>
      </c>
    </row>
    <row r="1895" spans="1:3" x14ac:dyDescent="0.3">
      <c r="A1895" s="37" t="s">
        <v>0</v>
      </c>
      <c r="B1895" s="37" t="s">
        <v>104</v>
      </c>
      <c r="C1895" s="38">
        <v>157500</v>
      </c>
    </row>
    <row r="1896" spans="1:3" x14ac:dyDescent="0.3">
      <c r="A1896" s="37" t="s">
        <v>0</v>
      </c>
      <c r="B1896" s="37" t="s">
        <v>53</v>
      </c>
      <c r="C1896" s="38"/>
    </row>
    <row r="1897" spans="1:3" x14ac:dyDescent="0.3">
      <c r="A1897" s="37" t="s">
        <v>0</v>
      </c>
      <c r="B1897" s="37" t="s">
        <v>53</v>
      </c>
      <c r="C1897" s="38">
        <v>232500</v>
      </c>
    </row>
    <row r="1898" spans="1:3" x14ac:dyDescent="0.3">
      <c r="A1898" s="37" t="s">
        <v>0</v>
      </c>
      <c r="B1898" s="37" t="s">
        <v>53</v>
      </c>
      <c r="C1898" s="38"/>
    </row>
    <row r="1899" spans="1:3" x14ac:dyDescent="0.3">
      <c r="A1899" s="37" t="s">
        <v>0</v>
      </c>
      <c r="B1899" s="37" t="s">
        <v>53</v>
      </c>
      <c r="C1899" s="38"/>
    </row>
    <row r="1900" spans="1:3" x14ac:dyDescent="0.3">
      <c r="A1900" s="37" t="s">
        <v>0</v>
      </c>
      <c r="B1900" s="37" t="s">
        <v>53</v>
      </c>
      <c r="C1900" s="38">
        <v>115000</v>
      </c>
    </row>
    <row r="1901" spans="1:3" x14ac:dyDescent="0.3">
      <c r="A1901" s="37" t="s">
        <v>0</v>
      </c>
      <c r="B1901" s="37" t="s">
        <v>53</v>
      </c>
      <c r="C1901" s="38">
        <v>135359.34375</v>
      </c>
    </row>
    <row r="1902" spans="1:3" x14ac:dyDescent="0.3">
      <c r="A1902" s="37" t="s">
        <v>0</v>
      </c>
      <c r="B1902" s="37" t="s">
        <v>53</v>
      </c>
      <c r="C1902" s="38">
        <v>108281</v>
      </c>
    </row>
    <row r="1903" spans="1:3" x14ac:dyDescent="0.3">
      <c r="A1903" s="37" t="s">
        <v>0</v>
      </c>
      <c r="B1903" s="37" t="s">
        <v>53</v>
      </c>
      <c r="C1903" s="38"/>
    </row>
    <row r="1904" spans="1:3" x14ac:dyDescent="0.3">
      <c r="A1904" s="37" t="s">
        <v>0</v>
      </c>
      <c r="B1904" s="37" t="s">
        <v>54</v>
      </c>
      <c r="C1904" s="38"/>
    </row>
    <row r="1905" spans="1:3" x14ac:dyDescent="0.3">
      <c r="A1905" s="37" t="s">
        <v>0</v>
      </c>
      <c r="B1905" s="37" t="s">
        <v>54</v>
      </c>
      <c r="C1905" s="38">
        <v>97500</v>
      </c>
    </row>
    <row r="1906" spans="1:3" x14ac:dyDescent="0.3">
      <c r="A1906" s="37" t="s">
        <v>0</v>
      </c>
      <c r="B1906" s="37" t="s">
        <v>88</v>
      </c>
      <c r="C1906" s="38">
        <v>79200</v>
      </c>
    </row>
    <row r="1907" spans="1:3" x14ac:dyDescent="0.3">
      <c r="A1907" s="37" t="s">
        <v>0</v>
      </c>
      <c r="B1907" s="37" t="s">
        <v>53</v>
      </c>
      <c r="C1907" s="38"/>
    </row>
    <row r="1908" spans="1:3" x14ac:dyDescent="0.3">
      <c r="A1908" s="37" t="s">
        <v>0</v>
      </c>
      <c r="B1908" s="37" t="s">
        <v>54</v>
      </c>
      <c r="C1908" s="38">
        <v>110000</v>
      </c>
    </row>
    <row r="1909" spans="1:3" x14ac:dyDescent="0.3">
      <c r="A1909" s="37" t="s">
        <v>0</v>
      </c>
      <c r="B1909" s="37" t="s">
        <v>53</v>
      </c>
      <c r="C1909" s="38">
        <v>185000</v>
      </c>
    </row>
    <row r="1910" spans="1:3" x14ac:dyDescent="0.3">
      <c r="A1910" s="37" t="s">
        <v>0</v>
      </c>
      <c r="B1910" s="37" t="s">
        <v>53</v>
      </c>
      <c r="C1910" s="38">
        <v>115000</v>
      </c>
    </row>
    <row r="1911" spans="1:3" x14ac:dyDescent="0.3">
      <c r="A1911" s="37" t="s">
        <v>0</v>
      </c>
      <c r="B1911" s="37" t="s">
        <v>53</v>
      </c>
      <c r="C1911" s="38">
        <v>197500</v>
      </c>
    </row>
    <row r="1912" spans="1:3" x14ac:dyDescent="0.3">
      <c r="A1912" s="37" t="s">
        <v>0</v>
      </c>
      <c r="B1912" s="37" t="s">
        <v>54</v>
      </c>
      <c r="C1912" s="38">
        <v>200000</v>
      </c>
    </row>
    <row r="1913" spans="1:3" x14ac:dyDescent="0.3">
      <c r="A1913" s="37" t="s">
        <v>0</v>
      </c>
      <c r="B1913" s="37" t="s">
        <v>53</v>
      </c>
      <c r="C1913" s="38"/>
    </row>
    <row r="1914" spans="1:3" x14ac:dyDescent="0.3">
      <c r="A1914" s="37" t="s">
        <v>0</v>
      </c>
      <c r="B1914" s="37" t="s">
        <v>53</v>
      </c>
      <c r="C1914" s="38">
        <v>80000</v>
      </c>
    </row>
    <row r="1915" spans="1:3" x14ac:dyDescent="0.3">
      <c r="A1915" s="37" t="s">
        <v>0</v>
      </c>
      <c r="B1915" s="37" t="s">
        <v>53</v>
      </c>
      <c r="C1915" s="38"/>
    </row>
    <row r="1916" spans="1:3" x14ac:dyDescent="0.3">
      <c r="A1916" s="37" t="s">
        <v>0</v>
      </c>
      <c r="B1916" s="37" t="s">
        <v>54</v>
      </c>
      <c r="C1916" s="38"/>
    </row>
    <row r="1917" spans="1:3" x14ac:dyDescent="0.3">
      <c r="A1917" s="37" t="s">
        <v>0</v>
      </c>
      <c r="B1917" s="37" t="s">
        <v>53</v>
      </c>
      <c r="C1917" s="38">
        <v>247500</v>
      </c>
    </row>
    <row r="1918" spans="1:3" x14ac:dyDescent="0.3">
      <c r="A1918" s="37" t="s">
        <v>0</v>
      </c>
      <c r="B1918" s="37" t="s">
        <v>53</v>
      </c>
      <c r="C1918" s="38"/>
    </row>
    <row r="1919" spans="1:3" x14ac:dyDescent="0.3">
      <c r="A1919" s="37" t="s">
        <v>0</v>
      </c>
      <c r="B1919" s="37" t="s">
        <v>53</v>
      </c>
      <c r="C1919" s="38">
        <v>200000</v>
      </c>
    </row>
    <row r="1920" spans="1:3" x14ac:dyDescent="0.3">
      <c r="A1920" s="37" t="s">
        <v>0</v>
      </c>
      <c r="B1920" s="37" t="s">
        <v>54</v>
      </c>
      <c r="C1920" s="38">
        <v>135000</v>
      </c>
    </row>
    <row r="1921" spans="1:3" x14ac:dyDescent="0.3">
      <c r="A1921" s="37" t="s">
        <v>0</v>
      </c>
      <c r="B1921" s="37" t="s">
        <v>53</v>
      </c>
      <c r="C1921" s="38">
        <v>107665</v>
      </c>
    </row>
    <row r="1922" spans="1:3" x14ac:dyDescent="0.3">
      <c r="A1922" s="37" t="s">
        <v>0</v>
      </c>
      <c r="B1922" s="37" t="s">
        <v>53</v>
      </c>
      <c r="C1922" s="38"/>
    </row>
    <row r="1923" spans="1:3" x14ac:dyDescent="0.3">
      <c r="A1923" s="37" t="s">
        <v>0</v>
      </c>
      <c r="B1923" s="37" t="s">
        <v>53</v>
      </c>
      <c r="C1923" s="38">
        <v>167500</v>
      </c>
    </row>
    <row r="1924" spans="1:3" x14ac:dyDescent="0.3">
      <c r="A1924" s="37" t="s">
        <v>0</v>
      </c>
      <c r="B1924" s="37" t="s">
        <v>53</v>
      </c>
      <c r="C1924" s="38">
        <v>119550</v>
      </c>
    </row>
    <row r="1925" spans="1:3" x14ac:dyDescent="0.3">
      <c r="A1925" s="37" t="s">
        <v>0</v>
      </c>
      <c r="B1925" s="37" t="s">
        <v>53</v>
      </c>
      <c r="C1925" s="38">
        <v>125000</v>
      </c>
    </row>
    <row r="1926" spans="1:3" x14ac:dyDescent="0.3">
      <c r="A1926" s="37" t="s">
        <v>0</v>
      </c>
      <c r="B1926" s="37" t="s">
        <v>53</v>
      </c>
      <c r="C1926" s="38">
        <v>111030</v>
      </c>
    </row>
    <row r="1927" spans="1:3" x14ac:dyDescent="0.3">
      <c r="A1927" s="37" t="s">
        <v>0</v>
      </c>
      <c r="B1927" s="37" t="s">
        <v>97</v>
      </c>
      <c r="C1927" s="38">
        <v>80850</v>
      </c>
    </row>
    <row r="1928" spans="1:3" x14ac:dyDescent="0.3">
      <c r="A1928" s="37" t="s">
        <v>0</v>
      </c>
      <c r="B1928" s="37" t="s">
        <v>79</v>
      </c>
      <c r="C1928" s="38">
        <v>50400</v>
      </c>
    </row>
    <row r="1929" spans="1:3" x14ac:dyDescent="0.3">
      <c r="A1929" s="37" t="s">
        <v>0</v>
      </c>
      <c r="B1929" s="37" t="s">
        <v>63</v>
      </c>
      <c r="C1929" s="38">
        <v>64821.5</v>
      </c>
    </row>
    <row r="1930" spans="1:3" x14ac:dyDescent="0.3">
      <c r="A1930" s="37" t="s">
        <v>0</v>
      </c>
      <c r="B1930" s="37" t="s">
        <v>53</v>
      </c>
      <c r="C1930" s="38">
        <v>300000</v>
      </c>
    </row>
    <row r="1931" spans="1:3" x14ac:dyDescent="0.3">
      <c r="A1931" s="37" t="s">
        <v>0</v>
      </c>
      <c r="B1931" s="37" t="s">
        <v>53</v>
      </c>
      <c r="C1931" s="38"/>
    </row>
    <row r="1932" spans="1:3" x14ac:dyDescent="0.3">
      <c r="A1932" s="37" t="s">
        <v>0</v>
      </c>
      <c r="B1932" s="37" t="s">
        <v>53</v>
      </c>
      <c r="C1932" s="38"/>
    </row>
    <row r="1933" spans="1:3" x14ac:dyDescent="0.3">
      <c r="A1933" s="37" t="s">
        <v>0</v>
      </c>
      <c r="B1933" s="37" t="s">
        <v>53</v>
      </c>
      <c r="C1933" s="38">
        <v>133340</v>
      </c>
    </row>
    <row r="1934" spans="1:3" x14ac:dyDescent="0.3">
      <c r="A1934" s="37" t="s">
        <v>0</v>
      </c>
      <c r="B1934" s="37" t="s">
        <v>87</v>
      </c>
      <c r="C1934" s="38">
        <v>131867</v>
      </c>
    </row>
    <row r="1935" spans="1:3" x14ac:dyDescent="0.3">
      <c r="A1935" s="37" t="s">
        <v>0</v>
      </c>
      <c r="B1935" s="37" t="s">
        <v>53</v>
      </c>
      <c r="C1935" s="38"/>
    </row>
    <row r="1936" spans="1:3" x14ac:dyDescent="0.3">
      <c r="A1936" s="37" t="s">
        <v>0</v>
      </c>
      <c r="B1936" s="37" t="s">
        <v>54</v>
      </c>
      <c r="C1936" s="38"/>
    </row>
    <row r="1937" spans="1:3" x14ac:dyDescent="0.3">
      <c r="A1937" s="37" t="s">
        <v>0</v>
      </c>
      <c r="B1937" s="37" t="s">
        <v>53</v>
      </c>
      <c r="C1937" s="38">
        <v>155000</v>
      </c>
    </row>
    <row r="1938" spans="1:3" x14ac:dyDescent="0.3">
      <c r="A1938" s="37" t="s">
        <v>0</v>
      </c>
      <c r="B1938" s="37" t="s">
        <v>53</v>
      </c>
      <c r="C1938" s="38">
        <v>136400</v>
      </c>
    </row>
    <row r="1939" spans="1:3" x14ac:dyDescent="0.3">
      <c r="A1939" s="37" t="s">
        <v>0</v>
      </c>
      <c r="B1939" s="37" t="s">
        <v>53</v>
      </c>
      <c r="C1939" s="38">
        <v>197000</v>
      </c>
    </row>
    <row r="1940" spans="1:3" x14ac:dyDescent="0.3">
      <c r="A1940" s="37" t="s">
        <v>0</v>
      </c>
      <c r="B1940" s="37" t="s">
        <v>54</v>
      </c>
      <c r="C1940" s="38"/>
    </row>
    <row r="1941" spans="1:3" x14ac:dyDescent="0.3">
      <c r="A1941" s="37" t="s">
        <v>0</v>
      </c>
      <c r="B1941" s="37" t="s">
        <v>53</v>
      </c>
      <c r="C1941" s="38">
        <v>130000</v>
      </c>
    </row>
    <row r="1942" spans="1:3" x14ac:dyDescent="0.3">
      <c r="A1942" s="37" t="s">
        <v>0</v>
      </c>
      <c r="B1942" s="37" t="s">
        <v>54</v>
      </c>
      <c r="C1942" s="38">
        <v>130000</v>
      </c>
    </row>
    <row r="1943" spans="1:3" x14ac:dyDescent="0.3">
      <c r="A1943" s="37" t="s">
        <v>0</v>
      </c>
      <c r="B1943" s="37" t="s">
        <v>54</v>
      </c>
      <c r="C1943" s="38">
        <v>132500</v>
      </c>
    </row>
    <row r="1944" spans="1:3" x14ac:dyDescent="0.3">
      <c r="A1944" s="37" t="s">
        <v>0</v>
      </c>
      <c r="B1944" s="37" t="s">
        <v>53</v>
      </c>
      <c r="C1944" s="38"/>
    </row>
    <row r="1945" spans="1:3" x14ac:dyDescent="0.3">
      <c r="A1945" s="37" t="s">
        <v>0</v>
      </c>
      <c r="B1945" s="37" t="s">
        <v>72</v>
      </c>
      <c r="C1945" s="38">
        <v>88128</v>
      </c>
    </row>
    <row r="1946" spans="1:3" x14ac:dyDescent="0.3">
      <c r="A1946" s="37" t="s">
        <v>0</v>
      </c>
      <c r="B1946" s="37" t="s">
        <v>53</v>
      </c>
      <c r="C1946" s="38">
        <v>90000</v>
      </c>
    </row>
    <row r="1947" spans="1:3" x14ac:dyDescent="0.3">
      <c r="A1947" s="37" t="s">
        <v>0</v>
      </c>
      <c r="B1947" s="37" t="s">
        <v>53</v>
      </c>
      <c r="C1947" s="38"/>
    </row>
    <row r="1948" spans="1:3" x14ac:dyDescent="0.3">
      <c r="A1948" s="37" t="s">
        <v>0</v>
      </c>
      <c r="B1948" s="37" t="s">
        <v>53</v>
      </c>
      <c r="C1948" s="38">
        <v>160000</v>
      </c>
    </row>
    <row r="1949" spans="1:3" x14ac:dyDescent="0.3">
      <c r="A1949" s="37" t="s">
        <v>0</v>
      </c>
      <c r="B1949" s="37" t="s">
        <v>53</v>
      </c>
      <c r="C1949" s="38">
        <v>117500</v>
      </c>
    </row>
    <row r="1950" spans="1:3" x14ac:dyDescent="0.3">
      <c r="A1950" s="37" t="s">
        <v>0</v>
      </c>
      <c r="B1950" s="37" t="s">
        <v>53</v>
      </c>
      <c r="C1950" s="38"/>
    </row>
    <row r="1951" spans="1:3" x14ac:dyDescent="0.3">
      <c r="A1951" s="37" t="s">
        <v>0</v>
      </c>
      <c r="B1951" s="37" t="s">
        <v>53</v>
      </c>
      <c r="C1951" s="38">
        <v>150500</v>
      </c>
    </row>
    <row r="1952" spans="1:3" x14ac:dyDescent="0.3">
      <c r="A1952" s="37" t="s">
        <v>0</v>
      </c>
      <c r="B1952" s="37" t="s">
        <v>53</v>
      </c>
      <c r="C1952" s="38">
        <v>106759</v>
      </c>
    </row>
    <row r="1953" spans="1:3" x14ac:dyDescent="0.3">
      <c r="A1953" s="37" t="s">
        <v>0</v>
      </c>
      <c r="B1953" s="37" t="s">
        <v>53</v>
      </c>
      <c r="C1953" s="38"/>
    </row>
    <row r="1954" spans="1:3" x14ac:dyDescent="0.3">
      <c r="A1954" s="37" t="s">
        <v>0</v>
      </c>
      <c r="B1954" s="37" t="s">
        <v>53</v>
      </c>
      <c r="C1954" s="38"/>
    </row>
    <row r="1955" spans="1:3" x14ac:dyDescent="0.3">
      <c r="A1955" s="37" t="s">
        <v>0</v>
      </c>
      <c r="B1955" s="37" t="s">
        <v>53</v>
      </c>
      <c r="C1955" s="38"/>
    </row>
    <row r="1956" spans="1:3" x14ac:dyDescent="0.3">
      <c r="A1956" s="37" t="s">
        <v>0</v>
      </c>
      <c r="B1956" s="37" t="s">
        <v>54</v>
      </c>
      <c r="C1956" s="38">
        <v>171000</v>
      </c>
    </row>
    <row r="1957" spans="1:3" x14ac:dyDescent="0.3">
      <c r="A1957" s="37" t="s">
        <v>0</v>
      </c>
      <c r="B1957" s="37" t="s">
        <v>53</v>
      </c>
      <c r="C1957" s="38">
        <v>90000</v>
      </c>
    </row>
    <row r="1958" spans="1:3" x14ac:dyDescent="0.3">
      <c r="A1958" s="37" t="s">
        <v>0</v>
      </c>
      <c r="B1958" s="37" t="s">
        <v>53</v>
      </c>
      <c r="C1958" s="38">
        <v>155000</v>
      </c>
    </row>
    <row r="1959" spans="1:3" x14ac:dyDescent="0.3">
      <c r="A1959" s="37" t="s">
        <v>0</v>
      </c>
      <c r="B1959" s="37" t="s">
        <v>53</v>
      </c>
      <c r="C1959" s="38">
        <v>157000</v>
      </c>
    </row>
    <row r="1960" spans="1:3" x14ac:dyDescent="0.3">
      <c r="A1960" s="37" t="s">
        <v>0</v>
      </c>
      <c r="B1960" s="37" t="s">
        <v>53</v>
      </c>
      <c r="C1960" s="38">
        <v>74235</v>
      </c>
    </row>
    <row r="1961" spans="1:3" x14ac:dyDescent="0.3">
      <c r="A1961" s="37" t="s">
        <v>0</v>
      </c>
      <c r="B1961" s="37" t="s">
        <v>53</v>
      </c>
      <c r="C1961" s="38">
        <v>100750</v>
      </c>
    </row>
    <row r="1962" spans="1:3" x14ac:dyDescent="0.3">
      <c r="A1962" s="37" t="s">
        <v>0</v>
      </c>
      <c r="B1962" s="37" t="s">
        <v>53</v>
      </c>
      <c r="C1962" s="38"/>
    </row>
    <row r="1963" spans="1:3" x14ac:dyDescent="0.3">
      <c r="A1963" s="37" t="s">
        <v>0</v>
      </c>
      <c r="B1963" s="37" t="s">
        <v>53</v>
      </c>
      <c r="C1963" s="38">
        <v>115000</v>
      </c>
    </row>
    <row r="1964" spans="1:3" x14ac:dyDescent="0.3">
      <c r="A1964" s="37" t="s">
        <v>0</v>
      </c>
      <c r="B1964" s="37" t="s">
        <v>54</v>
      </c>
      <c r="C1964" s="38"/>
    </row>
    <row r="1965" spans="1:3" x14ac:dyDescent="0.3">
      <c r="A1965" s="37" t="s">
        <v>0</v>
      </c>
      <c r="B1965" s="37" t="s">
        <v>53</v>
      </c>
      <c r="C1965" s="38"/>
    </row>
    <row r="1966" spans="1:3" x14ac:dyDescent="0.3">
      <c r="A1966" s="37" t="s">
        <v>0</v>
      </c>
      <c r="B1966" s="37" t="s">
        <v>53</v>
      </c>
      <c r="C1966" s="38">
        <v>122500</v>
      </c>
    </row>
    <row r="1967" spans="1:3" x14ac:dyDescent="0.3">
      <c r="A1967" s="37" t="s">
        <v>0</v>
      </c>
      <c r="B1967" s="37" t="s">
        <v>53</v>
      </c>
      <c r="C1967" s="38">
        <v>102500</v>
      </c>
    </row>
    <row r="1968" spans="1:3" x14ac:dyDescent="0.3">
      <c r="A1968" s="37" t="s">
        <v>0</v>
      </c>
      <c r="B1968" s="37" t="s">
        <v>53</v>
      </c>
      <c r="C1968" s="38">
        <v>199000</v>
      </c>
    </row>
    <row r="1969" spans="1:3" x14ac:dyDescent="0.3">
      <c r="A1969" s="37" t="s">
        <v>0</v>
      </c>
      <c r="B1969" s="37" t="s">
        <v>54</v>
      </c>
      <c r="C1969" s="38">
        <v>94157</v>
      </c>
    </row>
    <row r="1970" spans="1:3" x14ac:dyDescent="0.3">
      <c r="A1970" s="37" t="s">
        <v>0</v>
      </c>
      <c r="B1970" s="37" t="s">
        <v>53</v>
      </c>
      <c r="C1970" s="38">
        <v>70000</v>
      </c>
    </row>
    <row r="1971" spans="1:3" x14ac:dyDescent="0.3">
      <c r="A1971" s="37" t="s">
        <v>0</v>
      </c>
      <c r="B1971" s="37" t="s">
        <v>95</v>
      </c>
      <c r="C1971" s="38">
        <v>157500</v>
      </c>
    </row>
    <row r="1972" spans="1:3" x14ac:dyDescent="0.3">
      <c r="A1972" s="37" t="s">
        <v>0</v>
      </c>
      <c r="B1972" s="37" t="s">
        <v>53</v>
      </c>
      <c r="C1972" s="38"/>
    </row>
    <row r="1973" spans="1:3" x14ac:dyDescent="0.3">
      <c r="A1973" s="37" t="s">
        <v>0</v>
      </c>
      <c r="B1973" s="37" t="s">
        <v>53</v>
      </c>
      <c r="C1973" s="38">
        <v>92671.25</v>
      </c>
    </row>
    <row r="1974" spans="1:3" x14ac:dyDescent="0.3">
      <c r="A1974" s="37" t="s">
        <v>0</v>
      </c>
      <c r="B1974" s="37" t="s">
        <v>53</v>
      </c>
      <c r="C1974" s="38">
        <v>125000</v>
      </c>
    </row>
    <row r="1975" spans="1:3" x14ac:dyDescent="0.3">
      <c r="A1975" s="37" t="s">
        <v>0</v>
      </c>
      <c r="B1975" s="37" t="s">
        <v>53</v>
      </c>
      <c r="C1975" s="38">
        <v>132662</v>
      </c>
    </row>
    <row r="1976" spans="1:3" x14ac:dyDescent="0.3">
      <c r="A1976" s="37" t="s">
        <v>0</v>
      </c>
      <c r="B1976" s="37" t="s">
        <v>64</v>
      </c>
      <c r="C1976" s="38">
        <v>157500</v>
      </c>
    </row>
    <row r="1977" spans="1:3" x14ac:dyDescent="0.3">
      <c r="A1977" s="37" t="s">
        <v>0</v>
      </c>
      <c r="B1977" s="37" t="s">
        <v>53</v>
      </c>
      <c r="C1977" s="38">
        <v>154000</v>
      </c>
    </row>
    <row r="1978" spans="1:3" x14ac:dyDescent="0.3">
      <c r="A1978" s="37" t="s">
        <v>0</v>
      </c>
      <c r="B1978" s="37" t="s">
        <v>53</v>
      </c>
      <c r="C1978" s="38">
        <v>106500</v>
      </c>
    </row>
    <row r="1979" spans="1:3" x14ac:dyDescent="0.3">
      <c r="A1979" s="37" t="s">
        <v>0</v>
      </c>
      <c r="B1979" s="37" t="s">
        <v>53</v>
      </c>
      <c r="C1979" s="38">
        <v>143500</v>
      </c>
    </row>
    <row r="1980" spans="1:3" x14ac:dyDescent="0.3">
      <c r="A1980" s="37" t="s">
        <v>0</v>
      </c>
      <c r="B1980" s="37" t="s">
        <v>53</v>
      </c>
      <c r="C1980" s="38">
        <v>205000</v>
      </c>
    </row>
    <row r="1981" spans="1:3" x14ac:dyDescent="0.3">
      <c r="A1981" s="37" t="s">
        <v>0</v>
      </c>
      <c r="B1981" s="37" t="s">
        <v>80</v>
      </c>
      <c r="C1981" s="38">
        <v>157500</v>
      </c>
    </row>
    <row r="1982" spans="1:3" x14ac:dyDescent="0.3">
      <c r="A1982" s="37" t="s">
        <v>0</v>
      </c>
      <c r="B1982" s="37" t="s">
        <v>54</v>
      </c>
      <c r="C1982" s="38">
        <v>125000</v>
      </c>
    </row>
    <row r="1983" spans="1:3" x14ac:dyDescent="0.3">
      <c r="A1983" s="37" t="s">
        <v>0</v>
      </c>
      <c r="B1983" s="37" t="s">
        <v>53</v>
      </c>
      <c r="C1983" s="38"/>
    </row>
    <row r="1984" spans="1:3" x14ac:dyDescent="0.3">
      <c r="A1984" s="37" t="s">
        <v>0</v>
      </c>
      <c r="B1984" s="37" t="s">
        <v>53</v>
      </c>
      <c r="C1984" s="38">
        <v>101840</v>
      </c>
    </row>
    <row r="1985" spans="1:3" x14ac:dyDescent="0.3">
      <c r="A1985" s="37" t="s">
        <v>0</v>
      </c>
      <c r="B1985" s="37" t="s">
        <v>53</v>
      </c>
      <c r="C1985" s="38">
        <v>107330</v>
      </c>
    </row>
    <row r="1986" spans="1:3" x14ac:dyDescent="0.3">
      <c r="A1986" s="37" t="s">
        <v>0</v>
      </c>
      <c r="B1986" s="37" t="s">
        <v>58</v>
      </c>
      <c r="C1986" s="38"/>
    </row>
    <row r="1987" spans="1:3" x14ac:dyDescent="0.3">
      <c r="A1987" s="37" t="s">
        <v>0</v>
      </c>
      <c r="B1987" s="37" t="s">
        <v>53</v>
      </c>
      <c r="C1987" s="38"/>
    </row>
    <row r="1988" spans="1:3" x14ac:dyDescent="0.3">
      <c r="A1988" s="37" t="s">
        <v>0</v>
      </c>
      <c r="B1988" s="37" t="s">
        <v>53</v>
      </c>
      <c r="C1988" s="38">
        <v>265000</v>
      </c>
    </row>
    <row r="1989" spans="1:3" x14ac:dyDescent="0.3">
      <c r="A1989" s="37" t="s">
        <v>0</v>
      </c>
      <c r="B1989" s="37" t="s">
        <v>81</v>
      </c>
      <c r="C1989" s="38">
        <v>90000</v>
      </c>
    </row>
    <row r="1990" spans="1:3" x14ac:dyDescent="0.3">
      <c r="A1990" s="37" t="s">
        <v>0</v>
      </c>
      <c r="B1990" s="37" t="s">
        <v>53</v>
      </c>
      <c r="C1990" s="38">
        <v>130000</v>
      </c>
    </row>
    <row r="1991" spans="1:3" x14ac:dyDescent="0.3">
      <c r="A1991" s="37" t="s">
        <v>0</v>
      </c>
      <c r="B1991" s="37" t="s">
        <v>54</v>
      </c>
      <c r="C1991" s="38">
        <v>240000</v>
      </c>
    </row>
    <row r="1992" spans="1:3" x14ac:dyDescent="0.3">
      <c r="A1992" s="37" t="s">
        <v>0</v>
      </c>
      <c r="B1992" s="37" t="s">
        <v>53</v>
      </c>
      <c r="C1992" s="38">
        <v>230000</v>
      </c>
    </row>
    <row r="1993" spans="1:3" x14ac:dyDescent="0.3">
      <c r="A1993" s="37" t="s">
        <v>0</v>
      </c>
      <c r="B1993" s="37" t="s">
        <v>53</v>
      </c>
      <c r="C1993" s="38">
        <v>175000</v>
      </c>
    </row>
    <row r="1994" spans="1:3" x14ac:dyDescent="0.3">
      <c r="A1994" s="37" t="s">
        <v>0</v>
      </c>
      <c r="B1994" s="37" t="s">
        <v>53</v>
      </c>
      <c r="C1994" s="38">
        <v>110000</v>
      </c>
    </row>
    <row r="1995" spans="1:3" x14ac:dyDescent="0.3">
      <c r="A1995" s="37" t="s">
        <v>0</v>
      </c>
      <c r="B1995" s="37" t="s">
        <v>53</v>
      </c>
      <c r="C1995" s="38">
        <v>82500</v>
      </c>
    </row>
    <row r="1996" spans="1:3" x14ac:dyDescent="0.3">
      <c r="A1996" s="37" t="s">
        <v>0</v>
      </c>
      <c r="B1996" s="37" t="s">
        <v>53</v>
      </c>
      <c r="C1996" s="38">
        <v>136500</v>
      </c>
    </row>
    <row r="1997" spans="1:3" x14ac:dyDescent="0.3">
      <c r="A1997" s="37" t="s">
        <v>0</v>
      </c>
      <c r="B1997" s="37" t="s">
        <v>72</v>
      </c>
      <c r="C1997" s="38">
        <v>89100</v>
      </c>
    </row>
    <row r="1998" spans="1:3" x14ac:dyDescent="0.3">
      <c r="A1998" s="37" t="s">
        <v>0</v>
      </c>
      <c r="B1998" s="37" t="s">
        <v>53</v>
      </c>
      <c r="C1998" s="38">
        <v>65000</v>
      </c>
    </row>
    <row r="1999" spans="1:3" x14ac:dyDescent="0.3">
      <c r="A1999" s="37" t="s">
        <v>0</v>
      </c>
      <c r="B1999" s="37" t="s">
        <v>97</v>
      </c>
      <c r="C1999" s="38">
        <v>157500</v>
      </c>
    </row>
    <row r="2000" spans="1:3" x14ac:dyDescent="0.3">
      <c r="A2000" s="37" t="s">
        <v>0</v>
      </c>
      <c r="B2000" s="37" t="s">
        <v>53</v>
      </c>
      <c r="C2000" s="38">
        <v>99876.2734375</v>
      </c>
    </row>
    <row r="2001" spans="1:3" x14ac:dyDescent="0.3">
      <c r="A2001" s="37" t="s">
        <v>0</v>
      </c>
      <c r="B2001" s="37" t="s">
        <v>53</v>
      </c>
      <c r="C2001" s="38">
        <v>130000</v>
      </c>
    </row>
    <row r="2002" spans="1:3" x14ac:dyDescent="0.3">
      <c r="A2002" s="37" t="s">
        <v>0</v>
      </c>
      <c r="B2002" s="37" t="s">
        <v>53</v>
      </c>
      <c r="C2002" s="38">
        <v>55000</v>
      </c>
    </row>
    <row r="2003" spans="1:3" x14ac:dyDescent="0.3">
      <c r="A2003" s="37" t="s">
        <v>0</v>
      </c>
      <c r="B2003" s="37" t="s">
        <v>72</v>
      </c>
      <c r="C2003" s="38">
        <v>88128</v>
      </c>
    </row>
    <row r="2004" spans="1:3" x14ac:dyDescent="0.3">
      <c r="A2004" s="37" t="s">
        <v>0</v>
      </c>
      <c r="B2004" s="37" t="s">
        <v>53</v>
      </c>
      <c r="C2004" s="38"/>
    </row>
    <row r="2005" spans="1:3" x14ac:dyDescent="0.3">
      <c r="A2005" s="37" t="s">
        <v>0</v>
      </c>
      <c r="B2005" s="37" t="s">
        <v>53</v>
      </c>
      <c r="C2005" s="38"/>
    </row>
    <row r="2006" spans="1:3" x14ac:dyDescent="0.3">
      <c r="A2006" s="37" t="s">
        <v>0</v>
      </c>
      <c r="B2006" s="37" t="s">
        <v>53</v>
      </c>
      <c r="C2006" s="38">
        <v>149750</v>
      </c>
    </row>
    <row r="2007" spans="1:3" x14ac:dyDescent="0.3">
      <c r="A2007" s="37" t="s">
        <v>0</v>
      </c>
      <c r="B2007" s="37" t="s">
        <v>53</v>
      </c>
      <c r="C2007" s="38">
        <v>115000</v>
      </c>
    </row>
    <row r="2008" spans="1:3" x14ac:dyDescent="0.3">
      <c r="A2008" s="37" t="s">
        <v>0</v>
      </c>
      <c r="B2008" s="37" t="s">
        <v>54</v>
      </c>
      <c r="C2008" s="38"/>
    </row>
    <row r="2009" spans="1:3" x14ac:dyDescent="0.3">
      <c r="A2009" s="37" t="s">
        <v>0</v>
      </c>
      <c r="B2009" s="37" t="s">
        <v>53</v>
      </c>
      <c r="C2009" s="38">
        <v>141500</v>
      </c>
    </row>
    <row r="2010" spans="1:3" x14ac:dyDescent="0.3">
      <c r="A2010" s="37" t="s">
        <v>0</v>
      </c>
      <c r="B2010" s="37" t="s">
        <v>70</v>
      </c>
      <c r="C2010" s="38">
        <v>157500</v>
      </c>
    </row>
    <row r="2011" spans="1:3" x14ac:dyDescent="0.3">
      <c r="A2011" s="37" t="s">
        <v>0</v>
      </c>
      <c r="B2011" s="37" t="s">
        <v>86</v>
      </c>
      <c r="C2011" s="38">
        <v>157500</v>
      </c>
    </row>
    <row r="2012" spans="1:3" x14ac:dyDescent="0.3">
      <c r="A2012" s="37" t="s">
        <v>0</v>
      </c>
      <c r="B2012" s="37" t="s">
        <v>53</v>
      </c>
      <c r="C2012" s="38">
        <v>170500</v>
      </c>
    </row>
    <row r="2013" spans="1:3" x14ac:dyDescent="0.3">
      <c r="A2013" s="37" t="s">
        <v>0</v>
      </c>
      <c r="B2013" s="37" t="s">
        <v>53</v>
      </c>
      <c r="C2013" s="38">
        <v>90000</v>
      </c>
    </row>
    <row r="2014" spans="1:3" x14ac:dyDescent="0.3">
      <c r="A2014" s="37" t="s">
        <v>0</v>
      </c>
      <c r="B2014" s="37" t="s">
        <v>54</v>
      </c>
      <c r="C2014" s="38">
        <v>100000</v>
      </c>
    </row>
    <row r="2015" spans="1:3" x14ac:dyDescent="0.3">
      <c r="A2015" s="37" t="s">
        <v>0</v>
      </c>
      <c r="B2015" s="37" t="s">
        <v>110</v>
      </c>
      <c r="C2015" s="38">
        <v>87307.5</v>
      </c>
    </row>
    <row r="2016" spans="1:3" x14ac:dyDescent="0.3">
      <c r="A2016" s="37" t="s">
        <v>0</v>
      </c>
      <c r="B2016" s="37" t="s">
        <v>69</v>
      </c>
      <c r="C2016" s="38">
        <v>105650</v>
      </c>
    </row>
    <row r="2017" spans="1:3" x14ac:dyDescent="0.3">
      <c r="A2017" s="37" t="s">
        <v>0</v>
      </c>
      <c r="B2017" s="37" t="s">
        <v>53</v>
      </c>
      <c r="C2017" s="38">
        <v>175000</v>
      </c>
    </row>
    <row r="2018" spans="1:3" x14ac:dyDescent="0.3">
      <c r="A2018" s="37" t="s">
        <v>0</v>
      </c>
      <c r="B2018" s="37" t="s">
        <v>53</v>
      </c>
      <c r="C2018" s="38"/>
    </row>
    <row r="2019" spans="1:3" x14ac:dyDescent="0.3">
      <c r="A2019" s="37" t="s">
        <v>0</v>
      </c>
      <c r="B2019" s="37" t="s">
        <v>53</v>
      </c>
      <c r="C2019" s="38">
        <v>223000</v>
      </c>
    </row>
    <row r="2020" spans="1:3" x14ac:dyDescent="0.3">
      <c r="A2020" s="37" t="s">
        <v>0</v>
      </c>
      <c r="B2020" s="37" t="s">
        <v>53</v>
      </c>
      <c r="C2020" s="38">
        <v>90000</v>
      </c>
    </row>
    <row r="2021" spans="1:3" x14ac:dyDescent="0.3">
      <c r="A2021" s="37" t="s">
        <v>0</v>
      </c>
      <c r="B2021" s="37" t="s">
        <v>54</v>
      </c>
      <c r="C2021" s="38">
        <v>105138</v>
      </c>
    </row>
    <row r="2022" spans="1:3" x14ac:dyDescent="0.3">
      <c r="A2022" s="37" t="s">
        <v>0</v>
      </c>
      <c r="B2022" s="37" t="s">
        <v>53</v>
      </c>
      <c r="C2022" s="38"/>
    </row>
    <row r="2023" spans="1:3" x14ac:dyDescent="0.3">
      <c r="A2023" s="37" t="s">
        <v>0</v>
      </c>
      <c r="B2023" s="37" t="s">
        <v>53</v>
      </c>
      <c r="C2023" s="38">
        <v>92500</v>
      </c>
    </row>
    <row r="2024" spans="1:3" x14ac:dyDescent="0.3">
      <c r="A2024" s="37" t="s">
        <v>0</v>
      </c>
      <c r="B2024" s="37" t="s">
        <v>53</v>
      </c>
      <c r="C2024" s="38">
        <v>145000</v>
      </c>
    </row>
    <row r="2025" spans="1:3" x14ac:dyDescent="0.3">
      <c r="A2025" s="37" t="s">
        <v>0</v>
      </c>
      <c r="B2025" s="37" t="s">
        <v>53</v>
      </c>
      <c r="C2025" s="38">
        <v>140000</v>
      </c>
    </row>
    <row r="2026" spans="1:3" x14ac:dyDescent="0.3">
      <c r="A2026" s="37" t="s">
        <v>0</v>
      </c>
      <c r="B2026" s="37" t="s">
        <v>72</v>
      </c>
      <c r="C2026" s="38">
        <v>132500</v>
      </c>
    </row>
    <row r="2027" spans="1:3" x14ac:dyDescent="0.3">
      <c r="A2027" s="37" t="s">
        <v>0</v>
      </c>
      <c r="B2027" s="37" t="s">
        <v>72</v>
      </c>
      <c r="C2027" s="38">
        <v>88128</v>
      </c>
    </row>
    <row r="2028" spans="1:3" x14ac:dyDescent="0.3">
      <c r="A2028" s="37" t="s">
        <v>0</v>
      </c>
      <c r="B2028" s="37" t="s">
        <v>53</v>
      </c>
      <c r="C2028" s="38">
        <v>110000</v>
      </c>
    </row>
    <row r="2029" spans="1:3" x14ac:dyDescent="0.3">
      <c r="A2029" s="37" t="s">
        <v>0</v>
      </c>
      <c r="B2029" s="37" t="s">
        <v>53</v>
      </c>
      <c r="C2029" s="38">
        <v>92500</v>
      </c>
    </row>
    <row r="2030" spans="1:3" x14ac:dyDescent="0.3">
      <c r="A2030" s="37" t="s">
        <v>0</v>
      </c>
      <c r="B2030" s="37" t="s">
        <v>97</v>
      </c>
      <c r="C2030" s="38">
        <v>63321.5</v>
      </c>
    </row>
    <row r="2031" spans="1:3" x14ac:dyDescent="0.3">
      <c r="A2031" s="37" t="s">
        <v>0</v>
      </c>
      <c r="B2031" s="37" t="s">
        <v>88</v>
      </c>
      <c r="C2031" s="38">
        <v>157500</v>
      </c>
    </row>
    <row r="2032" spans="1:3" x14ac:dyDescent="0.3">
      <c r="A2032" s="37" t="s">
        <v>0</v>
      </c>
      <c r="B2032" s="37" t="s">
        <v>54</v>
      </c>
      <c r="C2032" s="38"/>
    </row>
    <row r="2033" spans="1:3" x14ac:dyDescent="0.3">
      <c r="A2033" s="37" t="s">
        <v>0</v>
      </c>
      <c r="B2033" s="37" t="s">
        <v>54</v>
      </c>
      <c r="C2033" s="38">
        <v>65000</v>
      </c>
    </row>
    <row r="2034" spans="1:3" x14ac:dyDescent="0.3">
      <c r="A2034" s="37" t="s">
        <v>0</v>
      </c>
      <c r="B2034" s="37" t="s">
        <v>54</v>
      </c>
      <c r="C2034" s="38">
        <v>155000</v>
      </c>
    </row>
    <row r="2035" spans="1:3" x14ac:dyDescent="0.3">
      <c r="A2035" s="37" t="s">
        <v>0</v>
      </c>
      <c r="B2035" s="37" t="s">
        <v>53</v>
      </c>
      <c r="C2035" s="38">
        <v>125000</v>
      </c>
    </row>
    <row r="2036" spans="1:3" x14ac:dyDescent="0.3">
      <c r="A2036" s="37" t="s">
        <v>0</v>
      </c>
      <c r="B2036" s="37" t="s">
        <v>53</v>
      </c>
      <c r="C2036" s="38">
        <v>202000</v>
      </c>
    </row>
    <row r="2037" spans="1:3" x14ac:dyDescent="0.3">
      <c r="A2037" s="37" t="s">
        <v>0</v>
      </c>
      <c r="B2037" s="37" t="s">
        <v>88</v>
      </c>
      <c r="C2037" s="38">
        <v>157500</v>
      </c>
    </row>
    <row r="2038" spans="1:3" x14ac:dyDescent="0.3">
      <c r="A2038" s="37" t="s">
        <v>0</v>
      </c>
      <c r="B2038" s="37" t="s">
        <v>53</v>
      </c>
      <c r="C2038" s="38"/>
    </row>
    <row r="2039" spans="1:3" x14ac:dyDescent="0.3">
      <c r="A2039" s="37" t="s">
        <v>0</v>
      </c>
      <c r="B2039" s="37" t="s">
        <v>53</v>
      </c>
      <c r="C2039" s="38">
        <v>115000</v>
      </c>
    </row>
    <row r="2040" spans="1:3" x14ac:dyDescent="0.3">
      <c r="A2040" s="37" t="s">
        <v>0</v>
      </c>
      <c r="B2040" s="37" t="s">
        <v>53</v>
      </c>
      <c r="C2040" s="38">
        <v>143500</v>
      </c>
    </row>
    <row r="2041" spans="1:3" x14ac:dyDescent="0.3">
      <c r="A2041" s="37" t="s">
        <v>0</v>
      </c>
      <c r="B2041" s="37" t="s">
        <v>54</v>
      </c>
      <c r="C2041" s="38">
        <v>175000</v>
      </c>
    </row>
    <row r="2042" spans="1:3" x14ac:dyDescent="0.3">
      <c r="A2042" s="37" t="s">
        <v>0</v>
      </c>
      <c r="B2042" s="37" t="s">
        <v>53</v>
      </c>
      <c r="C2042" s="38">
        <v>120000.5</v>
      </c>
    </row>
    <row r="2043" spans="1:3" x14ac:dyDescent="0.3">
      <c r="A2043" s="37" t="s">
        <v>0</v>
      </c>
      <c r="B2043" s="37" t="s">
        <v>113</v>
      </c>
      <c r="C2043" s="38">
        <v>64821.5</v>
      </c>
    </row>
    <row r="2044" spans="1:3" x14ac:dyDescent="0.3">
      <c r="A2044" s="37" t="s">
        <v>0</v>
      </c>
      <c r="B2044" s="37" t="s">
        <v>98</v>
      </c>
      <c r="C2044" s="38">
        <v>64821.5</v>
      </c>
    </row>
    <row r="2045" spans="1:3" x14ac:dyDescent="0.3">
      <c r="A2045" s="37" t="s">
        <v>0</v>
      </c>
      <c r="B2045" s="37" t="s">
        <v>53</v>
      </c>
      <c r="C2045" s="38">
        <v>75000</v>
      </c>
    </row>
    <row r="2046" spans="1:3" x14ac:dyDescent="0.3">
      <c r="A2046" s="37" t="s">
        <v>0</v>
      </c>
      <c r="B2046" s="37" t="s">
        <v>95</v>
      </c>
      <c r="C2046" s="38">
        <v>53416.5</v>
      </c>
    </row>
    <row r="2047" spans="1:3" x14ac:dyDescent="0.3">
      <c r="A2047" s="37" t="s">
        <v>0</v>
      </c>
      <c r="B2047" s="37" t="s">
        <v>53</v>
      </c>
      <c r="C2047" s="38">
        <v>234000</v>
      </c>
    </row>
    <row r="2048" spans="1:3" x14ac:dyDescent="0.3">
      <c r="A2048" s="37" t="s">
        <v>0</v>
      </c>
      <c r="B2048" s="37" t="s">
        <v>98</v>
      </c>
      <c r="C2048" s="38">
        <v>89100</v>
      </c>
    </row>
    <row r="2049" spans="1:3" x14ac:dyDescent="0.3">
      <c r="A2049" s="37" t="s">
        <v>0</v>
      </c>
      <c r="B2049" s="37" t="s">
        <v>53</v>
      </c>
      <c r="C2049" s="38"/>
    </row>
    <row r="2050" spans="1:3" x14ac:dyDescent="0.3">
      <c r="A2050" s="37" t="s">
        <v>0</v>
      </c>
      <c r="B2050" s="37" t="s">
        <v>53</v>
      </c>
      <c r="C2050" s="38"/>
    </row>
    <row r="2051" spans="1:3" x14ac:dyDescent="0.3">
      <c r="A2051" s="37" t="s">
        <v>0</v>
      </c>
      <c r="B2051" s="37" t="s">
        <v>54</v>
      </c>
      <c r="C2051" s="38"/>
    </row>
    <row r="2052" spans="1:3" x14ac:dyDescent="0.3">
      <c r="A2052" s="37" t="s">
        <v>0</v>
      </c>
      <c r="B2052" s="37" t="s">
        <v>53</v>
      </c>
      <c r="C2052" s="38">
        <v>150000</v>
      </c>
    </row>
    <row r="2053" spans="1:3" x14ac:dyDescent="0.3">
      <c r="A2053" s="37" t="s">
        <v>0</v>
      </c>
      <c r="B2053" s="37" t="s">
        <v>53</v>
      </c>
      <c r="C2053" s="38"/>
    </row>
    <row r="2054" spans="1:3" x14ac:dyDescent="0.3">
      <c r="A2054" s="37" t="s">
        <v>0</v>
      </c>
      <c r="B2054" s="37" t="s">
        <v>53</v>
      </c>
      <c r="C2054" s="38">
        <v>107030</v>
      </c>
    </row>
    <row r="2055" spans="1:3" x14ac:dyDescent="0.3">
      <c r="A2055" s="37" t="s">
        <v>0</v>
      </c>
      <c r="B2055" s="37" t="s">
        <v>97</v>
      </c>
      <c r="C2055" s="38">
        <v>56700</v>
      </c>
    </row>
    <row r="2056" spans="1:3" x14ac:dyDescent="0.3">
      <c r="A2056" s="37" t="s">
        <v>0</v>
      </c>
      <c r="B2056" s="37" t="s">
        <v>69</v>
      </c>
      <c r="C2056" s="38">
        <v>89100</v>
      </c>
    </row>
    <row r="2057" spans="1:3" x14ac:dyDescent="0.3">
      <c r="A2057" s="37" t="s">
        <v>0</v>
      </c>
      <c r="B2057" s="37" t="s">
        <v>53</v>
      </c>
      <c r="C2057" s="38">
        <v>130000</v>
      </c>
    </row>
    <row r="2058" spans="1:3" x14ac:dyDescent="0.3">
      <c r="A2058" s="37" t="s">
        <v>0</v>
      </c>
      <c r="B2058" s="37" t="s">
        <v>53</v>
      </c>
      <c r="C2058" s="38">
        <v>120000.5</v>
      </c>
    </row>
    <row r="2059" spans="1:3" x14ac:dyDescent="0.3">
      <c r="A2059" s="37" t="s">
        <v>0</v>
      </c>
      <c r="B2059" s="37" t="s">
        <v>53</v>
      </c>
      <c r="C2059" s="38">
        <v>35000</v>
      </c>
    </row>
    <row r="2060" spans="1:3" x14ac:dyDescent="0.3">
      <c r="A2060" s="37" t="s">
        <v>0</v>
      </c>
      <c r="B2060" s="37" t="s">
        <v>54</v>
      </c>
      <c r="C2060" s="38">
        <v>100000</v>
      </c>
    </row>
    <row r="2061" spans="1:3" x14ac:dyDescent="0.3">
      <c r="A2061" s="37" t="s">
        <v>0</v>
      </c>
      <c r="B2061" s="37" t="s">
        <v>54</v>
      </c>
      <c r="C2061" s="38">
        <v>135000</v>
      </c>
    </row>
    <row r="2062" spans="1:3" x14ac:dyDescent="0.3">
      <c r="A2062" s="37" t="s">
        <v>0</v>
      </c>
      <c r="B2062" s="37" t="s">
        <v>72</v>
      </c>
      <c r="C2062" s="38">
        <v>89100</v>
      </c>
    </row>
    <row r="2063" spans="1:3" x14ac:dyDescent="0.3">
      <c r="A2063" s="37" t="s">
        <v>0</v>
      </c>
      <c r="B2063" s="37" t="s">
        <v>53</v>
      </c>
      <c r="C2063" s="38">
        <v>225000</v>
      </c>
    </row>
    <row r="2064" spans="1:3" x14ac:dyDescent="0.3">
      <c r="A2064" s="37" t="s">
        <v>0</v>
      </c>
      <c r="B2064" s="37" t="s">
        <v>53</v>
      </c>
      <c r="C2064" s="38"/>
    </row>
    <row r="2065" spans="1:3" x14ac:dyDescent="0.3">
      <c r="A2065" s="37" t="s">
        <v>0</v>
      </c>
      <c r="B2065" s="37" t="s">
        <v>53</v>
      </c>
      <c r="C2065" s="38">
        <v>162500</v>
      </c>
    </row>
    <row r="2066" spans="1:3" x14ac:dyDescent="0.3">
      <c r="A2066" s="37" t="s">
        <v>0</v>
      </c>
      <c r="B2066" s="37" t="s">
        <v>53</v>
      </c>
      <c r="C2066" s="38">
        <v>175000</v>
      </c>
    </row>
    <row r="2067" spans="1:3" x14ac:dyDescent="0.3">
      <c r="A2067" s="37" t="s">
        <v>0</v>
      </c>
      <c r="B2067" s="37" t="s">
        <v>54</v>
      </c>
      <c r="C2067" s="38">
        <v>155000</v>
      </c>
    </row>
    <row r="2068" spans="1:3" x14ac:dyDescent="0.3">
      <c r="A2068" s="37" t="s">
        <v>0</v>
      </c>
      <c r="B2068" s="37" t="s">
        <v>53</v>
      </c>
      <c r="C2068" s="38">
        <v>183310</v>
      </c>
    </row>
    <row r="2069" spans="1:3" x14ac:dyDescent="0.3">
      <c r="A2069" s="37" t="s">
        <v>0</v>
      </c>
      <c r="B2069" s="37" t="s">
        <v>73</v>
      </c>
      <c r="C2069" s="38">
        <v>99150</v>
      </c>
    </row>
    <row r="2070" spans="1:3" x14ac:dyDescent="0.3">
      <c r="A2070" s="37" t="s">
        <v>0</v>
      </c>
      <c r="B2070" s="37" t="s">
        <v>53</v>
      </c>
      <c r="C2070" s="38">
        <v>187500</v>
      </c>
    </row>
    <row r="2071" spans="1:3" x14ac:dyDescent="0.3">
      <c r="A2071" s="37" t="s">
        <v>0</v>
      </c>
      <c r="B2071" s="37" t="s">
        <v>56</v>
      </c>
      <c r="C2071" s="38">
        <v>157500</v>
      </c>
    </row>
    <row r="2072" spans="1:3" x14ac:dyDescent="0.3">
      <c r="A2072" s="37" t="s">
        <v>0</v>
      </c>
      <c r="B2072" s="37" t="s">
        <v>53</v>
      </c>
      <c r="C2072" s="38">
        <v>137500</v>
      </c>
    </row>
    <row r="2073" spans="1:3" x14ac:dyDescent="0.3">
      <c r="A2073" s="37" t="s">
        <v>0</v>
      </c>
      <c r="B2073" s="37" t="s">
        <v>53</v>
      </c>
      <c r="C2073" s="38"/>
    </row>
    <row r="2074" spans="1:3" x14ac:dyDescent="0.3">
      <c r="A2074" s="37" t="s">
        <v>0</v>
      </c>
      <c r="B2074" s="37" t="s">
        <v>53</v>
      </c>
      <c r="C2074" s="38">
        <v>130000</v>
      </c>
    </row>
    <row r="2075" spans="1:3" x14ac:dyDescent="0.3">
      <c r="A2075" s="37" t="s">
        <v>0</v>
      </c>
      <c r="B2075" s="37" t="s">
        <v>53</v>
      </c>
      <c r="C2075" s="38">
        <v>150000</v>
      </c>
    </row>
    <row r="2076" spans="1:3" x14ac:dyDescent="0.3">
      <c r="A2076" s="37" t="s">
        <v>0</v>
      </c>
      <c r="B2076" s="37" t="s">
        <v>54</v>
      </c>
      <c r="C2076" s="38">
        <v>190000</v>
      </c>
    </row>
    <row r="2077" spans="1:3" x14ac:dyDescent="0.3">
      <c r="A2077" s="37" t="s">
        <v>0</v>
      </c>
      <c r="B2077" s="37" t="s">
        <v>53</v>
      </c>
      <c r="C2077" s="38">
        <v>113500</v>
      </c>
    </row>
    <row r="2078" spans="1:3" x14ac:dyDescent="0.3">
      <c r="A2078" s="37" t="s">
        <v>0</v>
      </c>
      <c r="B2078" s="37" t="s">
        <v>105</v>
      </c>
      <c r="C2078" s="38">
        <v>157500</v>
      </c>
    </row>
    <row r="2079" spans="1:3" x14ac:dyDescent="0.3">
      <c r="A2079" s="37" t="s">
        <v>0</v>
      </c>
      <c r="B2079" s="37" t="s">
        <v>53</v>
      </c>
      <c r="C2079" s="38">
        <v>224500</v>
      </c>
    </row>
    <row r="2080" spans="1:3" x14ac:dyDescent="0.3">
      <c r="A2080" s="37" t="s">
        <v>0</v>
      </c>
      <c r="B2080" s="37" t="s">
        <v>53</v>
      </c>
      <c r="C2080" s="38">
        <v>135000</v>
      </c>
    </row>
    <row r="2081" spans="1:3" x14ac:dyDescent="0.3">
      <c r="A2081" s="37" t="s">
        <v>0</v>
      </c>
      <c r="B2081" s="37" t="s">
        <v>53</v>
      </c>
      <c r="C2081" s="38">
        <v>101603</v>
      </c>
    </row>
    <row r="2082" spans="1:3" x14ac:dyDescent="0.3">
      <c r="A2082" s="37" t="s">
        <v>0</v>
      </c>
      <c r="B2082" s="37" t="s">
        <v>53</v>
      </c>
      <c r="C2082" s="38">
        <v>95700</v>
      </c>
    </row>
    <row r="2083" spans="1:3" x14ac:dyDescent="0.3">
      <c r="A2083" s="37" t="s">
        <v>0</v>
      </c>
      <c r="B2083" s="37" t="s">
        <v>53</v>
      </c>
      <c r="C2083" s="38">
        <v>135000</v>
      </c>
    </row>
    <row r="2084" spans="1:3" x14ac:dyDescent="0.3">
      <c r="A2084" s="37" t="s">
        <v>0</v>
      </c>
      <c r="B2084" s="37" t="s">
        <v>124</v>
      </c>
      <c r="C2084" s="38">
        <v>50400</v>
      </c>
    </row>
    <row r="2085" spans="1:3" x14ac:dyDescent="0.3">
      <c r="A2085" s="37" t="s">
        <v>0</v>
      </c>
      <c r="B2085" s="37" t="s">
        <v>53</v>
      </c>
      <c r="C2085" s="38">
        <v>350000</v>
      </c>
    </row>
    <row r="2086" spans="1:3" x14ac:dyDescent="0.3">
      <c r="A2086" s="37" t="s">
        <v>0</v>
      </c>
      <c r="B2086" s="37" t="s">
        <v>53</v>
      </c>
      <c r="C2086" s="38"/>
    </row>
    <row r="2087" spans="1:3" x14ac:dyDescent="0.3">
      <c r="A2087" s="37" t="s">
        <v>0</v>
      </c>
      <c r="B2087" s="37" t="s">
        <v>54</v>
      </c>
      <c r="C2087" s="38">
        <v>135000</v>
      </c>
    </row>
    <row r="2088" spans="1:3" x14ac:dyDescent="0.3">
      <c r="A2088" s="37" t="s">
        <v>0</v>
      </c>
      <c r="B2088" s="37" t="s">
        <v>53</v>
      </c>
      <c r="C2088" s="38"/>
    </row>
    <row r="2089" spans="1:3" x14ac:dyDescent="0.3">
      <c r="A2089" s="37" t="s">
        <v>0</v>
      </c>
      <c r="B2089" s="37" t="s">
        <v>53</v>
      </c>
      <c r="C2089" s="38">
        <v>209955.5</v>
      </c>
    </row>
    <row r="2090" spans="1:3" x14ac:dyDescent="0.3">
      <c r="A2090" s="37" t="s">
        <v>0</v>
      </c>
      <c r="B2090" s="37" t="s">
        <v>54</v>
      </c>
      <c r="C2090" s="38">
        <v>67500</v>
      </c>
    </row>
    <row r="2091" spans="1:3" x14ac:dyDescent="0.3">
      <c r="A2091" s="37" t="s">
        <v>0</v>
      </c>
      <c r="B2091" s="37" t="s">
        <v>54</v>
      </c>
      <c r="C2091" s="38"/>
    </row>
    <row r="2092" spans="1:3" x14ac:dyDescent="0.3">
      <c r="A2092" s="37" t="s">
        <v>0</v>
      </c>
      <c r="B2092" s="37" t="s">
        <v>53</v>
      </c>
      <c r="C2092" s="38">
        <v>115000</v>
      </c>
    </row>
    <row r="2093" spans="1:3" x14ac:dyDescent="0.3">
      <c r="A2093" s="37" t="s">
        <v>0</v>
      </c>
      <c r="B2093" s="37" t="s">
        <v>54</v>
      </c>
      <c r="C2093" s="38">
        <v>136950</v>
      </c>
    </row>
    <row r="2094" spans="1:3" x14ac:dyDescent="0.3">
      <c r="A2094" s="37" t="s">
        <v>0</v>
      </c>
      <c r="B2094" s="37" t="s">
        <v>53</v>
      </c>
      <c r="C2094" s="38"/>
    </row>
    <row r="2095" spans="1:3" x14ac:dyDescent="0.3">
      <c r="A2095" s="37" t="s">
        <v>0</v>
      </c>
      <c r="B2095" s="37" t="s">
        <v>53</v>
      </c>
      <c r="C2095" s="38">
        <v>138000</v>
      </c>
    </row>
    <row r="2096" spans="1:3" x14ac:dyDescent="0.3">
      <c r="A2096" s="37" t="s">
        <v>0</v>
      </c>
      <c r="B2096" s="37" t="s">
        <v>54</v>
      </c>
      <c r="C2096" s="38">
        <v>140000</v>
      </c>
    </row>
    <row r="2097" spans="1:3" x14ac:dyDescent="0.3">
      <c r="A2097" s="37" t="s">
        <v>0</v>
      </c>
      <c r="B2097" s="37" t="s">
        <v>80</v>
      </c>
      <c r="C2097" s="38">
        <v>109500</v>
      </c>
    </row>
    <row r="2098" spans="1:3" x14ac:dyDescent="0.3">
      <c r="A2098" s="37" t="s">
        <v>0</v>
      </c>
      <c r="B2098" s="37" t="s">
        <v>53</v>
      </c>
      <c r="C2098" s="38"/>
    </row>
    <row r="2099" spans="1:3" x14ac:dyDescent="0.3">
      <c r="A2099" s="37" t="s">
        <v>0</v>
      </c>
      <c r="B2099" s="37" t="s">
        <v>53</v>
      </c>
      <c r="C2099" s="38">
        <v>185000</v>
      </c>
    </row>
    <row r="2100" spans="1:3" x14ac:dyDescent="0.3">
      <c r="A2100" s="37" t="s">
        <v>0</v>
      </c>
      <c r="B2100" s="37" t="s">
        <v>53</v>
      </c>
      <c r="C2100" s="38">
        <v>155000</v>
      </c>
    </row>
    <row r="2101" spans="1:3" x14ac:dyDescent="0.3">
      <c r="A2101" s="37" t="s">
        <v>0</v>
      </c>
      <c r="B2101" s="37" t="s">
        <v>53</v>
      </c>
      <c r="C2101" s="38"/>
    </row>
    <row r="2102" spans="1:3" x14ac:dyDescent="0.3">
      <c r="A2102" s="37" t="s">
        <v>0</v>
      </c>
      <c r="B2102" s="37" t="s">
        <v>53</v>
      </c>
      <c r="C2102" s="38">
        <v>115000</v>
      </c>
    </row>
    <row r="2103" spans="1:3" x14ac:dyDescent="0.3">
      <c r="A2103" s="37" t="s">
        <v>0</v>
      </c>
      <c r="B2103" s="37" t="s">
        <v>53</v>
      </c>
      <c r="C2103" s="38">
        <v>129326</v>
      </c>
    </row>
    <row r="2104" spans="1:3" x14ac:dyDescent="0.3">
      <c r="A2104" s="37" t="s">
        <v>0</v>
      </c>
      <c r="B2104" s="37" t="s">
        <v>53</v>
      </c>
      <c r="C2104" s="38">
        <v>107789.5</v>
      </c>
    </row>
    <row r="2105" spans="1:3" x14ac:dyDescent="0.3">
      <c r="A2105" s="37" t="s">
        <v>0</v>
      </c>
      <c r="B2105" s="37" t="s">
        <v>53</v>
      </c>
      <c r="C2105" s="38"/>
    </row>
    <row r="2106" spans="1:3" x14ac:dyDescent="0.3">
      <c r="A2106" s="37" t="s">
        <v>0</v>
      </c>
      <c r="B2106" s="37" t="s">
        <v>53</v>
      </c>
      <c r="C2106" s="38"/>
    </row>
    <row r="2107" spans="1:3" x14ac:dyDescent="0.3">
      <c r="A2107" s="37" t="s">
        <v>0</v>
      </c>
      <c r="B2107" s="37" t="s">
        <v>53</v>
      </c>
      <c r="C2107" s="38"/>
    </row>
    <row r="2108" spans="1:3" x14ac:dyDescent="0.3">
      <c r="A2108" s="37" t="s">
        <v>0</v>
      </c>
      <c r="B2108" s="37" t="s">
        <v>53</v>
      </c>
      <c r="C2108" s="38">
        <v>115000</v>
      </c>
    </row>
    <row r="2109" spans="1:3" x14ac:dyDescent="0.3">
      <c r="A2109" s="37" t="s">
        <v>0</v>
      </c>
      <c r="B2109" s="37" t="s">
        <v>53</v>
      </c>
      <c r="C2109" s="38"/>
    </row>
    <row r="2110" spans="1:3" x14ac:dyDescent="0.3">
      <c r="A2110" s="37" t="s">
        <v>0</v>
      </c>
      <c r="B2110" s="37" t="s">
        <v>108</v>
      </c>
      <c r="C2110" s="38">
        <v>64821.5</v>
      </c>
    </row>
    <row r="2111" spans="1:3" x14ac:dyDescent="0.3">
      <c r="A2111" s="37" t="s">
        <v>0</v>
      </c>
      <c r="B2111" s="37" t="s">
        <v>53</v>
      </c>
      <c r="C2111" s="38">
        <v>161955.5</v>
      </c>
    </row>
    <row r="2112" spans="1:3" x14ac:dyDescent="0.3">
      <c r="A2112" s="37" t="s">
        <v>0</v>
      </c>
      <c r="B2112" s="37" t="s">
        <v>53</v>
      </c>
      <c r="C2112" s="38">
        <v>117500</v>
      </c>
    </row>
    <row r="2113" spans="1:3" x14ac:dyDescent="0.3">
      <c r="A2113" s="37" t="s">
        <v>0</v>
      </c>
      <c r="B2113" s="37" t="s">
        <v>88</v>
      </c>
      <c r="C2113" s="38">
        <v>157500</v>
      </c>
    </row>
    <row r="2114" spans="1:3" x14ac:dyDescent="0.3">
      <c r="A2114" s="37" t="s">
        <v>0</v>
      </c>
      <c r="B2114" s="37" t="s">
        <v>53</v>
      </c>
      <c r="C2114" s="38">
        <v>200000</v>
      </c>
    </row>
    <row r="2115" spans="1:3" x14ac:dyDescent="0.3">
      <c r="A2115" s="37" t="s">
        <v>0</v>
      </c>
      <c r="B2115" s="37" t="s">
        <v>53</v>
      </c>
      <c r="C2115" s="38">
        <v>202500</v>
      </c>
    </row>
    <row r="2116" spans="1:3" x14ac:dyDescent="0.3">
      <c r="A2116" s="37" t="s">
        <v>0</v>
      </c>
      <c r="B2116" s="37" t="s">
        <v>53</v>
      </c>
      <c r="C2116" s="38">
        <v>94000</v>
      </c>
    </row>
    <row r="2117" spans="1:3" x14ac:dyDescent="0.3">
      <c r="A2117" s="37" t="s">
        <v>0</v>
      </c>
      <c r="B2117" s="37" t="s">
        <v>88</v>
      </c>
      <c r="C2117" s="38">
        <v>157500</v>
      </c>
    </row>
    <row r="2118" spans="1:3" x14ac:dyDescent="0.3">
      <c r="A2118" s="37" t="s">
        <v>0</v>
      </c>
      <c r="B2118" s="37" t="s">
        <v>53</v>
      </c>
      <c r="C2118" s="38">
        <v>182500</v>
      </c>
    </row>
    <row r="2119" spans="1:3" x14ac:dyDescent="0.3">
      <c r="A2119" s="37" t="s">
        <v>0</v>
      </c>
      <c r="B2119" s="37" t="s">
        <v>88</v>
      </c>
      <c r="C2119" s="38">
        <v>147500</v>
      </c>
    </row>
    <row r="2120" spans="1:3" x14ac:dyDescent="0.3">
      <c r="A2120" s="37" t="s">
        <v>0</v>
      </c>
      <c r="B2120" s="37" t="s">
        <v>53</v>
      </c>
      <c r="C2120" s="38">
        <v>105130</v>
      </c>
    </row>
    <row r="2121" spans="1:3" x14ac:dyDescent="0.3">
      <c r="A2121" s="37" t="s">
        <v>0</v>
      </c>
      <c r="B2121" s="37" t="s">
        <v>53</v>
      </c>
      <c r="C2121" s="38">
        <v>110000</v>
      </c>
    </row>
    <row r="2122" spans="1:3" x14ac:dyDescent="0.3">
      <c r="A2122" s="37" t="s">
        <v>0</v>
      </c>
      <c r="B2122" s="37" t="s">
        <v>53</v>
      </c>
      <c r="C2122" s="38">
        <v>190000</v>
      </c>
    </row>
    <row r="2123" spans="1:3" x14ac:dyDescent="0.3">
      <c r="A2123" s="37" t="s">
        <v>0</v>
      </c>
      <c r="B2123" s="37" t="s">
        <v>53</v>
      </c>
      <c r="C2123" s="38"/>
    </row>
    <row r="2124" spans="1:3" x14ac:dyDescent="0.3">
      <c r="A2124" s="37" t="s">
        <v>0</v>
      </c>
      <c r="B2124" s="37" t="s">
        <v>53</v>
      </c>
      <c r="C2124" s="38">
        <v>136656</v>
      </c>
    </row>
    <row r="2125" spans="1:3" x14ac:dyDescent="0.3">
      <c r="A2125" s="37" t="s">
        <v>0</v>
      </c>
      <c r="B2125" s="37" t="s">
        <v>53</v>
      </c>
      <c r="C2125" s="38">
        <v>195000</v>
      </c>
    </row>
    <row r="2126" spans="1:3" x14ac:dyDescent="0.3">
      <c r="A2126" s="37" t="s">
        <v>0</v>
      </c>
      <c r="B2126" s="37" t="s">
        <v>53</v>
      </c>
      <c r="C2126" s="38">
        <v>150000</v>
      </c>
    </row>
    <row r="2127" spans="1:3" x14ac:dyDescent="0.3">
      <c r="A2127" s="37" t="s">
        <v>0</v>
      </c>
      <c r="B2127" s="37" t="s">
        <v>72</v>
      </c>
      <c r="C2127" s="38">
        <v>192000</v>
      </c>
    </row>
    <row r="2128" spans="1:3" x14ac:dyDescent="0.3">
      <c r="A2128" s="37" t="s">
        <v>0</v>
      </c>
      <c r="B2128" s="37" t="s">
        <v>53</v>
      </c>
      <c r="C2128" s="38">
        <v>190877</v>
      </c>
    </row>
    <row r="2129" spans="1:3" x14ac:dyDescent="0.3">
      <c r="A2129" s="37" t="s">
        <v>0</v>
      </c>
      <c r="B2129" s="37" t="s">
        <v>53</v>
      </c>
      <c r="C2129" s="38">
        <v>151500</v>
      </c>
    </row>
    <row r="2130" spans="1:3" x14ac:dyDescent="0.3">
      <c r="A2130" s="37" t="s">
        <v>0</v>
      </c>
      <c r="B2130" s="37" t="s">
        <v>53</v>
      </c>
      <c r="C2130" s="38">
        <v>61022</v>
      </c>
    </row>
    <row r="2131" spans="1:3" x14ac:dyDescent="0.3">
      <c r="A2131" s="37" t="s">
        <v>0</v>
      </c>
      <c r="B2131" s="37" t="s">
        <v>53</v>
      </c>
      <c r="C2131" s="38"/>
    </row>
    <row r="2132" spans="1:3" x14ac:dyDescent="0.3">
      <c r="A2132" s="37" t="s">
        <v>0</v>
      </c>
      <c r="B2132" s="37" t="s">
        <v>54</v>
      </c>
      <c r="C2132" s="38"/>
    </row>
    <row r="2133" spans="1:3" x14ac:dyDescent="0.3">
      <c r="A2133" s="37" t="s">
        <v>0</v>
      </c>
      <c r="B2133" s="37" t="s">
        <v>88</v>
      </c>
      <c r="C2133" s="38">
        <v>157500</v>
      </c>
    </row>
    <row r="2134" spans="1:3" x14ac:dyDescent="0.3">
      <c r="A2134" s="37" t="s">
        <v>0</v>
      </c>
      <c r="B2134" s="37" t="s">
        <v>53</v>
      </c>
      <c r="C2134" s="38"/>
    </row>
    <row r="2135" spans="1:3" x14ac:dyDescent="0.3">
      <c r="A2135" s="37" t="s">
        <v>0</v>
      </c>
      <c r="B2135" s="37" t="s">
        <v>53</v>
      </c>
      <c r="C2135" s="38">
        <v>145000</v>
      </c>
    </row>
    <row r="2136" spans="1:3" x14ac:dyDescent="0.3">
      <c r="A2136" s="37" t="s">
        <v>0</v>
      </c>
      <c r="B2136" s="37" t="s">
        <v>53</v>
      </c>
      <c r="C2136" s="38">
        <v>115000</v>
      </c>
    </row>
    <row r="2137" spans="1:3" x14ac:dyDescent="0.3">
      <c r="A2137" s="37" t="s">
        <v>0</v>
      </c>
      <c r="B2137" s="37" t="s">
        <v>53</v>
      </c>
      <c r="C2137" s="38">
        <v>190600</v>
      </c>
    </row>
    <row r="2138" spans="1:3" x14ac:dyDescent="0.3">
      <c r="A2138" s="37" t="s">
        <v>0</v>
      </c>
      <c r="B2138" s="37" t="s">
        <v>105</v>
      </c>
      <c r="C2138" s="38">
        <v>192000</v>
      </c>
    </row>
    <row r="2139" spans="1:3" x14ac:dyDescent="0.3">
      <c r="A2139" s="37" t="s">
        <v>0</v>
      </c>
      <c r="B2139" s="37" t="s">
        <v>53</v>
      </c>
      <c r="C2139" s="38"/>
    </row>
    <row r="2140" spans="1:3" x14ac:dyDescent="0.3">
      <c r="A2140" s="37" t="s">
        <v>0</v>
      </c>
      <c r="B2140" s="37" t="s">
        <v>53</v>
      </c>
      <c r="C2140" s="38"/>
    </row>
    <row r="2141" spans="1:3" x14ac:dyDescent="0.3">
      <c r="A2141" s="37" t="s">
        <v>0</v>
      </c>
      <c r="B2141" s="37" t="s">
        <v>72</v>
      </c>
      <c r="C2141" s="38">
        <v>152625</v>
      </c>
    </row>
    <row r="2142" spans="1:3" x14ac:dyDescent="0.3">
      <c r="A2142" s="37" t="s">
        <v>0</v>
      </c>
      <c r="B2142" s="37" t="s">
        <v>53</v>
      </c>
      <c r="C2142" s="38">
        <v>118500</v>
      </c>
    </row>
    <row r="2143" spans="1:3" x14ac:dyDescent="0.3">
      <c r="A2143" s="37" t="s">
        <v>0</v>
      </c>
      <c r="B2143" s="37" t="s">
        <v>54</v>
      </c>
      <c r="C2143" s="38">
        <v>95326</v>
      </c>
    </row>
    <row r="2144" spans="1:3" x14ac:dyDescent="0.3">
      <c r="A2144" s="37" t="s">
        <v>0</v>
      </c>
      <c r="B2144" s="37" t="s">
        <v>53</v>
      </c>
      <c r="C2144" s="38">
        <v>147500</v>
      </c>
    </row>
    <row r="2145" spans="1:3" x14ac:dyDescent="0.3">
      <c r="A2145" s="37" t="s">
        <v>0</v>
      </c>
      <c r="B2145" s="37" t="s">
        <v>53</v>
      </c>
      <c r="C2145" s="38">
        <v>107800</v>
      </c>
    </row>
    <row r="2146" spans="1:3" x14ac:dyDescent="0.3">
      <c r="A2146" s="37" t="s">
        <v>0</v>
      </c>
      <c r="B2146" s="37" t="s">
        <v>53</v>
      </c>
      <c r="C2146" s="38">
        <v>90000</v>
      </c>
    </row>
    <row r="2147" spans="1:3" x14ac:dyDescent="0.3">
      <c r="A2147" s="37" t="s">
        <v>0</v>
      </c>
      <c r="B2147" s="37" t="s">
        <v>53</v>
      </c>
      <c r="C2147" s="38">
        <v>150000</v>
      </c>
    </row>
    <row r="2148" spans="1:3" x14ac:dyDescent="0.3">
      <c r="A2148" s="37" t="s">
        <v>0</v>
      </c>
      <c r="B2148" s="37" t="s">
        <v>53</v>
      </c>
      <c r="C2148" s="38">
        <v>114500</v>
      </c>
    </row>
    <row r="2149" spans="1:3" x14ac:dyDescent="0.3">
      <c r="A2149" s="37" t="s">
        <v>0</v>
      </c>
      <c r="B2149" s="37" t="s">
        <v>53</v>
      </c>
      <c r="C2149" s="38">
        <v>126650</v>
      </c>
    </row>
    <row r="2150" spans="1:3" x14ac:dyDescent="0.3">
      <c r="A2150" s="37" t="s">
        <v>0</v>
      </c>
      <c r="B2150" s="37" t="s">
        <v>53</v>
      </c>
      <c r="C2150" s="38">
        <v>157500</v>
      </c>
    </row>
    <row r="2151" spans="1:3" x14ac:dyDescent="0.3">
      <c r="A2151" s="37" t="s">
        <v>0</v>
      </c>
      <c r="B2151" s="37" t="s">
        <v>88</v>
      </c>
      <c r="C2151" s="38">
        <v>93600</v>
      </c>
    </row>
    <row r="2152" spans="1:3" x14ac:dyDescent="0.3">
      <c r="A2152" s="37" t="s">
        <v>0</v>
      </c>
      <c r="B2152" s="37" t="s">
        <v>53</v>
      </c>
      <c r="C2152" s="38"/>
    </row>
    <row r="2153" spans="1:3" x14ac:dyDescent="0.3">
      <c r="A2153" s="37" t="s">
        <v>0</v>
      </c>
      <c r="B2153" s="37" t="s">
        <v>53</v>
      </c>
      <c r="C2153" s="38">
        <v>78300</v>
      </c>
    </row>
    <row r="2154" spans="1:3" x14ac:dyDescent="0.3">
      <c r="A2154" s="37" t="s">
        <v>0</v>
      </c>
      <c r="B2154" s="37" t="s">
        <v>53</v>
      </c>
      <c r="C2154" s="38"/>
    </row>
    <row r="2155" spans="1:3" x14ac:dyDescent="0.3">
      <c r="A2155" s="37" t="s">
        <v>0</v>
      </c>
      <c r="B2155" s="37" t="s">
        <v>53</v>
      </c>
      <c r="C2155" s="38">
        <v>99150</v>
      </c>
    </row>
    <row r="2156" spans="1:3" x14ac:dyDescent="0.3">
      <c r="A2156" s="37" t="s">
        <v>0</v>
      </c>
      <c r="B2156" s="37" t="s">
        <v>53</v>
      </c>
      <c r="C2156" s="38">
        <v>157500</v>
      </c>
    </row>
    <row r="2157" spans="1:3" x14ac:dyDescent="0.3">
      <c r="A2157" s="37" t="s">
        <v>0</v>
      </c>
      <c r="B2157" s="37" t="s">
        <v>53</v>
      </c>
      <c r="C2157" s="38"/>
    </row>
    <row r="2158" spans="1:3" x14ac:dyDescent="0.3">
      <c r="A2158" s="37" t="s">
        <v>0</v>
      </c>
      <c r="B2158" s="37" t="s">
        <v>53</v>
      </c>
      <c r="C2158" s="38"/>
    </row>
    <row r="2159" spans="1:3" x14ac:dyDescent="0.3">
      <c r="A2159" s="37" t="s">
        <v>0</v>
      </c>
      <c r="B2159" s="37" t="s">
        <v>97</v>
      </c>
      <c r="C2159" s="38">
        <v>72900</v>
      </c>
    </row>
    <row r="2160" spans="1:3" x14ac:dyDescent="0.3">
      <c r="A2160" s="37" t="s">
        <v>0</v>
      </c>
      <c r="B2160" s="37" t="s">
        <v>53</v>
      </c>
      <c r="C2160" s="38">
        <v>92470</v>
      </c>
    </row>
    <row r="2161" spans="1:3" x14ac:dyDescent="0.3">
      <c r="A2161" s="37" t="s">
        <v>0</v>
      </c>
      <c r="B2161" s="37" t="s">
        <v>53</v>
      </c>
      <c r="C2161" s="38">
        <v>150500</v>
      </c>
    </row>
    <row r="2162" spans="1:3" x14ac:dyDescent="0.3">
      <c r="A2162" s="37" t="s">
        <v>0</v>
      </c>
      <c r="B2162" s="37" t="s">
        <v>53</v>
      </c>
      <c r="C2162" s="38">
        <v>110000</v>
      </c>
    </row>
    <row r="2163" spans="1:3" x14ac:dyDescent="0.3">
      <c r="A2163" s="37" t="s">
        <v>0</v>
      </c>
      <c r="B2163" s="37" t="s">
        <v>73</v>
      </c>
      <c r="C2163" s="38">
        <v>100000</v>
      </c>
    </row>
    <row r="2164" spans="1:3" x14ac:dyDescent="0.3">
      <c r="A2164" s="37" t="s">
        <v>0</v>
      </c>
      <c r="B2164" s="37" t="s">
        <v>53</v>
      </c>
      <c r="C2164" s="38">
        <v>158857.5</v>
      </c>
    </row>
    <row r="2165" spans="1:3" x14ac:dyDescent="0.3">
      <c r="A2165" s="37" t="s">
        <v>0</v>
      </c>
      <c r="B2165" s="37" t="s">
        <v>64</v>
      </c>
      <c r="C2165" s="38">
        <v>157500</v>
      </c>
    </row>
    <row r="2166" spans="1:3" x14ac:dyDescent="0.3">
      <c r="A2166" s="37" t="s">
        <v>0</v>
      </c>
      <c r="B2166" s="37" t="s">
        <v>54</v>
      </c>
      <c r="C2166" s="38">
        <v>105000</v>
      </c>
    </row>
    <row r="2167" spans="1:3" x14ac:dyDescent="0.3">
      <c r="A2167" s="37" t="s">
        <v>0</v>
      </c>
      <c r="B2167" s="37" t="s">
        <v>53</v>
      </c>
      <c r="C2167" s="38">
        <v>88393.5</v>
      </c>
    </row>
    <row r="2168" spans="1:3" x14ac:dyDescent="0.3">
      <c r="A2168" s="37" t="s">
        <v>0</v>
      </c>
      <c r="B2168" s="37" t="s">
        <v>53</v>
      </c>
      <c r="C2168" s="38">
        <v>250000</v>
      </c>
    </row>
    <row r="2169" spans="1:3" x14ac:dyDescent="0.3">
      <c r="A2169" s="37" t="s">
        <v>0</v>
      </c>
      <c r="B2169" s="37" t="s">
        <v>53</v>
      </c>
      <c r="C2169" s="38">
        <v>172500</v>
      </c>
    </row>
    <row r="2170" spans="1:3" x14ac:dyDescent="0.3">
      <c r="A2170" s="37" t="s">
        <v>0</v>
      </c>
      <c r="B2170" s="37" t="s">
        <v>53</v>
      </c>
      <c r="C2170" s="38"/>
    </row>
    <row r="2171" spans="1:3" x14ac:dyDescent="0.3">
      <c r="A2171" s="37" t="s">
        <v>0</v>
      </c>
      <c r="B2171" s="37" t="s">
        <v>53</v>
      </c>
      <c r="C2171" s="38"/>
    </row>
    <row r="2172" spans="1:3" x14ac:dyDescent="0.3">
      <c r="A2172" s="37" t="s">
        <v>0</v>
      </c>
      <c r="B2172" s="37" t="s">
        <v>53</v>
      </c>
      <c r="C2172" s="38">
        <v>131867</v>
      </c>
    </row>
    <row r="2173" spans="1:3" x14ac:dyDescent="0.3">
      <c r="A2173" s="37" t="s">
        <v>0</v>
      </c>
      <c r="B2173" s="37" t="s">
        <v>53</v>
      </c>
      <c r="C2173" s="38"/>
    </row>
    <row r="2174" spans="1:3" x14ac:dyDescent="0.3">
      <c r="A2174" s="37" t="s">
        <v>0</v>
      </c>
      <c r="B2174" s="37" t="s">
        <v>53</v>
      </c>
      <c r="C2174" s="38">
        <v>182000</v>
      </c>
    </row>
    <row r="2175" spans="1:3" x14ac:dyDescent="0.3">
      <c r="A2175" s="37" t="s">
        <v>0</v>
      </c>
      <c r="B2175" s="37" t="s">
        <v>88</v>
      </c>
      <c r="C2175" s="38">
        <v>157500</v>
      </c>
    </row>
    <row r="2176" spans="1:3" x14ac:dyDescent="0.3">
      <c r="A2176" s="37" t="s">
        <v>0</v>
      </c>
      <c r="B2176" s="37" t="s">
        <v>53</v>
      </c>
      <c r="C2176" s="38">
        <v>80850</v>
      </c>
    </row>
    <row r="2177" spans="1:3" x14ac:dyDescent="0.3">
      <c r="A2177" s="37" t="s">
        <v>0</v>
      </c>
      <c r="B2177" s="37" t="s">
        <v>53</v>
      </c>
      <c r="C2177" s="38">
        <v>150000</v>
      </c>
    </row>
    <row r="2178" spans="1:3" x14ac:dyDescent="0.3">
      <c r="A2178" s="37" t="s">
        <v>0</v>
      </c>
      <c r="B2178" s="37" t="s">
        <v>53</v>
      </c>
      <c r="C2178" s="38">
        <v>157500</v>
      </c>
    </row>
    <row r="2179" spans="1:3" x14ac:dyDescent="0.3">
      <c r="A2179" s="37" t="s">
        <v>0</v>
      </c>
      <c r="B2179" s="37" t="s">
        <v>53</v>
      </c>
      <c r="C2179" s="38">
        <v>120000</v>
      </c>
    </row>
    <row r="2180" spans="1:3" x14ac:dyDescent="0.3">
      <c r="A2180" s="37" t="s">
        <v>0</v>
      </c>
      <c r="B2180" s="37" t="s">
        <v>53</v>
      </c>
      <c r="C2180" s="38"/>
    </row>
    <row r="2181" spans="1:3" x14ac:dyDescent="0.3">
      <c r="A2181" s="37" t="s">
        <v>0</v>
      </c>
      <c r="B2181" s="37" t="s">
        <v>53</v>
      </c>
      <c r="C2181" s="38">
        <v>145000</v>
      </c>
    </row>
    <row r="2182" spans="1:3" x14ac:dyDescent="0.3">
      <c r="A2182" s="37" t="s">
        <v>0</v>
      </c>
      <c r="B2182" s="37" t="s">
        <v>53</v>
      </c>
      <c r="C2182" s="38"/>
    </row>
    <row r="2183" spans="1:3" x14ac:dyDescent="0.3">
      <c r="A2183" s="37" t="s">
        <v>0</v>
      </c>
      <c r="B2183" s="37" t="s">
        <v>53</v>
      </c>
      <c r="C2183" s="38"/>
    </row>
    <row r="2184" spans="1:3" x14ac:dyDescent="0.3">
      <c r="A2184" s="37" t="s">
        <v>0</v>
      </c>
      <c r="B2184" s="37" t="s">
        <v>53</v>
      </c>
      <c r="C2184" s="38"/>
    </row>
    <row r="2185" spans="1:3" x14ac:dyDescent="0.3">
      <c r="A2185" s="37" t="s">
        <v>0</v>
      </c>
      <c r="B2185" s="37" t="s">
        <v>97</v>
      </c>
      <c r="C2185" s="38">
        <v>56700</v>
      </c>
    </row>
    <row r="2186" spans="1:3" x14ac:dyDescent="0.3">
      <c r="A2186" s="37" t="s">
        <v>0</v>
      </c>
      <c r="B2186" s="37" t="s">
        <v>54</v>
      </c>
      <c r="C2186" s="38">
        <v>160000</v>
      </c>
    </row>
    <row r="2187" spans="1:3" x14ac:dyDescent="0.3">
      <c r="A2187" s="37" t="s">
        <v>0</v>
      </c>
      <c r="B2187" s="37" t="s">
        <v>72</v>
      </c>
      <c r="C2187" s="38">
        <v>157500</v>
      </c>
    </row>
    <row r="2188" spans="1:3" x14ac:dyDescent="0.3">
      <c r="A2188" s="37" t="s">
        <v>0</v>
      </c>
      <c r="B2188" s="37" t="s">
        <v>53</v>
      </c>
      <c r="C2188" s="38">
        <v>150000</v>
      </c>
    </row>
    <row r="2189" spans="1:3" x14ac:dyDescent="0.3">
      <c r="A2189" s="37" t="s">
        <v>0</v>
      </c>
      <c r="B2189" s="37" t="s">
        <v>53</v>
      </c>
      <c r="C2189" s="38">
        <v>135720</v>
      </c>
    </row>
    <row r="2190" spans="1:3" x14ac:dyDescent="0.3">
      <c r="A2190" s="37" t="s">
        <v>0</v>
      </c>
      <c r="B2190" s="37" t="s">
        <v>53</v>
      </c>
      <c r="C2190" s="38"/>
    </row>
    <row r="2191" spans="1:3" x14ac:dyDescent="0.3">
      <c r="A2191" s="37" t="s">
        <v>0</v>
      </c>
      <c r="B2191" s="37" t="s">
        <v>81</v>
      </c>
      <c r="C2191" s="38">
        <v>205000</v>
      </c>
    </row>
    <row r="2192" spans="1:3" x14ac:dyDescent="0.3">
      <c r="A2192" s="37" t="s">
        <v>0</v>
      </c>
      <c r="B2192" s="37" t="s">
        <v>53</v>
      </c>
      <c r="C2192" s="38"/>
    </row>
    <row r="2193" spans="1:3" x14ac:dyDescent="0.3">
      <c r="A2193" s="37" t="s">
        <v>0</v>
      </c>
      <c r="B2193" s="37" t="s">
        <v>53</v>
      </c>
      <c r="C2193" s="38"/>
    </row>
    <row r="2194" spans="1:3" x14ac:dyDescent="0.3">
      <c r="A2194" s="37" t="s">
        <v>0</v>
      </c>
      <c r="B2194" s="37" t="s">
        <v>53</v>
      </c>
      <c r="C2194" s="38"/>
    </row>
    <row r="2195" spans="1:3" x14ac:dyDescent="0.3">
      <c r="A2195" s="37" t="s">
        <v>0</v>
      </c>
      <c r="B2195" s="37" t="s">
        <v>54</v>
      </c>
      <c r="C2195" s="38">
        <v>171430</v>
      </c>
    </row>
    <row r="2196" spans="1:3" x14ac:dyDescent="0.3">
      <c r="A2196" s="37" t="s">
        <v>0</v>
      </c>
      <c r="B2196" s="37" t="s">
        <v>53</v>
      </c>
      <c r="C2196" s="38">
        <v>126650</v>
      </c>
    </row>
    <row r="2197" spans="1:3" x14ac:dyDescent="0.3">
      <c r="A2197" s="37" t="s">
        <v>0</v>
      </c>
      <c r="B2197" s="37" t="s">
        <v>53</v>
      </c>
      <c r="C2197" s="38">
        <v>157500</v>
      </c>
    </row>
    <row r="2198" spans="1:3" x14ac:dyDescent="0.3">
      <c r="A2198" s="37" t="s">
        <v>0</v>
      </c>
      <c r="B2198" s="37" t="s">
        <v>53</v>
      </c>
      <c r="C2198" s="38"/>
    </row>
    <row r="2199" spans="1:3" x14ac:dyDescent="0.3">
      <c r="A2199" s="37" t="s">
        <v>0</v>
      </c>
      <c r="B2199" s="37" t="s">
        <v>53</v>
      </c>
      <c r="C2199" s="38">
        <v>105000</v>
      </c>
    </row>
    <row r="2200" spans="1:3" x14ac:dyDescent="0.3">
      <c r="A2200" s="37" t="s">
        <v>0</v>
      </c>
      <c r="B2200" s="37" t="s">
        <v>53</v>
      </c>
      <c r="C2200" s="38">
        <v>120000.5</v>
      </c>
    </row>
    <row r="2201" spans="1:3" x14ac:dyDescent="0.3">
      <c r="A2201" s="37" t="s">
        <v>0</v>
      </c>
      <c r="B2201" s="37" t="s">
        <v>53</v>
      </c>
      <c r="C2201" s="38">
        <v>70000</v>
      </c>
    </row>
    <row r="2202" spans="1:3" x14ac:dyDescent="0.3">
      <c r="A2202" s="37" t="s">
        <v>0</v>
      </c>
      <c r="B2202" s="37" t="s">
        <v>54</v>
      </c>
      <c r="C2202" s="38"/>
    </row>
    <row r="2203" spans="1:3" x14ac:dyDescent="0.3">
      <c r="A2203" s="37" t="s">
        <v>0</v>
      </c>
      <c r="B2203" s="37" t="s">
        <v>53</v>
      </c>
      <c r="C2203" s="38"/>
    </row>
    <row r="2204" spans="1:3" x14ac:dyDescent="0.3">
      <c r="A2204" s="37" t="s">
        <v>0</v>
      </c>
      <c r="B2204" s="37" t="s">
        <v>53</v>
      </c>
      <c r="C2204" s="38">
        <v>125000</v>
      </c>
    </row>
    <row r="2205" spans="1:3" x14ac:dyDescent="0.3">
      <c r="A2205" s="37" t="s">
        <v>0</v>
      </c>
      <c r="B2205" s="37" t="s">
        <v>53</v>
      </c>
      <c r="C2205" s="38">
        <v>150000</v>
      </c>
    </row>
    <row r="2206" spans="1:3" x14ac:dyDescent="0.3">
      <c r="A2206" s="37" t="s">
        <v>0</v>
      </c>
      <c r="B2206" s="37" t="s">
        <v>53</v>
      </c>
      <c r="C2206" s="38">
        <v>210000</v>
      </c>
    </row>
    <row r="2207" spans="1:3" x14ac:dyDescent="0.3">
      <c r="A2207" s="37" t="s">
        <v>0</v>
      </c>
      <c r="B2207" s="37" t="s">
        <v>53</v>
      </c>
      <c r="C2207" s="38">
        <v>173550</v>
      </c>
    </row>
    <row r="2208" spans="1:3" x14ac:dyDescent="0.3">
      <c r="A2208" s="37" t="s">
        <v>0</v>
      </c>
      <c r="B2208" s="37" t="s">
        <v>53</v>
      </c>
      <c r="C2208" s="38">
        <v>130000</v>
      </c>
    </row>
    <row r="2209" spans="1:3" x14ac:dyDescent="0.3">
      <c r="A2209" s="37" t="s">
        <v>0</v>
      </c>
      <c r="B2209" s="37" t="s">
        <v>53</v>
      </c>
      <c r="C2209" s="38">
        <v>207500</v>
      </c>
    </row>
    <row r="2210" spans="1:3" x14ac:dyDescent="0.3">
      <c r="A2210" s="37" t="s">
        <v>0</v>
      </c>
      <c r="B2210" s="37" t="s">
        <v>53</v>
      </c>
      <c r="C2210" s="38">
        <v>110000</v>
      </c>
    </row>
    <row r="2211" spans="1:3" x14ac:dyDescent="0.3">
      <c r="A2211" s="37" t="s">
        <v>0</v>
      </c>
      <c r="B2211" s="37" t="s">
        <v>53</v>
      </c>
      <c r="C2211" s="38"/>
    </row>
    <row r="2212" spans="1:3" x14ac:dyDescent="0.3">
      <c r="A2212" s="37" t="s">
        <v>0</v>
      </c>
      <c r="B2212" s="37" t="s">
        <v>53</v>
      </c>
      <c r="C2212" s="38">
        <v>191000</v>
      </c>
    </row>
    <row r="2213" spans="1:3" x14ac:dyDescent="0.3">
      <c r="A2213" s="37" t="s">
        <v>0</v>
      </c>
      <c r="B2213" s="37" t="s">
        <v>53</v>
      </c>
      <c r="C2213" s="38"/>
    </row>
    <row r="2214" spans="1:3" x14ac:dyDescent="0.3">
      <c r="A2214" s="37" t="s">
        <v>0</v>
      </c>
      <c r="B2214" s="37" t="s">
        <v>53</v>
      </c>
      <c r="C2214" s="38">
        <v>157000</v>
      </c>
    </row>
    <row r="2215" spans="1:3" x14ac:dyDescent="0.3">
      <c r="A2215" s="37" t="s">
        <v>0</v>
      </c>
      <c r="B2215" s="37" t="s">
        <v>58</v>
      </c>
      <c r="C2215" s="38">
        <v>157500</v>
      </c>
    </row>
    <row r="2216" spans="1:3" x14ac:dyDescent="0.3">
      <c r="A2216" s="37" t="s">
        <v>0</v>
      </c>
      <c r="B2216" s="37" t="s">
        <v>54</v>
      </c>
      <c r="C2216" s="38">
        <v>129982</v>
      </c>
    </row>
    <row r="2217" spans="1:3" x14ac:dyDescent="0.3">
      <c r="A2217" s="37" t="s">
        <v>0</v>
      </c>
      <c r="B2217" s="37" t="s">
        <v>54</v>
      </c>
      <c r="C2217" s="38">
        <v>140000</v>
      </c>
    </row>
    <row r="2218" spans="1:3" x14ac:dyDescent="0.3">
      <c r="A2218" s="37" t="s">
        <v>0</v>
      </c>
      <c r="B2218" s="37" t="s">
        <v>53</v>
      </c>
      <c r="C2218" s="38">
        <v>150000</v>
      </c>
    </row>
    <row r="2219" spans="1:3" x14ac:dyDescent="0.3">
      <c r="A2219" s="37" t="s">
        <v>0</v>
      </c>
      <c r="B2219" s="37" t="s">
        <v>53</v>
      </c>
      <c r="C2219" s="38">
        <v>165000</v>
      </c>
    </row>
    <row r="2220" spans="1:3" x14ac:dyDescent="0.3">
      <c r="A2220" s="37" t="s">
        <v>0</v>
      </c>
      <c r="B2220" s="37" t="s">
        <v>53</v>
      </c>
      <c r="C2220" s="38">
        <v>122500</v>
      </c>
    </row>
    <row r="2221" spans="1:3" x14ac:dyDescent="0.3">
      <c r="A2221" s="37" t="s">
        <v>0</v>
      </c>
      <c r="B2221" s="37" t="s">
        <v>53</v>
      </c>
      <c r="C2221" s="38">
        <v>112500</v>
      </c>
    </row>
    <row r="2222" spans="1:3" x14ac:dyDescent="0.3">
      <c r="A2222" s="37" t="s">
        <v>0</v>
      </c>
      <c r="B2222" s="37" t="s">
        <v>53</v>
      </c>
      <c r="C2222" s="38"/>
    </row>
    <row r="2223" spans="1:3" x14ac:dyDescent="0.3">
      <c r="A2223" s="37" t="s">
        <v>0</v>
      </c>
      <c r="B2223" s="37" t="s">
        <v>53</v>
      </c>
      <c r="C2223" s="38">
        <v>190000</v>
      </c>
    </row>
    <row r="2224" spans="1:3" x14ac:dyDescent="0.3">
      <c r="A2224" s="37" t="s">
        <v>0</v>
      </c>
      <c r="B2224" s="37" t="s">
        <v>53</v>
      </c>
      <c r="C2224" s="38"/>
    </row>
    <row r="2225" spans="1:3" x14ac:dyDescent="0.3">
      <c r="A2225" s="37" t="s">
        <v>0</v>
      </c>
      <c r="B2225" s="37" t="s">
        <v>53</v>
      </c>
      <c r="C2225" s="38">
        <v>88393.5</v>
      </c>
    </row>
    <row r="2226" spans="1:3" x14ac:dyDescent="0.3">
      <c r="A2226" s="37" t="s">
        <v>0</v>
      </c>
      <c r="B2226" s="37" t="s">
        <v>53</v>
      </c>
      <c r="C2226" s="38">
        <v>110000</v>
      </c>
    </row>
    <row r="2227" spans="1:3" x14ac:dyDescent="0.3">
      <c r="A2227" s="37" t="s">
        <v>0</v>
      </c>
      <c r="B2227" s="37" t="s">
        <v>53</v>
      </c>
      <c r="C2227" s="38"/>
    </row>
    <row r="2228" spans="1:3" x14ac:dyDescent="0.3">
      <c r="A2228" s="37" t="s">
        <v>0</v>
      </c>
      <c r="B2228" s="37" t="s">
        <v>53</v>
      </c>
      <c r="C2228" s="38">
        <v>85132.5</v>
      </c>
    </row>
    <row r="2229" spans="1:3" x14ac:dyDescent="0.3">
      <c r="A2229" s="37" t="s">
        <v>0</v>
      </c>
      <c r="B2229" s="37" t="s">
        <v>54</v>
      </c>
      <c r="C2229" s="38">
        <v>142052</v>
      </c>
    </row>
    <row r="2230" spans="1:3" x14ac:dyDescent="0.3">
      <c r="A2230" s="37" t="s">
        <v>0</v>
      </c>
      <c r="B2230" s="37" t="s">
        <v>80</v>
      </c>
      <c r="C2230" s="38">
        <v>157500</v>
      </c>
    </row>
    <row r="2231" spans="1:3" x14ac:dyDescent="0.3">
      <c r="A2231" s="37" t="s">
        <v>0</v>
      </c>
      <c r="B2231" s="37" t="s">
        <v>72</v>
      </c>
      <c r="C2231" s="38">
        <v>64821.5</v>
      </c>
    </row>
    <row r="2232" spans="1:3" x14ac:dyDescent="0.3">
      <c r="A2232" s="37" t="s">
        <v>0</v>
      </c>
      <c r="B2232" s="37" t="s">
        <v>53</v>
      </c>
      <c r="C2232" s="38">
        <v>145000</v>
      </c>
    </row>
    <row r="2233" spans="1:3" x14ac:dyDescent="0.3">
      <c r="A2233" s="37" t="s">
        <v>0</v>
      </c>
      <c r="B2233" s="37" t="s">
        <v>53</v>
      </c>
      <c r="C2233" s="38"/>
    </row>
    <row r="2234" spans="1:3" x14ac:dyDescent="0.3">
      <c r="A2234" s="37" t="s">
        <v>0</v>
      </c>
      <c r="B2234" s="37" t="s">
        <v>53</v>
      </c>
      <c r="C2234" s="38"/>
    </row>
    <row r="2235" spans="1:3" x14ac:dyDescent="0.3">
      <c r="A2235" s="37" t="s">
        <v>0</v>
      </c>
      <c r="B2235" s="37" t="s">
        <v>53</v>
      </c>
      <c r="C2235" s="38">
        <v>195000</v>
      </c>
    </row>
    <row r="2236" spans="1:3" x14ac:dyDescent="0.3">
      <c r="A2236" s="37" t="s">
        <v>0</v>
      </c>
      <c r="B2236" s="37" t="s">
        <v>54</v>
      </c>
      <c r="C2236" s="38">
        <v>225000</v>
      </c>
    </row>
    <row r="2237" spans="1:3" x14ac:dyDescent="0.3">
      <c r="A2237" s="37" t="s">
        <v>0</v>
      </c>
      <c r="B2237" s="37" t="s">
        <v>53</v>
      </c>
      <c r="C2237" s="38">
        <v>120000</v>
      </c>
    </row>
    <row r="2238" spans="1:3" x14ac:dyDescent="0.3">
      <c r="A2238" s="37" t="s">
        <v>0</v>
      </c>
      <c r="B2238" s="37" t="s">
        <v>53</v>
      </c>
      <c r="C2238" s="38">
        <v>145000</v>
      </c>
    </row>
    <row r="2239" spans="1:3" x14ac:dyDescent="0.3">
      <c r="A2239" s="37" t="s">
        <v>0</v>
      </c>
      <c r="B2239" s="37" t="s">
        <v>53</v>
      </c>
      <c r="C2239" s="38"/>
    </row>
    <row r="2240" spans="1:3" x14ac:dyDescent="0.3">
      <c r="A2240" s="37" t="s">
        <v>0</v>
      </c>
      <c r="B2240" s="37" t="s">
        <v>53</v>
      </c>
      <c r="C2240" s="38"/>
    </row>
    <row r="2241" spans="1:3" x14ac:dyDescent="0.3">
      <c r="A2241" s="37" t="s">
        <v>0</v>
      </c>
      <c r="B2241" s="37" t="s">
        <v>53</v>
      </c>
      <c r="C2241" s="38"/>
    </row>
    <row r="2242" spans="1:3" x14ac:dyDescent="0.3">
      <c r="A2242" s="37" t="s">
        <v>0</v>
      </c>
      <c r="B2242" s="37" t="s">
        <v>53</v>
      </c>
      <c r="C2242" s="38">
        <v>90000</v>
      </c>
    </row>
    <row r="2243" spans="1:3" x14ac:dyDescent="0.3">
      <c r="A2243" s="37" t="s">
        <v>0</v>
      </c>
      <c r="B2243" s="37" t="s">
        <v>53</v>
      </c>
      <c r="C2243" s="38">
        <v>235375</v>
      </c>
    </row>
    <row r="2244" spans="1:3" x14ac:dyDescent="0.3">
      <c r="A2244" s="37" t="s">
        <v>0</v>
      </c>
      <c r="B2244" s="37" t="s">
        <v>53</v>
      </c>
      <c r="C2244" s="38">
        <v>110000</v>
      </c>
    </row>
    <row r="2245" spans="1:3" x14ac:dyDescent="0.3">
      <c r="A2245" s="37" t="s">
        <v>0</v>
      </c>
      <c r="B2245" s="37" t="s">
        <v>53</v>
      </c>
      <c r="C2245" s="38">
        <v>114500</v>
      </c>
    </row>
    <row r="2246" spans="1:3" x14ac:dyDescent="0.3">
      <c r="A2246" s="37" t="s">
        <v>0</v>
      </c>
      <c r="B2246" s="37" t="s">
        <v>53</v>
      </c>
      <c r="C2246" s="38">
        <v>195000</v>
      </c>
    </row>
    <row r="2247" spans="1:3" x14ac:dyDescent="0.3">
      <c r="A2247" s="37" t="s">
        <v>0</v>
      </c>
      <c r="B2247" s="37" t="s">
        <v>53</v>
      </c>
      <c r="C2247" s="38">
        <v>157500</v>
      </c>
    </row>
    <row r="2248" spans="1:3" x14ac:dyDescent="0.3">
      <c r="A2248" s="37" t="s">
        <v>0</v>
      </c>
      <c r="B2248" s="37" t="s">
        <v>53</v>
      </c>
      <c r="C2248" s="38">
        <v>124400</v>
      </c>
    </row>
    <row r="2249" spans="1:3" x14ac:dyDescent="0.3">
      <c r="A2249" s="37" t="s">
        <v>0</v>
      </c>
      <c r="B2249" s="37" t="s">
        <v>53</v>
      </c>
      <c r="C2249" s="38">
        <v>110000</v>
      </c>
    </row>
    <row r="2250" spans="1:3" x14ac:dyDescent="0.3">
      <c r="A2250" s="37" t="s">
        <v>0</v>
      </c>
      <c r="B2250" s="37" t="s">
        <v>53</v>
      </c>
      <c r="C2250" s="38">
        <v>185000</v>
      </c>
    </row>
    <row r="2251" spans="1:3" x14ac:dyDescent="0.3">
      <c r="A2251" s="37" t="s">
        <v>0</v>
      </c>
      <c r="B2251" s="37" t="s">
        <v>97</v>
      </c>
      <c r="C2251" s="38">
        <v>56700</v>
      </c>
    </row>
    <row r="2252" spans="1:3" x14ac:dyDescent="0.3">
      <c r="A2252" s="37" t="s">
        <v>0</v>
      </c>
      <c r="B2252" s="37" t="s">
        <v>53</v>
      </c>
      <c r="C2252" s="38">
        <v>147500</v>
      </c>
    </row>
    <row r="2253" spans="1:3" x14ac:dyDescent="0.3">
      <c r="A2253" s="37" t="s">
        <v>0</v>
      </c>
      <c r="B2253" s="37" t="s">
        <v>53</v>
      </c>
      <c r="C2253" s="38">
        <v>157500</v>
      </c>
    </row>
    <row r="2254" spans="1:3" x14ac:dyDescent="0.3">
      <c r="A2254" s="37" t="s">
        <v>0</v>
      </c>
      <c r="B2254" s="37" t="s">
        <v>53</v>
      </c>
      <c r="C2254" s="38"/>
    </row>
    <row r="2255" spans="1:3" x14ac:dyDescent="0.3">
      <c r="A2255" s="37" t="s">
        <v>0</v>
      </c>
      <c r="B2255" s="37" t="s">
        <v>53</v>
      </c>
      <c r="C2255" s="38">
        <v>125000</v>
      </c>
    </row>
    <row r="2256" spans="1:3" x14ac:dyDescent="0.3">
      <c r="A2256" s="37" t="s">
        <v>0</v>
      </c>
      <c r="B2256" s="37" t="s">
        <v>53</v>
      </c>
      <c r="C2256" s="38">
        <v>272500</v>
      </c>
    </row>
    <row r="2257" spans="1:3" x14ac:dyDescent="0.3">
      <c r="A2257" s="37" t="s">
        <v>0</v>
      </c>
      <c r="B2257" s="37" t="s">
        <v>54</v>
      </c>
      <c r="C2257" s="38">
        <v>77200</v>
      </c>
    </row>
    <row r="2258" spans="1:3" x14ac:dyDescent="0.3">
      <c r="A2258" s="37" t="s">
        <v>0</v>
      </c>
      <c r="B2258" s="37" t="s">
        <v>53</v>
      </c>
      <c r="C2258" s="38">
        <v>90000</v>
      </c>
    </row>
    <row r="2259" spans="1:3" x14ac:dyDescent="0.3">
      <c r="A2259" s="37" t="s">
        <v>0</v>
      </c>
      <c r="B2259" s="37" t="s">
        <v>53</v>
      </c>
      <c r="C2259" s="38">
        <v>155000</v>
      </c>
    </row>
    <row r="2260" spans="1:3" x14ac:dyDescent="0.3">
      <c r="A2260" s="37" t="s">
        <v>0</v>
      </c>
      <c r="B2260" s="37" t="s">
        <v>53</v>
      </c>
      <c r="C2260" s="38">
        <v>100900</v>
      </c>
    </row>
    <row r="2261" spans="1:3" x14ac:dyDescent="0.3">
      <c r="A2261" s="37" t="s">
        <v>0</v>
      </c>
      <c r="B2261" s="37" t="s">
        <v>53</v>
      </c>
      <c r="C2261" s="38">
        <v>150000</v>
      </c>
    </row>
    <row r="2262" spans="1:3" x14ac:dyDescent="0.3">
      <c r="A2262" s="37" t="s">
        <v>0</v>
      </c>
      <c r="B2262" s="37" t="s">
        <v>53</v>
      </c>
      <c r="C2262" s="38">
        <v>120000</v>
      </c>
    </row>
    <row r="2263" spans="1:3" x14ac:dyDescent="0.3">
      <c r="A2263" s="37" t="s">
        <v>0</v>
      </c>
      <c r="B2263" s="37" t="s">
        <v>53</v>
      </c>
      <c r="C2263" s="38">
        <v>224500</v>
      </c>
    </row>
    <row r="2264" spans="1:3" x14ac:dyDescent="0.3">
      <c r="A2264" s="37" t="s">
        <v>0</v>
      </c>
      <c r="B2264" s="37" t="s">
        <v>53</v>
      </c>
      <c r="C2264" s="38">
        <v>150000</v>
      </c>
    </row>
    <row r="2265" spans="1:3" x14ac:dyDescent="0.3">
      <c r="A2265" s="37" t="s">
        <v>0</v>
      </c>
      <c r="B2265" s="37" t="s">
        <v>53</v>
      </c>
      <c r="C2265" s="38">
        <v>110000</v>
      </c>
    </row>
    <row r="2266" spans="1:3" x14ac:dyDescent="0.3">
      <c r="A2266" s="37" t="s">
        <v>0</v>
      </c>
      <c r="B2266" s="37" t="s">
        <v>53</v>
      </c>
      <c r="C2266" s="38"/>
    </row>
    <row r="2267" spans="1:3" x14ac:dyDescent="0.3">
      <c r="A2267" s="37" t="s">
        <v>0</v>
      </c>
      <c r="B2267" s="37" t="s">
        <v>53</v>
      </c>
      <c r="C2267" s="38">
        <v>128816</v>
      </c>
    </row>
    <row r="2268" spans="1:3" x14ac:dyDescent="0.3">
      <c r="A2268" s="37" t="s">
        <v>0</v>
      </c>
      <c r="B2268" s="37" t="s">
        <v>99</v>
      </c>
      <c r="C2268" s="38">
        <v>64821.5</v>
      </c>
    </row>
    <row r="2269" spans="1:3" x14ac:dyDescent="0.3">
      <c r="A2269" s="37" t="s">
        <v>0</v>
      </c>
      <c r="B2269" s="37" t="s">
        <v>83</v>
      </c>
      <c r="C2269" s="38">
        <v>44100</v>
      </c>
    </row>
    <row r="2270" spans="1:3" x14ac:dyDescent="0.3">
      <c r="A2270" s="37" t="s">
        <v>0</v>
      </c>
      <c r="B2270" s="37" t="s">
        <v>53</v>
      </c>
      <c r="C2270" s="38">
        <v>180560</v>
      </c>
    </row>
    <row r="2271" spans="1:3" x14ac:dyDescent="0.3">
      <c r="A2271" s="37" t="s">
        <v>0</v>
      </c>
      <c r="B2271" s="37" t="s">
        <v>53</v>
      </c>
      <c r="C2271" s="38">
        <v>175000</v>
      </c>
    </row>
    <row r="2272" spans="1:3" x14ac:dyDescent="0.3">
      <c r="A2272" s="37" t="s">
        <v>0</v>
      </c>
      <c r="B2272" s="37" t="s">
        <v>53</v>
      </c>
      <c r="C2272" s="38">
        <v>90000</v>
      </c>
    </row>
    <row r="2273" spans="1:3" x14ac:dyDescent="0.3">
      <c r="A2273" s="37" t="s">
        <v>0</v>
      </c>
      <c r="B2273" s="37" t="s">
        <v>72</v>
      </c>
      <c r="C2273" s="38">
        <v>87307.5</v>
      </c>
    </row>
    <row r="2274" spans="1:3" x14ac:dyDescent="0.3">
      <c r="A2274" s="37" t="s">
        <v>0</v>
      </c>
      <c r="B2274" s="37" t="s">
        <v>53</v>
      </c>
      <c r="C2274" s="38">
        <v>72272</v>
      </c>
    </row>
    <row r="2275" spans="1:3" x14ac:dyDescent="0.3">
      <c r="A2275" s="37" t="s">
        <v>0</v>
      </c>
      <c r="B2275" s="37" t="s">
        <v>53</v>
      </c>
      <c r="C2275" s="38"/>
    </row>
    <row r="2276" spans="1:3" x14ac:dyDescent="0.3">
      <c r="A2276" s="37" t="s">
        <v>0</v>
      </c>
      <c r="B2276" s="37" t="s">
        <v>53</v>
      </c>
      <c r="C2276" s="38"/>
    </row>
    <row r="2277" spans="1:3" x14ac:dyDescent="0.3">
      <c r="A2277" s="37" t="s">
        <v>0</v>
      </c>
      <c r="B2277" s="37" t="s">
        <v>53</v>
      </c>
      <c r="C2277" s="38">
        <v>135000</v>
      </c>
    </row>
    <row r="2278" spans="1:3" x14ac:dyDescent="0.3">
      <c r="A2278" s="37" t="s">
        <v>0</v>
      </c>
      <c r="B2278" s="37" t="s">
        <v>53</v>
      </c>
      <c r="C2278" s="38">
        <v>139000</v>
      </c>
    </row>
    <row r="2279" spans="1:3" x14ac:dyDescent="0.3">
      <c r="A2279" s="37" t="s">
        <v>0</v>
      </c>
      <c r="B2279" s="37" t="s">
        <v>53</v>
      </c>
      <c r="C2279" s="38">
        <v>136400</v>
      </c>
    </row>
    <row r="2280" spans="1:3" x14ac:dyDescent="0.3">
      <c r="A2280" s="37" t="s">
        <v>0</v>
      </c>
      <c r="B2280" s="37" t="s">
        <v>53</v>
      </c>
      <c r="C2280" s="38">
        <v>200000</v>
      </c>
    </row>
    <row r="2281" spans="1:3" x14ac:dyDescent="0.3">
      <c r="A2281" s="37" t="s">
        <v>0</v>
      </c>
      <c r="B2281" s="37" t="s">
        <v>53</v>
      </c>
      <c r="C2281" s="38">
        <v>158697</v>
      </c>
    </row>
    <row r="2282" spans="1:3" x14ac:dyDescent="0.3">
      <c r="A2282" s="37" t="s">
        <v>0</v>
      </c>
      <c r="B2282" s="37" t="s">
        <v>53</v>
      </c>
      <c r="C2282" s="38"/>
    </row>
    <row r="2283" spans="1:3" x14ac:dyDescent="0.3">
      <c r="A2283" s="37" t="s">
        <v>0</v>
      </c>
      <c r="B2283" s="37" t="s">
        <v>53</v>
      </c>
      <c r="C2283" s="38"/>
    </row>
    <row r="2284" spans="1:3" x14ac:dyDescent="0.3">
      <c r="A2284" s="37" t="s">
        <v>0</v>
      </c>
      <c r="B2284" s="37" t="s">
        <v>53</v>
      </c>
      <c r="C2284" s="38"/>
    </row>
    <row r="2285" spans="1:3" x14ac:dyDescent="0.3">
      <c r="A2285" s="37" t="s">
        <v>0</v>
      </c>
      <c r="B2285" s="37" t="s">
        <v>53</v>
      </c>
      <c r="C2285" s="38">
        <v>122500</v>
      </c>
    </row>
    <row r="2286" spans="1:3" x14ac:dyDescent="0.3">
      <c r="A2286" s="37" t="s">
        <v>0</v>
      </c>
      <c r="B2286" s="37" t="s">
        <v>53</v>
      </c>
      <c r="C2286" s="38">
        <v>126000</v>
      </c>
    </row>
    <row r="2287" spans="1:3" x14ac:dyDescent="0.3">
      <c r="A2287" s="37" t="s">
        <v>0</v>
      </c>
      <c r="B2287" s="37" t="s">
        <v>53</v>
      </c>
      <c r="C2287" s="38">
        <v>82500</v>
      </c>
    </row>
    <row r="2288" spans="1:3" x14ac:dyDescent="0.3">
      <c r="A2288" s="37" t="s">
        <v>0</v>
      </c>
      <c r="B2288" s="37" t="s">
        <v>53</v>
      </c>
      <c r="C2288" s="38"/>
    </row>
    <row r="2289" spans="1:3" x14ac:dyDescent="0.3">
      <c r="A2289" s="37" t="s">
        <v>0</v>
      </c>
      <c r="B2289" s="37" t="s">
        <v>53</v>
      </c>
      <c r="C2289" s="38"/>
    </row>
    <row r="2290" spans="1:3" x14ac:dyDescent="0.3">
      <c r="A2290" s="37" t="s">
        <v>0</v>
      </c>
      <c r="B2290" s="37" t="s">
        <v>53</v>
      </c>
      <c r="C2290" s="38">
        <v>74781</v>
      </c>
    </row>
    <row r="2291" spans="1:3" x14ac:dyDescent="0.3">
      <c r="A2291" s="37" t="s">
        <v>0</v>
      </c>
      <c r="B2291" s="37" t="s">
        <v>53</v>
      </c>
      <c r="C2291" s="38">
        <v>161955.5</v>
      </c>
    </row>
    <row r="2292" spans="1:3" x14ac:dyDescent="0.3">
      <c r="A2292" s="37" t="s">
        <v>0</v>
      </c>
      <c r="B2292" s="37" t="s">
        <v>53</v>
      </c>
      <c r="C2292" s="38">
        <v>375000</v>
      </c>
    </row>
    <row r="2293" spans="1:3" x14ac:dyDescent="0.3">
      <c r="A2293" s="37" t="s">
        <v>0</v>
      </c>
      <c r="B2293" s="37" t="s">
        <v>53</v>
      </c>
      <c r="C2293" s="38">
        <v>150000</v>
      </c>
    </row>
    <row r="2294" spans="1:3" x14ac:dyDescent="0.3">
      <c r="A2294" s="37" t="s">
        <v>0</v>
      </c>
      <c r="B2294" s="37" t="s">
        <v>54</v>
      </c>
      <c r="C2294" s="38"/>
    </row>
    <row r="2295" spans="1:3" x14ac:dyDescent="0.3">
      <c r="A2295" s="37" t="s">
        <v>0</v>
      </c>
      <c r="B2295" s="37" t="s">
        <v>106</v>
      </c>
      <c r="C2295" s="38">
        <v>99150</v>
      </c>
    </row>
    <row r="2296" spans="1:3" x14ac:dyDescent="0.3">
      <c r="A2296" s="37" t="s">
        <v>0</v>
      </c>
      <c r="B2296" s="37" t="s">
        <v>53</v>
      </c>
      <c r="C2296" s="38">
        <v>115000</v>
      </c>
    </row>
    <row r="2297" spans="1:3" x14ac:dyDescent="0.3">
      <c r="A2297" s="37" t="s">
        <v>0</v>
      </c>
      <c r="B2297" s="37" t="s">
        <v>53</v>
      </c>
      <c r="C2297" s="38"/>
    </row>
    <row r="2298" spans="1:3" x14ac:dyDescent="0.3">
      <c r="A2298" s="37" t="s">
        <v>0</v>
      </c>
      <c r="B2298" s="37" t="s">
        <v>53</v>
      </c>
      <c r="C2298" s="38">
        <v>250000</v>
      </c>
    </row>
    <row r="2299" spans="1:3" x14ac:dyDescent="0.3">
      <c r="A2299" s="37" t="s">
        <v>0</v>
      </c>
      <c r="B2299" s="37" t="s">
        <v>53</v>
      </c>
      <c r="C2299" s="38"/>
    </row>
    <row r="2300" spans="1:3" x14ac:dyDescent="0.3">
      <c r="A2300" s="37" t="s">
        <v>0</v>
      </c>
      <c r="B2300" s="37" t="s">
        <v>53</v>
      </c>
      <c r="C2300" s="38">
        <v>184500</v>
      </c>
    </row>
    <row r="2301" spans="1:3" x14ac:dyDescent="0.3">
      <c r="A2301" s="37" t="s">
        <v>0</v>
      </c>
      <c r="B2301" s="37" t="s">
        <v>53</v>
      </c>
      <c r="C2301" s="38">
        <v>90000</v>
      </c>
    </row>
    <row r="2302" spans="1:3" x14ac:dyDescent="0.3">
      <c r="A2302" s="37" t="s">
        <v>0</v>
      </c>
      <c r="B2302" s="37" t="s">
        <v>53</v>
      </c>
      <c r="C2302" s="38"/>
    </row>
    <row r="2303" spans="1:3" x14ac:dyDescent="0.3">
      <c r="A2303" s="37" t="s">
        <v>0</v>
      </c>
      <c r="B2303" s="37" t="s">
        <v>53</v>
      </c>
      <c r="C2303" s="38">
        <v>106150</v>
      </c>
    </row>
    <row r="2304" spans="1:3" x14ac:dyDescent="0.3">
      <c r="A2304" s="37" t="s">
        <v>0</v>
      </c>
      <c r="B2304" s="37" t="s">
        <v>53</v>
      </c>
      <c r="C2304" s="38">
        <v>152580</v>
      </c>
    </row>
    <row r="2305" spans="1:3" x14ac:dyDescent="0.3">
      <c r="A2305" s="37" t="s">
        <v>0</v>
      </c>
      <c r="B2305" s="37" t="s">
        <v>53</v>
      </c>
      <c r="C2305" s="38">
        <v>125000</v>
      </c>
    </row>
    <row r="2306" spans="1:3" x14ac:dyDescent="0.3">
      <c r="A2306" s="37" t="s">
        <v>0</v>
      </c>
      <c r="B2306" s="37" t="s">
        <v>53</v>
      </c>
      <c r="C2306" s="38">
        <v>172500</v>
      </c>
    </row>
    <row r="2307" spans="1:3" x14ac:dyDescent="0.3">
      <c r="A2307" s="37" t="s">
        <v>0</v>
      </c>
      <c r="B2307" s="37" t="s">
        <v>83</v>
      </c>
      <c r="C2307" s="38">
        <v>69300</v>
      </c>
    </row>
    <row r="2308" spans="1:3" x14ac:dyDescent="0.3">
      <c r="A2308" s="37" t="s">
        <v>0</v>
      </c>
      <c r="B2308" s="37" t="s">
        <v>53</v>
      </c>
      <c r="C2308" s="38">
        <v>147000</v>
      </c>
    </row>
    <row r="2309" spans="1:3" x14ac:dyDescent="0.3">
      <c r="A2309" s="37" t="s">
        <v>0</v>
      </c>
      <c r="B2309" s="37" t="s">
        <v>53</v>
      </c>
      <c r="C2309" s="38"/>
    </row>
    <row r="2310" spans="1:3" x14ac:dyDescent="0.3">
      <c r="A2310" s="37" t="s">
        <v>0</v>
      </c>
      <c r="B2310" s="37" t="s">
        <v>54</v>
      </c>
      <c r="C2310" s="38">
        <v>95000</v>
      </c>
    </row>
    <row r="2311" spans="1:3" x14ac:dyDescent="0.3">
      <c r="A2311" s="37" t="s">
        <v>0</v>
      </c>
      <c r="B2311" s="37" t="s">
        <v>53</v>
      </c>
      <c r="C2311" s="38">
        <v>63000</v>
      </c>
    </row>
    <row r="2312" spans="1:3" x14ac:dyDescent="0.3">
      <c r="A2312" s="37" t="s">
        <v>0</v>
      </c>
      <c r="B2312" s="37" t="s">
        <v>53</v>
      </c>
      <c r="C2312" s="38"/>
    </row>
    <row r="2313" spans="1:3" x14ac:dyDescent="0.3">
      <c r="A2313" s="37" t="s">
        <v>0</v>
      </c>
      <c r="B2313" s="37" t="s">
        <v>53</v>
      </c>
      <c r="C2313" s="38">
        <v>93045</v>
      </c>
    </row>
    <row r="2314" spans="1:3" x14ac:dyDescent="0.3">
      <c r="A2314" s="37" t="s">
        <v>0</v>
      </c>
      <c r="B2314" s="37" t="s">
        <v>53</v>
      </c>
      <c r="C2314" s="38">
        <v>71100</v>
      </c>
    </row>
    <row r="2315" spans="1:3" x14ac:dyDescent="0.3">
      <c r="A2315" s="37" t="s">
        <v>0</v>
      </c>
      <c r="B2315" s="37" t="s">
        <v>53</v>
      </c>
      <c r="C2315" s="38">
        <v>207500</v>
      </c>
    </row>
    <row r="2316" spans="1:3" x14ac:dyDescent="0.3">
      <c r="A2316" s="37" t="s">
        <v>0</v>
      </c>
      <c r="B2316" s="37" t="s">
        <v>53</v>
      </c>
      <c r="C2316" s="38">
        <v>125000</v>
      </c>
    </row>
    <row r="2317" spans="1:3" x14ac:dyDescent="0.3">
      <c r="A2317" s="37" t="s">
        <v>0</v>
      </c>
      <c r="B2317" s="37" t="s">
        <v>53</v>
      </c>
      <c r="C2317" s="38"/>
    </row>
    <row r="2318" spans="1:3" x14ac:dyDescent="0.3">
      <c r="A2318" s="37" t="s">
        <v>0</v>
      </c>
      <c r="B2318" s="37" t="s">
        <v>54</v>
      </c>
      <c r="C2318" s="38"/>
    </row>
    <row r="2319" spans="1:3" x14ac:dyDescent="0.3">
      <c r="A2319" s="37" t="s">
        <v>0</v>
      </c>
      <c r="B2319" s="37" t="s">
        <v>53</v>
      </c>
      <c r="C2319" s="38"/>
    </row>
    <row r="2320" spans="1:3" x14ac:dyDescent="0.3">
      <c r="A2320" s="37" t="s">
        <v>0</v>
      </c>
      <c r="B2320" s="37" t="s">
        <v>53</v>
      </c>
      <c r="C2320" s="38">
        <v>123225</v>
      </c>
    </row>
    <row r="2321" spans="1:3" x14ac:dyDescent="0.3">
      <c r="A2321" s="37" t="s">
        <v>0</v>
      </c>
      <c r="B2321" s="37" t="s">
        <v>53</v>
      </c>
      <c r="C2321" s="38">
        <v>190000</v>
      </c>
    </row>
    <row r="2322" spans="1:3" x14ac:dyDescent="0.3">
      <c r="A2322" s="37" t="s">
        <v>0</v>
      </c>
      <c r="B2322" s="37" t="s">
        <v>53</v>
      </c>
      <c r="C2322" s="38">
        <v>270000</v>
      </c>
    </row>
    <row r="2323" spans="1:3" x14ac:dyDescent="0.3">
      <c r="A2323" s="37" t="s">
        <v>0</v>
      </c>
      <c r="B2323" s="37" t="s">
        <v>53</v>
      </c>
      <c r="C2323" s="38">
        <v>125000</v>
      </c>
    </row>
    <row r="2324" spans="1:3" x14ac:dyDescent="0.3">
      <c r="A2324" s="37" t="s">
        <v>0</v>
      </c>
      <c r="B2324" s="37" t="s">
        <v>53</v>
      </c>
      <c r="C2324" s="38">
        <v>196800</v>
      </c>
    </row>
    <row r="2325" spans="1:3" x14ac:dyDescent="0.3">
      <c r="A2325" s="37" t="s">
        <v>0</v>
      </c>
      <c r="B2325" s="37" t="s">
        <v>53</v>
      </c>
      <c r="C2325" s="38"/>
    </row>
    <row r="2326" spans="1:3" x14ac:dyDescent="0.3">
      <c r="A2326" s="37" t="s">
        <v>0</v>
      </c>
      <c r="B2326" s="37" t="s">
        <v>53</v>
      </c>
      <c r="C2326" s="38">
        <v>37107.19921875</v>
      </c>
    </row>
    <row r="2327" spans="1:3" x14ac:dyDescent="0.3">
      <c r="A2327" s="37" t="s">
        <v>0</v>
      </c>
      <c r="B2327" s="37" t="s">
        <v>53</v>
      </c>
      <c r="C2327" s="38">
        <v>103529</v>
      </c>
    </row>
    <row r="2328" spans="1:3" x14ac:dyDescent="0.3">
      <c r="A2328" s="37" t="s">
        <v>0</v>
      </c>
      <c r="B2328" s="37" t="s">
        <v>53</v>
      </c>
      <c r="C2328" s="38">
        <v>52000</v>
      </c>
    </row>
    <row r="2329" spans="1:3" x14ac:dyDescent="0.3">
      <c r="A2329" s="37" t="s">
        <v>0</v>
      </c>
      <c r="B2329" s="37" t="s">
        <v>53</v>
      </c>
      <c r="C2329" s="38"/>
    </row>
    <row r="2330" spans="1:3" x14ac:dyDescent="0.3">
      <c r="A2330" s="37" t="s">
        <v>0</v>
      </c>
      <c r="B2330" s="37" t="s">
        <v>53</v>
      </c>
      <c r="C2330" s="38"/>
    </row>
    <row r="2331" spans="1:3" x14ac:dyDescent="0.3">
      <c r="A2331" s="37" t="s">
        <v>0</v>
      </c>
      <c r="B2331" s="37" t="s">
        <v>53</v>
      </c>
      <c r="C2331" s="38">
        <v>115000</v>
      </c>
    </row>
    <row r="2332" spans="1:3" x14ac:dyDescent="0.3">
      <c r="A2332" s="37" t="s">
        <v>0</v>
      </c>
      <c r="B2332" s="37" t="s">
        <v>54</v>
      </c>
      <c r="C2332" s="38"/>
    </row>
    <row r="2333" spans="1:3" x14ac:dyDescent="0.3">
      <c r="A2333" s="37" t="s">
        <v>0</v>
      </c>
      <c r="B2333" s="37" t="s">
        <v>53</v>
      </c>
      <c r="C2333" s="38">
        <v>155000</v>
      </c>
    </row>
    <row r="2334" spans="1:3" x14ac:dyDescent="0.3">
      <c r="A2334" s="37" t="s">
        <v>0</v>
      </c>
      <c r="B2334" s="37" t="s">
        <v>53</v>
      </c>
      <c r="C2334" s="38">
        <v>90000</v>
      </c>
    </row>
    <row r="2335" spans="1:3" x14ac:dyDescent="0.3">
      <c r="A2335" s="37" t="s">
        <v>0</v>
      </c>
      <c r="B2335" s="37" t="s">
        <v>53</v>
      </c>
      <c r="C2335" s="38">
        <v>78369</v>
      </c>
    </row>
    <row r="2336" spans="1:3" x14ac:dyDescent="0.3">
      <c r="A2336" s="37" t="s">
        <v>0</v>
      </c>
      <c r="B2336" s="37" t="s">
        <v>53</v>
      </c>
      <c r="C2336" s="38">
        <v>90000</v>
      </c>
    </row>
    <row r="2337" spans="1:3" x14ac:dyDescent="0.3">
      <c r="A2337" s="37" t="s">
        <v>0</v>
      </c>
      <c r="B2337" s="37" t="s">
        <v>53</v>
      </c>
      <c r="C2337" s="38">
        <v>90000</v>
      </c>
    </row>
    <row r="2338" spans="1:3" x14ac:dyDescent="0.3">
      <c r="A2338" s="37" t="s">
        <v>0</v>
      </c>
      <c r="B2338" s="37" t="s">
        <v>54</v>
      </c>
      <c r="C2338" s="38"/>
    </row>
    <row r="2339" spans="1:3" x14ac:dyDescent="0.3">
      <c r="A2339" s="37" t="s">
        <v>0</v>
      </c>
      <c r="B2339" s="37" t="s">
        <v>53</v>
      </c>
      <c r="C2339" s="38">
        <v>125000</v>
      </c>
    </row>
    <row r="2340" spans="1:3" x14ac:dyDescent="0.3">
      <c r="A2340" s="37" t="s">
        <v>0</v>
      </c>
      <c r="B2340" s="37" t="s">
        <v>68</v>
      </c>
      <c r="C2340" s="38"/>
    </row>
    <row r="2341" spans="1:3" x14ac:dyDescent="0.3">
      <c r="A2341" s="37" t="s">
        <v>0</v>
      </c>
      <c r="B2341" s="37" t="s">
        <v>53</v>
      </c>
      <c r="C2341" s="38">
        <v>80000</v>
      </c>
    </row>
    <row r="2342" spans="1:3" x14ac:dyDescent="0.3">
      <c r="A2342" s="37" t="s">
        <v>0</v>
      </c>
      <c r="B2342" s="37" t="s">
        <v>53</v>
      </c>
      <c r="C2342" s="38">
        <v>90000</v>
      </c>
    </row>
    <row r="2343" spans="1:3" x14ac:dyDescent="0.3">
      <c r="A2343" s="37" t="s">
        <v>0</v>
      </c>
      <c r="B2343" s="37" t="s">
        <v>72</v>
      </c>
      <c r="C2343" s="38">
        <v>51068</v>
      </c>
    </row>
    <row r="2344" spans="1:3" x14ac:dyDescent="0.3">
      <c r="A2344" s="37" t="s">
        <v>0</v>
      </c>
      <c r="B2344" s="37" t="s">
        <v>53</v>
      </c>
      <c r="C2344" s="38">
        <v>135000</v>
      </c>
    </row>
    <row r="2345" spans="1:3" x14ac:dyDescent="0.3">
      <c r="A2345" s="37" t="s">
        <v>0</v>
      </c>
      <c r="B2345" s="37" t="s">
        <v>53</v>
      </c>
      <c r="C2345" s="38">
        <v>110290</v>
      </c>
    </row>
    <row r="2346" spans="1:3" x14ac:dyDescent="0.3">
      <c r="A2346" s="37" t="s">
        <v>0</v>
      </c>
      <c r="B2346" s="37" t="s">
        <v>53</v>
      </c>
      <c r="C2346" s="38"/>
    </row>
    <row r="2347" spans="1:3" x14ac:dyDescent="0.3">
      <c r="A2347" s="37" t="s">
        <v>0</v>
      </c>
      <c r="B2347" s="37" t="s">
        <v>53</v>
      </c>
      <c r="C2347" s="38">
        <v>125000</v>
      </c>
    </row>
    <row r="2348" spans="1:3" x14ac:dyDescent="0.3">
      <c r="A2348" s="37" t="s">
        <v>0</v>
      </c>
      <c r="B2348" s="37" t="s">
        <v>53</v>
      </c>
      <c r="C2348" s="38">
        <v>125000</v>
      </c>
    </row>
    <row r="2349" spans="1:3" x14ac:dyDescent="0.3">
      <c r="A2349" s="37" t="s">
        <v>0</v>
      </c>
      <c r="B2349" s="37" t="s">
        <v>53</v>
      </c>
      <c r="C2349" s="38">
        <v>160000</v>
      </c>
    </row>
    <row r="2350" spans="1:3" x14ac:dyDescent="0.3">
      <c r="A2350" s="37" t="s">
        <v>0</v>
      </c>
      <c r="B2350" s="37" t="s">
        <v>53</v>
      </c>
      <c r="C2350" s="38">
        <v>122500</v>
      </c>
    </row>
    <row r="2351" spans="1:3" x14ac:dyDescent="0.3">
      <c r="A2351" s="37" t="s">
        <v>0</v>
      </c>
      <c r="B2351" s="37" t="s">
        <v>88</v>
      </c>
      <c r="C2351" s="38">
        <v>87307.5</v>
      </c>
    </row>
    <row r="2352" spans="1:3" x14ac:dyDescent="0.3">
      <c r="A2352" s="37" t="s">
        <v>0</v>
      </c>
      <c r="B2352" s="37" t="s">
        <v>53</v>
      </c>
      <c r="C2352" s="38"/>
    </row>
    <row r="2353" spans="1:3" x14ac:dyDescent="0.3">
      <c r="A2353" s="37" t="s">
        <v>0</v>
      </c>
      <c r="B2353" s="37" t="s">
        <v>53</v>
      </c>
      <c r="C2353" s="38">
        <v>164500</v>
      </c>
    </row>
    <row r="2354" spans="1:3" x14ac:dyDescent="0.3">
      <c r="A2354" s="37" t="s">
        <v>0</v>
      </c>
      <c r="B2354" s="37" t="s">
        <v>53</v>
      </c>
      <c r="C2354" s="38">
        <v>152625</v>
      </c>
    </row>
    <row r="2355" spans="1:3" x14ac:dyDescent="0.3">
      <c r="A2355" s="37" t="s">
        <v>0</v>
      </c>
      <c r="B2355" s="37" t="s">
        <v>53</v>
      </c>
      <c r="C2355" s="38">
        <v>204500</v>
      </c>
    </row>
    <row r="2356" spans="1:3" x14ac:dyDescent="0.3">
      <c r="A2356" s="37" t="s">
        <v>0</v>
      </c>
      <c r="B2356" s="37" t="s">
        <v>53</v>
      </c>
      <c r="C2356" s="38"/>
    </row>
    <row r="2357" spans="1:3" x14ac:dyDescent="0.3">
      <c r="A2357" s="37" t="s">
        <v>0</v>
      </c>
      <c r="B2357" s="37" t="s">
        <v>53</v>
      </c>
      <c r="C2357" s="38"/>
    </row>
    <row r="2358" spans="1:3" x14ac:dyDescent="0.3">
      <c r="A2358" s="37" t="s">
        <v>0</v>
      </c>
      <c r="B2358" s="37" t="s">
        <v>53</v>
      </c>
      <c r="C2358" s="38">
        <v>115000</v>
      </c>
    </row>
    <row r="2359" spans="1:3" x14ac:dyDescent="0.3">
      <c r="A2359" s="37" t="s">
        <v>0</v>
      </c>
      <c r="B2359" s="37" t="s">
        <v>53</v>
      </c>
      <c r="C2359" s="38">
        <v>119550</v>
      </c>
    </row>
    <row r="2360" spans="1:3" x14ac:dyDescent="0.3">
      <c r="A2360" s="37" t="s">
        <v>0</v>
      </c>
      <c r="B2360" s="37" t="s">
        <v>53</v>
      </c>
      <c r="C2360" s="38">
        <v>101950</v>
      </c>
    </row>
    <row r="2361" spans="1:3" x14ac:dyDescent="0.3">
      <c r="A2361" s="37" t="s">
        <v>0</v>
      </c>
      <c r="B2361" s="37" t="s">
        <v>53</v>
      </c>
      <c r="C2361" s="38">
        <v>110000</v>
      </c>
    </row>
    <row r="2362" spans="1:3" x14ac:dyDescent="0.3">
      <c r="A2362" s="37" t="s">
        <v>0</v>
      </c>
      <c r="B2362" s="37" t="s">
        <v>53</v>
      </c>
      <c r="C2362" s="38">
        <v>125000</v>
      </c>
    </row>
    <row r="2363" spans="1:3" x14ac:dyDescent="0.3">
      <c r="A2363" s="37" t="s">
        <v>0</v>
      </c>
      <c r="B2363" s="37" t="s">
        <v>53</v>
      </c>
      <c r="C2363" s="38"/>
    </row>
    <row r="2364" spans="1:3" x14ac:dyDescent="0.3">
      <c r="A2364" s="37" t="s">
        <v>0</v>
      </c>
      <c r="B2364" s="37" t="s">
        <v>53</v>
      </c>
      <c r="C2364" s="38"/>
    </row>
    <row r="2365" spans="1:3" x14ac:dyDescent="0.3">
      <c r="A2365" s="37" t="s">
        <v>0</v>
      </c>
      <c r="B2365" s="37" t="s">
        <v>53</v>
      </c>
      <c r="C2365" s="38"/>
    </row>
    <row r="2366" spans="1:3" x14ac:dyDescent="0.3">
      <c r="A2366" s="37" t="s">
        <v>0</v>
      </c>
      <c r="B2366" s="37" t="s">
        <v>53</v>
      </c>
      <c r="C2366" s="38">
        <v>100000</v>
      </c>
    </row>
    <row r="2367" spans="1:3" x14ac:dyDescent="0.3">
      <c r="A2367" s="37" t="s">
        <v>0</v>
      </c>
      <c r="B2367" s="37" t="s">
        <v>53</v>
      </c>
      <c r="C2367" s="38"/>
    </row>
    <row r="2368" spans="1:3" x14ac:dyDescent="0.3">
      <c r="A2368" s="37" t="s">
        <v>0</v>
      </c>
      <c r="B2368" s="37" t="s">
        <v>53</v>
      </c>
      <c r="C2368" s="38">
        <v>175000</v>
      </c>
    </row>
    <row r="2369" spans="1:3" x14ac:dyDescent="0.3">
      <c r="A2369" s="37" t="s">
        <v>0</v>
      </c>
      <c r="B2369" s="37" t="s">
        <v>53</v>
      </c>
      <c r="C2369" s="38">
        <v>125000</v>
      </c>
    </row>
    <row r="2370" spans="1:3" x14ac:dyDescent="0.3">
      <c r="A2370" s="37" t="s">
        <v>0</v>
      </c>
      <c r="B2370" s="37" t="s">
        <v>53</v>
      </c>
      <c r="C2370" s="38">
        <v>119500</v>
      </c>
    </row>
    <row r="2371" spans="1:3" x14ac:dyDescent="0.3">
      <c r="A2371" s="37" t="s">
        <v>0</v>
      </c>
      <c r="B2371" s="37" t="s">
        <v>53</v>
      </c>
      <c r="C2371" s="38">
        <v>90000</v>
      </c>
    </row>
    <row r="2372" spans="1:3" x14ac:dyDescent="0.3">
      <c r="A2372" s="37" t="s">
        <v>0</v>
      </c>
      <c r="B2372" s="37" t="s">
        <v>53</v>
      </c>
      <c r="C2372" s="38">
        <v>151650</v>
      </c>
    </row>
    <row r="2373" spans="1:3" x14ac:dyDescent="0.3">
      <c r="A2373" s="37" t="s">
        <v>0</v>
      </c>
      <c r="B2373" s="37" t="s">
        <v>53</v>
      </c>
      <c r="C2373" s="38">
        <v>125000</v>
      </c>
    </row>
    <row r="2374" spans="1:3" x14ac:dyDescent="0.3">
      <c r="A2374" s="37" t="s">
        <v>0</v>
      </c>
      <c r="B2374" s="37" t="s">
        <v>88</v>
      </c>
      <c r="C2374" s="38">
        <v>88128</v>
      </c>
    </row>
    <row r="2375" spans="1:3" x14ac:dyDescent="0.3">
      <c r="A2375" s="37" t="s">
        <v>0</v>
      </c>
      <c r="B2375" s="37" t="s">
        <v>53</v>
      </c>
      <c r="C2375" s="38">
        <v>137000</v>
      </c>
    </row>
    <row r="2376" spans="1:3" x14ac:dyDescent="0.3">
      <c r="A2376" s="37" t="s">
        <v>0</v>
      </c>
      <c r="B2376" s="37" t="s">
        <v>53</v>
      </c>
      <c r="C2376" s="38"/>
    </row>
    <row r="2377" spans="1:3" x14ac:dyDescent="0.3">
      <c r="A2377" s="37" t="s">
        <v>0</v>
      </c>
      <c r="B2377" s="37" t="s">
        <v>53</v>
      </c>
      <c r="C2377" s="38">
        <v>145000</v>
      </c>
    </row>
    <row r="2378" spans="1:3" x14ac:dyDescent="0.3">
      <c r="A2378" s="37" t="s">
        <v>0</v>
      </c>
      <c r="B2378" s="37" t="s">
        <v>53</v>
      </c>
      <c r="C2378" s="38">
        <v>308500</v>
      </c>
    </row>
    <row r="2379" spans="1:3" x14ac:dyDescent="0.3">
      <c r="A2379" s="37" t="s">
        <v>0</v>
      </c>
      <c r="B2379" s="37" t="s">
        <v>53</v>
      </c>
      <c r="C2379" s="38"/>
    </row>
    <row r="2380" spans="1:3" x14ac:dyDescent="0.3">
      <c r="A2380" s="37" t="s">
        <v>0</v>
      </c>
      <c r="B2380" s="37" t="s">
        <v>54</v>
      </c>
      <c r="C2380" s="38">
        <v>87307.5</v>
      </c>
    </row>
    <row r="2381" spans="1:3" x14ac:dyDescent="0.3">
      <c r="A2381" s="37" t="s">
        <v>0</v>
      </c>
      <c r="B2381" s="37" t="s">
        <v>53</v>
      </c>
      <c r="C2381" s="38">
        <v>112996</v>
      </c>
    </row>
    <row r="2382" spans="1:3" x14ac:dyDescent="0.3">
      <c r="A2382" s="37" t="s">
        <v>0</v>
      </c>
      <c r="B2382" s="37" t="s">
        <v>53</v>
      </c>
      <c r="C2382" s="38">
        <v>90000</v>
      </c>
    </row>
    <row r="2383" spans="1:3" x14ac:dyDescent="0.3">
      <c r="A2383" s="37" t="s">
        <v>0</v>
      </c>
      <c r="B2383" s="37" t="s">
        <v>53</v>
      </c>
      <c r="C2383" s="38"/>
    </row>
    <row r="2384" spans="1:3" x14ac:dyDescent="0.3">
      <c r="A2384" s="37" t="s">
        <v>0</v>
      </c>
      <c r="B2384" s="37" t="s">
        <v>53</v>
      </c>
      <c r="C2384" s="38">
        <v>150000</v>
      </c>
    </row>
    <row r="2385" spans="1:3" x14ac:dyDescent="0.3">
      <c r="A2385" s="37" t="s">
        <v>0</v>
      </c>
      <c r="B2385" s="37" t="s">
        <v>53</v>
      </c>
      <c r="C2385" s="38">
        <v>180000</v>
      </c>
    </row>
    <row r="2386" spans="1:3" x14ac:dyDescent="0.3">
      <c r="A2386" s="37" t="s">
        <v>0</v>
      </c>
      <c r="B2386" s="37" t="s">
        <v>53</v>
      </c>
      <c r="C2386" s="38">
        <v>73079</v>
      </c>
    </row>
    <row r="2387" spans="1:3" x14ac:dyDescent="0.3">
      <c r="A2387" s="37" t="s">
        <v>0</v>
      </c>
      <c r="B2387" s="37" t="s">
        <v>72</v>
      </c>
      <c r="C2387" s="38">
        <v>88128</v>
      </c>
    </row>
    <row r="2388" spans="1:3" x14ac:dyDescent="0.3">
      <c r="A2388" s="37" t="s">
        <v>0</v>
      </c>
      <c r="B2388" s="37" t="s">
        <v>53</v>
      </c>
      <c r="C2388" s="38">
        <v>157500</v>
      </c>
    </row>
    <row r="2389" spans="1:3" x14ac:dyDescent="0.3">
      <c r="A2389" s="37" t="s">
        <v>0</v>
      </c>
      <c r="B2389" s="37" t="s">
        <v>88</v>
      </c>
      <c r="C2389" s="38">
        <v>93600</v>
      </c>
    </row>
    <row r="2390" spans="1:3" x14ac:dyDescent="0.3">
      <c r="A2390" s="37" t="s">
        <v>0</v>
      </c>
      <c r="B2390" s="37" t="s">
        <v>54</v>
      </c>
      <c r="C2390" s="38">
        <v>90000</v>
      </c>
    </row>
    <row r="2391" spans="1:3" x14ac:dyDescent="0.3">
      <c r="A2391" s="37" t="s">
        <v>0</v>
      </c>
      <c r="B2391" s="37" t="s">
        <v>53</v>
      </c>
      <c r="C2391" s="38">
        <v>90000</v>
      </c>
    </row>
    <row r="2392" spans="1:3" x14ac:dyDescent="0.3">
      <c r="A2392" s="37" t="s">
        <v>0</v>
      </c>
      <c r="B2392" s="37" t="s">
        <v>53</v>
      </c>
      <c r="C2392" s="38"/>
    </row>
    <row r="2393" spans="1:3" x14ac:dyDescent="0.3">
      <c r="A2393" s="37" t="s">
        <v>0</v>
      </c>
      <c r="B2393" s="37" t="s">
        <v>53</v>
      </c>
      <c r="C2393" s="38">
        <v>95700</v>
      </c>
    </row>
    <row r="2394" spans="1:3" x14ac:dyDescent="0.3">
      <c r="A2394" s="37" t="s">
        <v>0</v>
      </c>
      <c r="B2394" s="37" t="s">
        <v>53</v>
      </c>
      <c r="C2394" s="38">
        <v>162500</v>
      </c>
    </row>
    <row r="2395" spans="1:3" x14ac:dyDescent="0.3">
      <c r="A2395" s="37" t="s">
        <v>0</v>
      </c>
      <c r="B2395" s="37" t="s">
        <v>53</v>
      </c>
      <c r="C2395" s="38"/>
    </row>
    <row r="2396" spans="1:3" x14ac:dyDescent="0.3">
      <c r="A2396" s="37" t="s">
        <v>0</v>
      </c>
      <c r="B2396" s="37" t="s">
        <v>53</v>
      </c>
      <c r="C2396" s="38"/>
    </row>
    <row r="2397" spans="1:3" x14ac:dyDescent="0.3">
      <c r="A2397" s="37" t="s">
        <v>0</v>
      </c>
      <c r="B2397" s="37" t="s">
        <v>53</v>
      </c>
      <c r="C2397" s="38">
        <v>149946.5</v>
      </c>
    </row>
    <row r="2398" spans="1:3" x14ac:dyDescent="0.3">
      <c r="A2398" s="37" t="s">
        <v>0</v>
      </c>
      <c r="B2398" s="37" t="s">
        <v>53</v>
      </c>
      <c r="C2398" s="38">
        <v>150000</v>
      </c>
    </row>
    <row r="2399" spans="1:3" x14ac:dyDescent="0.3">
      <c r="A2399" s="37" t="s">
        <v>0</v>
      </c>
      <c r="B2399" s="37" t="s">
        <v>53</v>
      </c>
      <c r="C2399" s="38">
        <v>125000</v>
      </c>
    </row>
    <row r="2400" spans="1:3" x14ac:dyDescent="0.3">
      <c r="A2400" s="37" t="s">
        <v>0</v>
      </c>
      <c r="B2400" s="37" t="s">
        <v>53</v>
      </c>
      <c r="C2400" s="38">
        <v>150000</v>
      </c>
    </row>
    <row r="2401" spans="1:3" x14ac:dyDescent="0.3">
      <c r="A2401" s="37" t="s">
        <v>0</v>
      </c>
      <c r="B2401" s="37" t="s">
        <v>53</v>
      </c>
      <c r="C2401" s="38"/>
    </row>
    <row r="2402" spans="1:3" x14ac:dyDescent="0.3">
      <c r="A2402" s="37" t="s">
        <v>0</v>
      </c>
      <c r="B2402" s="37" t="s">
        <v>70</v>
      </c>
      <c r="C2402" s="38">
        <v>157500</v>
      </c>
    </row>
    <row r="2403" spans="1:3" x14ac:dyDescent="0.3">
      <c r="A2403" s="37" t="s">
        <v>0</v>
      </c>
      <c r="B2403" s="37" t="s">
        <v>53</v>
      </c>
      <c r="C2403" s="38">
        <v>150000</v>
      </c>
    </row>
    <row r="2404" spans="1:3" x14ac:dyDescent="0.3">
      <c r="A2404" s="37" t="s">
        <v>0</v>
      </c>
      <c r="B2404" s="37" t="s">
        <v>53</v>
      </c>
      <c r="C2404" s="38">
        <v>277500</v>
      </c>
    </row>
    <row r="2405" spans="1:3" x14ac:dyDescent="0.3">
      <c r="A2405" s="37" t="s">
        <v>0</v>
      </c>
      <c r="B2405" s="37" t="s">
        <v>53</v>
      </c>
      <c r="C2405" s="38">
        <v>120531</v>
      </c>
    </row>
    <row r="2406" spans="1:3" x14ac:dyDescent="0.3">
      <c r="A2406" s="37" t="s">
        <v>0</v>
      </c>
      <c r="B2406" s="37" t="s">
        <v>53</v>
      </c>
      <c r="C2406" s="38">
        <v>92058</v>
      </c>
    </row>
    <row r="2407" spans="1:3" x14ac:dyDescent="0.3">
      <c r="A2407" s="37" t="s">
        <v>0</v>
      </c>
      <c r="B2407" s="37" t="s">
        <v>53</v>
      </c>
      <c r="C2407" s="38">
        <v>110000</v>
      </c>
    </row>
    <row r="2408" spans="1:3" x14ac:dyDescent="0.3">
      <c r="A2408" s="37" t="s">
        <v>0</v>
      </c>
      <c r="B2408" s="37" t="s">
        <v>54</v>
      </c>
      <c r="C2408" s="38"/>
    </row>
    <row r="2409" spans="1:3" x14ac:dyDescent="0.3">
      <c r="A2409" s="37" t="s">
        <v>0</v>
      </c>
      <c r="B2409" s="37" t="s">
        <v>88</v>
      </c>
      <c r="C2409" s="38">
        <v>79200</v>
      </c>
    </row>
    <row r="2410" spans="1:3" x14ac:dyDescent="0.3">
      <c r="A2410" s="37" t="s">
        <v>0</v>
      </c>
      <c r="B2410" s="37" t="s">
        <v>53</v>
      </c>
      <c r="C2410" s="38"/>
    </row>
    <row r="2411" spans="1:3" x14ac:dyDescent="0.3">
      <c r="A2411" s="37" t="s">
        <v>0</v>
      </c>
      <c r="B2411" s="37" t="s">
        <v>53</v>
      </c>
      <c r="C2411" s="38"/>
    </row>
    <row r="2412" spans="1:3" x14ac:dyDescent="0.3">
      <c r="A2412" s="37" t="s">
        <v>0</v>
      </c>
      <c r="B2412" s="37" t="s">
        <v>53</v>
      </c>
      <c r="C2412" s="38"/>
    </row>
    <row r="2413" spans="1:3" x14ac:dyDescent="0.3">
      <c r="A2413" s="37" t="s">
        <v>0</v>
      </c>
      <c r="B2413" s="37" t="s">
        <v>83</v>
      </c>
      <c r="C2413" s="38">
        <v>69300</v>
      </c>
    </row>
    <row r="2414" spans="1:3" x14ac:dyDescent="0.3">
      <c r="A2414" s="37" t="s">
        <v>0</v>
      </c>
      <c r="B2414" s="37" t="s">
        <v>53</v>
      </c>
      <c r="C2414" s="38">
        <v>150000</v>
      </c>
    </row>
    <row r="2415" spans="1:3" x14ac:dyDescent="0.3">
      <c r="A2415" s="37" t="s">
        <v>0</v>
      </c>
      <c r="B2415" s="37" t="s">
        <v>53</v>
      </c>
      <c r="C2415" s="38">
        <v>142500</v>
      </c>
    </row>
    <row r="2416" spans="1:3" x14ac:dyDescent="0.3">
      <c r="A2416" s="37" t="s">
        <v>0</v>
      </c>
      <c r="B2416" s="37" t="s">
        <v>53</v>
      </c>
      <c r="C2416" s="38">
        <v>183310</v>
      </c>
    </row>
    <row r="2417" spans="1:3" x14ac:dyDescent="0.3">
      <c r="A2417" s="37" t="s">
        <v>0</v>
      </c>
      <c r="B2417" s="37" t="s">
        <v>53</v>
      </c>
      <c r="C2417" s="38">
        <v>110000</v>
      </c>
    </row>
    <row r="2418" spans="1:3" x14ac:dyDescent="0.3">
      <c r="A2418" s="37" t="s">
        <v>0</v>
      </c>
      <c r="B2418" s="37" t="s">
        <v>53</v>
      </c>
      <c r="C2418" s="38"/>
    </row>
    <row r="2419" spans="1:3" x14ac:dyDescent="0.3">
      <c r="A2419" s="37" t="s">
        <v>0</v>
      </c>
      <c r="B2419" s="37" t="s">
        <v>53</v>
      </c>
      <c r="C2419" s="38">
        <v>110000</v>
      </c>
    </row>
    <row r="2420" spans="1:3" x14ac:dyDescent="0.3">
      <c r="A2420" s="37" t="s">
        <v>0</v>
      </c>
      <c r="B2420" s="37" t="s">
        <v>54</v>
      </c>
      <c r="C2420" s="38">
        <v>150000</v>
      </c>
    </row>
    <row r="2421" spans="1:3" x14ac:dyDescent="0.3">
      <c r="A2421" s="37" t="s">
        <v>0</v>
      </c>
      <c r="B2421" s="37" t="s">
        <v>53</v>
      </c>
      <c r="C2421" s="38">
        <v>90000</v>
      </c>
    </row>
    <row r="2422" spans="1:3" x14ac:dyDescent="0.3">
      <c r="A2422" s="37" t="s">
        <v>0</v>
      </c>
      <c r="B2422" s="37" t="s">
        <v>88</v>
      </c>
      <c r="C2422" s="38">
        <v>79200</v>
      </c>
    </row>
    <row r="2423" spans="1:3" x14ac:dyDescent="0.3">
      <c r="A2423" s="37" t="s">
        <v>0</v>
      </c>
      <c r="B2423" s="37" t="s">
        <v>53</v>
      </c>
      <c r="C2423" s="38"/>
    </row>
    <row r="2424" spans="1:3" x14ac:dyDescent="0.3">
      <c r="A2424" s="37" t="s">
        <v>1</v>
      </c>
      <c r="B2424" s="37" t="s">
        <v>115</v>
      </c>
      <c r="C2424" s="38">
        <v>104668</v>
      </c>
    </row>
    <row r="2425" spans="1:3" x14ac:dyDescent="0.3">
      <c r="A2425" s="37" t="s">
        <v>1</v>
      </c>
      <c r="B2425" s="37" t="s">
        <v>65</v>
      </c>
      <c r="C2425" s="38">
        <v>94342.5</v>
      </c>
    </row>
    <row r="2426" spans="1:3" x14ac:dyDescent="0.3">
      <c r="A2426" s="37" t="s">
        <v>1</v>
      </c>
      <c r="B2426" s="37" t="s">
        <v>110</v>
      </c>
      <c r="C2426" s="38">
        <v>104668</v>
      </c>
    </row>
    <row r="2427" spans="1:3" x14ac:dyDescent="0.3">
      <c r="A2427" s="37" t="s">
        <v>1</v>
      </c>
      <c r="B2427" s="37" t="s">
        <v>54</v>
      </c>
      <c r="C2427" s="38">
        <v>166000</v>
      </c>
    </row>
    <row r="2428" spans="1:3" x14ac:dyDescent="0.3">
      <c r="A2428" s="37" t="s">
        <v>1</v>
      </c>
      <c r="B2428" s="37" t="s">
        <v>56</v>
      </c>
      <c r="C2428" s="38">
        <v>166000</v>
      </c>
    </row>
    <row r="2429" spans="1:3" x14ac:dyDescent="0.3">
      <c r="A2429" s="37" t="s">
        <v>1</v>
      </c>
      <c r="B2429" s="37" t="s">
        <v>70</v>
      </c>
      <c r="C2429" s="38">
        <v>89100</v>
      </c>
    </row>
    <row r="2430" spans="1:3" x14ac:dyDescent="0.3">
      <c r="A2430" s="37" t="s">
        <v>1</v>
      </c>
      <c r="B2430" s="37" t="s">
        <v>90</v>
      </c>
      <c r="C2430" s="38">
        <v>166000</v>
      </c>
    </row>
    <row r="2431" spans="1:3" x14ac:dyDescent="0.3">
      <c r="A2431" s="37" t="s">
        <v>1</v>
      </c>
      <c r="B2431" s="37" t="s">
        <v>97</v>
      </c>
      <c r="C2431" s="38">
        <v>106830</v>
      </c>
    </row>
    <row r="2432" spans="1:3" x14ac:dyDescent="0.3">
      <c r="A2432" s="37" t="s">
        <v>1</v>
      </c>
      <c r="B2432" s="37" t="s">
        <v>53</v>
      </c>
      <c r="C2432" s="38">
        <v>150000</v>
      </c>
    </row>
    <row r="2433" spans="1:3" x14ac:dyDescent="0.3">
      <c r="A2433" s="37" t="s">
        <v>1</v>
      </c>
      <c r="B2433" s="37" t="s">
        <v>56</v>
      </c>
      <c r="C2433" s="38">
        <v>166000</v>
      </c>
    </row>
    <row r="2434" spans="1:3" x14ac:dyDescent="0.3">
      <c r="A2434" s="37" t="s">
        <v>1</v>
      </c>
      <c r="B2434" s="37" t="s">
        <v>81</v>
      </c>
      <c r="C2434" s="38">
        <v>99150</v>
      </c>
    </row>
    <row r="2435" spans="1:3" x14ac:dyDescent="0.3">
      <c r="A2435" s="37" t="s">
        <v>1</v>
      </c>
      <c r="B2435" s="37" t="s">
        <v>79</v>
      </c>
      <c r="C2435" s="38">
        <v>166000</v>
      </c>
    </row>
    <row r="2436" spans="1:3" x14ac:dyDescent="0.3">
      <c r="A2436" s="37" t="s">
        <v>1</v>
      </c>
      <c r="B2436" s="37" t="s">
        <v>69</v>
      </c>
      <c r="C2436" s="38">
        <v>89100</v>
      </c>
    </row>
    <row r="2437" spans="1:3" x14ac:dyDescent="0.3">
      <c r="A2437" s="37" t="s">
        <v>1</v>
      </c>
      <c r="B2437" s="37" t="s">
        <v>54</v>
      </c>
      <c r="C2437" s="38"/>
    </row>
    <row r="2438" spans="1:3" x14ac:dyDescent="0.3">
      <c r="A2438" s="37" t="s">
        <v>1</v>
      </c>
      <c r="B2438" s="37" t="s">
        <v>124</v>
      </c>
      <c r="C2438" s="38">
        <v>50400</v>
      </c>
    </row>
    <row r="2439" spans="1:3" x14ac:dyDescent="0.3">
      <c r="A2439" s="37" t="s">
        <v>1</v>
      </c>
      <c r="B2439" s="37" t="s">
        <v>67</v>
      </c>
      <c r="C2439" s="38">
        <v>166000</v>
      </c>
    </row>
    <row r="2440" spans="1:3" x14ac:dyDescent="0.3">
      <c r="A2440" s="37" t="s">
        <v>1</v>
      </c>
      <c r="B2440" s="37" t="s">
        <v>98</v>
      </c>
      <c r="C2440" s="38">
        <v>72900</v>
      </c>
    </row>
    <row r="2441" spans="1:3" x14ac:dyDescent="0.3">
      <c r="A2441" s="37" t="s">
        <v>1</v>
      </c>
      <c r="B2441" s="37" t="s">
        <v>81</v>
      </c>
      <c r="C2441" s="38">
        <v>250000</v>
      </c>
    </row>
    <row r="2442" spans="1:3" x14ac:dyDescent="0.3">
      <c r="A2442" s="37" t="s">
        <v>1</v>
      </c>
      <c r="B2442" s="37" t="s">
        <v>83</v>
      </c>
      <c r="C2442" s="38">
        <v>44100</v>
      </c>
    </row>
    <row r="2443" spans="1:3" x14ac:dyDescent="0.3">
      <c r="A2443" s="37" t="s">
        <v>1</v>
      </c>
      <c r="B2443" s="37" t="s">
        <v>80</v>
      </c>
      <c r="C2443" s="38">
        <v>166000</v>
      </c>
    </row>
    <row r="2444" spans="1:3" x14ac:dyDescent="0.3">
      <c r="A2444" s="37" t="s">
        <v>1</v>
      </c>
      <c r="B2444" s="37" t="s">
        <v>88</v>
      </c>
      <c r="C2444" s="38">
        <v>93600</v>
      </c>
    </row>
    <row r="2445" spans="1:3" x14ac:dyDescent="0.3">
      <c r="A2445" s="37" t="s">
        <v>1</v>
      </c>
      <c r="B2445" s="37" t="s">
        <v>53</v>
      </c>
      <c r="C2445" s="38">
        <v>99150</v>
      </c>
    </row>
    <row r="2446" spans="1:3" x14ac:dyDescent="0.3">
      <c r="A2446" s="37" t="s">
        <v>1</v>
      </c>
      <c r="B2446" s="37" t="s">
        <v>53</v>
      </c>
      <c r="C2446" s="38">
        <v>89100</v>
      </c>
    </row>
    <row r="2447" spans="1:3" x14ac:dyDescent="0.3">
      <c r="A2447" s="37" t="s">
        <v>1</v>
      </c>
      <c r="B2447" s="37" t="s">
        <v>81</v>
      </c>
      <c r="C2447" s="38">
        <v>166000</v>
      </c>
    </row>
    <row r="2448" spans="1:3" x14ac:dyDescent="0.3">
      <c r="A2448" s="37" t="s">
        <v>1</v>
      </c>
      <c r="B2448" s="37" t="s">
        <v>53</v>
      </c>
      <c r="C2448" s="38">
        <v>285000</v>
      </c>
    </row>
    <row r="2449" spans="1:3" x14ac:dyDescent="0.3">
      <c r="A2449" s="37" t="s">
        <v>1</v>
      </c>
      <c r="B2449" s="37" t="s">
        <v>123</v>
      </c>
      <c r="C2449" s="38">
        <v>89100</v>
      </c>
    </row>
    <row r="2450" spans="1:3" x14ac:dyDescent="0.3">
      <c r="A2450" s="37" t="s">
        <v>1</v>
      </c>
      <c r="B2450" s="37" t="s">
        <v>53</v>
      </c>
      <c r="C2450" s="38"/>
    </row>
    <row r="2451" spans="1:3" x14ac:dyDescent="0.3">
      <c r="A2451" s="37" t="s">
        <v>1</v>
      </c>
      <c r="B2451" s="37" t="s">
        <v>53</v>
      </c>
      <c r="C2451" s="38"/>
    </row>
    <row r="2452" spans="1:3" x14ac:dyDescent="0.3">
      <c r="A2452" s="37" t="s">
        <v>1</v>
      </c>
      <c r="B2452" s="37" t="s">
        <v>97</v>
      </c>
      <c r="C2452" s="38">
        <v>89100</v>
      </c>
    </row>
    <row r="2453" spans="1:3" x14ac:dyDescent="0.3">
      <c r="A2453" s="37" t="s">
        <v>1</v>
      </c>
      <c r="B2453" s="37" t="s">
        <v>69</v>
      </c>
      <c r="C2453" s="38">
        <v>166000</v>
      </c>
    </row>
    <row r="2454" spans="1:3" x14ac:dyDescent="0.3">
      <c r="A2454" s="37" t="s">
        <v>1</v>
      </c>
      <c r="B2454" s="37" t="s">
        <v>69</v>
      </c>
      <c r="C2454" s="38">
        <v>185500</v>
      </c>
    </row>
    <row r="2455" spans="1:3" x14ac:dyDescent="0.3">
      <c r="A2455" s="37" t="s">
        <v>1</v>
      </c>
      <c r="B2455" s="37" t="s">
        <v>88</v>
      </c>
      <c r="C2455" s="38">
        <v>79200</v>
      </c>
    </row>
    <row r="2456" spans="1:3" x14ac:dyDescent="0.3">
      <c r="A2456" s="37" t="s">
        <v>1</v>
      </c>
      <c r="B2456" s="37" t="s">
        <v>56</v>
      </c>
      <c r="C2456" s="38">
        <v>69000</v>
      </c>
    </row>
    <row r="2457" spans="1:3" x14ac:dyDescent="0.3">
      <c r="A2457" s="37" t="s">
        <v>1</v>
      </c>
      <c r="B2457" s="37" t="s">
        <v>53</v>
      </c>
      <c r="C2457" s="38">
        <v>99150</v>
      </c>
    </row>
    <row r="2458" spans="1:3" x14ac:dyDescent="0.3">
      <c r="A2458" s="37" t="s">
        <v>1</v>
      </c>
      <c r="B2458" s="37" t="s">
        <v>97</v>
      </c>
      <c r="C2458" s="38">
        <v>166000</v>
      </c>
    </row>
    <row r="2459" spans="1:3" x14ac:dyDescent="0.3">
      <c r="A2459" s="37" t="s">
        <v>1</v>
      </c>
      <c r="B2459" s="37" t="s">
        <v>53</v>
      </c>
      <c r="C2459" s="38">
        <v>166000</v>
      </c>
    </row>
    <row r="2460" spans="1:3" x14ac:dyDescent="0.3">
      <c r="A2460" s="37" t="s">
        <v>1</v>
      </c>
      <c r="B2460" s="37" t="s">
        <v>81</v>
      </c>
      <c r="C2460" s="38">
        <v>166000</v>
      </c>
    </row>
    <row r="2461" spans="1:3" x14ac:dyDescent="0.3">
      <c r="A2461" s="37" t="s">
        <v>1</v>
      </c>
      <c r="B2461" s="37" t="s">
        <v>107</v>
      </c>
      <c r="C2461" s="38">
        <v>89100</v>
      </c>
    </row>
    <row r="2462" spans="1:3" x14ac:dyDescent="0.3">
      <c r="A2462" s="37" t="s">
        <v>1</v>
      </c>
      <c r="B2462" s="37" t="s">
        <v>53</v>
      </c>
      <c r="C2462" s="38">
        <v>165000</v>
      </c>
    </row>
    <row r="2463" spans="1:3" x14ac:dyDescent="0.3">
      <c r="A2463" s="37" t="s">
        <v>1</v>
      </c>
      <c r="B2463" s="37" t="s">
        <v>53</v>
      </c>
      <c r="C2463" s="38">
        <v>130000</v>
      </c>
    </row>
    <row r="2464" spans="1:3" x14ac:dyDescent="0.3">
      <c r="A2464" s="37" t="s">
        <v>1</v>
      </c>
      <c r="B2464" s="37" t="s">
        <v>53</v>
      </c>
      <c r="C2464" s="38">
        <v>228000</v>
      </c>
    </row>
    <row r="2465" spans="1:3" x14ac:dyDescent="0.3">
      <c r="A2465" s="37" t="s">
        <v>1</v>
      </c>
      <c r="B2465" s="37" t="s">
        <v>54</v>
      </c>
      <c r="C2465" s="38">
        <v>151950</v>
      </c>
    </row>
    <row r="2466" spans="1:3" x14ac:dyDescent="0.3">
      <c r="A2466" s="37" t="s">
        <v>1</v>
      </c>
      <c r="B2466" s="37" t="s">
        <v>70</v>
      </c>
      <c r="C2466" s="38">
        <v>185500</v>
      </c>
    </row>
    <row r="2467" spans="1:3" x14ac:dyDescent="0.3">
      <c r="A2467" s="37" t="s">
        <v>1</v>
      </c>
      <c r="B2467" s="37" t="s">
        <v>86</v>
      </c>
      <c r="C2467" s="38">
        <v>185500</v>
      </c>
    </row>
    <row r="2468" spans="1:3" x14ac:dyDescent="0.3">
      <c r="A2468" s="37" t="s">
        <v>1</v>
      </c>
      <c r="B2468" s="37" t="s">
        <v>69</v>
      </c>
      <c r="C2468" s="38">
        <v>44418.5</v>
      </c>
    </row>
    <row r="2469" spans="1:3" x14ac:dyDescent="0.3">
      <c r="A2469" s="37" t="s">
        <v>1</v>
      </c>
      <c r="B2469" s="37" t="s">
        <v>53</v>
      </c>
      <c r="C2469" s="38">
        <v>44408.5</v>
      </c>
    </row>
    <row r="2470" spans="1:3" x14ac:dyDescent="0.3">
      <c r="A2470" s="37" t="s">
        <v>1</v>
      </c>
      <c r="B2470" s="37" t="s">
        <v>69</v>
      </c>
      <c r="C2470" s="38">
        <v>89100</v>
      </c>
    </row>
    <row r="2471" spans="1:3" x14ac:dyDescent="0.3">
      <c r="A2471" s="37" t="s">
        <v>1</v>
      </c>
      <c r="B2471" s="37" t="s">
        <v>88</v>
      </c>
      <c r="C2471" s="38">
        <v>166000</v>
      </c>
    </row>
    <row r="2472" spans="1:3" x14ac:dyDescent="0.3">
      <c r="A2472" s="37" t="s">
        <v>1</v>
      </c>
      <c r="B2472" s="37" t="s">
        <v>53</v>
      </c>
      <c r="C2472" s="38">
        <v>172500</v>
      </c>
    </row>
    <row r="2473" spans="1:3" x14ac:dyDescent="0.3">
      <c r="A2473" s="37" t="s">
        <v>1</v>
      </c>
      <c r="B2473" s="37" t="s">
        <v>53</v>
      </c>
      <c r="C2473" s="38">
        <v>80850</v>
      </c>
    </row>
    <row r="2474" spans="1:3" x14ac:dyDescent="0.3">
      <c r="A2474" s="37" t="s">
        <v>1</v>
      </c>
      <c r="B2474" s="37" t="s">
        <v>64</v>
      </c>
      <c r="C2474" s="38">
        <v>79200</v>
      </c>
    </row>
    <row r="2475" spans="1:3" x14ac:dyDescent="0.3">
      <c r="A2475" s="37" t="s">
        <v>1</v>
      </c>
      <c r="B2475" s="37" t="s">
        <v>95</v>
      </c>
      <c r="C2475" s="38">
        <v>166000</v>
      </c>
    </row>
    <row r="2476" spans="1:3" x14ac:dyDescent="0.3">
      <c r="A2476" s="37" t="s">
        <v>1</v>
      </c>
      <c r="B2476" s="37" t="s">
        <v>69</v>
      </c>
      <c r="C2476" s="38">
        <v>89100</v>
      </c>
    </row>
    <row r="2477" spans="1:3" x14ac:dyDescent="0.3">
      <c r="A2477" s="37" t="s">
        <v>1</v>
      </c>
      <c r="B2477" s="37" t="s">
        <v>97</v>
      </c>
      <c r="C2477" s="38">
        <v>56700</v>
      </c>
    </row>
    <row r="2478" spans="1:3" x14ac:dyDescent="0.3">
      <c r="A2478" s="37" t="s">
        <v>1</v>
      </c>
      <c r="B2478" s="37" t="s">
        <v>88</v>
      </c>
      <c r="C2478" s="38">
        <v>79200</v>
      </c>
    </row>
    <row r="2479" spans="1:3" x14ac:dyDescent="0.3">
      <c r="A2479" s="37" t="s">
        <v>1</v>
      </c>
      <c r="B2479" s="37" t="s">
        <v>56</v>
      </c>
      <c r="C2479" s="38">
        <v>156500</v>
      </c>
    </row>
    <row r="2480" spans="1:3" x14ac:dyDescent="0.3">
      <c r="A2480" s="37" t="s">
        <v>1</v>
      </c>
      <c r="B2480" s="37" t="s">
        <v>98</v>
      </c>
      <c r="C2480" s="38">
        <v>166000</v>
      </c>
    </row>
    <row r="2481" spans="1:3" x14ac:dyDescent="0.3">
      <c r="A2481" s="37" t="s">
        <v>1</v>
      </c>
      <c r="B2481" s="37" t="s">
        <v>88</v>
      </c>
      <c r="C2481" s="38">
        <v>72000</v>
      </c>
    </row>
    <row r="2482" spans="1:3" x14ac:dyDescent="0.3">
      <c r="A2482" s="37" t="s">
        <v>1</v>
      </c>
      <c r="B2482" s="37" t="s">
        <v>110</v>
      </c>
      <c r="C2482" s="38">
        <v>56700</v>
      </c>
    </row>
    <row r="2483" spans="1:3" x14ac:dyDescent="0.3">
      <c r="A2483" s="37" t="s">
        <v>1</v>
      </c>
      <c r="B2483" s="37" t="s">
        <v>70</v>
      </c>
      <c r="C2483" s="38">
        <v>166000</v>
      </c>
    </row>
    <row r="2484" spans="1:3" x14ac:dyDescent="0.3">
      <c r="A2484" s="37" t="s">
        <v>1</v>
      </c>
      <c r="B2484" s="37" t="s">
        <v>88</v>
      </c>
      <c r="C2484" s="38">
        <v>79200</v>
      </c>
    </row>
    <row r="2485" spans="1:3" x14ac:dyDescent="0.3">
      <c r="A2485" s="37" t="s">
        <v>1</v>
      </c>
      <c r="B2485" s="37" t="s">
        <v>88</v>
      </c>
      <c r="C2485" s="38">
        <v>185500</v>
      </c>
    </row>
    <row r="2486" spans="1:3" x14ac:dyDescent="0.3">
      <c r="A2486" s="37" t="s">
        <v>1</v>
      </c>
      <c r="B2486" s="37" t="s">
        <v>53</v>
      </c>
      <c r="C2486" s="38">
        <v>99150</v>
      </c>
    </row>
    <row r="2487" spans="1:3" x14ac:dyDescent="0.3">
      <c r="A2487" s="37" t="s">
        <v>1</v>
      </c>
      <c r="B2487" s="37" t="s">
        <v>69</v>
      </c>
      <c r="C2487" s="38">
        <v>185500</v>
      </c>
    </row>
    <row r="2488" spans="1:3" x14ac:dyDescent="0.3">
      <c r="A2488" s="37" t="s">
        <v>1</v>
      </c>
      <c r="B2488" s="37" t="s">
        <v>97</v>
      </c>
      <c r="C2488" s="38">
        <v>95000</v>
      </c>
    </row>
    <row r="2489" spans="1:3" x14ac:dyDescent="0.3">
      <c r="A2489" s="37" t="s">
        <v>1</v>
      </c>
      <c r="B2489" s="37" t="s">
        <v>88</v>
      </c>
      <c r="C2489" s="38">
        <v>79200</v>
      </c>
    </row>
    <row r="2490" spans="1:3" x14ac:dyDescent="0.3">
      <c r="A2490" s="37" t="s">
        <v>1</v>
      </c>
      <c r="B2490" s="37" t="s">
        <v>83</v>
      </c>
      <c r="C2490" s="38">
        <v>65000</v>
      </c>
    </row>
    <row r="2491" spans="1:3" x14ac:dyDescent="0.3">
      <c r="A2491" s="37" t="s">
        <v>1</v>
      </c>
      <c r="B2491" s="37" t="s">
        <v>88</v>
      </c>
      <c r="C2491" s="38">
        <v>104668</v>
      </c>
    </row>
    <row r="2492" spans="1:3" x14ac:dyDescent="0.3">
      <c r="A2492" s="37" t="s">
        <v>1</v>
      </c>
      <c r="B2492" s="37" t="s">
        <v>53</v>
      </c>
      <c r="C2492" s="38">
        <v>166000</v>
      </c>
    </row>
    <row r="2493" spans="1:3" x14ac:dyDescent="0.3">
      <c r="A2493" s="37" t="s">
        <v>1</v>
      </c>
      <c r="B2493" s="37" t="s">
        <v>98</v>
      </c>
      <c r="C2493" s="38">
        <v>89100</v>
      </c>
    </row>
    <row r="2494" spans="1:3" x14ac:dyDescent="0.3">
      <c r="A2494" s="37" t="s">
        <v>1</v>
      </c>
      <c r="B2494" s="37" t="s">
        <v>70</v>
      </c>
      <c r="C2494" s="38">
        <v>89100</v>
      </c>
    </row>
    <row r="2495" spans="1:3" x14ac:dyDescent="0.3">
      <c r="A2495" s="37" t="s">
        <v>1</v>
      </c>
      <c r="B2495" s="37" t="s">
        <v>53</v>
      </c>
      <c r="C2495" s="38">
        <v>116950</v>
      </c>
    </row>
    <row r="2496" spans="1:3" x14ac:dyDescent="0.3">
      <c r="A2496" s="37" t="s">
        <v>1</v>
      </c>
      <c r="B2496" s="37" t="s">
        <v>68</v>
      </c>
      <c r="C2496" s="38">
        <v>166000</v>
      </c>
    </row>
    <row r="2497" spans="1:3" x14ac:dyDescent="0.3">
      <c r="A2497" s="37" t="s">
        <v>1</v>
      </c>
      <c r="B2497" s="37" t="s">
        <v>69</v>
      </c>
      <c r="C2497" s="38">
        <v>69000</v>
      </c>
    </row>
    <row r="2498" spans="1:3" x14ac:dyDescent="0.3">
      <c r="A2498" s="37" t="s">
        <v>125</v>
      </c>
      <c r="B2498" s="37" t="s">
        <v>53</v>
      </c>
      <c r="C2498" s="38">
        <v>96500</v>
      </c>
    </row>
    <row r="2499" spans="1:3" x14ac:dyDescent="0.3">
      <c r="A2499" s="37" t="s">
        <v>125</v>
      </c>
      <c r="B2499" s="37" t="s">
        <v>53</v>
      </c>
      <c r="C2499" s="38"/>
    </row>
    <row r="2500" spans="1:3" x14ac:dyDescent="0.3">
      <c r="A2500" s="37" t="s">
        <v>125</v>
      </c>
      <c r="B2500" s="37" t="s">
        <v>53</v>
      </c>
      <c r="C2500" s="38">
        <v>96500</v>
      </c>
    </row>
    <row r="2501" spans="1:3" x14ac:dyDescent="0.3">
      <c r="A2501" s="37" t="s">
        <v>125</v>
      </c>
      <c r="B2501" s="37" t="s">
        <v>53</v>
      </c>
      <c r="C2501" s="38">
        <v>96500</v>
      </c>
    </row>
    <row r="2502" spans="1:3" x14ac:dyDescent="0.3">
      <c r="A2502" s="37" t="s">
        <v>125</v>
      </c>
      <c r="B2502" s="37" t="s">
        <v>53</v>
      </c>
      <c r="C2502" s="38">
        <v>170000</v>
      </c>
    </row>
    <row r="2503" spans="1:3" x14ac:dyDescent="0.3">
      <c r="A2503" s="37" t="s">
        <v>125</v>
      </c>
      <c r="B2503" s="37" t="s">
        <v>97</v>
      </c>
      <c r="C2503" s="38">
        <v>111175</v>
      </c>
    </row>
    <row r="2504" spans="1:3" x14ac:dyDescent="0.3">
      <c r="A2504" s="37" t="s">
        <v>125</v>
      </c>
      <c r="B2504" s="37" t="s">
        <v>53</v>
      </c>
      <c r="C2504" s="38">
        <v>90000</v>
      </c>
    </row>
    <row r="2505" spans="1:3" x14ac:dyDescent="0.3">
      <c r="A2505" s="37" t="s">
        <v>125</v>
      </c>
      <c r="B2505" s="37" t="s">
        <v>53</v>
      </c>
      <c r="C2505" s="38">
        <v>146500</v>
      </c>
    </row>
    <row r="2506" spans="1:3" x14ac:dyDescent="0.3">
      <c r="A2506" s="37" t="s">
        <v>125</v>
      </c>
      <c r="B2506" s="37" t="s">
        <v>53</v>
      </c>
      <c r="C2506" s="38">
        <v>90000</v>
      </c>
    </row>
    <row r="2507" spans="1:3" x14ac:dyDescent="0.3">
      <c r="A2507" s="37" t="s">
        <v>125</v>
      </c>
      <c r="B2507" s="37" t="s">
        <v>53</v>
      </c>
      <c r="C2507" s="38"/>
    </row>
    <row r="2508" spans="1:3" x14ac:dyDescent="0.3">
      <c r="A2508" s="37" t="s">
        <v>125</v>
      </c>
      <c r="B2508" s="37" t="s">
        <v>53</v>
      </c>
      <c r="C2508" s="38">
        <v>188675</v>
      </c>
    </row>
    <row r="2509" spans="1:3" x14ac:dyDescent="0.3">
      <c r="A2509" s="37" t="s">
        <v>125</v>
      </c>
      <c r="B2509" s="37" t="s">
        <v>53</v>
      </c>
      <c r="C2509" s="38">
        <v>98450</v>
      </c>
    </row>
    <row r="2510" spans="1:3" x14ac:dyDescent="0.3">
      <c r="A2510" s="37" t="s">
        <v>125</v>
      </c>
      <c r="B2510" s="37" t="s">
        <v>53</v>
      </c>
      <c r="C2510" s="38">
        <v>93661.5</v>
      </c>
    </row>
    <row r="2511" spans="1:3" x14ac:dyDescent="0.3">
      <c r="A2511" s="37" t="s">
        <v>125</v>
      </c>
      <c r="B2511" s="37" t="s">
        <v>53</v>
      </c>
      <c r="C2511" s="38">
        <v>90000</v>
      </c>
    </row>
    <row r="2512" spans="1:3" x14ac:dyDescent="0.3">
      <c r="A2512" s="37" t="s">
        <v>125</v>
      </c>
      <c r="B2512" s="37" t="s">
        <v>53</v>
      </c>
      <c r="C2512" s="38"/>
    </row>
    <row r="2513" spans="1:3" x14ac:dyDescent="0.3">
      <c r="A2513" s="37" t="s">
        <v>125</v>
      </c>
      <c r="B2513" s="37" t="s">
        <v>53</v>
      </c>
      <c r="C2513" s="38">
        <v>112025</v>
      </c>
    </row>
    <row r="2514" spans="1:3" x14ac:dyDescent="0.3">
      <c r="A2514" s="37" t="s">
        <v>125</v>
      </c>
      <c r="B2514" s="37" t="s">
        <v>53</v>
      </c>
      <c r="C2514" s="38">
        <v>155000</v>
      </c>
    </row>
    <row r="2515" spans="1:3" x14ac:dyDescent="0.3">
      <c r="A2515" s="37" t="s">
        <v>125</v>
      </c>
      <c r="B2515" s="37" t="s">
        <v>53</v>
      </c>
      <c r="C2515" s="38">
        <v>115000</v>
      </c>
    </row>
    <row r="2516" spans="1:3" x14ac:dyDescent="0.3">
      <c r="A2516" s="37" t="s">
        <v>125</v>
      </c>
      <c r="B2516" s="37" t="s">
        <v>53</v>
      </c>
      <c r="C2516" s="38">
        <v>100379.765625</v>
      </c>
    </row>
    <row r="2517" spans="1:3" x14ac:dyDescent="0.3">
      <c r="A2517" s="37" t="s">
        <v>125</v>
      </c>
      <c r="B2517" s="37" t="s">
        <v>53</v>
      </c>
      <c r="C2517" s="38">
        <v>145000</v>
      </c>
    </row>
    <row r="2518" spans="1:3" x14ac:dyDescent="0.3">
      <c r="A2518" s="37" t="s">
        <v>125</v>
      </c>
      <c r="B2518" s="37" t="s">
        <v>53</v>
      </c>
      <c r="C2518" s="38">
        <v>102500</v>
      </c>
    </row>
    <row r="2519" spans="1:3" x14ac:dyDescent="0.3">
      <c r="A2519" s="37" t="s">
        <v>125</v>
      </c>
      <c r="B2519" s="37" t="s">
        <v>53</v>
      </c>
      <c r="C2519" s="38"/>
    </row>
    <row r="2520" spans="1:3" x14ac:dyDescent="0.3">
      <c r="A2520" s="37" t="s">
        <v>125</v>
      </c>
      <c r="B2520" s="37" t="s">
        <v>53</v>
      </c>
      <c r="C2520" s="38">
        <v>115000</v>
      </c>
    </row>
    <row r="2521" spans="1:3" x14ac:dyDescent="0.3">
      <c r="A2521" s="37" t="s">
        <v>125</v>
      </c>
      <c r="B2521" s="37" t="s">
        <v>53</v>
      </c>
      <c r="C2521" s="38">
        <v>146500</v>
      </c>
    </row>
    <row r="2522" spans="1:3" x14ac:dyDescent="0.3">
      <c r="A2522" s="37" t="s">
        <v>125</v>
      </c>
      <c r="B2522" s="37" t="s">
        <v>53</v>
      </c>
      <c r="C2522" s="38">
        <v>115000</v>
      </c>
    </row>
    <row r="2523" spans="1:3" x14ac:dyDescent="0.3">
      <c r="A2523" s="37" t="s">
        <v>125</v>
      </c>
      <c r="B2523" s="37" t="s">
        <v>53</v>
      </c>
      <c r="C2523" s="38">
        <v>112500</v>
      </c>
    </row>
    <row r="2524" spans="1:3" x14ac:dyDescent="0.3">
      <c r="A2524" s="37" t="s">
        <v>125</v>
      </c>
      <c r="B2524" s="37" t="s">
        <v>53</v>
      </c>
      <c r="C2524" s="38"/>
    </row>
    <row r="2525" spans="1:3" x14ac:dyDescent="0.3">
      <c r="A2525" s="37" t="s">
        <v>125</v>
      </c>
      <c r="B2525" s="37" t="s">
        <v>84</v>
      </c>
      <c r="C2525" s="38">
        <v>111175</v>
      </c>
    </row>
    <row r="2526" spans="1:3" x14ac:dyDescent="0.3">
      <c r="A2526" s="37" t="s">
        <v>125</v>
      </c>
      <c r="B2526" s="37" t="s">
        <v>53</v>
      </c>
      <c r="C2526" s="38"/>
    </row>
    <row r="2527" spans="1:3" x14ac:dyDescent="0.3">
      <c r="A2527" s="37" t="s">
        <v>125</v>
      </c>
      <c r="B2527" s="37" t="s">
        <v>53</v>
      </c>
      <c r="C2527" s="38">
        <v>79450</v>
      </c>
    </row>
    <row r="2528" spans="1:3" x14ac:dyDescent="0.3">
      <c r="A2528" s="37" t="s">
        <v>125</v>
      </c>
      <c r="B2528" s="37" t="s">
        <v>53</v>
      </c>
      <c r="C2528" s="38">
        <v>115000</v>
      </c>
    </row>
    <row r="2529" spans="1:3" x14ac:dyDescent="0.3">
      <c r="A2529" s="37" t="s">
        <v>125</v>
      </c>
      <c r="B2529" s="37" t="s">
        <v>53</v>
      </c>
      <c r="C2529" s="38"/>
    </row>
    <row r="2530" spans="1:3" x14ac:dyDescent="0.3">
      <c r="A2530" s="37" t="s">
        <v>125</v>
      </c>
      <c r="B2530" s="37" t="s">
        <v>97</v>
      </c>
      <c r="C2530" s="38">
        <v>111175</v>
      </c>
    </row>
    <row r="2531" spans="1:3" x14ac:dyDescent="0.3">
      <c r="A2531" s="37" t="s">
        <v>125</v>
      </c>
      <c r="B2531" s="37" t="s">
        <v>53</v>
      </c>
      <c r="C2531" s="38"/>
    </row>
    <row r="2532" spans="1:3" x14ac:dyDescent="0.3">
      <c r="A2532" s="37" t="s">
        <v>125</v>
      </c>
      <c r="B2532" s="37" t="s">
        <v>69</v>
      </c>
      <c r="C2532" s="38">
        <v>89100</v>
      </c>
    </row>
    <row r="2533" spans="1:3" x14ac:dyDescent="0.3">
      <c r="A2533" s="37" t="s">
        <v>125</v>
      </c>
      <c r="B2533" s="37" t="s">
        <v>53</v>
      </c>
      <c r="C2533" s="38">
        <v>126000</v>
      </c>
    </row>
    <row r="2534" spans="1:3" x14ac:dyDescent="0.3">
      <c r="A2534" s="37" t="s">
        <v>125</v>
      </c>
      <c r="B2534" s="37" t="s">
        <v>53</v>
      </c>
      <c r="C2534" s="38">
        <v>145000</v>
      </c>
    </row>
    <row r="2535" spans="1:3" x14ac:dyDescent="0.3">
      <c r="A2535" s="37" t="s">
        <v>125</v>
      </c>
      <c r="B2535" s="37" t="s">
        <v>90</v>
      </c>
      <c r="C2535" s="38">
        <v>111175</v>
      </c>
    </row>
    <row r="2536" spans="1:3" x14ac:dyDescent="0.3">
      <c r="A2536" s="37" t="s">
        <v>125</v>
      </c>
      <c r="B2536" s="37" t="s">
        <v>53</v>
      </c>
      <c r="C2536" s="38">
        <v>111202</v>
      </c>
    </row>
    <row r="2537" spans="1:3" x14ac:dyDescent="0.3">
      <c r="A2537" s="37" t="s">
        <v>125</v>
      </c>
      <c r="B2537" s="37" t="s">
        <v>53</v>
      </c>
      <c r="C2537" s="38">
        <v>92500</v>
      </c>
    </row>
    <row r="2538" spans="1:3" x14ac:dyDescent="0.3">
      <c r="A2538" s="37" t="s">
        <v>125</v>
      </c>
      <c r="B2538" s="37" t="s">
        <v>53</v>
      </c>
      <c r="C2538" s="38">
        <v>126250</v>
      </c>
    </row>
    <row r="2539" spans="1:3" x14ac:dyDescent="0.3">
      <c r="A2539" s="37" t="s">
        <v>125</v>
      </c>
      <c r="B2539" s="37" t="s">
        <v>53</v>
      </c>
      <c r="C2539" s="38"/>
    </row>
    <row r="2540" spans="1:3" x14ac:dyDescent="0.3">
      <c r="A2540" s="37" t="s">
        <v>125</v>
      </c>
      <c r="B2540" s="37" t="s">
        <v>53</v>
      </c>
      <c r="C2540" s="38">
        <v>165000</v>
      </c>
    </row>
    <row r="2541" spans="1:3" x14ac:dyDescent="0.3">
      <c r="A2541" s="37" t="s">
        <v>125</v>
      </c>
      <c r="B2541" s="37" t="s">
        <v>53</v>
      </c>
      <c r="C2541" s="38">
        <v>172500</v>
      </c>
    </row>
    <row r="2542" spans="1:3" x14ac:dyDescent="0.3">
      <c r="A2542" s="37" t="s">
        <v>125</v>
      </c>
      <c r="B2542" s="37" t="s">
        <v>53</v>
      </c>
      <c r="C2542" s="38"/>
    </row>
    <row r="2543" spans="1:3" x14ac:dyDescent="0.3">
      <c r="A2543" s="37" t="s">
        <v>125</v>
      </c>
      <c r="B2543" s="37" t="s">
        <v>53</v>
      </c>
      <c r="C2543" s="38">
        <v>113050</v>
      </c>
    </row>
    <row r="2544" spans="1:3" x14ac:dyDescent="0.3">
      <c r="A2544" s="37" t="s">
        <v>125</v>
      </c>
      <c r="B2544" s="37" t="s">
        <v>53</v>
      </c>
      <c r="C2544" s="38">
        <v>115000</v>
      </c>
    </row>
    <row r="2545" spans="1:3" x14ac:dyDescent="0.3">
      <c r="A2545" s="37" t="s">
        <v>125</v>
      </c>
      <c r="B2545" s="37" t="s">
        <v>54</v>
      </c>
      <c r="C2545" s="38">
        <v>116600</v>
      </c>
    </row>
    <row r="2546" spans="1:3" x14ac:dyDescent="0.3">
      <c r="A2546" s="37" t="s">
        <v>125</v>
      </c>
      <c r="B2546" s="37" t="s">
        <v>53</v>
      </c>
      <c r="C2546" s="38"/>
    </row>
    <row r="2547" spans="1:3" x14ac:dyDescent="0.3">
      <c r="A2547" s="37" t="s">
        <v>125</v>
      </c>
      <c r="B2547" s="37" t="s">
        <v>54</v>
      </c>
      <c r="C2547" s="38">
        <v>126815</v>
      </c>
    </row>
    <row r="2548" spans="1:3" x14ac:dyDescent="0.3">
      <c r="A2548" s="37" t="s">
        <v>125</v>
      </c>
      <c r="B2548" s="37" t="s">
        <v>105</v>
      </c>
      <c r="C2548" s="38">
        <v>111175</v>
      </c>
    </row>
    <row r="2549" spans="1:3" x14ac:dyDescent="0.3">
      <c r="A2549" s="37" t="s">
        <v>125</v>
      </c>
      <c r="B2549" s="37" t="s">
        <v>53</v>
      </c>
      <c r="C2549" s="38">
        <v>94473.5</v>
      </c>
    </row>
    <row r="2550" spans="1:3" x14ac:dyDescent="0.3">
      <c r="A2550" s="37" t="s">
        <v>125</v>
      </c>
      <c r="B2550" s="37" t="s">
        <v>53</v>
      </c>
      <c r="C2550" s="38">
        <v>85000</v>
      </c>
    </row>
    <row r="2551" spans="1:3" x14ac:dyDescent="0.3">
      <c r="A2551" s="37" t="s">
        <v>125</v>
      </c>
      <c r="B2551" s="37" t="s">
        <v>53</v>
      </c>
      <c r="C2551" s="38">
        <v>88513.5546875</v>
      </c>
    </row>
    <row r="2552" spans="1:3" x14ac:dyDescent="0.3">
      <c r="A2552" s="37" t="s">
        <v>125</v>
      </c>
      <c r="B2552" s="37" t="s">
        <v>53</v>
      </c>
      <c r="C2552" s="38"/>
    </row>
    <row r="2553" spans="1:3" x14ac:dyDescent="0.3">
      <c r="A2553" s="37" t="s">
        <v>125</v>
      </c>
      <c r="B2553" s="37" t="s">
        <v>53</v>
      </c>
      <c r="C2553" s="38"/>
    </row>
    <row r="2554" spans="1:3" x14ac:dyDescent="0.3">
      <c r="A2554" s="37" t="s">
        <v>125</v>
      </c>
      <c r="B2554" s="37" t="s">
        <v>53</v>
      </c>
      <c r="C2554" s="38"/>
    </row>
    <row r="2555" spans="1:3" x14ac:dyDescent="0.3">
      <c r="A2555" s="37" t="s">
        <v>125</v>
      </c>
      <c r="B2555" s="37" t="s">
        <v>53</v>
      </c>
      <c r="C2555" s="38">
        <v>125000</v>
      </c>
    </row>
    <row r="2556" spans="1:3" x14ac:dyDescent="0.3">
      <c r="A2556" s="37" t="s">
        <v>125</v>
      </c>
      <c r="B2556" s="37" t="s">
        <v>53</v>
      </c>
      <c r="C2556" s="38"/>
    </row>
    <row r="2557" spans="1:3" x14ac:dyDescent="0.3">
      <c r="A2557" s="37" t="s">
        <v>125</v>
      </c>
      <c r="B2557" s="37" t="s">
        <v>53</v>
      </c>
      <c r="C2557" s="38"/>
    </row>
    <row r="2558" spans="1:3" x14ac:dyDescent="0.3">
      <c r="A2558" s="37" t="s">
        <v>125</v>
      </c>
      <c r="B2558" s="37" t="s">
        <v>53</v>
      </c>
      <c r="C2558" s="38">
        <v>130000</v>
      </c>
    </row>
    <row r="2559" spans="1:3" x14ac:dyDescent="0.3">
      <c r="A2559" s="37" t="s">
        <v>125</v>
      </c>
      <c r="B2559" s="37" t="s">
        <v>53</v>
      </c>
      <c r="C2559" s="38">
        <v>115000</v>
      </c>
    </row>
    <row r="2560" spans="1:3" x14ac:dyDescent="0.3">
      <c r="A2560" s="37" t="s">
        <v>125</v>
      </c>
      <c r="B2560" s="37" t="s">
        <v>53</v>
      </c>
      <c r="C2560" s="38">
        <v>96000</v>
      </c>
    </row>
    <row r="2561" spans="1:3" x14ac:dyDescent="0.3">
      <c r="A2561" s="37" t="s">
        <v>125</v>
      </c>
      <c r="B2561" s="37" t="s">
        <v>53</v>
      </c>
      <c r="C2561" s="38">
        <v>92500</v>
      </c>
    </row>
    <row r="2562" spans="1:3" x14ac:dyDescent="0.3">
      <c r="A2562" s="37" t="s">
        <v>125</v>
      </c>
      <c r="B2562" s="37" t="s">
        <v>53</v>
      </c>
      <c r="C2562" s="38">
        <v>167000</v>
      </c>
    </row>
    <row r="2563" spans="1:3" x14ac:dyDescent="0.3">
      <c r="A2563" s="37" t="s">
        <v>125</v>
      </c>
      <c r="B2563" s="37" t="s">
        <v>53</v>
      </c>
      <c r="C2563" s="38">
        <v>82500</v>
      </c>
    </row>
    <row r="2564" spans="1:3" x14ac:dyDescent="0.3">
      <c r="A2564" s="37" t="s">
        <v>125</v>
      </c>
      <c r="B2564" s="37" t="s">
        <v>88</v>
      </c>
      <c r="C2564" s="38">
        <v>149637.5</v>
      </c>
    </row>
    <row r="2565" spans="1:3" x14ac:dyDescent="0.3">
      <c r="A2565" s="37" t="s">
        <v>125</v>
      </c>
      <c r="B2565" s="37" t="s">
        <v>53</v>
      </c>
      <c r="C2565" s="38"/>
    </row>
    <row r="2566" spans="1:3" x14ac:dyDescent="0.3">
      <c r="A2566" s="37" t="s">
        <v>125</v>
      </c>
      <c r="B2566" s="37" t="s">
        <v>90</v>
      </c>
      <c r="C2566" s="38">
        <v>111175</v>
      </c>
    </row>
    <row r="2567" spans="1:3" x14ac:dyDescent="0.3">
      <c r="A2567" s="37" t="s">
        <v>125</v>
      </c>
      <c r="B2567" s="37" t="s">
        <v>53</v>
      </c>
      <c r="C2567" s="38">
        <v>110000</v>
      </c>
    </row>
    <row r="2568" spans="1:3" x14ac:dyDescent="0.3">
      <c r="A2568" s="37" t="s">
        <v>125</v>
      </c>
      <c r="B2568" s="37" t="s">
        <v>53</v>
      </c>
      <c r="C2568" s="38">
        <v>120000</v>
      </c>
    </row>
    <row r="2569" spans="1:3" x14ac:dyDescent="0.3">
      <c r="A2569" s="37" t="s">
        <v>125</v>
      </c>
      <c r="B2569" s="37" t="s">
        <v>53</v>
      </c>
      <c r="C2569" s="38"/>
    </row>
    <row r="2570" spans="1:3" x14ac:dyDescent="0.3">
      <c r="A2570" s="37" t="s">
        <v>125</v>
      </c>
      <c r="B2570" s="37" t="s">
        <v>53</v>
      </c>
      <c r="C2570" s="38">
        <v>130000</v>
      </c>
    </row>
    <row r="2571" spans="1:3" x14ac:dyDescent="0.3">
      <c r="A2571" s="37" t="s">
        <v>125</v>
      </c>
      <c r="B2571" s="37" t="s">
        <v>53</v>
      </c>
      <c r="C2571" s="38">
        <v>149000</v>
      </c>
    </row>
    <row r="2572" spans="1:3" x14ac:dyDescent="0.3">
      <c r="A2572" s="37" t="s">
        <v>125</v>
      </c>
      <c r="B2572" s="37" t="s">
        <v>54</v>
      </c>
      <c r="C2572" s="38">
        <v>111175</v>
      </c>
    </row>
    <row r="2573" spans="1:3" x14ac:dyDescent="0.3">
      <c r="A2573" s="37" t="s">
        <v>125</v>
      </c>
      <c r="B2573" s="37" t="s">
        <v>53</v>
      </c>
      <c r="C2573" s="38">
        <v>90000</v>
      </c>
    </row>
    <row r="2574" spans="1:3" x14ac:dyDescent="0.3">
      <c r="A2574" s="37" t="s">
        <v>125</v>
      </c>
      <c r="B2574" s="37" t="s">
        <v>53</v>
      </c>
      <c r="C2574" s="38">
        <v>90000</v>
      </c>
    </row>
    <row r="2575" spans="1:3" x14ac:dyDescent="0.3">
      <c r="A2575" s="37" t="s">
        <v>125</v>
      </c>
      <c r="B2575" s="37" t="s">
        <v>53</v>
      </c>
      <c r="C2575" s="38"/>
    </row>
    <row r="2576" spans="1:3" x14ac:dyDescent="0.3">
      <c r="A2576" s="37" t="s">
        <v>125</v>
      </c>
      <c r="B2576" s="37" t="s">
        <v>53</v>
      </c>
      <c r="C2576" s="38">
        <v>75907</v>
      </c>
    </row>
    <row r="2577" spans="1:3" x14ac:dyDescent="0.3">
      <c r="A2577" s="37" t="s">
        <v>125</v>
      </c>
      <c r="B2577" s="37" t="s">
        <v>53</v>
      </c>
      <c r="C2577" s="38">
        <v>150500</v>
      </c>
    </row>
    <row r="2578" spans="1:3" x14ac:dyDescent="0.3">
      <c r="A2578" s="37" t="s">
        <v>125</v>
      </c>
      <c r="B2578" s="37" t="s">
        <v>53</v>
      </c>
      <c r="C2578" s="38"/>
    </row>
    <row r="2579" spans="1:3" x14ac:dyDescent="0.3">
      <c r="A2579" s="37" t="s">
        <v>125</v>
      </c>
      <c r="B2579" s="37" t="s">
        <v>53</v>
      </c>
      <c r="C2579" s="38">
        <v>145000</v>
      </c>
    </row>
    <row r="2580" spans="1:3" x14ac:dyDescent="0.3">
      <c r="A2580" s="37" t="s">
        <v>125</v>
      </c>
      <c r="B2580" s="37" t="s">
        <v>53</v>
      </c>
      <c r="C2580" s="38">
        <v>92500</v>
      </c>
    </row>
    <row r="2581" spans="1:3" x14ac:dyDescent="0.3">
      <c r="A2581" s="37" t="s">
        <v>125</v>
      </c>
      <c r="B2581" s="37" t="s">
        <v>53</v>
      </c>
      <c r="C2581" s="38"/>
    </row>
    <row r="2582" spans="1:3" x14ac:dyDescent="0.3">
      <c r="A2582" s="37" t="s">
        <v>125</v>
      </c>
      <c r="B2582" s="37" t="s">
        <v>53</v>
      </c>
      <c r="C2582" s="38">
        <v>114950</v>
      </c>
    </row>
    <row r="2583" spans="1:3" x14ac:dyDescent="0.3">
      <c r="A2583" s="37" t="s">
        <v>125</v>
      </c>
      <c r="B2583" s="37" t="s">
        <v>53</v>
      </c>
      <c r="C2583" s="38"/>
    </row>
    <row r="2584" spans="1:3" x14ac:dyDescent="0.3">
      <c r="A2584" s="37" t="s">
        <v>125</v>
      </c>
      <c r="B2584" s="37" t="s">
        <v>53</v>
      </c>
      <c r="C2584" s="38">
        <v>110000</v>
      </c>
    </row>
    <row r="2585" spans="1:3" x14ac:dyDescent="0.3">
      <c r="A2585" s="37" t="s">
        <v>125</v>
      </c>
      <c r="B2585" s="37" t="s">
        <v>53</v>
      </c>
      <c r="C2585" s="38"/>
    </row>
    <row r="2586" spans="1:3" x14ac:dyDescent="0.3">
      <c r="A2586" s="37" t="s">
        <v>125</v>
      </c>
      <c r="B2586" s="37" t="s">
        <v>92</v>
      </c>
      <c r="C2586" s="38">
        <v>111202</v>
      </c>
    </row>
    <row r="2587" spans="1:3" x14ac:dyDescent="0.3">
      <c r="A2587" s="37" t="s">
        <v>125</v>
      </c>
      <c r="B2587" s="37" t="s">
        <v>53</v>
      </c>
      <c r="C2587" s="38"/>
    </row>
    <row r="2588" spans="1:3" x14ac:dyDescent="0.3">
      <c r="A2588" s="37" t="s">
        <v>125</v>
      </c>
      <c r="B2588" s="37" t="s">
        <v>53</v>
      </c>
      <c r="C2588" s="38">
        <v>146500</v>
      </c>
    </row>
    <row r="2589" spans="1:3" x14ac:dyDescent="0.3">
      <c r="A2589" s="37" t="s">
        <v>125</v>
      </c>
      <c r="B2589" s="37" t="s">
        <v>53</v>
      </c>
      <c r="C2589" s="38">
        <v>98500</v>
      </c>
    </row>
    <row r="2590" spans="1:3" x14ac:dyDescent="0.3">
      <c r="A2590" s="37" t="s">
        <v>125</v>
      </c>
      <c r="B2590" s="37" t="s">
        <v>53</v>
      </c>
      <c r="C2590" s="38"/>
    </row>
    <row r="2591" spans="1:3" x14ac:dyDescent="0.3">
      <c r="A2591" s="37" t="s">
        <v>125</v>
      </c>
      <c r="B2591" s="37" t="s">
        <v>53</v>
      </c>
      <c r="C2591" s="38"/>
    </row>
    <row r="2592" spans="1:3" x14ac:dyDescent="0.3">
      <c r="A2592" s="37" t="s">
        <v>125</v>
      </c>
      <c r="B2592" s="37" t="s">
        <v>53</v>
      </c>
      <c r="C2592" s="38">
        <v>93000</v>
      </c>
    </row>
    <row r="2593" spans="1:3" x14ac:dyDescent="0.3">
      <c r="A2593" s="37" t="s">
        <v>125</v>
      </c>
      <c r="B2593" s="37" t="s">
        <v>88</v>
      </c>
      <c r="C2593" s="38">
        <v>111202</v>
      </c>
    </row>
    <row r="2594" spans="1:3" x14ac:dyDescent="0.3">
      <c r="A2594" s="37" t="s">
        <v>125</v>
      </c>
      <c r="B2594" s="37" t="s">
        <v>53</v>
      </c>
      <c r="C2594" s="38">
        <v>105000</v>
      </c>
    </row>
    <row r="2595" spans="1:3" x14ac:dyDescent="0.3">
      <c r="A2595" s="37" t="s">
        <v>125</v>
      </c>
      <c r="B2595" s="37" t="s">
        <v>53</v>
      </c>
      <c r="C2595" s="38">
        <v>111202</v>
      </c>
    </row>
    <row r="2596" spans="1:3" x14ac:dyDescent="0.3">
      <c r="A2596" s="37" t="s">
        <v>125</v>
      </c>
      <c r="B2596" s="37" t="s">
        <v>53</v>
      </c>
      <c r="C2596" s="38">
        <v>90000</v>
      </c>
    </row>
    <row r="2597" spans="1:3" x14ac:dyDescent="0.3">
      <c r="A2597" s="37" t="s">
        <v>125</v>
      </c>
      <c r="B2597" s="37" t="s">
        <v>53</v>
      </c>
      <c r="C2597" s="38">
        <v>90000</v>
      </c>
    </row>
    <row r="2598" spans="1:3" x14ac:dyDescent="0.3">
      <c r="A2598" s="37" t="s">
        <v>125</v>
      </c>
      <c r="B2598" s="37" t="s">
        <v>53</v>
      </c>
      <c r="C2598" s="38">
        <v>120000</v>
      </c>
    </row>
    <row r="2599" spans="1:3" x14ac:dyDescent="0.3">
      <c r="A2599" s="37" t="s">
        <v>125</v>
      </c>
      <c r="B2599" s="37" t="s">
        <v>53</v>
      </c>
      <c r="C2599" s="38">
        <v>149000</v>
      </c>
    </row>
    <row r="2600" spans="1:3" x14ac:dyDescent="0.3">
      <c r="A2600" s="37" t="s">
        <v>125</v>
      </c>
      <c r="B2600" s="37" t="s">
        <v>81</v>
      </c>
      <c r="C2600" s="38">
        <v>175000</v>
      </c>
    </row>
    <row r="2601" spans="1:3" x14ac:dyDescent="0.3">
      <c r="A2601" s="37" t="s">
        <v>125</v>
      </c>
      <c r="B2601" s="37" t="s">
        <v>53</v>
      </c>
      <c r="C2601" s="38"/>
    </row>
    <row r="2602" spans="1:3" x14ac:dyDescent="0.3">
      <c r="A2602" s="37" t="s">
        <v>125</v>
      </c>
      <c r="B2602" s="37" t="s">
        <v>53</v>
      </c>
      <c r="C2602" s="38">
        <v>200000</v>
      </c>
    </row>
    <row r="2603" spans="1:3" x14ac:dyDescent="0.3">
      <c r="A2603" s="37" t="s">
        <v>125</v>
      </c>
      <c r="B2603" s="37" t="s">
        <v>53</v>
      </c>
      <c r="C2603" s="38">
        <v>110000</v>
      </c>
    </row>
    <row r="2604" spans="1:3" x14ac:dyDescent="0.3">
      <c r="A2604" s="37" t="s">
        <v>125</v>
      </c>
      <c r="B2604" s="37" t="s">
        <v>53</v>
      </c>
      <c r="C2604" s="38">
        <v>43031</v>
      </c>
    </row>
    <row r="2605" spans="1:3" x14ac:dyDescent="0.3">
      <c r="A2605" s="37" t="s">
        <v>125</v>
      </c>
      <c r="B2605" s="37" t="s">
        <v>53</v>
      </c>
      <c r="C2605" s="38"/>
    </row>
    <row r="2606" spans="1:3" x14ac:dyDescent="0.3">
      <c r="A2606" s="37" t="s">
        <v>125</v>
      </c>
      <c r="B2606" s="37" t="s">
        <v>53</v>
      </c>
      <c r="C2606" s="38">
        <v>115000</v>
      </c>
    </row>
    <row r="2607" spans="1:3" x14ac:dyDescent="0.3">
      <c r="A2607" s="37" t="s">
        <v>125</v>
      </c>
      <c r="B2607" s="37" t="s">
        <v>53</v>
      </c>
      <c r="C2607" s="38">
        <v>85000</v>
      </c>
    </row>
    <row r="2608" spans="1:3" x14ac:dyDescent="0.3">
      <c r="A2608" s="37" t="s">
        <v>125</v>
      </c>
      <c r="B2608" s="37" t="s">
        <v>53</v>
      </c>
      <c r="C2608" s="38">
        <v>95000</v>
      </c>
    </row>
    <row r="2609" spans="1:3" x14ac:dyDescent="0.3">
      <c r="A2609" s="37" t="s">
        <v>125</v>
      </c>
      <c r="B2609" s="37" t="s">
        <v>53</v>
      </c>
      <c r="C2609" s="38"/>
    </row>
    <row r="2610" spans="1:3" x14ac:dyDescent="0.3">
      <c r="A2610" s="37" t="s">
        <v>125</v>
      </c>
      <c r="B2610" s="37" t="s">
        <v>53</v>
      </c>
      <c r="C2610" s="38"/>
    </row>
    <row r="2611" spans="1:3" x14ac:dyDescent="0.3">
      <c r="A2611" s="37" t="s">
        <v>125</v>
      </c>
      <c r="B2611" s="37" t="s">
        <v>53</v>
      </c>
      <c r="C2611" s="38"/>
    </row>
    <row r="2612" spans="1:3" x14ac:dyDescent="0.3">
      <c r="A2612" s="37" t="s">
        <v>125</v>
      </c>
      <c r="B2612" s="37" t="s">
        <v>53</v>
      </c>
      <c r="C2612" s="38">
        <v>125654.5</v>
      </c>
    </row>
    <row r="2613" spans="1:3" x14ac:dyDescent="0.3">
      <c r="A2613" s="37" t="s">
        <v>125</v>
      </c>
      <c r="B2613" s="37" t="s">
        <v>53</v>
      </c>
      <c r="C2613" s="38"/>
    </row>
    <row r="2614" spans="1:3" x14ac:dyDescent="0.3">
      <c r="A2614" s="37" t="s">
        <v>125</v>
      </c>
      <c r="B2614" s="37" t="s">
        <v>106</v>
      </c>
      <c r="C2614" s="38">
        <v>51014</v>
      </c>
    </row>
    <row r="2615" spans="1:3" x14ac:dyDescent="0.3">
      <c r="A2615" s="37" t="s">
        <v>125</v>
      </c>
      <c r="B2615" s="37" t="s">
        <v>53</v>
      </c>
      <c r="C2615" s="38"/>
    </row>
    <row r="2616" spans="1:3" x14ac:dyDescent="0.3">
      <c r="A2616" s="37" t="s">
        <v>125</v>
      </c>
      <c r="B2616" s="37" t="s">
        <v>53</v>
      </c>
      <c r="C2616" s="38">
        <v>90000</v>
      </c>
    </row>
    <row r="2617" spans="1:3" x14ac:dyDescent="0.3">
      <c r="A2617" s="37" t="s">
        <v>125</v>
      </c>
      <c r="B2617" s="37" t="s">
        <v>53</v>
      </c>
      <c r="C2617" s="38">
        <v>104000</v>
      </c>
    </row>
    <row r="2618" spans="1:3" x14ac:dyDescent="0.3">
      <c r="A2618" s="37" t="s">
        <v>125</v>
      </c>
      <c r="B2618" s="37" t="s">
        <v>53</v>
      </c>
      <c r="C2618" s="38">
        <v>80000</v>
      </c>
    </row>
    <row r="2619" spans="1:3" x14ac:dyDescent="0.3">
      <c r="A2619" s="37" t="s">
        <v>125</v>
      </c>
      <c r="B2619" s="37" t="s">
        <v>53</v>
      </c>
      <c r="C2619" s="38">
        <v>85000</v>
      </c>
    </row>
    <row r="2620" spans="1:3" x14ac:dyDescent="0.3">
      <c r="A2620" s="37" t="s">
        <v>125</v>
      </c>
      <c r="B2620" s="37" t="s">
        <v>104</v>
      </c>
      <c r="C2620" s="38">
        <v>49566.5</v>
      </c>
    </row>
    <row r="2621" spans="1:3" x14ac:dyDescent="0.3">
      <c r="A2621" s="37" t="s">
        <v>125</v>
      </c>
      <c r="B2621" s="37" t="s">
        <v>53</v>
      </c>
      <c r="C2621" s="38">
        <v>200000</v>
      </c>
    </row>
    <row r="2622" spans="1:3" x14ac:dyDescent="0.3">
      <c r="A2622" s="37" t="s">
        <v>125</v>
      </c>
      <c r="B2622" s="37" t="s">
        <v>53</v>
      </c>
      <c r="C2622" s="38"/>
    </row>
    <row r="2623" spans="1:3" x14ac:dyDescent="0.3">
      <c r="A2623" s="37" t="s">
        <v>125</v>
      </c>
      <c r="B2623" s="37" t="s">
        <v>102</v>
      </c>
      <c r="C2623" s="38">
        <v>82500</v>
      </c>
    </row>
    <row r="2624" spans="1:3" x14ac:dyDescent="0.3">
      <c r="A2624" s="37" t="s">
        <v>125</v>
      </c>
      <c r="B2624" s="37" t="s">
        <v>53</v>
      </c>
      <c r="C2624" s="38">
        <v>122500</v>
      </c>
    </row>
    <row r="2625" spans="1:3" x14ac:dyDescent="0.3">
      <c r="A2625" s="37" t="s">
        <v>125</v>
      </c>
      <c r="B2625" s="37" t="s">
        <v>69</v>
      </c>
      <c r="C2625" s="38">
        <v>111202</v>
      </c>
    </row>
    <row r="2626" spans="1:3" x14ac:dyDescent="0.3">
      <c r="A2626" s="37" t="s">
        <v>125</v>
      </c>
      <c r="B2626" s="37" t="s">
        <v>53</v>
      </c>
      <c r="C2626" s="38">
        <v>115000</v>
      </c>
    </row>
    <row r="2627" spans="1:3" x14ac:dyDescent="0.3">
      <c r="A2627" s="37" t="s">
        <v>125</v>
      </c>
      <c r="B2627" s="37" t="s">
        <v>53</v>
      </c>
      <c r="C2627" s="38"/>
    </row>
    <row r="2628" spans="1:3" x14ac:dyDescent="0.3">
      <c r="A2628" s="37" t="s">
        <v>125</v>
      </c>
      <c r="B2628" s="37" t="s">
        <v>53</v>
      </c>
      <c r="C2628" s="38"/>
    </row>
    <row r="2629" spans="1:3" x14ac:dyDescent="0.3">
      <c r="A2629" s="37" t="s">
        <v>125</v>
      </c>
      <c r="B2629" s="37" t="s">
        <v>53</v>
      </c>
      <c r="C2629" s="38">
        <v>105000</v>
      </c>
    </row>
    <row r="2630" spans="1:3" x14ac:dyDescent="0.3">
      <c r="A2630" s="37" t="s">
        <v>125</v>
      </c>
      <c r="B2630" s="37" t="s">
        <v>65</v>
      </c>
      <c r="C2630" s="38">
        <v>111175</v>
      </c>
    </row>
    <row r="2631" spans="1:3" x14ac:dyDescent="0.3">
      <c r="A2631" s="37" t="s">
        <v>125</v>
      </c>
      <c r="B2631" s="37" t="s">
        <v>53</v>
      </c>
      <c r="C2631" s="38">
        <v>90000</v>
      </c>
    </row>
    <row r="2632" spans="1:3" x14ac:dyDescent="0.3">
      <c r="A2632" s="37" t="s">
        <v>125</v>
      </c>
      <c r="B2632" s="37" t="s">
        <v>69</v>
      </c>
      <c r="C2632" s="38">
        <v>111175</v>
      </c>
    </row>
    <row r="2633" spans="1:3" x14ac:dyDescent="0.3">
      <c r="A2633" s="37" t="s">
        <v>125</v>
      </c>
      <c r="B2633" s="37" t="s">
        <v>53</v>
      </c>
      <c r="C2633" s="38">
        <v>83298</v>
      </c>
    </row>
    <row r="2634" spans="1:3" x14ac:dyDescent="0.3">
      <c r="A2634" s="37" t="s">
        <v>125</v>
      </c>
      <c r="B2634" s="37" t="s">
        <v>65</v>
      </c>
      <c r="C2634" s="38">
        <v>111202</v>
      </c>
    </row>
    <row r="2635" spans="1:3" x14ac:dyDescent="0.3">
      <c r="A2635" s="37" t="s">
        <v>125</v>
      </c>
      <c r="B2635" s="37" t="s">
        <v>53</v>
      </c>
      <c r="C2635" s="38">
        <v>130000</v>
      </c>
    </row>
    <row r="2636" spans="1:3" x14ac:dyDescent="0.3">
      <c r="A2636" s="37" t="s">
        <v>125</v>
      </c>
      <c r="B2636" s="37" t="s">
        <v>80</v>
      </c>
      <c r="C2636" s="38">
        <v>111175</v>
      </c>
    </row>
    <row r="2637" spans="1:3" x14ac:dyDescent="0.3">
      <c r="A2637" s="37" t="s">
        <v>125</v>
      </c>
      <c r="B2637" s="37" t="s">
        <v>53</v>
      </c>
      <c r="C2637" s="38">
        <v>110000</v>
      </c>
    </row>
    <row r="2638" spans="1:3" x14ac:dyDescent="0.3">
      <c r="A2638" s="37" t="s">
        <v>125</v>
      </c>
      <c r="B2638" s="37" t="s">
        <v>53</v>
      </c>
      <c r="C2638" s="38"/>
    </row>
    <row r="2639" spans="1:3" x14ac:dyDescent="0.3">
      <c r="A2639" s="37" t="s">
        <v>125</v>
      </c>
      <c r="B2639" s="37" t="s">
        <v>64</v>
      </c>
      <c r="C2639" s="38">
        <v>100500</v>
      </c>
    </row>
    <row r="2640" spans="1:3" x14ac:dyDescent="0.3">
      <c r="A2640" s="37" t="s">
        <v>125</v>
      </c>
      <c r="B2640" s="37" t="s">
        <v>53</v>
      </c>
      <c r="C2640" s="38"/>
    </row>
    <row r="2641" spans="1:3" x14ac:dyDescent="0.3">
      <c r="A2641" s="37" t="s">
        <v>125</v>
      </c>
      <c r="B2641" s="37" t="s">
        <v>53</v>
      </c>
      <c r="C2641" s="38"/>
    </row>
    <row r="2642" spans="1:3" x14ac:dyDescent="0.3">
      <c r="A2642" s="37" t="s">
        <v>125</v>
      </c>
      <c r="B2642" s="37" t="s">
        <v>53</v>
      </c>
      <c r="C2642" s="38">
        <v>148290</v>
      </c>
    </row>
    <row r="2643" spans="1:3" x14ac:dyDescent="0.3">
      <c r="A2643" s="37" t="s">
        <v>125</v>
      </c>
      <c r="B2643" s="37" t="s">
        <v>53</v>
      </c>
      <c r="C2643" s="38">
        <v>80000</v>
      </c>
    </row>
    <row r="2644" spans="1:3" x14ac:dyDescent="0.3">
      <c r="A2644" s="37" t="s">
        <v>125</v>
      </c>
      <c r="B2644" s="37" t="s">
        <v>53</v>
      </c>
      <c r="C2644" s="38">
        <v>111202</v>
      </c>
    </row>
    <row r="2645" spans="1:3" x14ac:dyDescent="0.3">
      <c r="A2645" s="37" t="s">
        <v>125</v>
      </c>
      <c r="B2645" s="37" t="s">
        <v>53</v>
      </c>
      <c r="C2645" s="38">
        <v>145000</v>
      </c>
    </row>
    <row r="2646" spans="1:3" x14ac:dyDescent="0.3">
      <c r="A2646" s="37" t="s">
        <v>125</v>
      </c>
      <c r="B2646" s="37" t="s">
        <v>53</v>
      </c>
      <c r="C2646" s="38">
        <v>130000</v>
      </c>
    </row>
    <row r="2647" spans="1:3" x14ac:dyDescent="0.3">
      <c r="A2647" s="37" t="s">
        <v>125</v>
      </c>
      <c r="B2647" s="37" t="s">
        <v>53</v>
      </c>
      <c r="C2647" s="38">
        <v>175000</v>
      </c>
    </row>
    <row r="2648" spans="1:3" x14ac:dyDescent="0.3">
      <c r="A2648" s="37" t="s">
        <v>125</v>
      </c>
      <c r="B2648" s="37" t="s">
        <v>97</v>
      </c>
      <c r="C2648" s="38">
        <v>111175</v>
      </c>
    </row>
    <row r="2649" spans="1:3" x14ac:dyDescent="0.3">
      <c r="A2649" s="37" t="s">
        <v>125</v>
      </c>
      <c r="B2649" s="37" t="s">
        <v>85</v>
      </c>
      <c r="C2649" s="38">
        <v>89100</v>
      </c>
    </row>
    <row r="2650" spans="1:3" x14ac:dyDescent="0.3">
      <c r="A2650" s="37" t="s">
        <v>125</v>
      </c>
      <c r="B2650" s="37" t="s">
        <v>53</v>
      </c>
      <c r="C2650" s="38">
        <v>115000</v>
      </c>
    </row>
    <row r="2651" spans="1:3" x14ac:dyDescent="0.3">
      <c r="A2651" s="37" t="s">
        <v>125</v>
      </c>
      <c r="B2651" s="37" t="s">
        <v>53</v>
      </c>
      <c r="C2651" s="38">
        <v>99150</v>
      </c>
    </row>
    <row r="2652" spans="1:3" x14ac:dyDescent="0.3">
      <c r="A2652" s="37" t="s">
        <v>125</v>
      </c>
      <c r="B2652" s="37" t="s">
        <v>97</v>
      </c>
      <c r="C2652" s="38">
        <v>89100</v>
      </c>
    </row>
    <row r="2653" spans="1:3" x14ac:dyDescent="0.3">
      <c r="A2653" s="37" t="s">
        <v>125</v>
      </c>
      <c r="B2653" s="37" t="s">
        <v>53</v>
      </c>
      <c r="C2653" s="38"/>
    </row>
    <row r="2654" spans="1:3" x14ac:dyDescent="0.3">
      <c r="A2654" s="37" t="s">
        <v>125</v>
      </c>
      <c r="B2654" s="37" t="s">
        <v>53</v>
      </c>
      <c r="C2654" s="38">
        <v>90000</v>
      </c>
    </row>
    <row r="2655" spans="1:3" x14ac:dyDescent="0.3">
      <c r="A2655" s="37" t="s">
        <v>125</v>
      </c>
      <c r="B2655" s="37" t="s">
        <v>53</v>
      </c>
      <c r="C2655" s="38"/>
    </row>
    <row r="2656" spans="1:3" x14ac:dyDescent="0.3">
      <c r="A2656" s="37" t="s">
        <v>125</v>
      </c>
      <c r="B2656" s="37" t="s">
        <v>53</v>
      </c>
      <c r="C2656" s="38"/>
    </row>
    <row r="2657" spans="1:3" x14ac:dyDescent="0.3">
      <c r="A2657" s="37" t="s">
        <v>125</v>
      </c>
      <c r="B2657" s="37" t="s">
        <v>53</v>
      </c>
      <c r="C2657" s="38">
        <v>135000</v>
      </c>
    </row>
    <row r="2658" spans="1:3" x14ac:dyDescent="0.3">
      <c r="A2658" s="37" t="s">
        <v>125</v>
      </c>
      <c r="B2658" s="37" t="s">
        <v>53</v>
      </c>
      <c r="C2658" s="38">
        <v>105000</v>
      </c>
    </row>
    <row r="2659" spans="1:3" x14ac:dyDescent="0.3">
      <c r="A2659" s="37" t="s">
        <v>125</v>
      </c>
      <c r="B2659" s="37" t="s">
        <v>53</v>
      </c>
      <c r="C2659" s="38">
        <v>115000</v>
      </c>
    </row>
    <row r="2660" spans="1:3" x14ac:dyDescent="0.3">
      <c r="A2660" s="37" t="s">
        <v>125</v>
      </c>
      <c r="B2660" s="37" t="s">
        <v>53</v>
      </c>
      <c r="C2660" s="38"/>
    </row>
    <row r="2661" spans="1:3" x14ac:dyDescent="0.3">
      <c r="A2661" s="37" t="s">
        <v>125</v>
      </c>
      <c r="B2661" s="37" t="s">
        <v>53</v>
      </c>
      <c r="C2661" s="38">
        <v>160000</v>
      </c>
    </row>
    <row r="2662" spans="1:3" x14ac:dyDescent="0.3">
      <c r="A2662" s="37" t="s">
        <v>125</v>
      </c>
      <c r="B2662" s="37" t="s">
        <v>53</v>
      </c>
      <c r="C2662" s="38">
        <v>100000</v>
      </c>
    </row>
    <row r="2663" spans="1:3" x14ac:dyDescent="0.3">
      <c r="A2663" s="37" t="s">
        <v>125</v>
      </c>
      <c r="B2663" s="37" t="s">
        <v>53</v>
      </c>
      <c r="C2663" s="38">
        <v>115000</v>
      </c>
    </row>
    <row r="2664" spans="1:3" x14ac:dyDescent="0.3">
      <c r="A2664" s="37" t="s">
        <v>125</v>
      </c>
      <c r="B2664" s="37" t="s">
        <v>53</v>
      </c>
      <c r="C2664" s="38"/>
    </row>
    <row r="2665" spans="1:3" x14ac:dyDescent="0.3">
      <c r="A2665" s="37" t="s">
        <v>125</v>
      </c>
      <c r="B2665" s="37" t="s">
        <v>53</v>
      </c>
      <c r="C2665" s="38">
        <v>106661.5</v>
      </c>
    </row>
    <row r="2666" spans="1:3" x14ac:dyDescent="0.3">
      <c r="A2666" s="37" t="s">
        <v>125</v>
      </c>
      <c r="B2666" s="37" t="s">
        <v>53</v>
      </c>
      <c r="C2666" s="38"/>
    </row>
    <row r="2667" spans="1:3" x14ac:dyDescent="0.3">
      <c r="A2667" s="37" t="s">
        <v>125</v>
      </c>
      <c r="B2667" s="37" t="s">
        <v>53</v>
      </c>
      <c r="C2667" s="38"/>
    </row>
    <row r="2668" spans="1:3" x14ac:dyDescent="0.3">
      <c r="A2668" s="37" t="s">
        <v>125</v>
      </c>
      <c r="B2668" s="37" t="s">
        <v>72</v>
      </c>
      <c r="C2668" s="38">
        <v>105300</v>
      </c>
    </row>
    <row r="2669" spans="1:3" x14ac:dyDescent="0.3">
      <c r="A2669" s="37" t="s">
        <v>125</v>
      </c>
      <c r="B2669" s="37" t="s">
        <v>53</v>
      </c>
      <c r="C2669" s="38"/>
    </row>
    <row r="2670" spans="1:3" x14ac:dyDescent="0.3">
      <c r="A2670" s="37" t="s">
        <v>125</v>
      </c>
      <c r="B2670" s="37" t="s">
        <v>53</v>
      </c>
      <c r="C2670" s="38"/>
    </row>
    <row r="2671" spans="1:3" x14ac:dyDescent="0.3">
      <c r="A2671" s="37" t="s">
        <v>125</v>
      </c>
      <c r="B2671" s="37" t="s">
        <v>53</v>
      </c>
      <c r="C2671" s="38">
        <v>105000</v>
      </c>
    </row>
    <row r="2672" spans="1:3" x14ac:dyDescent="0.3">
      <c r="A2672" s="37" t="s">
        <v>125</v>
      </c>
      <c r="B2672" s="37" t="s">
        <v>53</v>
      </c>
      <c r="C2672" s="38">
        <v>90601</v>
      </c>
    </row>
    <row r="2673" spans="1:3" x14ac:dyDescent="0.3">
      <c r="A2673" s="37" t="s">
        <v>125</v>
      </c>
      <c r="B2673" s="37" t="s">
        <v>53</v>
      </c>
      <c r="C2673" s="38">
        <v>66746.03125</v>
      </c>
    </row>
    <row r="2674" spans="1:3" x14ac:dyDescent="0.3">
      <c r="A2674" s="37" t="s">
        <v>125</v>
      </c>
      <c r="B2674" s="37" t="s">
        <v>53</v>
      </c>
      <c r="C2674" s="38">
        <v>100000</v>
      </c>
    </row>
    <row r="2675" spans="1:3" x14ac:dyDescent="0.3">
      <c r="A2675" s="37" t="s">
        <v>125</v>
      </c>
      <c r="B2675" s="37" t="s">
        <v>53</v>
      </c>
      <c r="C2675" s="38"/>
    </row>
    <row r="2676" spans="1:3" x14ac:dyDescent="0.3">
      <c r="A2676" s="37" t="s">
        <v>125</v>
      </c>
      <c r="B2676" s="37" t="s">
        <v>53</v>
      </c>
      <c r="C2676" s="38"/>
    </row>
    <row r="2677" spans="1:3" x14ac:dyDescent="0.3">
      <c r="A2677" s="37" t="s">
        <v>125</v>
      </c>
      <c r="B2677" s="37" t="s">
        <v>53</v>
      </c>
      <c r="C2677" s="38">
        <v>91960</v>
      </c>
    </row>
    <row r="2678" spans="1:3" x14ac:dyDescent="0.3">
      <c r="A2678" s="37" t="s">
        <v>125</v>
      </c>
      <c r="B2678" s="37" t="s">
        <v>53</v>
      </c>
      <c r="C2678" s="38">
        <v>125000</v>
      </c>
    </row>
    <row r="2679" spans="1:3" x14ac:dyDescent="0.3">
      <c r="A2679" s="37" t="s">
        <v>125</v>
      </c>
      <c r="B2679" s="37" t="s">
        <v>53</v>
      </c>
      <c r="C2679" s="38">
        <v>90000</v>
      </c>
    </row>
    <row r="2680" spans="1:3" x14ac:dyDescent="0.3">
      <c r="A2680" s="37" t="s">
        <v>125</v>
      </c>
      <c r="B2680" s="37" t="s">
        <v>53</v>
      </c>
      <c r="C2680" s="38">
        <v>90000</v>
      </c>
    </row>
    <row r="2681" spans="1:3" x14ac:dyDescent="0.3">
      <c r="A2681" s="37" t="s">
        <v>125</v>
      </c>
      <c r="B2681" s="37" t="s">
        <v>53</v>
      </c>
      <c r="C2681" s="38">
        <v>85000</v>
      </c>
    </row>
    <row r="2682" spans="1:3" x14ac:dyDescent="0.3">
      <c r="A2682" s="37" t="s">
        <v>125</v>
      </c>
      <c r="B2682" s="37" t="s">
        <v>53</v>
      </c>
      <c r="C2682" s="38">
        <v>126000</v>
      </c>
    </row>
    <row r="2683" spans="1:3" x14ac:dyDescent="0.3">
      <c r="A2683" s="37" t="s">
        <v>125</v>
      </c>
      <c r="B2683" s="37" t="s">
        <v>53</v>
      </c>
      <c r="C2683" s="38">
        <v>115000</v>
      </c>
    </row>
    <row r="2684" spans="1:3" x14ac:dyDescent="0.3">
      <c r="A2684" s="37" t="s">
        <v>125</v>
      </c>
      <c r="B2684" s="37" t="s">
        <v>53</v>
      </c>
      <c r="C2684" s="38">
        <v>170000</v>
      </c>
    </row>
    <row r="2685" spans="1:3" x14ac:dyDescent="0.3">
      <c r="A2685" s="37" t="s">
        <v>125</v>
      </c>
      <c r="B2685" s="37" t="s">
        <v>53</v>
      </c>
      <c r="C2685" s="38">
        <v>85000</v>
      </c>
    </row>
    <row r="2686" spans="1:3" x14ac:dyDescent="0.3">
      <c r="A2686" s="37" t="s">
        <v>125</v>
      </c>
      <c r="B2686" s="37" t="s">
        <v>53</v>
      </c>
      <c r="C2686" s="38">
        <v>112500</v>
      </c>
    </row>
    <row r="2687" spans="1:3" x14ac:dyDescent="0.3">
      <c r="A2687" s="37" t="s">
        <v>125</v>
      </c>
      <c r="B2687" s="37" t="s">
        <v>53</v>
      </c>
      <c r="C2687" s="38">
        <v>95150</v>
      </c>
    </row>
    <row r="2688" spans="1:3" x14ac:dyDescent="0.3">
      <c r="A2688" s="37" t="s">
        <v>125</v>
      </c>
      <c r="B2688" s="37" t="s">
        <v>88</v>
      </c>
      <c r="C2688" s="38">
        <v>79200</v>
      </c>
    </row>
    <row r="2689" spans="1:3" x14ac:dyDescent="0.3">
      <c r="A2689" s="37" t="s">
        <v>126</v>
      </c>
      <c r="B2689" s="37" t="s">
        <v>53</v>
      </c>
      <c r="C2689" s="38">
        <v>135000</v>
      </c>
    </row>
    <row r="2690" spans="1:3" x14ac:dyDescent="0.3">
      <c r="A2690" s="37" t="s">
        <v>126</v>
      </c>
      <c r="B2690" s="37" t="s">
        <v>53</v>
      </c>
      <c r="C2690" s="38">
        <v>138200</v>
      </c>
    </row>
    <row r="2691" spans="1:3" x14ac:dyDescent="0.3">
      <c r="A2691" s="37" t="s">
        <v>126</v>
      </c>
      <c r="B2691" s="37" t="s">
        <v>53</v>
      </c>
      <c r="C2691" s="38">
        <v>170672</v>
      </c>
    </row>
    <row r="2692" spans="1:3" x14ac:dyDescent="0.3">
      <c r="A2692" s="37" t="s">
        <v>126</v>
      </c>
      <c r="B2692" s="37" t="s">
        <v>53</v>
      </c>
      <c r="C2692" s="38">
        <v>150000</v>
      </c>
    </row>
    <row r="2693" spans="1:3" x14ac:dyDescent="0.3">
      <c r="A2693" s="37" t="s">
        <v>126</v>
      </c>
      <c r="B2693" s="37" t="s">
        <v>53</v>
      </c>
      <c r="C2693" s="38"/>
    </row>
    <row r="2694" spans="1:3" x14ac:dyDescent="0.3">
      <c r="A2694" s="37" t="s">
        <v>126</v>
      </c>
      <c r="B2694" s="37" t="s">
        <v>53</v>
      </c>
      <c r="C2694" s="38">
        <v>150000</v>
      </c>
    </row>
    <row r="2695" spans="1:3" x14ac:dyDescent="0.3">
      <c r="A2695" s="37" t="s">
        <v>126</v>
      </c>
      <c r="B2695" s="37" t="s">
        <v>53</v>
      </c>
      <c r="C2695" s="38">
        <v>150000</v>
      </c>
    </row>
    <row r="2696" spans="1:3" x14ac:dyDescent="0.3">
      <c r="A2696" s="37" t="s">
        <v>126</v>
      </c>
      <c r="B2696" s="37" t="s">
        <v>53</v>
      </c>
      <c r="C2696" s="38">
        <v>140000</v>
      </c>
    </row>
    <row r="2697" spans="1:3" x14ac:dyDescent="0.3">
      <c r="A2697" s="37" t="s">
        <v>126</v>
      </c>
      <c r="B2697" s="37" t="s">
        <v>53</v>
      </c>
      <c r="C2697" s="38">
        <v>150000</v>
      </c>
    </row>
    <row r="2698" spans="1:3" x14ac:dyDescent="0.3">
      <c r="A2698" s="37" t="s">
        <v>126</v>
      </c>
      <c r="B2698" s="37" t="s">
        <v>53</v>
      </c>
      <c r="C2698" s="38">
        <v>156596</v>
      </c>
    </row>
    <row r="2699" spans="1:3" x14ac:dyDescent="0.3">
      <c r="A2699" s="37" t="s">
        <v>126</v>
      </c>
      <c r="B2699" s="37" t="s">
        <v>53</v>
      </c>
      <c r="C2699" s="38"/>
    </row>
    <row r="2700" spans="1:3" x14ac:dyDescent="0.3">
      <c r="A2700" s="37" t="s">
        <v>126</v>
      </c>
      <c r="B2700" s="37" t="s">
        <v>53</v>
      </c>
      <c r="C2700" s="38">
        <v>95000</v>
      </c>
    </row>
    <row r="2701" spans="1:3" x14ac:dyDescent="0.3">
      <c r="A2701" s="37" t="s">
        <v>126</v>
      </c>
      <c r="B2701" s="37" t="s">
        <v>69</v>
      </c>
      <c r="C2701" s="38">
        <v>147500</v>
      </c>
    </row>
    <row r="2702" spans="1:3" x14ac:dyDescent="0.3">
      <c r="A2702" s="37" t="s">
        <v>126</v>
      </c>
      <c r="B2702" s="37" t="s">
        <v>53</v>
      </c>
      <c r="C2702" s="38">
        <v>155000</v>
      </c>
    </row>
    <row r="2703" spans="1:3" x14ac:dyDescent="0.3">
      <c r="A2703" s="37" t="s">
        <v>126</v>
      </c>
      <c r="B2703" s="37" t="s">
        <v>53</v>
      </c>
      <c r="C2703" s="38">
        <v>135600</v>
      </c>
    </row>
    <row r="2704" spans="1:3" x14ac:dyDescent="0.3">
      <c r="A2704" s="37" t="s">
        <v>126</v>
      </c>
      <c r="B2704" s="37" t="s">
        <v>53</v>
      </c>
      <c r="C2704" s="38">
        <v>165000</v>
      </c>
    </row>
    <row r="2705" spans="1:3" x14ac:dyDescent="0.3">
      <c r="A2705" s="37" t="s">
        <v>126</v>
      </c>
      <c r="B2705" s="37" t="s">
        <v>53</v>
      </c>
      <c r="C2705" s="38">
        <v>156596</v>
      </c>
    </row>
    <row r="2706" spans="1:3" x14ac:dyDescent="0.3">
      <c r="A2706" s="37" t="s">
        <v>126</v>
      </c>
      <c r="B2706" s="37" t="s">
        <v>53</v>
      </c>
      <c r="C2706" s="38">
        <v>200000</v>
      </c>
    </row>
    <row r="2707" spans="1:3" x14ac:dyDescent="0.3">
      <c r="A2707" s="37" t="s">
        <v>126</v>
      </c>
      <c r="B2707" s="37" t="s">
        <v>53</v>
      </c>
      <c r="C2707" s="38">
        <v>150000</v>
      </c>
    </row>
    <row r="2708" spans="1:3" x14ac:dyDescent="0.3">
      <c r="A2708" s="37" t="s">
        <v>126</v>
      </c>
      <c r="B2708" s="37" t="s">
        <v>54</v>
      </c>
      <c r="C2708" s="38"/>
    </row>
    <row r="2709" spans="1:3" x14ac:dyDescent="0.3">
      <c r="A2709" s="37" t="s">
        <v>126</v>
      </c>
      <c r="B2709" s="37" t="s">
        <v>53</v>
      </c>
      <c r="C2709" s="38">
        <v>135000</v>
      </c>
    </row>
    <row r="2710" spans="1:3" x14ac:dyDescent="0.3">
      <c r="A2710" s="37" t="s">
        <v>126</v>
      </c>
      <c r="B2710" s="37" t="s">
        <v>53</v>
      </c>
      <c r="C2710" s="38">
        <v>160000</v>
      </c>
    </row>
    <row r="2711" spans="1:3" x14ac:dyDescent="0.3">
      <c r="A2711" s="37" t="s">
        <v>126</v>
      </c>
      <c r="B2711" s="37" t="s">
        <v>88</v>
      </c>
      <c r="C2711" s="38">
        <v>147500</v>
      </c>
    </row>
    <row r="2712" spans="1:3" x14ac:dyDescent="0.3">
      <c r="A2712" s="37" t="s">
        <v>126</v>
      </c>
      <c r="B2712" s="37" t="s">
        <v>53</v>
      </c>
      <c r="C2712" s="38">
        <v>90000</v>
      </c>
    </row>
    <row r="2713" spans="1:3" x14ac:dyDescent="0.3">
      <c r="A2713" s="37" t="s">
        <v>126</v>
      </c>
      <c r="B2713" s="37" t="s">
        <v>53</v>
      </c>
      <c r="C2713" s="38"/>
    </row>
    <row r="2714" spans="1:3" x14ac:dyDescent="0.3">
      <c r="A2714" s="37" t="s">
        <v>126</v>
      </c>
      <c r="B2714" s="37" t="s">
        <v>53</v>
      </c>
      <c r="C2714" s="38">
        <v>182000</v>
      </c>
    </row>
    <row r="2715" spans="1:3" x14ac:dyDescent="0.3">
      <c r="A2715" s="37" t="s">
        <v>126</v>
      </c>
      <c r="B2715" s="37" t="s">
        <v>53</v>
      </c>
      <c r="C2715" s="38">
        <v>156596</v>
      </c>
    </row>
    <row r="2716" spans="1:3" x14ac:dyDescent="0.3">
      <c r="A2716" s="37" t="s">
        <v>126</v>
      </c>
      <c r="B2716" s="37" t="s">
        <v>69</v>
      </c>
      <c r="C2716" s="38">
        <v>147500</v>
      </c>
    </row>
    <row r="2717" spans="1:3" x14ac:dyDescent="0.3">
      <c r="A2717" s="37" t="s">
        <v>126</v>
      </c>
      <c r="B2717" s="37" t="s">
        <v>53</v>
      </c>
      <c r="C2717" s="38">
        <v>150000</v>
      </c>
    </row>
    <row r="2718" spans="1:3" x14ac:dyDescent="0.3">
      <c r="A2718" s="37" t="s">
        <v>126</v>
      </c>
      <c r="B2718" s="37" t="s">
        <v>53</v>
      </c>
      <c r="C2718" s="38">
        <v>190000</v>
      </c>
    </row>
    <row r="2719" spans="1:3" x14ac:dyDescent="0.3">
      <c r="A2719" s="37" t="s">
        <v>126</v>
      </c>
      <c r="B2719" s="37" t="s">
        <v>53</v>
      </c>
      <c r="C2719" s="38">
        <v>170672</v>
      </c>
    </row>
    <row r="2720" spans="1:3" x14ac:dyDescent="0.3">
      <c r="A2720" s="37" t="s">
        <v>126</v>
      </c>
      <c r="B2720" s="37" t="s">
        <v>53</v>
      </c>
      <c r="C2720" s="38">
        <v>45000</v>
      </c>
    </row>
    <row r="2721" spans="1:3" x14ac:dyDescent="0.3">
      <c r="A2721" s="37" t="s">
        <v>126</v>
      </c>
      <c r="B2721" s="37" t="s">
        <v>53</v>
      </c>
      <c r="C2721" s="38"/>
    </row>
    <row r="2722" spans="1:3" x14ac:dyDescent="0.3">
      <c r="A2722" s="37" t="s">
        <v>126</v>
      </c>
      <c r="B2722" s="37" t="s">
        <v>53</v>
      </c>
      <c r="C2722" s="38">
        <v>170672</v>
      </c>
    </row>
    <row r="2723" spans="1:3" x14ac:dyDescent="0.3">
      <c r="A2723" s="37" t="s">
        <v>126</v>
      </c>
      <c r="B2723" s="37" t="s">
        <v>53</v>
      </c>
      <c r="C2723" s="38">
        <v>137150</v>
      </c>
    </row>
    <row r="2724" spans="1:3" x14ac:dyDescent="0.3">
      <c r="A2724" s="37" t="s">
        <v>126</v>
      </c>
      <c r="B2724" s="37" t="s">
        <v>64</v>
      </c>
      <c r="C2724" s="38">
        <v>147500</v>
      </c>
    </row>
    <row r="2725" spans="1:3" x14ac:dyDescent="0.3">
      <c r="A2725" s="37" t="s">
        <v>126</v>
      </c>
      <c r="B2725" s="37" t="s">
        <v>97</v>
      </c>
      <c r="C2725" s="38">
        <v>147500</v>
      </c>
    </row>
    <row r="2726" spans="1:3" x14ac:dyDescent="0.3">
      <c r="A2726" s="37" t="s">
        <v>126</v>
      </c>
      <c r="B2726" s="37" t="s">
        <v>53</v>
      </c>
      <c r="C2726" s="38">
        <v>156596</v>
      </c>
    </row>
    <row r="2727" spans="1:3" x14ac:dyDescent="0.3">
      <c r="A2727" s="37" t="s">
        <v>126</v>
      </c>
      <c r="B2727" s="37" t="s">
        <v>53</v>
      </c>
      <c r="C2727" s="38">
        <v>135000</v>
      </c>
    </row>
    <row r="2728" spans="1:3" x14ac:dyDescent="0.3">
      <c r="A2728" s="37" t="s">
        <v>126</v>
      </c>
      <c r="B2728" s="37" t="s">
        <v>53</v>
      </c>
      <c r="C2728" s="38">
        <v>300000</v>
      </c>
    </row>
    <row r="2729" spans="1:3" x14ac:dyDescent="0.3">
      <c r="A2729" s="37" t="s">
        <v>126</v>
      </c>
      <c r="B2729" s="37" t="s">
        <v>54</v>
      </c>
      <c r="C2729" s="38">
        <v>125000</v>
      </c>
    </row>
    <row r="2730" spans="1:3" x14ac:dyDescent="0.3">
      <c r="A2730" s="37" t="s">
        <v>126</v>
      </c>
      <c r="B2730" s="37" t="s">
        <v>54</v>
      </c>
      <c r="C2730" s="38">
        <v>180000</v>
      </c>
    </row>
    <row r="2731" spans="1:3" x14ac:dyDescent="0.3">
      <c r="A2731" s="37" t="s">
        <v>126</v>
      </c>
      <c r="B2731" s="37" t="s">
        <v>53</v>
      </c>
      <c r="C2731" s="38"/>
    </row>
    <row r="2732" spans="1:3" x14ac:dyDescent="0.3">
      <c r="A2732" s="37" t="s">
        <v>126</v>
      </c>
      <c r="B2732" s="37" t="s">
        <v>53</v>
      </c>
      <c r="C2732" s="38">
        <v>170000</v>
      </c>
    </row>
    <row r="2733" spans="1:3" x14ac:dyDescent="0.3">
      <c r="A2733" s="37" t="s">
        <v>126</v>
      </c>
      <c r="B2733" s="37" t="s">
        <v>53</v>
      </c>
      <c r="C2733" s="38">
        <v>156596</v>
      </c>
    </row>
    <row r="2734" spans="1:3" x14ac:dyDescent="0.3">
      <c r="A2734" s="37" t="s">
        <v>126</v>
      </c>
      <c r="B2734" s="37" t="s">
        <v>88</v>
      </c>
      <c r="C2734" s="38">
        <v>147500</v>
      </c>
    </row>
    <row r="2735" spans="1:3" x14ac:dyDescent="0.3">
      <c r="A2735" s="37" t="s">
        <v>126</v>
      </c>
      <c r="B2735" s="37" t="s">
        <v>53</v>
      </c>
      <c r="C2735" s="38">
        <v>181500</v>
      </c>
    </row>
    <row r="2736" spans="1:3" x14ac:dyDescent="0.3">
      <c r="A2736" s="37" t="s">
        <v>126</v>
      </c>
      <c r="B2736" s="37" t="s">
        <v>53</v>
      </c>
      <c r="C2736" s="38"/>
    </row>
    <row r="2737" spans="1:3" x14ac:dyDescent="0.3">
      <c r="A2737" s="37" t="s">
        <v>126</v>
      </c>
      <c r="B2737" s="37" t="s">
        <v>53</v>
      </c>
      <c r="C2737" s="38">
        <v>155000</v>
      </c>
    </row>
    <row r="2738" spans="1:3" x14ac:dyDescent="0.3">
      <c r="A2738" s="37" t="s">
        <v>126</v>
      </c>
      <c r="B2738" s="37" t="s">
        <v>53</v>
      </c>
      <c r="C2738" s="38">
        <v>135600</v>
      </c>
    </row>
    <row r="2739" spans="1:3" x14ac:dyDescent="0.3">
      <c r="A2739" s="37" t="s">
        <v>126</v>
      </c>
      <c r="B2739" s="37" t="s">
        <v>53</v>
      </c>
      <c r="C2739" s="38">
        <v>190000</v>
      </c>
    </row>
    <row r="2740" spans="1:3" x14ac:dyDescent="0.3">
      <c r="A2740" s="37" t="s">
        <v>126</v>
      </c>
      <c r="B2740" s="37" t="s">
        <v>56</v>
      </c>
      <c r="C2740" s="38">
        <v>147500</v>
      </c>
    </row>
    <row r="2741" spans="1:3" x14ac:dyDescent="0.3">
      <c r="A2741" s="37" t="s">
        <v>126</v>
      </c>
      <c r="B2741" s="37" t="s">
        <v>53</v>
      </c>
      <c r="C2741" s="38">
        <v>155000</v>
      </c>
    </row>
    <row r="2742" spans="1:3" x14ac:dyDescent="0.3">
      <c r="A2742" s="37" t="s">
        <v>126</v>
      </c>
      <c r="B2742" s="37" t="s">
        <v>88</v>
      </c>
      <c r="C2742" s="38">
        <v>147500</v>
      </c>
    </row>
    <row r="2743" spans="1:3" x14ac:dyDescent="0.3">
      <c r="A2743" s="37" t="s">
        <v>126</v>
      </c>
      <c r="B2743" s="37" t="s">
        <v>53</v>
      </c>
      <c r="C2743" s="38">
        <v>172500</v>
      </c>
    </row>
    <row r="2744" spans="1:3" x14ac:dyDescent="0.3">
      <c r="A2744" s="37" t="s">
        <v>126</v>
      </c>
      <c r="B2744" s="37" t="s">
        <v>53</v>
      </c>
      <c r="C2744" s="38">
        <v>250000</v>
      </c>
    </row>
    <row r="2745" spans="1:3" x14ac:dyDescent="0.3">
      <c r="A2745" s="37" t="s">
        <v>126</v>
      </c>
      <c r="B2745" s="37" t="s">
        <v>54</v>
      </c>
      <c r="C2745" s="38">
        <v>147500</v>
      </c>
    </row>
    <row r="2746" spans="1:3" x14ac:dyDescent="0.3">
      <c r="A2746" s="37" t="s">
        <v>126</v>
      </c>
      <c r="B2746" s="37" t="s">
        <v>53</v>
      </c>
      <c r="C2746" s="38">
        <v>170672</v>
      </c>
    </row>
    <row r="2747" spans="1:3" x14ac:dyDescent="0.3">
      <c r="A2747" s="37" t="s">
        <v>126</v>
      </c>
      <c r="B2747" s="37" t="s">
        <v>53</v>
      </c>
      <c r="C2747" s="38">
        <v>180000</v>
      </c>
    </row>
    <row r="2748" spans="1:3" x14ac:dyDescent="0.3">
      <c r="A2748" s="37" t="s">
        <v>126</v>
      </c>
      <c r="B2748" s="37" t="s">
        <v>53</v>
      </c>
      <c r="C2748" s="38">
        <v>127500</v>
      </c>
    </row>
    <row r="2749" spans="1:3" x14ac:dyDescent="0.3">
      <c r="A2749" s="37" t="s">
        <v>126</v>
      </c>
      <c r="B2749" s="37" t="s">
        <v>53</v>
      </c>
      <c r="C2749" s="38"/>
    </row>
    <row r="2750" spans="1:3" x14ac:dyDescent="0.3">
      <c r="A2750" s="37" t="s">
        <v>126</v>
      </c>
      <c r="B2750" s="37" t="s">
        <v>53</v>
      </c>
      <c r="C2750" s="38"/>
    </row>
    <row r="2751" spans="1:3" x14ac:dyDescent="0.3">
      <c r="A2751" s="37" t="s">
        <v>126</v>
      </c>
      <c r="B2751" s="37" t="s">
        <v>53</v>
      </c>
      <c r="C2751" s="38">
        <v>140000</v>
      </c>
    </row>
    <row r="2752" spans="1:3" x14ac:dyDescent="0.3">
      <c r="A2752" s="37" t="s">
        <v>126</v>
      </c>
      <c r="B2752" s="37" t="s">
        <v>53</v>
      </c>
      <c r="C2752" s="38">
        <v>150000</v>
      </c>
    </row>
    <row r="2753" spans="1:3" x14ac:dyDescent="0.3">
      <c r="A2753" s="37" t="s">
        <v>126</v>
      </c>
      <c r="B2753" s="37" t="s">
        <v>63</v>
      </c>
      <c r="C2753" s="38">
        <v>142000</v>
      </c>
    </row>
    <row r="2754" spans="1:3" x14ac:dyDescent="0.3">
      <c r="A2754" s="37" t="s">
        <v>126</v>
      </c>
      <c r="B2754" s="37" t="s">
        <v>53</v>
      </c>
      <c r="C2754" s="38">
        <v>130000</v>
      </c>
    </row>
    <row r="2755" spans="1:3" x14ac:dyDescent="0.3">
      <c r="A2755" s="37" t="s">
        <v>126</v>
      </c>
      <c r="B2755" s="37" t="s">
        <v>53</v>
      </c>
      <c r="C2755" s="38">
        <v>156596</v>
      </c>
    </row>
    <row r="2756" spans="1:3" x14ac:dyDescent="0.3">
      <c r="A2756" s="37" t="s">
        <v>126</v>
      </c>
      <c r="B2756" s="37" t="s">
        <v>54</v>
      </c>
      <c r="C2756" s="38"/>
    </row>
    <row r="2757" spans="1:3" x14ac:dyDescent="0.3">
      <c r="A2757" s="37" t="s">
        <v>126</v>
      </c>
      <c r="B2757" s="37" t="s">
        <v>53</v>
      </c>
      <c r="C2757" s="38">
        <v>145000</v>
      </c>
    </row>
    <row r="2758" spans="1:3" x14ac:dyDescent="0.3">
      <c r="A2758" s="37" t="s">
        <v>126</v>
      </c>
      <c r="B2758" s="37" t="s">
        <v>53</v>
      </c>
      <c r="C2758" s="38">
        <v>140000</v>
      </c>
    </row>
    <row r="2759" spans="1:3" x14ac:dyDescent="0.3">
      <c r="A2759" s="37" t="s">
        <v>126</v>
      </c>
      <c r="B2759" s="37" t="s">
        <v>53</v>
      </c>
      <c r="C2759" s="38">
        <v>185000</v>
      </c>
    </row>
    <row r="2760" spans="1:3" x14ac:dyDescent="0.3">
      <c r="A2760" s="37" t="s">
        <v>126</v>
      </c>
      <c r="B2760" s="37" t="s">
        <v>53</v>
      </c>
      <c r="C2760" s="38">
        <v>135000</v>
      </c>
    </row>
    <row r="2761" spans="1:3" x14ac:dyDescent="0.3">
      <c r="A2761" s="37" t="s">
        <v>126</v>
      </c>
      <c r="B2761" s="37" t="s">
        <v>53</v>
      </c>
      <c r="C2761" s="38">
        <v>167500</v>
      </c>
    </row>
    <row r="2762" spans="1:3" x14ac:dyDescent="0.3">
      <c r="A2762" s="37" t="s">
        <v>126</v>
      </c>
      <c r="B2762" s="37" t="s">
        <v>53</v>
      </c>
      <c r="C2762" s="38">
        <v>156596</v>
      </c>
    </row>
    <row r="2763" spans="1:3" x14ac:dyDescent="0.3">
      <c r="A2763" s="37" t="s">
        <v>126</v>
      </c>
      <c r="B2763" s="37" t="s">
        <v>53</v>
      </c>
      <c r="C2763" s="38">
        <v>175000</v>
      </c>
    </row>
    <row r="2764" spans="1:3" x14ac:dyDescent="0.3">
      <c r="A2764" s="37" t="s">
        <v>126</v>
      </c>
      <c r="B2764" s="37" t="s">
        <v>81</v>
      </c>
      <c r="C2764" s="38">
        <v>147500</v>
      </c>
    </row>
    <row r="2765" spans="1:3" x14ac:dyDescent="0.3">
      <c r="A2765" s="37" t="s">
        <v>126</v>
      </c>
      <c r="B2765" s="37" t="s">
        <v>53</v>
      </c>
      <c r="C2765" s="38">
        <v>156596</v>
      </c>
    </row>
    <row r="2766" spans="1:3" x14ac:dyDescent="0.3">
      <c r="A2766" s="37" t="s">
        <v>126</v>
      </c>
      <c r="B2766" s="37" t="s">
        <v>54</v>
      </c>
      <c r="C2766" s="38">
        <v>170672</v>
      </c>
    </row>
    <row r="2767" spans="1:3" x14ac:dyDescent="0.3">
      <c r="A2767" s="37" t="s">
        <v>126</v>
      </c>
      <c r="B2767" s="37" t="s">
        <v>70</v>
      </c>
      <c r="C2767" s="38">
        <v>147500</v>
      </c>
    </row>
    <row r="2768" spans="1:3" x14ac:dyDescent="0.3">
      <c r="A2768" s="37" t="s">
        <v>126</v>
      </c>
      <c r="B2768" s="37" t="s">
        <v>53</v>
      </c>
      <c r="C2768" s="38">
        <v>115000</v>
      </c>
    </row>
    <row r="2769" spans="1:3" x14ac:dyDescent="0.3">
      <c r="A2769" s="37" t="s">
        <v>126</v>
      </c>
      <c r="B2769" s="37" t="s">
        <v>53</v>
      </c>
      <c r="C2769" s="38">
        <v>170000</v>
      </c>
    </row>
    <row r="2770" spans="1:3" x14ac:dyDescent="0.3">
      <c r="A2770" s="37" t="s">
        <v>126</v>
      </c>
      <c r="B2770" s="37" t="s">
        <v>54</v>
      </c>
      <c r="C2770" s="38">
        <v>170672</v>
      </c>
    </row>
    <row r="2771" spans="1:3" x14ac:dyDescent="0.3">
      <c r="A2771" s="37" t="s">
        <v>126</v>
      </c>
      <c r="B2771" s="37" t="s">
        <v>53</v>
      </c>
      <c r="C2771" s="38">
        <v>127500</v>
      </c>
    </row>
    <row r="2772" spans="1:3" x14ac:dyDescent="0.3">
      <c r="A2772" s="37" t="s">
        <v>126</v>
      </c>
      <c r="B2772" s="37" t="s">
        <v>53</v>
      </c>
      <c r="C2772" s="38">
        <v>168500</v>
      </c>
    </row>
    <row r="2773" spans="1:3" x14ac:dyDescent="0.3">
      <c r="A2773" s="37" t="s">
        <v>126</v>
      </c>
      <c r="B2773" s="37" t="s">
        <v>64</v>
      </c>
      <c r="C2773" s="38">
        <v>147500</v>
      </c>
    </row>
    <row r="2774" spans="1:3" x14ac:dyDescent="0.3">
      <c r="A2774" s="37" t="s">
        <v>126</v>
      </c>
      <c r="B2774" s="37" t="s">
        <v>53</v>
      </c>
      <c r="C2774" s="38">
        <v>155000</v>
      </c>
    </row>
    <row r="2775" spans="1:3" x14ac:dyDescent="0.3">
      <c r="A2775" s="37" t="s">
        <v>126</v>
      </c>
      <c r="B2775" s="37" t="s">
        <v>53</v>
      </c>
      <c r="C2775" s="38">
        <v>128295.0625</v>
      </c>
    </row>
    <row r="2776" spans="1:3" x14ac:dyDescent="0.3">
      <c r="A2776" s="37" t="s">
        <v>126</v>
      </c>
      <c r="B2776" s="37" t="s">
        <v>53</v>
      </c>
      <c r="C2776" s="38">
        <v>147500</v>
      </c>
    </row>
    <row r="2777" spans="1:3" x14ac:dyDescent="0.3">
      <c r="A2777" s="37" t="s">
        <v>126</v>
      </c>
      <c r="B2777" s="37" t="s">
        <v>70</v>
      </c>
      <c r="C2777" s="38">
        <v>89100</v>
      </c>
    </row>
    <row r="2778" spans="1:3" x14ac:dyDescent="0.3">
      <c r="A2778" s="37" t="s">
        <v>126</v>
      </c>
      <c r="B2778" s="37" t="s">
        <v>53</v>
      </c>
      <c r="C2778" s="38">
        <v>170672</v>
      </c>
    </row>
    <row r="2779" spans="1:3" x14ac:dyDescent="0.3">
      <c r="A2779" s="37" t="s">
        <v>126</v>
      </c>
      <c r="B2779" s="37" t="s">
        <v>53</v>
      </c>
      <c r="C2779" s="38">
        <v>156596</v>
      </c>
    </row>
    <row r="2780" spans="1:3" x14ac:dyDescent="0.3">
      <c r="A2780" s="37" t="s">
        <v>126</v>
      </c>
      <c r="B2780" s="37" t="s">
        <v>127</v>
      </c>
      <c r="C2780" s="38">
        <v>147500</v>
      </c>
    </row>
    <row r="2781" spans="1:3" x14ac:dyDescent="0.3">
      <c r="A2781" s="37" t="s">
        <v>126</v>
      </c>
      <c r="B2781" s="37" t="s">
        <v>53</v>
      </c>
      <c r="C2781" s="38">
        <v>156596</v>
      </c>
    </row>
    <row r="2782" spans="1:3" x14ac:dyDescent="0.3">
      <c r="A2782" s="37" t="s">
        <v>126</v>
      </c>
      <c r="B2782" s="37" t="s">
        <v>53</v>
      </c>
      <c r="C2782" s="38">
        <v>150000</v>
      </c>
    </row>
    <row r="2783" spans="1:3" x14ac:dyDescent="0.3">
      <c r="A2783" s="37" t="s">
        <v>126</v>
      </c>
      <c r="B2783" s="37" t="s">
        <v>53</v>
      </c>
      <c r="C2783" s="38">
        <v>170672</v>
      </c>
    </row>
    <row r="2784" spans="1:3" x14ac:dyDescent="0.3">
      <c r="A2784" s="37" t="s">
        <v>126</v>
      </c>
      <c r="B2784" s="37" t="s">
        <v>53</v>
      </c>
      <c r="C2784" s="38">
        <v>116500</v>
      </c>
    </row>
    <row r="2785" spans="1:3" x14ac:dyDescent="0.3">
      <c r="A2785" s="37" t="s">
        <v>126</v>
      </c>
      <c r="B2785" s="37" t="s">
        <v>79</v>
      </c>
      <c r="C2785" s="38">
        <v>147500</v>
      </c>
    </row>
    <row r="2786" spans="1:3" x14ac:dyDescent="0.3">
      <c r="A2786" s="37" t="s">
        <v>126</v>
      </c>
      <c r="B2786" s="37" t="s">
        <v>54</v>
      </c>
      <c r="C2786" s="38"/>
    </row>
    <row r="2787" spans="1:3" x14ac:dyDescent="0.3">
      <c r="A2787" s="37" t="s">
        <v>126</v>
      </c>
      <c r="B2787" s="37" t="s">
        <v>65</v>
      </c>
      <c r="C2787" s="38">
        <v>56700</v>
      </c>
    </row>
    <row r="2788" spans="1:3" x14ac:dyDescent="0.3">
      <c r="A2788" s="37" t="s">
        <v>126</v>
      </c>
      <c r="B2788" s="37" t="s">
        <v>53</v>
      </c>
      <c r="C2788" s="38">
        <v>150000</v>
      </c>
    </row>
    <row r="2789" spans="1:3" x14ac:dyDescent="0.3">
      <c r="A2789" s="37" t="s">
        <v>126</v>
      </c>
      <c r="B2789" s="37" t="s">
        <v>53</v>
      </c>
      <c r="C2789" s="38">
        <v>122470.5</v>
      </c>
    </row>
    <row r="2790" spans="1:3" x14ac:dyDescent="0.3">
      <c r="A2790" s="37" t="s">
        <v>126</v>
      </c>
      <c r="B2790" s="37" t="s">
        <v>53</v>
      </c>
      <c r="C2790" s="38">
        <v>145000</v>
      </c>
    </row>
    <row r="2791" spans="1:3" x14ac:dyDescent="0.3">
      <c r="A2791" s="37" t="s">
        <v>126</v>
      </c>
      <c r="B2791" s="37" t="s">
        <v>53</v>
      </c>
      <c r="C2791" s="38">
        <v>172500</v>
      </c>
    </row>
    <row r="2792" spans="1:3" x14ac:dyDescent="0.3">
      <c r="A2792" s="37" t="s">
        <v>126</v>
      </c>
      <c r="B2792" s="37" t="s">
        <v>53</v>
      </c>
      <c r="C2792" s="38">
        <v>122500</v>
      </c>
    </row>
    <row r="2793" spans="1:3" x14ac:dyDescent="0.3">
      <c r="A2793" s="37" t="s">
        <v>126</v>
      </c>
      <c r="B2793" s="37" t="s">
        <v>53</v>
      </c>
      <c r="C2793" s="38">
        <v>135000</v>
      </c>
    </row>
    <row r="2794" spans="1:3" x14ac:dyDescent="0.3">
      <c r="A2794" s="37" t="s">
        <v>126</v>
      </c>
      <c r="B2794" s="37" t="s">
        <v>53</v>
      </c>
      <c r="C2794" s="38">
        <v>202500</v>
      </c>
    </row>
    <row r="2795" spans="1:3" x14ac:dyDescent="0.3">
      <c r="A2795" s="37" t="s">
        <v>126</v>
      </c>
      <c r="B2795" s="37" t="s">
        <v>53</v>
      </c>
      <c r="C2795" s="38">
        <v>157500</v>
      </c>
    </row>
    <row r="2796" spans="1:3" x14ac:dyDescent="0.3">
      <c r="A2796" s="37" t="s">
        <v>126</v>
      </c>
      <c r="B2796" s="37" t="s">
        <v>69</v>
      </c>
      <c r="C2796" s="38">
        <v>89100</v>
      </c>
    </row>
    <row r="2797" spans="1:3" x14ac:dyDescent="0.3">
      <c r="A2797" s="37" t="s">
        <v>126</v>
      </c>
      <c r="B2797" s="37" t="s">
        <v>53</v>
      </c>
      <c r="C2797" s="38">
        <v>122470.5</v>
      </c>
    </row>
    <row r="2798" spans="1:3" x14ac:dyDescent="0.3">
      <c r="A2798" s="37" t="s">
        <v>126</v>
      </c>
      <c r="B2798" s="37" t="s">
        <v>53</v>
      </c>
      <c r="C2798" s="38">
        <v>147500</v>
      </c>
    </row>
    <row r="2799" spans="1:3" x14ac:dyDescent="0.3">
      <c r="A2799" s="37" t="s">
        <v>126</v>
      </c>
      <c r="B2799" s="37" t="s">
        <v>110</v>
      </c>
      <c r="C2799" s="38">
        <v>147500</v>
      </c>
    </row>
    <row r="2800" spans="1:3" x14ac:dyDescent="0.3">
      <c r="A2800" s="37" t="s">
        <v>126</v>
      </c>
      <c r="B2800" s="37" t="s">
        <v>69</v>
      </c>
      <c r="C2800" s="38">
        <v>89100</v>
      </c>
    </row>
    <row r="2801" spans="1:3" x14ac:dyDescent="0.3">
      <c r="A2801" s="37" t="s">
        <v>126</v>
      </c>
      <c r="B2801" s="37" t="s">
        <v>81</v>
      </c>
      <c r="C2801" s="38">
        <v>147500</v>
      </c>
    </row>
    <row r="2802" spans="1:3" x14ac:dyDescent="0.3">
      <c r="A2802" s="37" t="s">
        <v>126</v>
      </c>
      <c r="B2802" s="37" t="s">
        <v>53</v>
      </c>
      <c r="C2802" s="38">
        <v>132500</v>
      </c>
    </row>
    <row r="2803" spans="1:3" x14ac:dyDescent="0.3">
      <c r="A2803" s="37" t="s">
        <v>126</v>
      </c>
      <c r="B2803" s="37" t="s">
        <v>53</v>
      </c>
      <c r="C2803" s="38">
        <v>185000</v>
      </c>
    </row>
    <row r="2804" spans="1:3" x14ac:dyDescent="0.3">
      <c r="A2804" s="37" t="s">
        <v>126</v>
      </c>
      <c r="B2804" s="37" t="s">
        <v>54</v>
      </c>
      <c r="C2804" s="38">
        <v>170672</v>
      </c>
    </row>
    <row r="2805" spans="1:3" x14ac:dyDescent="0.3">
      <c r="A2805" s="37" t="s">
        <v>126</v>
      </c>
      <c r="B2805" s="37" t="s">
        <v>53</v>
      </c>
      <c r="C2805" s="38">
        <v>180000</v>
      </c>
    </row>
    <row r="2806" spans="1:3" x14ac:dyDescent="0.3">
      <c r="A2806" s="37" t="s">
        <v>126</v>
      </c>
      <c r="B2806" s="37" t="s">
        <v>53</v>
      </c>
      <c r="C2806" s="38">
        <v>105000</v>
      </c>
    </row>
    <row r="2807" spans="1:3" x14ac:dyDescent="0.3">
      <c r="A2807" s="37" t="s">
        <v>126</v>
      </c>
      <c r="B2807" s="37" t="s">
        <v>81</v>
      </c>
      <c r="C2807" s="38">
        <v>90000</v>
      </c>
    </row>
    <row r="2808" spans="1:3" x14ac:dyDescent="0.3">
      <c r="A2808" s="37" t="s">
        <v>126</v>
      </c>
      <c r="B2808" s="37" t="s">
        <v>69</v>
      </c>
      <c r="C2808" s="38">
        <v>147500</v>
      </c>
    </row>
    <row r="2809" spans="1:3" x14ac:dyDescent="0.3">
      <c r="A2809" s="37" t="s">
        <v>126</v>
      </c>
      <c r="B2809" s="37" t="s">
        <v>83</v>
      </c>
      <c r="C2809" s="38">
        <v>147500</v>
      </c>
    </row>
    <row r="2810" spans="1:3" x14ac:dyDescent="0.3">
      <c r="A2810" s="37" t="s">
        <v>126</v>
      </c>
      <c r="B2810" s="37" t="s">
        <v>124</v>
      </c>
      <c r="C2810" s="38">
        <v>147500</v>
      </c>
    </row>
    <row r="2811" spans="1:3" x14ac:dyDescent="0.3">
      <c r="A2811" s="37" t="s">
        <v>126</v>
      </c>
      <c r="B2811" s="37" t="s">
        <v>53</v>
      </c>
      <c r="C2811" s="38"/>
    </row>
    <row r="2812" spans="1:3" x14ac:dyDescent="0.3">
      <c r="A2812" s="37" t="s">
        <v>126</v>
      </c>
      <c r="B2812" s="37" t="s">
        <v>88</v>
      </c>
      <c r="C2812" s="38">
        <v>147500</v>
      </c>
    </row>
    <row r="2813" spans="1:3" x14ac:dyDescent="0.3">
      <c r="A2813" s="37" t="s">
        <v>126</v>
      </c>
      <c r="B2813" s="37" t="s">
        <v>54</v>
      </c>
      <c r="C2813" s="38">
        <v>185000</v>
      </c>
    </row>
    <row r="2814" spans="1:3" x14ac:dyDescent="0.3">
      <c r="A2814" s="37" t="s">
        <v>126</v>
      </c>
      <c r="B2814" s="37" t="s">
        <v>53</v>
      </c>
      <c r="C2814" s="38">
        <v>180000</v>
      </c>
    </row>
    <row r="2815" spans="1:3" x14ac:dyDescent="0.3">
      <c r="A2815" s="37" t="s">
        <v>126</v>
      </c>
      <c r="B2815" s="37" t="s">
        <v>79</v>
      </c>
      <c r="C2815" s="38">
        <v>161160</v>
      </c>
    </row>
    <row r="2816" spans="1:3" x14ac:dyDescent="0.3">
      <c r="A2816" s="37" t="s">
        <v>126</v>
      </c>
      <c r="B2816" s="37" t="s">
        <v>53</v>
      </c>
      <c r="C2816" s="38">
        <v>274500</v>
      </c>
    </row>
    <row r="2817" spans="1:3" x14ac:dyDescent="0.3">
      <c r="A2817" s="37" t="s">
        <v>126</v>
      </c>
      <c r="B2817" s="37" t="s">
        <v>72</v>
      </c>
      <c r="C2817" s="38">
        <v>125000</v>
      </c>
    </row>
    <row r="2818" spans="1:3" x14ac:dyDescent="0.3">
      <c r="A2818" s="37" t="s">
        <v>126</v>
      </c>
      <c r="B2818" s="37" t="s">
        <v>72</v>
      </c>
      <c r="C2818" s="38">
        <v>147500</v>
      </c>
    </row>
    <row r="2819" spans="1:3" x14ac:dyDescent="0.3">
      <c r="A2819" s="37" t="s">
        <v>126</v>
      </c>
      <c r="B2819" s="37" t="s">
        <v>53</v>
      </c>
      <c r="C2819" s="38">
        <v>127500</v>
      </c>
    </row>
    <row r="2820" spans="1:3" x14ac:dyDescent="0.3">
      <c r="A2820" s="37" t="s">
        <v>126</v>
      </c>
      <c r="B2820" s="37" t="s">
        <v>53</v>
      </c>
      <c r="C2820" s="38"/>
    </row>
    <row r="2821" spans="1:3" x14ac:dyDescent="0.3">
      <c r="A2821" s="37" t="s">
        <v>126</v>
      </c>
      <c r="B2821" s="37" t="s">
        <v>81</v>
      </c>
      <c r="C2821" s="38">
        <v>90000</v>
      </c>
    </row>
    <row r="2822" spans="1:3" x14ac:dyDescent="0.3">
      <c r="A2822" s="37" t="s">
        <v>126</v>
      </c>
      <c r="B2822" s="37" t="s">
        <v>97</v>
      </c>
      <c r="C2822" s="38">
        <v>147500</v>
      </c>
    </row>
    <row r="2823" spans="1:3" x14ac:dyDescent="0.3">
      <c r="A2823" s="37" t="s">
        <v>126</v>
      </c>
      <c r="B2823" s="37" t="s">
        <v>81</v>
      </c>
      <c r="C2823" s="38">
        <v>90000</v>
      </c>
    </row>
    <row r="2824" spans="1:3" x14ac:dyDescent="0.3">
      <c r="A2824" s="37" t="s">
        <v>126</v>
      </c>
      <c r="B2824" s="37" t="s">
        <v>81</v>
      </c>
      <c r="C2824" s="38">
        <v>140000</v>
      </c>
    </row>
    <row r="2825" spans="1:3" x14ac:dyDescent="0.3">
      <c r="A2825" s="37" t="s">
        <v>126</v>
      </c>
      <c r="B2825" s="37" t="s">
        <v>72</v>
      </c>
      <c r="C2825" s="38">
        <v>96760.5</v>
      </c>
    </row>
    <row r="2826" spans="1:3" x14ac:dyDescent="0.3">
      <c r="A2826" s="37" t="s">
        <v>126</v>
      </c>
      <c r="B2826" s="37" t="s">
        <v>83</v>
      </c>
      <c r="C2826" s="38">
        <v>147500</v>
      </c>
    </row>
    <row r="2827" spans="1:3" x14ac:dyDescent="0.3">
      <c r="A2827" s="37" t="s">
        <v>126</v>
      </c>
      <c r="B2827" s="37" t="s">
        <v>53</v>
      </c>
      <c r="C2827" s="38"/>
    </row>
    <row r="2828" spans="1:3" x14ac:dyDescent="0.3">
      <c r="A2828" s="37" t="s">
        <v>126</v>
      </c>
      <c r="B2828" s="37" t="s">
        <v>53</v>
      </c>
      <c r="C2828" s="38"/>
    </row>
    <row r="2829" spans="1:3" x14ac:dyDescent="0.3">
      <c r="A2829" s="37" t="s">
        <v>126</v>
      </c>
      <c r="B2829" s="37" t="s">
        <v>97</v>
      </c>
      <c r="C2829" s="38">
        <v>147500</v>
      </c>
    </row>
    <row r="2830" spans="1:3" x14ac:dyDescent="0.3">
      <c r="A2830" s="37" t="s">
        <v>126</v>
      </c>
      <c r="B2830" s="37" t="s">
        <v>53</v>
      </c>
      <c r="C2830" s="38">
        <v>147500</v>
      </c>
    </row>
    <row r="2831" spans="1:3" x14ac:dyDescent="0.3">
      <c r="A2831" s="37" t="s">
        <v>126</v>
      </c>
      <c r="B2831" s="37" t="s">
        <v>88</v>
      </c>
      <c r="C2831" s="38">
        <v>147500</v>
      </c>
    </row>
    <row r="2832" spans="1:3" x14ac:dyDescent="0.3">
      <c r="A2832" s="37" t="s">
        <v>126</v>
      </c>
      <c r="B2832" s="37" t="s">
        <v>88</v>
      </c>
      <c r="C2832" s="38">
        <v>147500</v>
      </c>
    </row>
    <row r="2833" spans="1:3" x14ac:dyDescent="0.3">
      <c r="A2833" s="37" t="s">
        <v>126</v>
      </c>
      <c r="B2833" s="37" t="s">
        <v>81</v>
      </c>
      <c r="C2833" s="38">
        <v>150000</v>
      </c>
    </row>
    <row r="2834" spans="1:3" x14ac:dyDescent="0.3">
      <c r="A2834" s="37" t="s">
        <v>128</v>
      </c>
      <c r="B2834" s="37" t="s">
        <v>53</v>
      </c>
      <c r="C2834" s="38">
        <v>116700</v>
      </c>
    </row>
    <row r="2835" spans="1:3" x14ac:dyDescent="0.3">
      <c r="A2835" s="37" t="s">
        <v>128</v>
      </c>
      <c r="B2835" s="37" t="s">
        <v>53</v>
      </c>
      <c r="C2835" s="38">
        <v>145000</v>
      </c>
    </row>
    <row r="2836" spans="1:3" x14ac:dyDescent="0.3">
      <c r="A2836" s="37" t="s">
        <v>128</v>
      </c>
      <c r="B2836" s="37" t="s">
        <v>53</v>
      </c>
      <c r="C2836" s="38">
        <v>173000</v>
      </c>
    </row>
    <row r="2837" spans="1:3" x14ac:dyDescent="0.3">
      <c r="A2837" s="37" t="s">
        <v>128</v>
      </c>
      <c r="B2837" s="37" t="s">
        <v>53</v>
      </c>
      <c r="C2837" s="38">
        <v>135000</v>
      </c>
    </row>
    <row r="2838" spans="1:3" x14ac:dyDescent="0.3">
      <c r="A2838" s="37" t="s">
        <v>128</v>
      </c>
      <c r="B2838" s="37" t="s">
        <v>53</v>
      </c>
      <c r="C2838" s="38"/>
    </row>
    <row r="2839" spans="1:3" x14ac:dyDescent="0.3">
      <c r="A2839" s="37" t="s">
        <v>128</v>
      </c>
      <c r="B2839" s="37" t="s">
        <v>53</v>
      </c>
      <c r="C2839" s="38">
        <v>160000</v>
      </c>
    </row>
    <row r="2840" spans="1:3" x14ac:dyDescent="0.3">
      <c r="A2840" s="37" t="s">
        <v>128</v>
      </c>
      <c r="B2840" s="37" t="s">
        <v>53</v>
      </c>
      <c r="C2840" s="38">
        <v>161000</v>
      </c>
    </row>
    <row r="2841" spans="1:3" x14ac:dyDescent="0.3">
      <c r="A2841" s="37" t="s">
        <v>128</v>
      </c>
      <c r="B2841" s="37" t="s">
        <v>53</v>
      </c>
      <c r="C2841" s="38">
        <v>140000</v>
      </c>
    </row>
    <row r="2842" spans="1:3" x14ac:dyDescent="0.3">
      <c r="A2842" s="37" t="s">
        <v>128</v>
      </c>
      <c r="B2842" s="37" t="s">
        <v>54</v>
      </c>
      <c r="C2842" s="38">
        <v>165000</v>
      </c>
    </row>
    <row r="2843" spans="1:3" x14ac:dyDescent="0.3">
      <c r="A2843" s="37" t="s">
        <v>128</v>
      </c>
      <c r="B2843" s="37" t="s">
        <v>53</v>
      </c>
      <c r="C2843" s="38">
        <v>160000</v>
      </c>
    </row>
    <row r="2844" spans="1:3" x14ac:dyDescent="0.3">
      <c r="A2844" s="37" t="s">
        <v>128</v>
      </c>
      <c r="B2844" s="37" t="s">
        <v>97</v>
      </c>
      <c r="C2844" s="38">
        <v>157500</v>
      </c>
    </row>
    <row r="2845" spans="1:3" x14ac:dyDescent="0.3">
      <c r="A2845" s="37" t="s">
        <v>128</v>
      </c>
      <c r="B2845" s="37" t="s">
        <v>53</v>
      </c>
      <c r="C2845" s="38"/>
    </row>
    <row r="2846" spans="1:3" x14ac:dyDescent="0.3">
      <c r="A2846" s="37" t="s">
        <v>128</v>
      </c>
      <c r="B2846" s="37" t="s">
        <v>53</v>
      </c>
      <c r="C2846" s="38">
        <v>145000</v>
      </c>
    </row>
    <row r="2847" spans="1:3" x14ac:dyDescent="0.3">
      <c r="A2847" s="37" t="s">
        <v>128</v>
      </c>
      <c r="B2847" s="37" t="s">
        <v>53</v>
      </c>
      <c r="C2847" s="38">
        <v>225000</v>
      </c>
    </row>
    <row r="2848" spans="1:3" x14ac:dyDescent="0.3">
      <c r="A2848" s="37" t="s">
        <v>128</v>
      </c>
      <c r="B2848" s="37" t="s">
        <v>53</v>
      </c>
      <c r="C2848" s="38">
        <v>222589</v>
      </c>
    </row>
    <row r="2849" spans="1:3" x14ac:dyDescent="0.3">
      <c r="A2849" s="37" t="s">
        <v>128</v>
      </c>
      <c r="B2849" s="37" t="s">
        <v>54</v>
      </c>
      <c r="C2849" s="38">
        <v>200000</v>
      </c>
    </row>
    <row r="2850" spans="1:3" x14ac:dyDescent="0.3">
      <c r="A2850" s="37" t="s">
        <v>128</v>
      </c>
      <c r="B2850" s="37" t="s">
        <v>53</v>
      </c>
      <c r="C2850" s="38">
        <v>375000</v>
      </c>
    </row>
    <row r="2851" spans="1:3" x14ac:dyDescent="0.3">
      <c r="A2851" s="37" t="s">
        <v>128</v>
      </c>
      <c r="B2851" s="37" t="s">
        <v>53</v>
      </c>
      <c r="C2851" s="38">
        <v>315000</v>
      </c>
    </row>
    <row r="2852" spans="1:3" x14ac:dyDescent="0.3">
      <c r="A2852" s="37" t="s">
        <v>128</v>
      </c>
      <c r="B2852" s="37" t="s">
        <v>79</v>
      </c>
      <c r="C2852" s="38">
        <v>79200</v>
      </c>
    </row>
    <row r="2853" spans="1:3" x14ac:dyDescent="0.3">
      <c r="A2853" s="37" t="s">
        <v>128</v>
      </c>
      <c r="B2853" s="37" t="s">
        <v>53</v>
      </c>
      <c r="C2853" s="38">
        <v>150000</v>
      </c>
    </row>
    <row r="2854" spans="1:3" x14ac:dyDescent="0.3">
      <c r="A2854" s="37" t="s">
        <v>128</v>
      </c>
      <c r="B2854" s="37" t="s">
        <v>53</v>
      </c>
      <c r="C2854" s="38">
        <v>157500</v>
      </c>
    </row>
    <row r="2855" spans="1:3" x14ac:dyDescent="0.3">
      <c r="A2855" s="37" t="s">
        <v>128</v>
      </c>
      <c r="B2855" s="37" t="s">
        <v>53</v>
      </c>
      <c r="C2855" s="38">
        <v>115000</v>
      </c>
    </row>
    <row r="2856" spans="1:3" x14ac:dyDescent="0.3">
      <c r="A2856" s="37" t="s">
        <v>128</v>
      </c>
      <c r="B2856" s="37" t="s">
        <v>72</v>
      </c>
      <c r="C2856" s="38">
        <v>130500</v>
      </c>
    </row>
    <row r="2857" spans="1:3" x14ac:dyDescent="0.3">
      <c r="A2857" s="37" t="s">
        <v>128</v>
      </c>
      <c r="B2857" s="37" t="s">
        <v>53</v>
      </c>
      <c r="C2857" s="38">
        <v>90000</v>
      </c>
    </row>
    <row r="2858" spans="1:3" x14ac:dyDescent="0.3">
      <c r="A2858" s="37" t="s">
        <v>128</v>
      </c>
      <c r="B2858" s="37" t="s">
        <v>53</v>
      </c>
      <c r="C2858" s="38">
        <v>202000</v>
      </c>
    </row>
    <row r="2859" spans="1:3" x14ac:dyDescent="0.3">
      <c r="A2859" s="37" t="s">
        <v>128</v>
      </c>
      <c r="B2859" s="37" t="s">
        <v>53</v>
      </c>
      <c r="C2859" s="38">
        <v>58500</v>
      </c>
    </row>
    <row r="2860" spans="1:3" x14ac:dyDescent="0.3">
      <c r="A2860" s="37" t="s">
        <v>128</v>
      </c>
      <c r="B2860" s="37" t="s">
        <v>53</v>
      </c>
      <c r="C2860" s="38">
        <v>172500</v>
      </c>
    </row>
    <row r="2861" spans="1:3" x14ac:dyDescent="0.3">
      <c r="A2861" s="37" t="s">
        <v>128</v>
      </c>
      <c r="B2861" s="37" t="s">
        <v>54</v>
      </c>
      <c r="C2861" s="38">
        <v>140000</v>
      </c>
    </row>
    <row r="2862" spans="1:3" x14ac:dyDescent="0.3">
      <c r="A2862" s="37" t="s">
        <v>128</v>
      </c>
      <c r="B2862" s="37" t="s">
        <v>54</v>
      </c>
      <c r="C2862" s="38">
        <v>127000</v>
      </c>
    </row>
    <row r="2863" spans="1:3" x14ac:dyDescent="0.3">
      <c r="A2863" s="37" t="s">
        <v>128</v>
      </c>
      <c r="B2863" s="37" t="s">
        <v>80</v>
      </c>
      <c r="C2863" s="38">
        <v>79200</v>
      </c>
    </row>
    <row r="2864" spans="1:3" x14ac:dyDescent="0.3">
      <c r="A2864" s="37" t="s">
        <v>128</v>
      </c>
      <c r="B2864" s="37" t="s">
        <v>98</v>
      </c>
      <c r="C2864" s="38">
        <v>72900</v>
      </c>
    </row>
    <row r="2865" spans="1:3" x14ac:dyDescent="0.3">
      <c r="A2865" s="37" t="s">
        <v>128</v>
      </c>
      <c r="B2865" s="37" t="s">
        <v>53</v>
      </c>
      <c r="C2865" s="38">
        <v>125000</v>
      </c>
    </row>
    <row r="2866" spans="1:3" x14ac:dyDescent="0.3">
      <c r="A2866" s="37" t="s">
        <v>128</v>
      </c>
      <c r="B2866" s="37" t="s">
        <v>97</v>
      </c>
      <c r="C2866" s="38">
        <v>89100</v>
      </c>
    </row>
    <row r="2867" spans="1:3" x14ac:dyDescent="0.3">
      <c r="A2867" s="37" t="s">
        <v>128</v>
      </c>
      <c r="B2867" s="37" t="s">
        <v>110</v>
      </c>
      <c r="C2867" s="38">
        <v>157500</v>
      </c>
    </row>
    <row r="2868" spans="1:3" x14ac:dyDescent="0.3">
      <c r="A2868" s="37" t="s">
        <v>128</v>
      </c>
      <c r="B2868" s="37" t="s">
        <v>53</v>
      </c>
      <c r="C2868" s="38"/>
    </row>
    <row r="2869" spans="1:3" x14ac:dyDescent="0.3">
      <c r="A2869" s="37" t="s">
        <v>128</v>
      </c>
      <c r="B2869" s="37" t="s">
        <v>53</v>
      </c>
      <c r="C2869" s="38">
        <v>215000</v>
      </c>
    </row>
    <row r="2870" spans="1:3" x14ac:dyDescent="0.3">
      <c r="A2870" s="37" t="s">
        <v>128</v>
      </c>
      <c r="B2870" s="37" t="s">
        <v>54</v>
      </c>
      <c r="C2870" s="38"/>
    </row>
    <row r="2871" spans="1:3" x14ac:dyDescent="0.3">
      <c r="A2871" s="37" t="s">
        <v>128</v>
      </c>
      <c r="B2871" s="37" t="s">
        <v>53</v>
      </c>
      <c r="C2871" s="38">
        <v>165000</v>
      </c>
    </row>
    <row r="2872" spans="1:3" x14ac:dyDescent="0.3">
      <c r="A2872" s="37" t="s">
        <v>128</v>
      </c>
      <c r="B2872" s="37" t="s">
        <v>53</v>
      </c>
      <c r="C2872" s="38">
        <v>185000</v>
      </c>
    </row>
    <row r="2873" spans="1:3" x14ac:dyDescent="0.3">
      <c r="A2873" s="37" t="s">
        <v>128</v>
      </c>
      <c r="B2873" s="37" t="s">
        <v>53</v>
      </c>
      <c r="C2873" s="38">
        <v>115000</v>
      </c>
    </row>
    <row r="2874" spans="1:3" x14ac:dyDescent="0.3">
      <c r="A2874" s="37" t="s">
        <v>128</v>
      </c>
      <c r="B2874" s="37" t="s">
        <v>53</v>
      </c>
      <c r="C2874" s="38">
        <v>157500</v>
      </c>
    </row>
    <row r="2875" spans="1:3" x14ac:dyDescent="0.3">
      <c r="A2875" s="37" t="s">
        <v>128</v>
      </c>
      <c r="B2875" s="37" t="s">
        <v>87</v>
      </c>
      <c r="C2875" s="38">
        <v>89100</v>
      </c>
    </row>
    <row r="2876" spans="1:3" x14ac:dyDescent="0.3">
      <c r="A2876" s="37" t="s">
        <v>128</v>
      </c>
      <c r="B2876" s="37" t="s">
        <v>65</v>
      </c>
      <c r="C2876" s="38">
        <v>56700</v>
      </c>
    </row>
    <row r="2877" spans="1:3" x14ac:dyDescent="0.3">
      <c r="A2877" s="37" t="s">
        <v>128</v>
      </c>
      <c r="B2877" s="37" t="s">
        <v>81</v>
      </c>
      <c r="C2877" s="38">
        <v>157000</v>
      </c>
    </row>
    <row r="2878" spans="1:3" x14ac:dyDescent="0.3">
      <c r="A2878" s="37" t="s">
        <v>128</v>
      </c>
      <c r="B2878" s="37" t="s">
        <v>53</v>
      </c>
      <c r="C2878" s="38"/>
    </row>
    <row r="2879" spans="1:3" x14ac:dyDescent="0.3">
      <c r="A2879" s="37" t="s">
        <v>128</v>
      </c>
      <c r="B2879" s="37" t="s">
        <v>54</v>
      </c>
      <c r="C2879" s="38">
        <v>126000</v>
      </c>
    </row>
    <row r="2880" spans="1:3" x14ac:dyDescent="0.3">
      <c r="A2880" s="37" t="s">
        <v>128</v>
      </c>
      <c r="B2880" s="37" t="s">
        <v>53</v>
      </c>
      <c r="C2880" s="38"/>
    </row>
    <row r="2881" spans="1:3" x14ac:dyDescent="0.3">
      <c r="A2881" s="37" t="s">
        <v>128</v>
      </c>
      <c r="B2881" s="37" t="s">
        <v>53</v>
      </c>
      <c r="C2881" s="38">
        <v>220500</v>
      </c>
    </row>
    <row r="2882" spans="1:3" x14ac:dyDescent="0.3">
      <c r="A2882" s="37" t="s">
        <v>128</v>
      </c>
      <c r="B2882" s="37" t="s">
        <v>53</v>
      </c>
      <c r="C2882" s="38">
        <v>157500</v>
      </c>
    </row>
    <row r="2883" spans="1:3" x14ac:dyDescent="0.3">
      <c r="A2883" s="37" t="s">
        <v>128</v>
      </c>
      <c r="B2883" s="37" t="s">
        <v>53</v>
      </c>
      <c r="C2883" s="38"/>
    </row>
    <row r="2884" spans="1:3" x14ac:dyDescent="0.3">
      <c r="A2884" s="37" t="s">
        <v>128</v>
      </c>
      <c r="B2884" s="37" t="s">
        <v>53</v>
      </c>
      <c r="C2884" s="38">
        <v>157500</v>
      </c>
    </row>
    <row r="2885" spans="1:3" x14ac:dyDescent="0.3">
      <c r="A2885" s="37" t="s">
        <v>128</v>
      </c>
      <c r="B2885" s="37" t="s">
        <v>53</v>
      </c>
      <c r="C2885" s="38">
        <v>177500</v>
      </c>
    </row>
    <row r="2886" spans="1:3" x14ac:dyDescent="0.3">
      <c r="A2886" s="37" t="s">
        <v>128</v>
      </c>
      <c r="B2886" s="37" t="s">
        <v>53</v>
      </c>
      <c r="C2886" s="38">
        <v>157500</v>
      </c>
    </row>
    <row r="2887" spans="1:3" x14ac:dyDescent="0.3">
      <c r="A2887" s="37" t="s">
        <v>128</v>
      </c>
      <c r="B2887" s="37" t="s">
        <v>53</v>
      </c>
      <c r="C2887" s="38">
        <v>135000</v>
      </c>
    </row>
    <row r="2888" spans="1:3" x14ac:dyDescent="0.3">
      <c r="A2888" s="37" t="s">
        <v>128</v>
      </c>
      <c r="B2888" s="37" t="s">
        <v>53</v>
      </c>
      <c r="C2888" s="38">
        <v>90000</v>
      </c>
    </row>
    <row r="2889" spans="1:3" x14ac:dyDescent="0.3">
      <c r="A2889" s="37" t="s">
        <v>128</v>
      </c>
      <c r="B2889" s="37" t="s">
        <v>53</v>
      </c>
      <c r="C2889" s="38">
        <v>160000</v>
      </c>
    </row>
    <row r="2890" spans="1:3" x14ac:dyDescent="0.3">
      <c r="A2890" s="37" t="s">
        <v>128</v>
      </c>
      <c r="B2890" s="37" t="s">
        <v>53</v>
      </c>
      <c r="C2890" s="38">
        <v>157500</v>
      </c>
    </row>
    <row r="2891" spans="1:3" x14ac:dyDescent="0.3">
      <c r="A2891" s="37" t="s">
        <v>128</v>
      </c>
      <c r="B2891" s="37" t="s">
        <v>54</v>
      </c>
      <c r="C2891" s="38">
        <v>157500</v>
      </c>
    </row>
    <row r="2892" spans="1:3" x14ac:dyDescent="0.3">
      <c r="A2892" s="37" t="s">
        <v>128</v>
      </c>
      <c r="B2892" s="37" t="s">
        <v>73</v>
      </c>
      <c r="C2892" s="38">
        <v>157500</v>
      </c>
    </row>
    <row r="2893" spans="1:3" x14ac:dyDescent="0.3">
      <c r="A2893" s="37" t="s">
        <v>128</v>
      </c>
      <c r="B2893" s="37" t="s">
        <v>53</v>
      </c>
      <c r="C2893" s="38">
        <v>186960</v>
      </c>
    </row>
    <row r="2894" spans="1:3" x14ac:dyDescent="0.3">
      <c r="A2894" s="37" t="s">
        <v>128</v>
      </c>
      <c r="B2894" s="37" t="s">
        <v>53</v>
      </c>
      <c r="C2894" s="38"/>
    </row>
    <row r="2895" spans="1:3" x14ac:dyDescent="0.3">
      <c r="A2895" s="37" t="s">
        <v>128</v>
      </c>
      <c r="B2895" s="37" t="s">
        <v>110</v>
      </c>
      <c r="C2895" s="38">
        <v>157500</v>
      </c>
    </row>
    <row r="2896" spans="1:3" x14ac:dyDescent="0.3">
      <c r="A2896" s="37" t="s">
        <v>128</v>
      </c>
      <c r="B2896" s="37" t="s">
        <v>53</v>
      </c>
      <c r="C2896" s="38">
        <v>90000</v>
      </c>
    </row>
    <row r="2897" spans="1:3" x14ac:dyDescent="0.3">
      <c r="A2897" s="37" t="s">
        <v>128</v>
      </c>
      <c r="B2897" s="37" t="s">
        <v>53</v>
      </c>
      <c r="C2897" s="38">
        <v>155000</v>
      </c>
    </row>
    <row r="2898" spans="1:3" x14ac:dyDescent="0.3">
      <c r="A2898" s="37" t="s">
        <v>128</v>
      </c>
      <c r="B2898" s="37" t="s">
        <v>53</v>
      </c>
      <c r="C2898" s="38">
        <v>150000</v>
      </c>
    </row>
    <row r="2899" spans="1:3" x14ac:dyDescent="0.3">
      <c r="A2899" s="37" t="s">
        <v>128</v>
      </c>
      <c r="B2899" s="37" t="s">
        <v>53</v>
      </c>
      <c r="C2899" s="38">
        <v>125500</v>
      </c>
    </row>
    <row r="2900" spans="1:3" x14ac:dyDescent="0.3">
      <c r="A2900" s="37" t="s">
        <v>128</v>
      </c>
      <c r="B2900" s="37" t="s">
        <v>53</v>
      </c>
      <c r="C2900" s="38">
        <v>125000</v>
      </c>
    </row>
    <row r="2901" spans="1:3" x14ac:dyDescent="0.3">
      <c r="A2901" s="37" t="s">
        <v>128</v>
      </c>
      <c r="B2901" s="37" t="s">
        <v>92</v>
      </c>
      <c r="C2901" s="38">
        <v>88128</v>
      </c>
    </row>
    <row r="2902" spans="1:3" x14ac:dyDescent="0.3">
      <c r="A2902" s="37" t="s">
        <v>128</v>
      </c>
      <c r="B2902" s="37" t="s">
        <v>69</v>
      </c>
      <c r="C2902" s="38">
        <v>157500</v>
      </c>
    </row>
    <row r="2903" spans="1:3" x14ac:dyDescent="0.3">
      <c r="A2903" s="37" t="s">
        <v>128</v>
      </c>
      <c r="B2903" s="37" t="s">
        <v>53</v>
      </c>
      <c r="C2903" s="38">
        <v>150000</v>
      </c>
    </row>
    <row r="2904" spans="1:3" x14ac:dyDescent="0.3">
      <c r="A2904" s="37" t="s">
        <v>128</v>
      </c>
      <c r="B2904" s="37" t="s">
        <v>54</v>
      </c>
      <c r="C2904" s="38">
        <v>113450</v>
      </c>
    </row>
    <row r="2905" spans="1:3" x14ac:dyDescent="0.3">
      <c r="A2905" s="37" t="s">
        <v>128</v>
      </c>
      <c r="B2905" s="37" t="s">
        <v>53</v>
      </c>
      <c r="C2905" s="38">
        <v>160000</v>
      </c>
    </row>
    <row r="2906" spans="1:3" x14ac:dyDescent="0.3">
      <c r="A2906" s="37" t="s">
        <v>128</v>
      </c>
      <c r="B2906" s="37" t="s">
        <v>53</v>
      </c>
      <c r="C2906" s="38">
        <v>185000</v>
      </c>
    </row>
    <row r="2907" spans="1:3" x14ac:dyDescent="0.3">
      <c r="A2907" s="37" t="s">
        <v>128</v>
      </c>
      <c r="B2907" s="37" t="s">
        <v>53</v>
      </c>
      <c r="C2907" s="38">
        <v>125000</v>
      </c>
    </row>
    <row r="2908" spans="1:3" x14ac:dyDescent="0.3">
      <c r="A2908" s="37" t="s">
        <v>128</v>
      </c>
      <c r="B2908" s="37" t="s">
        <v>53</v>
      </c>
      <c r="C2908" s="38"/>
    </row>
    <row r="2909" spans="1:3" x14ac:dyDescent="0.3">
      <c r="A2909" s="37" t="s">
        <v>128</v>
      </c>
      <c r="B2909" s="37" t="s">
        <v>54</v>
      </c>
      <c r="C2909" s="38">
        <v>98856</v>
      </c>
    </row>
    <row r="2910" spans="1:3" x14ac:dyDescent="0.3">
      <c r="A2910" s="37" t="s">
        <v>128</v>
      </c>
      <c r="B2910" s="37" t="s">
        <v>53</v>
      </c>
      <c r="C2910" s="38">
        <v>181950</v>
      </c>
    </row>
    <row r="2911" spans="1:3" x14ac:dyDescent="0.3">
      <c r="A2911" s="37" t="s">
        <v>128</v>
      </c>
      <c r="B2911" s="37" t="s">
        <v>53</v>
      </c>
      <c r="C2911" s="38">
        <v>211511</v>
      </c>
    </row>
    <row r="2912" spans="1:3" x14ac:dyDescent="0.3">
      <c r="A2912" s="37" t="s">
        <v>128</v>
      </c>
      <c r="B2912" s="37" t="s">
        <v>93</v>
      </c>
      <c r="C2912" s="38">
        <v>75000</v>
      </c>
    </row>
    <row r="2913" spans="1:3" x14ac:dyDescent="0.3">
      <c r="A2913" s="37" t="s">
        <v>128</v>
      </c>
      <c r="B2913" s="37" t="s">
        <v>53</v>
      </c>
      <c r="C2913" s="38"/>
    </row>
    <row r="2914" spans="1:3" x14ac:dyDescent="0.3">
      <c r="A2914" s="37" t="s">
        <v>128</v>
      </c>
      <c r="B2914" s="37" t="s">
        <v>124</v>
      </c>
      <c r="C2914" s="38">
        <v>79200</v>
      </c>
    </row>
    <row r="2915" spans="1:3" x14ac:dyDescent="0.3">
      <c r="A2915" s="37" t="s">
        <v>128</v>
      </c>
      <c r="B2915" s="37" t="s">
        <v>53</v>
      </c>
      <c r="C2915" s="38">
        <v>152650</v>
      </c>
    </row>
    <row r="2916" spans="1:3" x14ac:dyDescent="0.3">
      <c r="A2916" s="37" t="s">
        <v>128</v>
      </c>
      <c r="B2916" s="37" t="s">
        <v>53</v>
      </c>
      <c r="C2916" s="38">
        <v>245000</v>
      </c>
    </row>
    <row r="2917" spans="1:3" x14ac:dyDescent="0.3">
      <c r="A2917" s="37" t="s">
        <v>128</v>
      </c>
      <c r="B2917" s="37" t="s">
        <v>90</v>
      </c>
      <c r="C2917" s="38">
        <v>79200</v>
      </c>
    </row>
    <row r="2918" spans="1:3" x14ac:dyDescent="0.3">
      <c r="A2918" s="37" t="s">
        <v>128</v>
      </c>
      <c r="B2918" s="37" t="s">
        <v>53</v>
      </c>
      <c r="C2918" s="38">
        <v>205000</v>
      </c>
    </row>
    <row r="2919" spans="1:3" x14ac:dyDescent="0.3">
      <c r="A2919" s="37" t="s">
        <v>128</v>
      </c>
      <c r="B2919" s="37" t="s">
        <v>53</v>
      </c>
      <c r="C2919" s="38">
        <v>183000</v>
      </c>
    </row>
    <row r="2920" spans="1:3" x14ac:dyDescent="0.3">
      <c r="A2920" s="37" t="s">
        <v>128</v>
      </c>
      <c r="B2920" s="37" t="s">
        <v>53</v>
      </c>
      <c r="C2920" s="38">
        <v>239080</v>
      </c>
    </row>
    <row r="2921" spans="1:3" x14ac:dyDescent="0.3">
      <c r="A2921" s="37" t="s">
        <v>128</v>
      </c>
      <c r="B2921" s="37" t="s">
        <v>53</v>
      </c>
      <c r="C2921" s="38">
        <v>242597</v>
      </c>
    </row>
    <row r="2922" spans="1:3" x14ac:dyDescent="0.3">
      <c r="A2922" s="37" t="s">
        <v>128</v>
      </c>
      <c r="B2922" s="37" t="s">
        <v>54</v>
      </c>
      <c r="C2922" s="38">
        <v>175000</v>
      </c>
    </row>
    <row r="2923" spans="1:3" x14ac:dyDescent="0.3">
      <c r="A2923" s="37" t="s">
        <v>128</v>
      </c>
      <c r="B2923" s="37" t="s">
        <v>54</v>
      </c>
      <c r="C2923" s="38">
        <v>90000</v>
      </c>
    </row>
    <row r="2924" spans="1:3" x14ac:dyDescent="0.3">
      <c r="A2924" s="37" t="s">
        <v>128</v>
      </c>
      <c r="B2924" s="37" t="s">
        <v>53</v>
      </c>
      <c r="C2924" s="38">
        <v>176500</v>
      </c>
    </row>
    <row r="2925" spans="1:3" x14ac:dyDescent="0.3">
      <c r="A2925" s="37" t="s">
        <v>128</v>
      </c>
      <c r="B2925" s="37" t="s">
        <v>53</v>
      </c>
      <c r="C2925" s="38">
        <v>150000</v>
      </c>
    </row>
    <row r="2926" spans="1:3" x14ac:dyDescent="0.3">
      <c r="A2926" s="37" t="s">
        <v>128</v>
      </c>
      <c r="B2926" s="37" t="s">
        <v>54</v>
      </c>
      <c r="C2926" s="38">
        <v>165000</v>
      </c>
    </row>
    <row r="2927" spans="1:3" x14ac:dyDescent="0.3">
      <c r="A2927" s="37" t="s">
        <v>128</v>
      </c>
      <c r="B2927" s="37" t="s">
        <v>72</v>
      </c>
      <c r="C2927" s="38">
        <v>157500</v>
      </c>
    </row>
    <row r="2928" spans="1:3" x14ac:dyDescent="0.3">
      <c r="A2928" s="37" t="s">
        <v>128</v>
      </c>
      <c r="B2928" s="37" t="s">
        <v>72</v>
      </c>
      <c r="C2928" s="38">
        <v>157500</v>
      </c>
    </row>
    <row r="2929" spans="1:3" x14ac:dyDescent="0.3">
      <c r="A2929" s="37" t="s">
        <v>128</v>
      </c>
      <c r="B2929" s="37" t="s">
        <v>53</v>
      </c>
      <c r="C2929" s="38">
        <v>135000</v>
      </c>
    </row>
    <row r="2930" spans="1:3" x14ac:dyDescent="0.3">
      <c r="A2930" s="37" t="s">
        <v>128</v>
      </c>
      <c r="B2930" s="37" t="s">
        <v>54</v>
      </c>
      <c r="C2930" s="38">
        <v>165000</v>
      </c>
    </row>
    <row r="2931" spans="1:3" x14ac:dyDescent="0.3">
      <c r="A2931" s="37" t="s">
        <v>128</v>
      </c>
      <c r="B2931" s="37" t="s">
        <v>72</v>
      </c>
      <c r="C2931" s="38">
        <v>157500</v>
      </c>
    </row>
    <row r="2932" spans="1:3" x14ac:dyDescent="0.3">
      <c r="A2932" s="37" t="s">
        <v>128</v>
      </c>
      <c r="B2932" s="37" t="s">
        <v>53</v>
      </c>
      <c r="C2932" s="38">
        <v>155000</v>
      </c>
    </row>
    <row r="2933" spans="1:3" x14ac:dyDescent="0.3">
      <c r="A2933" s="37" t="s">
        <v>128</v>
      </c>
      <c r="B2933" s="37" t="s">
        <v>53</v>
      </c>
      <c r="C2933" s="38">
        <v>222589</v>
      </c>
    </row>
    <row r="2934" spans="1:3" x14ac:dyDescent="0.3">
      <c r="A2934" s="37" t="s">
        <v>128</v>
      </c>
      <c r="B2934" s="37" t="s">
        <v>53</v>
      </c>
      <c r="C2934" s="38">
        <v>125000</v>
      </c>
    </row>
    <row r="2935" spans="1:3" x14ac:dyDescent="0.3">
      <c r="A2935" s="37" t="s">
        <v>128</v>
      </c>
      <c r="B2935" s="37" t="s">
        <v>53</v>
      </c>
      <c r="C2935" s="38">
        <v>125000</v>
      </c>
    </row>
    <row r="2936" spans="1:3" x14ac:dyDescent="0.3">
      <c r="A2936" s="37" t="s">
        <v>128</v>
      </c>
      <c r="B2936" s="37" t="s">
        <v>53</v>
      </c>
      <c r="C2936" s="38">
        <v>180000</v>
      </c>
    </row>
    <row r="2937" spans="1:3" x14ac:dyDescent="0.3">
      <c r="A2937" s="37" t="s">
        <v>128</v>
      </c>
      <c r="B2937" s="37" t="s">
        <v>53</v>
      </c>
      <c r="C2937" s="38"/>
    </row>
    <row r="2938" spans="1:3" x14ac:dyDescent="0.3">
      <c r="A2938" s="37" t="s">
        <v>128</v>
      </c>
      <c r="B2938" s="37" t="s">
        <v>53</v>
      </c>
      <c r="C2938" s="38"/>
    </row>
    <row r="2939" spans="1:3" x14ac:dyDescent="0.3">
      <c r="A2939" s="37" t="s">
        <v>128</v>
      </c>
      <c r="B2939" s="37" t="s">
        <v>87</v>
      </c>
      <c r="C2939" s="38">
        <v>89100</v>
      </c>
    </row>
    <row r="2940" spans="1:3" x14ac:dyDescent="0.3">
      <c r="A2940" s="37" t="s">
        <v>128</v>
      </c>
      <c r="B2940" s="37" t="s">
        <v>53</v>
      </c>
      <c r="C2940" s="38">
        <v>170000</v>
      </c>
    </row>
    <row r="2941" spans="1:3" x14ac:dyDescent="0.3">
      <c r="A2941" s="37" t="s">
        <v>128</v>
      </c>
      <c r="B2941" s="37" t="s">
        <v>53</v>
      </c>
      <c r="C2941" s="38">
        <v>157500</v>
      </c>
    </row>
    <row r="2942" spans="1:3" x14ac:dyDescent="0.3">
      <c r="A2942" s="37" t="s">
        <v>128</v>
      </c>
      <c r="B2942" s="37" t="s">
        <v>54</v>
      </c>
      <c r="C2942" s="38">
        <v>135000</v>
      </c>
    </row>
    <row r="2943" spans="1:3" x14ac:dyDescent="0.3">
      <c r="A2943" s="37" t="s">
        <v>128</v>
      </c>
      <c r="B2943" s="37" t="s">
        <v>53</v>
      </c>
      <c r="C2943" s="38">
        <v>167500</v>
      </c>
    </row>
    <row r="2944" spans="1:3" x14ac:dyDescent="0.3">
      <c r="A2944" s="37" t="s">
        <v>128</v>
      </c>
      <c r="B2944" s="37" t="s">
        <v>54</v>
      </c>
      <c r="C2944" s="38"/>
    </row>
    <row r="2945" spans="1:3" x14ac:dyDescent="0.3">
      <c r="A2945" s="37" t="s">
        <v>128</v>
      </c>
      <c r="B2945" s="37" t="s">
        <v>54</v>
      </c>
      <c r="C2945" s="38">
        <v>140000</v>
      </c>
    </row>
    <row r="2946" spans="1:3" x14ac:dyDescent="0.3">
      <c r="A2946" s="37" t="s">
        <v>128</v>
      </c>
      <c r="B2946" s="37" t="s">
        <v>53</v>
      </c>
      <c r="C2946" s="38">
        <v>107500</v>
      </c>
    </row>
    <row r="2947" spans="1:3" x14ac:dyDescent="0.3">
      <c r="A2947" s="37" t="s">
        <v>128</v>
      </c>
      <c r="B2947" s="37" t="s">
        <v>53</v>
      </c>
      <c r="C2947" s="38">
        <v>90000</v>
      </c>
    </row>
    <row r="2948" spans="1:3" x14ac:dyDescent="0.3">
      <c r="A2948" s="37" t="s">
        <v>128</v>
      </c>
      <c r="B2948" s="37" t="s">
        <v>53</v>
      </c>
      <c r="C2948" s="38">
        <v>131900</v>
      </c>
    </row>
    <row r="2949" spans="1:3" x14ac:dyDescent="0.3">
      <c r="A2949" s="37" t="s">
        <v>128</v>
      </c>
      <c r="B2949" s="37" t="s">
        <v>53</v>
      </c>
      <c r="C2949" s="38">
        <v>150000</v>
      </c>
    </row>
    <row r="2950" spans="1:3" x14ac:dyDescent="0.3">
      <c r="A2950" s="37" t="s">
        <v>128</v>
      </c>
      <c r="B2950" s="37" t="s">
        <v>53</v>
      </c>
      <c r="C2950" s="38">
        <v>158500</v>
      </c>
    </row>
    <row r="2951" spans="1:3" x14ac:dyDescent="0.3">
      <c r="A2951" s="37" t="s">
        <v>128</v>
      </c>
      <c r="B2951" s="37" t="s">
        <v>53</v>
      </c>
      <c r="C2951" s="38"/>
    </row>
    <row r="2952" spans="1:3" x14ac:dyDescent="0.3">
      <c r="A2952" s="37" t="s">
        <v>128</v>
      </c>
      <c r="B2952" s="37" t="s">
        <v>53</v>
      </c>
      <c r="C2952" s="38">
        <v>153000</v>
      </c>
    </row>
    <row r="2953" spans="1:3" x14ac:dyDescent="0.3">
      <c r="A2953" s="37" t="s">
        <v>128</v>
      </c>
      <c r="B2953" s="37" t="s">
        <v>54</v>
      </c>
      <c r="C2953" s="38">
        <v>157500</v>
      </c>
    </row>
    <row r="2954" spans="1:3" x14ac:dyDescent="0.3">
      <c r="A2954" s="37" t="s">
        <v>128</v>
      </c>
      <c r="B2954" s="37" t="s">
        <v>53</v>
      </c>
      <c r="C2954" s="38">
        <v>145000</v>
      </c>
    </row>
    <row r="2955" spans="1:3" x14ac:dyDescent="0.3">
      <c r="A2955" s="37" t="s">
        <v>128</v>
      </c>
      <c r="B2955" s="37" t="s">
        <v>53</v>
      </c>
      <c r="C2955" s="38">
        <v>212500</v>
      </c>
    </row>
    <row r="2956" spans="1:3" x14ac:dyDescent="0.3">
      <c r="A2956" s="37" t="s">
        <v>128</v>
      </c>
      <c r="B2956" s="37" t="s">
        <v>53</v>
      </c>
      <c r="C2956" s="38"/>
    </row>
    <row r="2957" spans="1:3" x14ac:dyDescent="0.3">
      <c r="A2957" s="37" t="s">
        <v>128</v>
      </c>
      <c r="B2957" s="37" t="s">
        <v>53</v>
      </c>
      <c r="C2957" s="38">
        <v>90000</v>
      </c>
    </row>
    <row r="2958" spans="1:3" x14ac:dyDescent="0.3">
      <c r="A2958" s="37" t="s">
        <v>128</v>
      </c>
      <c r="B2958" s="37" t="s">
        <v>53</v>
      </c>
      <c r="C2958" s="38">
        <v>200000</v>
      </c>
    </row>
    <row r="2959" spans="1:3" x14ac:dyDescent="0.3">
      <c r="A2959" s="37" t="s">
        <v>128</v>
      </c>
      <c r="B2959" s="37" t="s">
        <v>54</v>
      </c>
      <c r="C2959" s="38">
        <v>475000</v>
      </c>
    </row>
    <row r="2960" spans="1:3" x14ac:dyDescent="0.3">
      <c r="A2960" s="37" t="s">
        <v>128</v>
      </c>
      <c r="B2960" s="37" t="s">
        <v>53</v>
      </c>
      <c r="C2960" s="38">
        <v>200000</v>
      </c>
    </row>
    <row r="2961" spans="1:3" x14ac:dyDescent="0.3">
      <c r="A2961" s="37" t="s">
        <v>128</v>
      </c>
      <c r="B2961" s="37" t="s">
        <v>53</v>
      </c>
      <c r="C2961" s="38">
        <v>154000</v>
      </c>
    </row>
    <row r="2962" spans="1:3" x14ac:dyDescent="0.3">
      <c r="A2962" s="37" t="s">
        <v>128</v>
      </c>
      <c r="B2962" s="37" t="s">
        <v>53</v>
      </c>
      <c r="C2962" s="38">
        <v>150000</v>
      </c>
    </row>
    <row r="2963" spans="1:3" x14ac:dyDescent="0.3">
      <c r="A2963" s="37" t="s">
        <v>128</v>
      </c>
      <c r="B2963" s="37" t="s">
        <v>53</v>
      </c>
      <c r="C2963" s="38"/>
    </row>
    <row r="2964" spans="1:3" x14ac:dyDescent="0.3">
      <c r="A2964" s="37" t="s">
        <v>128</v>
      </c>
      <c r="B2964" s="37" t="s">
        <v>53</v>
      </c>
      <c r="C2964" s="38">
        <v>130000</v>
      </c>
    </row>
    <row r="2965" spans="1:3" x14ac:dyDescent="0.3">
      <c r="A2965" s="37" t="s">
        <v>128</v>
      </c>
      <c r="B2965" s="37" t="s">
        <v>53</v>
      </c>
      <c r="C2965" s="38"/>
    </row>
    <row r="2966" spans="1:3" x14ac:dyDescent="0.3">
      <c r="A2966" s="37" t="s">
        <v>128</v>
      </c>
      <c r="B2966" s="37" t="s">
        <v>53</v>
      </c>
      <c r="C2966" s="38">
        <v>86150</v>
      </c>
    </row>
    <row r="2967" spans="1:3" x14ac:dyDescent="0.3">
      <c r="A2967" s="37" t="s">
        <v>128</v>
      </c>
      <c r="B2967" s="37" t="s">
        <v>53</v>
      </c>
      <c r="C2967" s="38">
        <v>177495</v>
      </c>
    </row>
    <row r="2968" spans="1:3" x14ac:dyDescent="0.3">
      <c r="A2968" s="37" t="s">
        <v>128</v>
      </c>
      <c r="B2968" s="37" t="s">
        <v>53</v>
      </c>
      <c r="C2968" s="38"/>
    </row>
    <row r="2969" spans="1:3" x14ac:dyDescent="0.3">
      <c r="A2969" s="37" t="s">
        <v>128</v>
      </c>
      <c r="B2969" s="37" t="s">
        <v>53</v>
      </c>
      <c r="C2969" s="38">
        <v>175000</v>
      </c>
    </row>
    <row r="2970" spans="1:3" x14ac:dyDescent="0.3">
      <c r="A2970" s="37" t="s">
        <v>128</v>
      </c>
      <c r="B2970" s="37" t="s">
        <v>53</v>
      </c>
      <c r="C2970" s="38">
        <v>120000</v>
      </c>
    </row>
    <row r="2971" spans="1:3" x14ac:dyDescent="0.3">
      <c r="A2971" s="37" t="s">
        <v>128</v>
      </c>
      <c r="B2971" s="37" t="s">
        <v>53</v>
      </c>
      <c r="C2971" s="38">
        <v>168000</v>
      </c>
    </row>
    <row r="2972" spans="1:3" x14ac:dyDescent="0.3">
      <c r="A2972" s="37" t="s">
        <v>128</v>
      </c>
      <c r="B2972" s="37" t="s">
        <v>53</v>
      </c>
      <c r="C2972" s="38">
        <v>245000</v>
      </c>
    </row>
    <row r="2973" spans="1:3" x14ac:dyDescent="0.3">
      <c r="A2973" s="37" t="s">
        <v>128</v>
      </c>
      <c r="B2973" s="37" t="s">
        <v>53</v>
      </c>
      <c r="C2973" s="38"/>
    </row>
    <row r="2974" spans="1:3" x14ac:dyDescent="0.3">
      <c r="A2974" s="37" t="s">
        <v>128</v>
      </c>
      <c r="B2974" s="37" t="s">
        <v>54</v>
      </c>
      <c r="C2974" s="38">
        <v>124702.53125</v>
      </c>
    </row>
    <row r="2975" spans="1:3" x14ac:dyDescent="0.3">
      <c r="A2975" s="37" t="s">
        <v>128</v>
      </c>
      <c r="B2975" s="37" t="s">
        <v>54</v>
      </c>
      <c r="C2975" s="38">
        <v>250000</v>
      </c>
    </row>
    <row r="2976" spans="1:3" x14ac:dyDescent="0.3">
      <c r="A2976" s="37" t="s">
        <v>128</v>
      </c>
      <c r="B2976" s="37" t="s">
        <v>53</v>
      </c>
      <c r="C2976" s="38">
        <v>200935.5</v>
      </c>
    </row>
    <row r="2977" spans="1:3" x14ac:dyDescent="0.3">
      <c r="A2977" s="37" t="s">
        <v>128</v>
      </c>
      <c r="B2977" s="37" t="s">
        <v>53</v>
      </c>
      <c r="C2977" s="38">
        <v>205000</v>
      </c>
    </row>
    <row r="2978" spans="1:3" x14ac:dyDescent="0.3">
      <c r="A2978" s="37" t="s">
        <v>128</v>
      </c>
      <c r="B2978" s="37" t="s">
        <v>53</v>
      </c>
      <c r="C2978" s="38">
        <v>200000</v>
      </c>
    </row>
    <row r="2979" spans="1:3" x14ac:dyDescent="0.3">
      <c r="A2979" s="37" t="s">
        <v>128</v>
      </c>
      <c r="B2979" s="37" t="s">
        <v>54</v>
      </c>
      <c r="C2979" s="38"/>
    </row>
    <row r="2980" spans="1:3" x14ac:dyDescent="0.3">
      <c r="A2980" s="37" t="s">
        <v>128</v>
      </c>
      <c r="B2980" s="37" t="s">
        <v>80</v>
      </c>
      <c r="C2980" s="38">
        <v>157500</v>
      </c>
    </row>
    <row r="2981" spans="1:3" x14ac:dyDescent="0.3">
      <c r="A2981" s="37" t="s">
        <v>128</v>
      </c>
      <c r="B2981" s="37" t="s">
        <v>54</v>
      </c>
      <c r="C2981" s="38">
        <v>105515</v>
      </c>
    </row>
    <row r="2982" spans="1:3" x14ac:dyDescent="0.3">
      <c r="A2982" s="37" t="s">
        <v>128</v>
      </c>
      <c r="B2982" s="37" t="s">
        <v>53</v>
      </c>
      <c r="C2982" s="38">
        <v>160000</v>
      </c>
    </row>
    <row r="2983" spans="1:3" x14ac:dyDescent="0.3">
      <c r="A2983" s="37" t="s">
        <v>128</v>
      </c>
      <c r="B2983" s="37" t="s">
        <v>53</v>
      </c>
      <c r="C2983" s="38">
        <v>175000</v>
      </c>
    </row>
    <row r="2984" spans="1:3" x14ac:dyDescent="0.3">
      <c r="A2984" s="37" t="s">
        <v>128</v>
      </c>
      <c r="B2984" s="37" t="s">
        <v>53</v>
      </c>
      <c r="C2984" s="38">
        <v>126000</v>
      </c>
    </row>
    <row r="2985" spans="1:3" x14ac:dyDescent="0.3">
      <c r="A2985" s="37" t="s">
        <v>128</v>
      </c>
      <c r="B2985" s="37" t="s">
        <v>54</v>
      </c>
      <c r="C2985" s="38"/>
    </row>
    <row r="2986" spans="1:3" x14ac:dyDescent="0.3">
      <c r="A2986" s="37" t="s">
        <v>128</v>
      </c>
      <c r="B2986" s="37" t="s">
        <v>53</v>
      </c>
      <c r="C2986" s="38">
        <v>90000</v>
      </c>
    </row>
    <row r="2987" spans="1:3" x14ac:dyDescent="0.3">
      <c r="A2987" s="37" t="s">
        <v>128</v>
      </c>
      <c r="B2987" s="37" t="s">
        <v>53</v>
      </c>
      <c r="C2987" s="38">
        <v>112500</v>
      </c>
    </row>
    <row r="2988" spans="1:3" x14ac:dyDescent="0.3">
      <c r="A2988" s="37" t="s">
        <v>128</v>
      </c>
      <c r="B2988" s="37" t="s">
        <v>73</v>
      </c>
      <c r="C2988" s="38">
        <v>157500</v>
      </c>
    </row>
    <row r="2989" spans="1:3" x14ac:dyDescent="0.3">
      <c r="A2989" s="37" t="s">
        <v>128</v>
      </c>
      <c r="B2989" s="37" t="s">
        <v>53</v>
      </c>
      <c r="C2989" s="38">
        <v>90000</v>
      </c>
    </row>
    <row r="2990" spans="1:3" x14ac:dyDescent="0.3">
      <c r="A2990" s="37" t="s">
        <v>128</v>
      </c>
      <c r="B2990" s="37" t="s">
        <v>53</v>
      </c>
      <c r="C2990" s="38">
        <v>150000</v>
      </c>
    </row>
    <row r="2991" spans="1:3" x14ac:dyDescent="0.3">
      <c r="A2991" s="37" t="s">
        <v>128</v>
      </c>
      <c r="B2991" s="37" t="s">
        <v>53</v>
      </c>
      <c r="C2991" s="38">
        <v>215000</v>
      </c>
    </row>
    <row r="2992" spans="1:3" x14ac:dyDescent="0.3">
      <c r="A2992" s="37" t="s">
        <v>128</v>
      </c>
      <c r="B2992" s="37" t="s">
        <v>53</v>
      </c>
      <c r="C2992" s="38">
        <v>115000</v>
      </c>
    </row>
    <row r="2993" spans="1:3" x14ac:dyDescent="0.3">
      <c r="A2993" s="37" t="s">
        <v>128</v>
      </c>
      <c r="B2993" s="37" t="s">
        <v>88</v>
      </c>
      <c r="C2993" s="38">
        <v>79200</v>
      </c>
    </row>
    <row r="2994" spans="1:3" x14ac:dyDescent="0.3">
      <c r="A2994" s="37" t="s">
        <v>128</v>
      </c>
      <c r="B2994" s="37" t="s">
        <v>53</v>
      </c>
      <c r="C2994" s="38">
        <v>90000</v>
      </c>
    </row>
    <row r="2995" spans="1:3" x14ac:dyDescent="0.3">
      <c r="A2995" s="37" t="s">
        <v>128</v>
      </c>
      <c r="B2995" s="37" t="s">
        <v>53</v>
      </c>
      <c r="C2995" s="38">
        <v>90000</v>
      </c>
    </row>
    <row r="2996" spans="1:3" x14ac:dyDescent="0.3">
      <c r="A2996" s="37" t="s">
        <v>128</v>
      </c>
      <c r="B2996" s="37" t="s">
        <v>54</v>
      </c>
      <c r="C2996" s="38">
        <v>150000</v>
      </c>
    </row>
    <row r="2997" spans="1:3" x14ac:dyDescent="0.3">
      <c r="A2997" s="37" t="s">
        <v>128</v>
      </c>
      <c r="B2997" s="37" t="s">
        <v>53</v>
      </c>
      <c r="C2997" s="38">
        <v>157500</v>
      </c>
    </row>
    <row r="2998" spans="1:3" x14ac:dyDescent="0.3">
      <c r="A2998" s="37" t="s">
        <v>128</v>
      </c>
      <c r="B2998" s="37" t="s">
        <v>72</v>
      </c>
      <c r="C2998" s="38">
        <v>105300</v>
      </c>
    </row>
    <row r="2999" spans="1:3" x14ac:dyDescent="0.3">
      <c r="A2999" s="37" t="s">
        <v>128</v>
      </c>
      <c r="B2999" s="37" t="s">
        <v>53</v>
      </c>
      <c r="C2999" s="38">
        <v>190000</v>
      </c>
    </row>
    <row r="3000" spans="1:3" x14ac:dyDescent="0.3">
      <c r="A3000" s="37" t="s">
        <v>128</v>
      </c>
      <c r="B3000" s="37" t="s">
        <v>53</v>
      </c>
      <c r="C3000" s="38">
        <v>170000</v>
      </c>
    </row>
    <row r="3001" spans="1:3" x14ac:dyDescent="0.3">
      <c r="A3001" s="37" t="s">
        <v>128</v>
      </c>
      <c r="B3001" s="37" t="s">
        <v>53</v>
      </c>
      <c r="C3001" s="38">
        <v>157500</v>
      </c>
    </row>
    <row r="3002" spans="1:3" x14ac:dyDescent="0.3">
      <c r="A3002" s="37" t="s">
        <v>128</v>
      </c>
      <c r="B3002" s="37" t="s">
        <v>53</v>
      </c>
      <c r="C3002" s="38">
        <v>125000</v>
      </c>
    </row>
    <row r="3003" spans="1:3" x14ac:dyDescent="0.3">
      <c r="A3003" s="37" t="s">
        <v>128</v>
      </c>
      <c r="B3003" s="37" t="s">
        <v>53</v>
      </c>
      <c r="C3003" s="38">
        <v>90000</v>
      </c>
    </row>
    <row r="3004" spans="1:3" x14ac:dyDescent="0.3">
      <c r="A3004" s="37" t="s">
        <v>128</v>
      </c>
      <c r="B3004" s="37" t="s">
        <v>58</v>
      </c>
      <c r="C3004" s="38">
        <v>79200</v>
      </c>
    </row>
    <row r="3005" spans="1:3" x14ac:dyDescent="0.3">
      <c r="A3005" s="37" t="s">
        <v>128</v>
      </c>
      <c r="B3005" s="37" t="s">
        <v>54</v>
      </c>
      <c r="C3005" s="38">
        <v>191000</v>
      </c>
    </row>
    <row r="3006" spans="1:3" x14ac:dyDescent="0.3">
      <c r="A3006" s="37" t="s">
        <v>128</v>
      </c>
      <c r="B3006" s="37" t="s">
        <v>57</v>
      </c>
      <c r="C3006" s="38">
        <v>137500</v>
      </c>
    </row>
    <row r="3007" spans="1:3" x14ac:dyDescent="0.3">
      <c r="A3007" s="37" t="s">
        <v>128</v>
      </c>
      <c r="B3007" s="37" t="s">
        <v>53</v>
      </c>
      <c r="C3007" s="38">
        <v>175000</v>
      </c>
    </row>
    <row r="3008" spans="1:3" x14ac:dyDescent="0.3">
      <c r="A3008" s="37" t="s">
        <v>128</v>
      </c>
      <c r="B3008" s="37" t="s">
        <v>53</v>
      </c>
      <c r="C3008" s="38">
        <v>198000</v>
      </c>
    </row>
    <row r="3009" spans="1:3" x14ac:dyDescent="0.3">
      <c r="A3009" s="37" t="s">
        <v>128</v>
      </c>
      <c r="B3009" s="37" t="s">
        <v>54</v>
      </c>
      <c r="C3009" s="38">
        <v>210000</v>
      </c>
    </row>
    <row r="3010" spans="1:3" x14ac:dyDescent="0.3">
      <c r="A3010" s="37" t="s">
        <v>128</v>
      </c>
      <c r="B3010" s="37" t="s">
        <v>53</v>
      </c>
      <c r="C3010" s="38">
        <v>302880</v>
      </c>
    </row>
    <row r="3011" spans="1:3" x14ac:dyDescent="0.3">
      <c r="A3011" s="37" t="s">
        <v>128</v>
      </c>
      <c r="B3011" s="37" t="s">
        <v>65</v>
      </c>
      <c r="C3011" s="38">
        <v>147500</v>
      </c>
    </row>
    <row r="3012" spans="1:3" x14ac:dyDescent="0.3">
      <c r="A3012" s="37" t="s">
        <v>128</v>
      </c>
      <c r="B3012" s="37" t="s">
        <v>54</v>
      </c>
      <c r="C3012" s="38"/>
    </row>
    <row r="3013" spans="1:3" x14ac:dyDescent="0.3">
      <c r="A3013" s="37" t="s">
        <v>128</v>
      </c>
      <c r="B3013" s="37" t="s">
        <v>53</v>
      </c>
      <c r="C3013" s="38">
        <v>134000</v>
      </c>
    </row>
    <row r="3014" spans="1:3" x14ac:dyDescent="0.3">
      <c r="A3014" s="37" t="s">
        <v>128</v>
      </c>
      <c r="B3014" s="37" t="s">
        <v>53</v>
      </c>
      <c r="C3014" s="38">
        <v>76839</v>
      </c>
    </row>
    <row r="3015" spans="1:3" x14ac:dyDescent="0.3">
      <c r="A3015" s="37" t="s">
        <v>128</v>
      </c>
      <c r="B3015" s="37" t="s">
        <v>53</v>
      </c>
      <c r="C3015" s="38">
        <v>200000</v>
      </c>
    </row>
    <row r="3016" spans="1:3" x14ac:dyDescent="0.3">
      <c r="A3016" s="37" t="s">
        <v>128</v>
      </c>
      <c r="B3016" s="37" t="s">
        <v>53</v>
      </c>
      <c r="C3016" s="38"/>
    </row>
    <row r="3017" spans="1:3" x14ac:dyDescent="0.3">
      <c r="A3017" s="37" t="s">
        <v>128</v>
      </c>
      <c r="B3017" s="37" t="s">
        <v>53</v>
      </c>
      <c r="C3017" s="38">
        <v>198000</v>
      </c>
    </row>
    <row r="3018" spans="1:3" x14ac:dyDescent="0.3">
      <c r="A3018" s="37" t="s">
        <v>128</v>
      </c>
      <c r="B3018" s="37" t="s">
        <v>53</v>
      </c>
      <c r="C3018" s="38"/>
    </row>
    <row r="3019" spans="1:3" x14ac:dyDescent="0.3">
      <c r="A3019" s="37" t="s">
        <v>128</v>
      </c>
      <c r="B3019" s="37" t="s">
        <v>53</v>
      </c>
      <c r="C3019" s="38">
        <v>210000</v>
      </c>
    </row>
    <row r="3020" spans="1:3" x14ac:dyDescent="0.3">
      <c r="A3020" s="37" t="s">
        <v>128</v>
      </c>
      <c r="B3020" s="37" t="s">
        <v>88</v>
      </c>
      <c r="C3020" s="38">
        <v>105650</v>
      </c>
    </row>
    <row r="3021" spans="1:3" x14ac:dyDescent="0.3">
      <c r="A3021" s="37" t="s">
        <v>128</v>
      </c>
      <c r="B3021" s="37" t="s">
        <v>54</v>
      </c>
      <c r="C3021" s="38">
        <v>152500</v>
      </c>
    </row>
    <row r="3022" spans="1:3" x14ac:dyDescent="0.3">
      <c r="A3022" s="37" t="s">
        <v>128</v>
      </c>
      <c r="B3022" s="37" t="s">
        <v>54</v>
      </c>
      <c r="C3022" s="38">
        <v>130000</v>
      </c>
    </row>
    <row r="3023" spans="1:3" x14ac:dyDescent="0.3">
      <c r="A3023" s="37" t="s">
        <v>128</v>
      </c>
      <c r="B3023" s="37" t="s">
        <v>53</v>
      </c>
      <c r="C3023" s="38">
        <v>157500</v>
      </c>
    </row>
    <row r="3024" spans="1:3" x14ac:dyDescent="0.3">
      <c r="A3024" s="37" t="s">
        <v>128</v>
      </c>
      <c r="B3024" s="37" t="s">
        <v>65</v>
      </c>
      <c r="C3024" s="38">
        <v>147500</v>
      </c>
    </row>
    <row r="3025" spans="1:3" x14ac:dyDescent="0.3">
      <c r="A3025" s="37" t="s">
        <v>128</v>
      </c>
      <c r="B3025" s="37" t="s">
        <v>53</v>
      </c>
      <c r="C3025" s="38">
        <v>150000</v>
      </c>
    </row>
    <row r="3026" spans="1:3" x14ac:dyDescent="0.3">
      <c r="A3026" s="37" t="s">
        <v>128</v>
      </c>
      <c r="B3026" s="37" t="s">
        <v>53</v>
      </c>
      <c r="C3026" s="38"/>
    </row>
    <row r="3027" spans="1:3" x14ac:dyDescent="0.3">
      <c r="A3027" s="37" t="s">
        <v>128</v>
      </c>
      <c r="B3027" s="37" t="s">
        <v>53</v>
      </c>
      <c r="C3027" s="38">
        <v>196800</v>
      </c>
    </row>
    <row r="3028" spans="1:3" x14ac:dyDescent="0.3">
      <c r="A3028" s="37" t="s">
        <v>128</v>
      </c>
      <c r="B3028" s="37" t="s">
        <v>53</v>
      </c>
      <c r="C3028" s="38">
        <v>90000</v>
      </c>
    </row>
    <row r="3029" spans="1:3" x14ac:dyDescent="0.3">
      <c r="A3029" s="37" t="s">
        <v>128</v>
      </c>
      <c r="B3029" s="37" t="s">
        <v>53</v>
      </c>
      <c r="C3029" s="38">
        <v>157500</v>
      </c>
    </row>
    <row r="3030" spans="1:3" x14ac:dyDescent="0.3">
      <c r="A3030" s="37" t="s">
        <v>128</v>
      </c>
      <c r="B3030" s="37" t="s">
        <v>53</v>
      </c>
      <c r="C3030" s="38">
        <v>222000</v>
      </c>
    </row>
    <row r="3031" spans="1:3" x14ac:dyDescent="0.3">
      <c r="A3031" s="37" t="s">
        <v>128</v>
      </c>
      <c r="B3031" s="37" t="s">
        <v>53</v>
      </c>
      <c r="C3031" s="38"/>
    </row>
    <row r="3032" spans="1:3" x14ac:dyDescent="0.3">
      <c r="A3032" s="37" t="s">
        <v>128</v>
      </c>
      <c r="B3032" s="37" t="s">
        <v>53</v>
      </c>
      <c r="C3032" s="38"/>
    </row>
    <row r="3033" spans="1:3" x14ac:dyDescent="0.3">
      <c r="A3033" s="37" t="s">
        <v>128</v>
      </c>
      <c r="B3033" s="37" t="s">
        <v>53</v>
      </c>
      <c r="C3033" s="38"/>
    </row>
    <row r="3034" spans="1:3" x14ac:dyDescent="0.3">
      <c r="A3034" s="37" t="s">
        <v>128</v>
      </c>
      <c r="B3034" s="37" t="s">
        <v>53</v>
      </c>
      <c r="C3034" s="38">
        <v>102000</v>
      </c>
    </row>
    <row r="3035" spans="1:3" x14ac:dyDescent="0.3">
      <c r="A3035" s="37" t="s">
        <v>128</v>
      </c>
      <c r="B3035" s="37" t="s">
        <v>54</v>
      </c>
      <c r="C3035" s="38">
        <v>158445</v>
      </c>
    </row>
    <row r="3036" spans="1:3" x14ac:dyDescent="0.3">
      <c r="A3036" s="37" t="s">
        <v>128</v>
      </c>
      <c r="B3036" s="37" t="s">
        <v>81</v>
      </c>
      <c r="C3036" s="38">
        <v>150000</v>
      </c>
    </row>
    <row r="3037" spans="1:3" x14ac:dyDescent="0.3">
      <c r="A3037" s="37" t="s">
        <v>128</v>
      </c>
      <c r="B3037" s="37" t="s">
        <v>53</v>
      </c>
      <c r="C3037" s="38">
        <v>196800</v>
      </c>
    </row>
    <row r="3038" spans="1:3" x14ac:dyDescent="0.3">
      <c r="A3038" s="37" t="s">
        <v>128</v>
      </c>
      <c r="B3038" s="37" t="s">
        <v>53</v>
      </c>
      <c r="C3038" s="38">
        <v>155000</v>
      </c>
    </row>
    <row r="3039" spans="1:3" x14ac:dyDescent="0.3">
      <c r="A3039" s="37" t="s">
        <v>128</v>
      </c>
      <c r="B3039" s="37" t="s">
        <v>53</v>
      </c>
      <c r="C3039" s="38">
        <v>157500</v>
      </c>
    </row>
    <row r="3040" spans="1:3" x14ac:dyDescent="0.3">
      <c r="A3040" s="37" t="s">
        <v>128</v>
      </c>
      <c r="B3040" s="37" t="s">
        <v>53</v>
      </c>
      <c r="C3040" s="38"/>
    </row>
    <row r="3041" spans="1:3" x14ac:dyDescent="0.3">
      <c r="A3041" s="37" t="s">
        <v>128</v>
      </c>
      <c r="B3041" s="37" t="s">
        <v>53</v>
      </c>
      <c r="C3041" s="38">
        <v>195000</v>
      </c>
    </row>
    <row r="3042" spans="1:3" x14ac:dyDescent="0.3">
      <c r="A3042" s="37" t="s">
        <v>128</v>
      </c>
      <c r="B3042" s="37" t="s">
        <v>53</v>
      </c>
      <c r="C3042" s="38">
        <v>193500</v>
      </c>
    </row>
    <row r="3043" spans="1:3" x14ac:dyDescent="0.3">
      <c r="A3043" s="37" t="s">
        <v>128</v>
      </c>
      <c r="B3043" s="37" t="s">
        <v>53</v>
      </c>
      <c r="C3043" s="38"/>
    </row>
    <row r="3044" spans="1:3" x14ac:dyDescent="0.3">
      <c r="A3044" s="37" t="s">
        <v>128</v>
      </c>
      <c r="B3044" s="37" t="s">
        <v>53</v>
      </c>
      <c r="C3044" s="38"/>
    </row>
    <row r="3045" spans="1:3" x14ac:dyDescent="0.3">
      <c r="A3045" s="37" t="s">
        <v>128</v>
      </c>
      <c r="B3045" s="37" t="s">
        <v>53</v>
      </c>
      <c r="C3045" s="38">
        <v>90000</v>
      </c>
    </row>
    <row r="3046" spans="1:3" x14ac:dyDescent="0.3">
      <c r="A3046" s="37" t="s">
        <v>128</v>
      </c>
      <c r="B3046" s="37" t="s">
        <v>81</v>
      </c>
      <c r="C3046" s="38">
        <v>90000</v>
      </c>
    </row>
    <row r="3047" spans="1:3" x14ac:dyDescent="0.3">
      <c r="A3047" s="37" t="s">
        <v>128</v>
      </c>
      <c r="B3047" s="37" t="s">
        <v>53</v>
      </c>
      <c r="C3047" s="38">
        <v>135000</v>
      </c>
    </row>
    <row r="3048" spans="1:3" x14ac:dyDescent="0.3">
      <c r="A3048" s="37" t="s">
        <v>128</v>
      </c>
      <c r="B3048" s="37" t="s">
        <v>88</v>
      </c>
      <c r="C3048" s="38">
        <v>157500</v>
      </c>
    </row>
    <row r="3049" spans="1:3" x14ac:dyDescent="0.3">
      <c r="A3049" s="37" t="s">
        <v>128</v>
      </c>
      <c r="B3049" s="37" t="s">
        <v>53</v>
      </c>
      <c r="C3049" s="38"/>
    </row>
    <row r="3050" spans="1:3" x14ac:dyDescent="0.3">
      <c r="A3050" s="37" t="s">
        <v>128</v>
      </c>
      <c r="B3050" s="37" t="s">
        <v>53</v>
      </c>
      <c r="C3050" s="38">
        <v>68375.5</v>
      </c>
    </row>
    <row r="3051" spans="1:3" x14ac:dyDescent="0.3">
      <c r="A3051" s="37" t="s">
        <v>128</v>
      </c>
      <c r="B3051" s="37" t="s">
        <v>53</v>
      </c>
      <c r="C3051" s="38">
        <v>172500</v>
      </c>
    </row>
    <row r="3052" spans="1:3" x14ac:dyDescent="0.3">
      <c r="A3052" s="37" t="s">
        <v>128</v>
      </c>
      <c r="B3052" s="37" t="s">
        <v>88</v>
      </c>
      <c r="C3052" s="38">
        <v>157500</v>
      </c>
    </row>
    <row r="3053" spans="1:3" x14ac:dyDescent="0.3">
      <c r="A3053" s="37" t="s">
        <v>128</v>
      </c>
      <c r="B3053" s="37" t="s">
        <v>53</v>
      </c>
      <c r="C3053" s="38">
        <v>175000</v>
      </c>
    </row>
    <row r="3054" spans="1:3" x14ac:dyDescent="0.3">
      <c r="A3054" s="37" t="s">
        <v>128</v>
      </c>
      <c r="B3054" s="37" t="s">
        <v>53</v>
      </c>
      <c r="C3054" s="38">
        <v>184844.5</v>
      </c>
    </row>
    <row r="3055" spans="1:3" x14ac:dyDescent="0.3">
      <c r="A3055" s="37" t="s">
        <v>128</v>
      </c>
      <c r="B3055" s="37" t="s">
        <v>53</v>
      </c>
      <c r="C3055" s="38">
        <v>190500</v>
      </c>
    </row>
    <row r="3056" spans="1:3" x14ac:dyDescent="0.3">
      <c r="A3056" s="37" t="s">
        <v>128</v>
      </c>
      <c r="B3056" s="37" t="s">
        <v>53</v>
      </c>
      <c r="C3056" s="38">
        <v>134000</v>
      </c>
    </row>
    <row r="3057" spans="1:3" x14ac:dyDescent="0.3">
      <c r="A3057" s="37" t="s">
        <v>128</v>
      </c>
      <c r="B3057" s="37" t="s">
        <v>53</v>
      </c>
      <c r="C3057" s="38">
        <v>193499</v>
      </c>
    </row>
    <row r="3058" spans="1:3" x14ac:dyDescent="0.3">
      <c r="A3058" s="37" t="s">
        <v>128</v>
      </c>
      <c r="B3058" s="37" t="s">
        <v>53</v>
      </c>
      <c r="C3058" s="38">
        <v>310270</v>
      </c>
    </row>
    <row r="3059" spans="1:3" x14ac:dyDescent="0.3">
      <c r="A3059" s="37" t="s">
        <v>128</v>
      </c>
      <c r="B3059" s="37" t="s">
        <v>53</v>
      </c>
      <c r="C3059" s="38">
        <v>175000</v>
      </c>
    </row>
    <row r="3060" spans="1:3" x14ac:dyDescent="0.3">
      <c r="A3060" s="37" t="s">
        <v>128</v>
      </c>
      <c r="B3060" s="37" t="s">
        <v>53</v>
      </c>
      <c r="C3060" s="38">
        <v>150000</v>
      </c>
    </row>
    <row r="3061" spans="1:3" x14ac:dyDescent="0.3">
      <c r="A3061" s="37" t="s">
        <v>128</v>
      </c>
      <c r="B3061" s="37" t="s">
        <v>53</v>
      </c>
      <c r="C3061" s="38"/>
    </row>
    <row r="3062" spans="1:3" x14ac:dyDescent="0.3">
      <c r="A3062" s="37" t="s">
        <v>128</v>
      </c>
      <c r="B3062" s="37" t="s">
        <v>53</v>
      </c>
      <c r="C3062" s="38">
        <v>193500</v>
      </c>
    </row>
    <row r="3063" spans="1:3" x14ac:dyDescent="0.3">
      <c r="A3063" s="37" t="s">
        <v>128</v>
      </c>
      <c r="B3063" s="37" t="s">
        <v>53</v>
      </c>
      <c r="C3063" s="38">
        <v>145500</v>
      </c>
    </row>
    <row r="3064" spans="1:3" x14ac:dyDescent="0.3">
      <c r="A3064" s="37" t="s">
        <v>128</v>
      </c>
      <c r="B3064" s="37" t="s">
        <v>53</v>
      </c>
      <c r="C3064" s="38">
        <v>137500</v>
      </c>
    </row>
    <row r="3065" spans="1:3" x14ac:dyDescent="0.3">
      <c r="A3065" s="37" t="s">
        <v>128</v>
      </c>
      <c r="B3065" s="37" t="s">
        <v>53</v>
      </c>
      <c r="C3065" s="38">
        <v>142809</v>
      </c>
    </row>
    <row r="3066" spans="1:3" x14ac:dyDescent="0.3">
      <c r="A3066" s="37" t="s">
        <v>128</v>
      </c>
      <c r="B3066" s="37" t="s">
        <v>53</v>
      </c>
      <c r="C3066" s="38"/>
    </row>
    <row r="3067" spans="1:3" x14ac:dyDescent="0.3">
      <c r="A3067" s="37" t="s">
        <v>128</v>
      </c>
      <c r="B3067" s="37" t="s">
        <v>53</v>
      </c>
      <c r="C3067" s="38">
        <v>229500</v>
      </c>
    </row>
    <row r="3068" spans="1:3" x14ac:dyDescent="0.3">
      <c r="A3068" s="37" t="s">
        <v>128</v>
      </c>
      <c r="B3068" s="37" t="s">
        <v>53</v>
      </c>
      <c r="C3068" s="38">
        <v>166000</v>
      </c>
    </row>
    <row r="3069" spans="1:3" x14ac:dyDescent="0.3">
      <c r="A3069" s="37" t="s">
        <v>128</v>
      </c>
      <c r="B3069" s="37" t="s">
        <v>53</v>
      </c>
      <c r="C3069" s="38">
        <v>90000</v>
      </c>
    </row>
    <row r="3070" spans="1:3" x14ac:dyDescent="0.3">
      <c r="A3070" s="37" t="s">
        <v>129</v>
      </c>
      <c r="B3070" s="37" t="s">
        <v>88</v>
      </c>
      <c r="C3070" s="38">
        <v>64800</v>
      </c>
    </row>
    <row r="3071" spans="1:3" x14ac:dyDescent="0.3">
      <c r="A3071" s="37" t="s">
        <v>129</v>
      </c>
      <c r="B3071" s="37" t="s">
        <v>53</v>
      </c>
      <c r="C3071" s="38">
        <v>150000</v>
      </c>
    </row>
    <row r="3072" spans="1:3" x14ac:dyDescent="0.3">
      <c r="A3072" s="37" t="s">
        <v>129</v>
      </c>
      <c r="B3072" s="37" t="s">
        <v>112</v>
      </c>
      <c r="C3072" s="38">
        <v>79200</v>
      </c>
    </row>
    <row r="3073" spans="1:3" x14ac:dyDescent="0.3">
      <c r="A3073" s="37" t="s">
        <v>129</v>
      </c>
      <c r="B3073" s="37" t="s">
        <v>53</v>
      </c>
      <c r="C3073" s="38">
        <v>99150</v>
      </c>
    </row>
    <row r="3074" spans="1:3" x14ac:dyDescent="0.3">
      <c r="A3074" s="37" t="s">
        <v>129</v>
      </c>
      <c r="B3074" s="37" t="s">
        <v>88</v>
      </c>
      <c r="C3074" s="38">
        <v>79200</v>
      </c>
    </row>
    <row r="3075" spans="1:3" x14ac:dyDescent="0.3">
      <c r="A3075" s="37" t="s">
        <v>129</v>
      </c>
      <c r="B3075" s="37" t="s">
        <v>53</v>
      </c>
      <c r="C3075" s="38">
        <v>197500</v>
      </c>
    </row>
    <row r="3076" spans="1:3" x14ac:dyDescent="0.3">
      <c r="A3076" s="37" t="s">
        <v>129</v>
      </c>
      <c r="B3076" s="37" t="s">
        <v>53</v>
      </c>
      <c r="C3076" s="38"/>
    </row>
    <row r="3077" spans="1:3" x14ac:dyDescent="0.3">
      <c r="A3077" s="37" t="s">
        <v>129</v>
      </c>
      <c r="B3077" s="37" t="s">
        <v>53</v>
      </c>
      <c r="C3077" s="38">
        <v>175000</v>
      </c>
    </row>
    <row r="3078" spans="1:3" x14ac:dyDescent="0.3">
      <c r="A3078" s="37" t="s">
        <v>129</v>
      </c>
      <c r="B3078" s="37" t="s">
        <v>88</v>
      </c>
      <c r="C3078" s="38">
        <v>50400</v>
      </c>
    </row>
    <row r="3079" spans="1:3" x14ac:dyDescent="0.3">
      <c r="A3079" s="37" t="s">
        <v>129</v>
      </c>
      <c r="B3079" s="37" t="s">
        <v>53</v>
      </c>
      <c r="C3079" s="38"/>
    </row>
    <row r="3080" spans="1:3" x14ac:dyDescent="0.3">
      <c r="A3080" s="37" t="s">
        <v>129</v>
      </c>
      <c r="B3080" s="37" t="s">
        <v>53</v>
      </c>
      <c r="C3080" s="38">
        <v>115000</v>
      </c>
    </row>
    <row r="3081" spans="1:3" x14ac:dyDescent="0.3">
      <c r="A3081" s="37" t="s">
        <v>129</v>
      </c>
      <c r="B3081" s="37" t="s">
        <v>70</v>
      </c>
      <c r="C3081" s="38">
        <v>156500</v>
      </c>
    </row>
    <row r="3082" spans="1:3" x14ac:dyDescent="0.3">
      <c r="A3082" s="37" t="s">
        <v>129</v>
      </c>
      <c r="B3082" s="37" t="s">
        <v>88</v>
      </c>
      <c r="C3082" s="38">
        <v>79200</v>
      </c>
    </row>
    <row r="3083" spans="1:3" x14ac:dyDescent="0.3">
      <c r="A3083" s="37" t="s">
        <v>129</v>
      </c>
      <c r="B3083" s="37" t="s">
        <v>54</v>
      </c>
      <c r="C3083" s="38">
        <v>115000</v>
      </c>
    </row>
    <row r="3084" spans="1:3" x14ac:dyDescent="0.3">
      <c r="A3084" s="37" t="s">
        <v>129</v>
      </c>
      <c r="B3084" s="37" t="s">
        <v>65</v>
      </c>
      <c r="C3084" s="38">
        <v>156500</v>
      </c>
    </row>
    <row r="3085" spans="1:3" x14ac:dyDescent="0.3">
      <c r="A3085" s="37" t="s">
        <v>129</v>
      </c>
      <c r="B3085" s="37" t="s">
        <v>69</v>
      </c>
      <c r="C3085" s="38">
        <v>56700</v>
      </c>
    </row>
    <row r="3086" spans="1:3" x14ac:dyDescent="0.3">
      <c r="A3086" s="37" t="s">
        <v>129</v>
      </c>
      <c r="B3086" s="37" t="s">
        <v>76</v>
      </c>
      <c r="C3086" s="38">
        <v>79200</v>
      </c>
    </row>
    <row r="3087" spans="1:3" x14ac:dyDescent="0.3">
      <c r="A3087" s="37" t="s">
        <v>129</v>
      </c>
      <c r="B3087" s="37" t="s">
        <v>53</v>
      </c>
      <c r="C3087" s="38">
        <v>48982</v>
      </c>
    </row>
    <row r="3088" spans="1:3" x14ac:dyDescent="0.3">
      <c r="A3088" s="37" t="s">
        <v>129</v>
      </c>
      <c r="B3088" s="37" t="s">
        <v>72</v>
      </c>
      <c r="C3088" s="38">
        <v>89100</v>
      </c>
    </row>
    <row r="3089" spans="1:3" x14ac:dyDescent="0.3">
      <c r="A3089" s="37" t="s">
        <v>129</v>
      </c>
      <c r="B3089" s="37" t="s">
        <v>88</v>
      </c>
      <c r="C3089" s="38">
        <v>44418.5</v>
      </c>
    </row>
    <row r="3090" spans="1:3" x14ac:dyDescent="0.3">
      <c r="A3090" s="37" t="s">
        <v>129</v>
      </c>
      <c r="B3090" s="37" t="s">
        <v>70</v>
      </c>
      <c r="C3090" s="38">
        <v>89100</v>
      </c>
    </row>
    <row r="3091" spans="1:3" x14ac:dyDescent="0.3">
      <c r="A3091" s="37" t="s">
        <v>129</v>
      </c>
      <c r="B3091" s="37" t="s">
        <v>53</v>
      </c>
      <c r="C3091" s="38">
        <v>97500</v>
      </c>
    </row>
    <row r="3092" spans="1:3" x14ac:dyDescent="0.3">
      <c r="A3092" s="37" t="s">
        <v>129</v>
      </c>
      <c r="B3092" s="37" t="s">
        <v>98</v>
      </c>
      <c r="C3092" s="38">
        <v>72900</v>
      </c>
    </row>
    <row r="3093" spans="1:3" x14ac:dyDescent="0.3">
      <c r="A3093" s="37" t="s">
        <v>129</v>
      </c>
      <c r="B3093" s="37" t="s">
        <v>110</v>
      </c>
      <c r="C3093" s="38">
        <v>89100</v>
      </c>
    </row>
    <row r="3094" spans="1:3" x14ac:dyDescent="0.3">
      <c r="A3094" s="37" t="s">
        <v>129</v>
      </c>
      <c r="B3094" s="37" t="s">
        <v>110</v>
      </c>
      <c r="C3094" s="38">
        <v>65000</v>
      </c>
    </row>
    <row r="3095" spans="1:3" x14ac:dyDescent="0.3">
      <c r="A3095" s="37" t="s">
        <v>129</v>
      </c>
      <c r="B3095" s="37" t="s">
        <v>88</v>
      </c>
      <c r="C3095" s="38">
        <v>79200</v>
      </c>
    </row>
    <row r="3096" spans="1:3" x14ac:dyDescent="0.3">
      <c r="A3096" s="37" t="s">
        <v>129</v>
      </c>
      <c r="B3096" s="37" t="s">
        <v>69</v>
      </c>
      <c r="C3096" s="38">
        <v>56700</v>
      </c>
    </row>
    <row r="3097" spans="1:3" x14ac:dyDescent="0.3">
      <c r="A3097" s="37" t="s">
        <v>129</v>
      </c>
      <c r="B3097" s="37" t="s">
        <v>54</v>
      </c>
      <c r="C3097" s="38"/>
    </row>
    <row r="3098" spans="1:3" x14ac:dyDescent="0.3">
      <c r="A3098" s="37" t="s">
        <v>129</v>
      </c>
      <c r="B3098" s="37" t="s">
        <v>88</v>
      </c>
      <c r="C3098" s="38">
        <v>200000</v>
      </c>
    </row>
    <row r="3099" spans="1:3" x14ac:dyDescent="0.3">
      <c r="A3099" s="37" t="s">
        <v>129</v>
      </c>
      <c r="B3099" s="37" t="s">
        <v>97</v>
      </c>
      <c r="C3099" s="38">
        <v>79200</v>
      </c>
    </row>
    <row r="3100" spans="1:3" x14ac:dyDescent="0.3">
      <c r="A3100" s="37" t="s">
        <v>129</v>
      </c>
      <c r="B3100" s="37" t="s">
        <v>102</v>
      </c>
      <c r="C3100" s="38">
        <v>145000</v>
      </c>
    </row>
    <row r="3101" spans="1:3" x14ac:dyDescent="0.3">
      <c r="A3101" s="37" t="s">
        <v>129</v>
      </c>
      <c r="B3101" s="37" t="s">
        <v>72</v>
      </c>
      <c r="C3101" s="38">
        <v>89100</v>
      </c>
    </row>
    <row r="3102" spans="1:3" x14ac:dyDescent="0.3">
      <c r="A3102" s="37" t="s">
        <v>129</v>
      </c>
      <c r="B3102" s="37" t="s">
        <v>112</v>
      </c>
      <c r="C3102" s="38">
        <v>79200</v>
      </c>
    </row>
    <row r="3103" spans="1:3" x14ac:dyDescent="0.3">
      <c r="A3103" s="37" t="s">
        <v>129</v>
      </c>
      <c r="B3103" s="37" t="s">
        <v>53</v>
      </c>
      <c r="C3103" s="38">
        <v>77300</v>
      </c>
    </row>
  </sheetData>
  <autoFilter ref="A1:C3103" xr:uid="{476F6601-355F-4694-885C-1B7837D5920E}">
    <sortState xmlns:xlrd2="http://schemas.microsoft.com/office/spreadsheetml/2017/richdata2" ref="A2:C3103">
      <sortCondition ref="A1:A3103"/>
    </sortState>
  </autoFilter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A2D26-67F5-440B-876D-952279E04FB2}">
  <dimension ref="A1:O3103"/>
  <sheetViews>
    <sheetView workbookViewId="0">
      <selection activeCell="O11" sqref="O11"/>
    </sheetView>
  </sheetViews>
  <sheetFormatPr defaultRowHeight="14.4" x14ac:dyDescent="0.3"/>
  <cols>
    <col min="1" max="1" width="23.109375" bestFit="1" customWidth="1"/>
    <col min="2" max="2" width="18.44140625" bestFit="1" customWidth="1"/>
    <col min="3" max="3" width="14.6640625" style="48" bestFit="1" customWidth="1"/>
    <col min="5" max="5" width="11.21875" bestFit="1" customWidth="1"/>
    <col min="6" max="6" width="9.44140625" bestFit="1" customWidth="1"/>
    <col min="7" max="7" width="7" bestFit="1" customWidth="1"/>
    <col min="8" max="8" width="7.88671875" customWidth="1"/>
    <col min="9" max="9" width="10.33203125" customWidth="1"/>
    <col min="10" max="10" width="22.77734375" bestFit="1" customWidth="1"/>
    <col min="11" max="11" width="12.5546875" bestFit="1" customWidth="1"/>
    <col min="12" max="12" width="10.33203125" customWidth="1"/>
  </cols>
  <sheetData>
    <row r="1" spans="1:15" x14ac:dyDescent="0.3">
      <c r="A1" s="35" t="s">
        <v>49</v>
      </c>
      <c r="B1" s="35" t="s">
        <v>50</v>
      </c>
      <c r="C1" s="36" t="s">
        <v>51</v>
      </c>
      <c r="E1" s="49" t="s">
        <v>143</v>
      </c>
      <c r="F1" s="37">
        <f>COUNT(C:C)</f>
        <v>2287</v>
      </c>
      <c r="G1" s="51"/>
      <c r="H1" s="51"/>
      <c r="J1" s="53" t="s">
        <v>10</v>
      </c>
      <c r="K1" s="53" t="s">
        <v>153</v>
      </c>
      <c r="L1" s="53" t="s">
        <v>154</v>
      </c>
    </row>
    <row r="2" spans="1:15" x14ac:dyDescent="0.3">
      <c r="A2" s="37" t="s">
        <v>52</v>
      </c>
      <c r="B2" s="37" t="s">
        <v>53</v>
      </c>
      <c r="C2" s="38">
        <v>137500</v>
      </c>
      <c r="E2" s="49" t="s">
        <v>144</v>
      </c>
      <c r="F2" s="52">
        <f>AVERAGE(C:C)</f>
        <v>123064.16214951355</v>
      </c>
      <c r="G2" s="51"/>
      <c r="H2" s="51"/>
      <c r="J2" t="s">
        <v>2</v>
      </c>
      <c r="K2" s="50">
        <f>AVERAGEIF(A:A,Table6[[#This Row],[Column1]],C:C)</f>
        <v>92446.314901329562</v>
      </c>
      <c r="L2">
        <f>RANK(Table6[[#This Row],[Column2]],$K$2:$K$11)</f>
        <v>10</v>
      </c>
    </row>
    <row r="3" spans="1:15" x14ac:dyDescent="0.3">
      <c r="A3" s="37" t="s">
        <v>52</v>
      </c>
      <c r="B3" s="37" t="s">
        <v>53</v>
      </c>
      <c r="C3" s="38"/>
      <c r="E3" s="49" t="s">
        <v>145</v>
      </c>
      <c r="F3" s="52">
        <f>MEDIAN(C:C)</f>
        <v>115000</v>
      </c>
      <c r="G3" s="51"/>
      <c r="H3" s="51"/>
      <c r="J3" t="s">
        <v>52</v>
      </c>
      <c r="K3" s="50">
        <f>AVERAGEIF(A:A,Table6[[#This Row],[Column1]],C:C)</f>
        <v>97140.96666666666</v>
      </c>
      <c r="L3">
        <f>RANK(Table6[[#This Row],[Column2]],$K$2:$K$11)</f>
        <v>9</v>
      </c>
    </row>
    <row r="4" spans="1:15" x14ac:dyDescent="0.3">
      <c r="A4" s="37" t="s">
        <v>52</v>
      </c>
      <c r="B4" s="37" t="s">
        <v>53</v>
      </c>
      <c r="C4" s="38"/>
      <c r="E4" s="49" t="s">
        <v>146</v>
      </c>
      <c r="F4" s="52">
        <f>_xlfn.STDEV.S(C:C)</f>
        <v>47367.702396473826</v>
      </c>
      <c r="G4" s="51"/>
      <c r="H4" s="51"/>
      <c r="J4" t="s">
        <v>0</v>
      </c>
      <c r="K4" s="50">
        <f>AVERAGEIF(A:A,Table6[[#This Row],[Column1]],C:C)</f>
        <v>136314.8670983162</v>
      </c>
      <c r="L4">
        <f>RANK(Table6[[#This Row],[Column2]],$K$2:$K$11)</f>
        <v>3</v>
      </c>
    </row>
    <row r="5" spans="1:15" x14ac:dyDescent="0.3">
      <c r="A5" s="37" t="s">
        <v>52</v>
      </c>
      <c r="B5" s="37" t="s">
        <v>53</v>
      </c>
      <c r="C5" s="38">
        <v>87500</v>
      </c>
      <c r="E5" s="49" t="s">
        <v>147</v>
      </c>
      <c r="F5" s="52">
        <f>_xlfn.QUARTILE.INC(C:C,H5)</f>
        <v>32500</v>
      </c>
      <c r="G5" s="37" t="e">
        <f>_xlfn.QUARTILE.EXC(C:C,H5)</f>
        <v>#NUM!</v>
      </c>
      <c r="H5" s="37">
        <v>0</v>
      </c>
      <c r="J5" t="s">
        <v>66</v>
      </c>
      <c r="K5" s="50">
        <f>AVERAGEIF(A:A,Table6[[#This Row],[Column1]],C:C)</f>
        <v>119575</v>
      </c>
      <c r="L5">
        <f>RANK(Table6[[#This Row],[Column2]],$K$2:$K$11)</f>
        <v>6</v>
      </c>
    </row>
    <row r="6" spans="1:15" x14ac:dyDescent="0.3">
      <c r="A6" s="37" t="s">
        <v>52</v>
      </c>
      <c r="B6" s="37" t="s">
        <v>54</v>
      </c>
      <c r="C6" s="38"/>
      <c r="E6" s="49" t="s">
        <v>148</v>
      </c>
      <c r="F6" s="52">
        <f>_xlfn.QUARTILE.INC(C:C,H6)</f>
        <v>90000</v>
      </c>
      <c r="G6" s="37">
        <f>_xlfn.QUARTILE.EXC(C:C,H6)</f>
        <v>90000</v>
      </c>
      <c r="H6" s="37">
        <v>1</v>
      </c>
      <c r="J6" t="s">
        <v>4</v>
      </c>
      <c r="K6" s="50">
        <f>AVERAGEIF(A:A,Table6[[#This Row],[Column1]],C:C)</f>
        <v>129157.5571012677</v>
      </c>
      <c r="L6">
        <f>RANK(Table6[[#This Row],[Column2]],$K$2:$K$11)</f>
        <v>4</v>
      </c>
    </row>
    <row r="7" spans="1:15" x14ac:dyDescent="0.3">
      <c r="A7" s="37" t="s">
        <v>52</v>
      </c>
      <c r="B7" s="37" t="s">
        <v>53</v>
      </c>
      <c r="C7" s="38">
        <v>77500</v>
      </c>
      <c r="E7" s="49" t="s">
        <v>149</v>
      </c>
      <c r="F7" s="52">
        <f>_xlfn.QUARTILE.INC(C:C,H7)</f>
        <v>115000</v>
      </c>
      <c r="G7" s="37">
        <f>_xlfn.QUARTILE.EXC(C:C,H7)</f>
        <v>115000</v>
      </c>
      <c r="H7" s="37">
        <v>2</v>
      </c>
      <c r="J7" t="s">
        <v>1</v>
      </c>
      <c r="K7" s="50">
        <f>AVERAGEIF(A:A,Table6[[#This Row],[Column1]],C:C)</f>
        <v>124426.10563380281</v>
      </c>
      <c r="L7">
        <f>RANK(Table6[[#This Row],[Column2]],$K$2:$K$11)</f>
        <v>5</v>
      </c>
    </row>
    <row r="8" spans="1:15" x14ac:dyDescent="0.3">
      <c r="A8" s="37" t="s">
        <v>52</v>
      </c>
      <c r="B8" s="37" t="s">
        <v>53</v>
      </c>
      <c r="C8" s="38"/>
      <c r="E8" s="49" t="s">
        <v>150</v>
      </c>
      <c r="F8" s="52">
        <f>_xlfn.QUARTILE.INC(C:C,H8)</f>
        <v>150000</v>
      </c>
      <c r="G8" s="37">
        <f>_xlfn.QUARTILE.EXC(C:C,H8)</f>
        <v>150000</v>
      </c>
      <c r="H8" s="37">
        <v>3</v>
      </c>
      <c r="J8" t="s">
        <v>125</v>
      </c>
      <c r="K8" s="50">
        <f>AVERAGEIF(A:A,Table6[[#This Row],[Column1]],C:C)</f>
        <v>112280.84646498227</v>
      </c>
      <c r="L8">
        <f>RANK(Table6[[#This Row],[Column2]],$K$2:$K$11)</f>
        <v>7</v>
      </c>
    </row>
    <row r="9" spans="1:15" x14ac:dyDescent="0.3">
      <c r="A9" s="37" t="s">
        <v>52</v>
      </c>
      <c r="B9" s="37" t="s">
        <v>53</v>
      </c>
      <c r="C9" s="38">
        <v>172500</v>
      </c>
      <c r="E9" s="49" t="s">
        <v>151</v>
      </c>
      <c r="F9" s="52">
        <f>_xlfn.QUARTILE.INC(C:C,H9)</f>
        <v>475000</v>
      </c>
      <c r="G9" s="37" t="e">
        <f>_xlfn.QUARTILE.EXC(C:C,H9)</f>
        <v>#NUM!</v>
      </c>
      <c r="H9" s="37">
        <v>4</v>
      </c>
      <c r="J9" t="s">
        <v>128</v>
      </c>
      <c r="K9" s="50">
        <f>AVERAGEIF(A:A,Table6[[#This Row],[Column1]],C:C)</f>
        <v>155326.08926361386</v>
      </c>
      <c r="L9">
        <f>RANK(Table6[[#This Row],[Column2]],$K$2:$K$11)</f>
        <v>1</v>
      </c>
    </row>
    <row r="10" spans="1:15" x14ac:dyDescent="0.3">
      <c r="A10" s="37" t="s">
        <v>52</v>
      </c>
      <c r="B10" s="37" t="s">
        <v>53</v>
      </c>
      <c r="C10" s="38">
        <v>77500</v>
      </c>
      <c r="E10" s="49" t="s">
        <v>152</v>
      </c>
      <c r="F10" s="52">
        <f>MODE(C:C)</f>
        <v>90000</v>
      </c>
      <c r="G10" s="51"/>
      <c r="H10" s="51"/>
      <c r="J10" t="s">
        <v>126</v>
      </c>
      <c r="K10" s="50">
        <f>AVERAGEIF(A:A,Table6[[#This Row],[Column1]],C:C)</f>
        <v>149586.2658653846</v>
      </c>
      <c r="L10">
        <f>RANK(Table6[[#This Row],[Column2]],$K$2:$K$11)</f>
        <v>2</v>
      </c>
    </row>
    <row r="11" spans="1:15" x14ac:dyDescent="0.3">
      <c r="A11" s="37" t="s">
        <v>52</v>
      </c>
      <c r="B11" s="37" t="s">
        <v>53</v>
      </c>
      <c r="C11" s="38">
        <v>125000</v>
      </c>
      <c r="J11" t="s">
        <v>129</v>
      </c>
      <c r="K11" s="50">
        <f>AVERAGEIF(A:A,Table6[[#This Row],[Column1]],C:C)</f>
        <v>98553.241935483864</v>
      </c>
      <c r="L11">
        <f>RANK(Table6[[#This Row],[Column2]],$K$2:$K$11)</f>
        <v>8</v>
      </c>
      <c r="N11" t="s">
        <v>155</v>
      </c>
      <c r="O11" t="s">
        <v>155</v>
      </c>
    </row>
    <row r="12" spans="1:15" x14ac:dyDescent="0.3">
      <c r="A12" s="37" t="s">
        <v>52</v>
      </c>
      <c r="B12" s="37" t="s">
        <v>55</v>
      </c>
      <c r="C12" s="38">
        <v>110000</v>
      </c>
    </row>
    <row r="13" spans="1:15" x14ac:dyDescent="0.3">
      <c r="A13" s="37" t="s">
        <v>52</v>
      </c>
      <c r="B13" s="37" t="s">
        <v>53</v>
      </c>
      <c r="C13" s="38"/>
    </row>
    <row r="14" spans="1:15" x14ac:dyDescent="0.3">
      <c r="A14" s="37" t="s">
        <v>52</v>
      </c>
      <c r="B14" s="37" t="s">
        <v>53</v>
      </c>
      <c r="C14" s="38">
        <v>97500</v>
      </c>
    </row>
    <row r="15" spans="1:15" x14ac:dyDescent="0.3">
      <c r="A15" s="37" t="s">
        <v>52</v>
      </c>
      <c r="B15" s="37" t="s">
        <v>56</v>
      </c>
      <c r="C15" s="38">
        <v>63000</v>
      </c>
    </row>
    <row r="16" spans="1:15" x14ac:dyDescent="0.3">
      <c r="A16" s="37" t="s">
        <v>52</v>
      </c>
      <c r="B16" s="37" t="s">
        <v>53</v>
      </c>
      <c r="C16" s="38"/>
    </row>
    <row r="17" spans="1:3" x14ac:dyDescent="0.3">
      <c r="A17" s="37" t="s">
        <v>52</v>
      </c>
      <c r="B17" s="37" t="s">
        <v>53</v>
      </c>
      <c r="C17" s="38">
        <v>150000</v>
      </c>
    </row>
    <row r="18" spans="1:3" x14ac:dyDescent="0.3">
      <c r="A18" s="37" t="s">
        <v>52</v>
      </c>
      <c r="B18" s="37" t="s">
        <v>57</v>
      </c>
      <c r="C18" s="38">
        <v>70000</v>
      </c>
    </row>
    <row r="19" spans="1:3" x14ac:dyDescent="0.3">
      <c r="A19" s="37" t="s">
        <v>52</v>
      </c>
      <c r="B19" s="37" t="s">
        <v>58</v>
      </c>
      <c r="C19" s="38"/>
    </row>
    <row r="20" spans="1:3" x14ac:dyDescent="0.3">
      <c r="A20" s="37" t="s">
        <v>52</v>
      </c>
      <c r="B20" s="37" t="s">
        <v>53</v>
      </c>
      <c r="C20" s="38">
        <v>105800</v>
      </c>
    </row>
    <row r="21" spans="1:3" x14ac:dyDescent="0.3">
      <c r="A21" s="37" t="s">
        <v>52</v>
      </c>
      <c r="B21" s="37" t="s">
        <v>53</v>
      </c>
      <c r="C21" s="38"/>
    </row>
    <row r="22" spans="1:3" x14ac:dyDescent="0.3">
      <c r="A22" s="37" t="s">
        <v>52</v>
      </c>
      <c r="B22" s="37" t="s">
        <v>63</v>
      </c>
      <c r="C22" s="38">
        <v>63000</v>
      </c>
    </row>
    <row r="23" spans="1:3" x14ac:dyDescent="0.3">
      <c r="A23" s="37" t="s">
        <v>52</v>
      </c>
      <c r="B23" s="37" t="s">
        <v>53</v>
      </c>
      <c r="C23" s="38"/>
    </row>
    <row r="24" spans="1:3" x14ac:dyDescent="0.3">
      <c r="A24" s="37" t="s">
        <v>52</v>
      </c>
      <c r="B24" s="37" t="s">
        <v>53</v>
      </c>
      <c r="C24" s="38"/>
    </row>
    <row r="25" spans="1:3" x14ac:dyDescent="0.3">
      <c r="A25" s="37" t="s">
        <v>52</v>
      </c>
      <c r="B25" s="37" t="s">
        <v>53</v>
      </c>
      <c r="C25" s="38"/>
    </row>
    <row r="26" spans="1:3" x14ac:dyDescent="0.3">
      <c r="A26" s="37" t="s">
        <v>52</v>
      </c>
      <c r="B26" s="37" t="s">
        <v>64</v>
      </c>
      <c r="C26" s="38">
        <v>79200</v>
      </c>
    </row>
    <row r="27" spans="1:3" x14ac:dyDescent="0.3">
      <c r="A27" s="37" t="s">
        <v>52</v>
      </c>
      <c r="B27" s="37" t="s">
        <v>53</v>
      </c>
      <c r="C27" s="38">
        <v>112500</v>
      </c>
    </row>
    <row r="28" spans="1:3" x14ac:dyDescent="0.3">
      <c r="A28" s="37" t="s">
        <v>52</v>
      </c>
      <c r="B28" s="37" t="s">
        <v>53</v>
      </c>
      <c r="C28" s="38">
        <v>125000</v>
      </c>
    </row>
    <row r="29" spans="1:3" x14ac:dyDescent="0.3">
      <c r="A29" s="37" t="s">
        <v>52</v>
      </c>
      <c r="B29" s="37" t="s">
        <v>53</v>
      </c>
      <c r="C29" s="38">
        <v>80000</v>
      </c>
    </row>
    <row r="30" spans="1:3" x14ac:dyDescent="0.3">
      <c r="A30" s="37" t="s">
        <v>52</v>
      </c>
      <c r="B30" s="37" t="s">
        <v>53</v>
      </c>
      <c r="C30" s="38">
        <v>90000</v>
      </c>
    </row>
    <row r="31" spans="1:3" x14ac:dyDescent="0.3">
      <c r="A31" s="37" t="s">
        <v>52</v>
      </c>
      <c r="B31" s="37" t="s">
        <v>53</v>
      </c>
      <c r="C31" s="38">
        <v>105000</v>
      </c>
    </row>
    <row r="32" spans="1:3" x14ac:dyDescent="0.3">
      <c r="A32" s="37" t="s">
        <v>52</v>
      </c>
      <c r="B32" s="37" t="s">
        <v>53</v>
      </c>
      <c r="C32" s="38">
        <v>101279</v>
      </c>
    </row>
    <row r="33" spans="1:3" x14ac:dyDescent="0.3">
      <c r="A33" s="37" t="s">
        <v>52</v>
      </c>
      <c r="B33" s="37" t="s">
        <v>54</v>
      </c>
      <c r="C33" s="38">
        <v>113550</v>
      </c>
    </row>
    <row r="34" spans="1:3" x14ac:dyDescent="0.3">
      <c r="A34" s="37" t="s">
        <v>52</v>
      </c>
      <c r="B34" s="37" t="s">
        <v>53</v>
      </c>
      <c r="C34" s="38"/>
    </row>
    <row r="35" spans="1:3" x14ac:dyDescent="0.3">
      <c r="A35" s="37" t="s">
        <v>52</v>
      </c>
      <c r="B35" s="37" t="s">
        <v>53</v>
      </c>
      <c r="C35" s="38">
        <v>68700</v>
      </c>
    </row>
    <row r="36" spans="1:3" x14ac:dyDescent="0.3">
      <c r="A36" s="37" t="s">
        <v>52</v>
      </c>
      <c r="B36" s="37" t="s">
        <v>53</v>
      </c>
      <c r="C36" s="38">
        <v>85000</v>
      </c>
    </row>
    <row r="37" spans="1:3" x14ac:dyDescent="0.3">
      <c r="A37" s="37" t="s">
        <v>52</v>
      </c>
      <c r="B37" s="37" t="s">
        <v>53</v>
      </c>
      <c r="C37" s="38">
        <v>74500</v>
      </c>
    </row>
    <row r="38" spans="1:3" x14ac:dyDescent="0.3">
      <c r="A38" s="37" t="s">
        <v>52</v>
      </c>
      <c r="B38" s="37" t="s">
        <v>54</v>
      </c>
      <c r="C38" s="38">
        <v>103350</v>
      </c>
    </row>
    <row r="39" spans="1:3" x14ac:dyDescent="0.3">
      <c r="A39" s="37" t="s">
        <v>52</v>
      </c>
      <c r="B39" s="37" t="s">
        <v>53</v>
      </c>
      <c r="C39" s="38">
        <v>130000</v>
      </c>
    </row>
    <row r="40" spans="1:3" x14ac:dyDescent="0.3">
      <c r="A40" s="37" t="s">
        <v>52</v>
      </c>
      <c r="B40" s="37" t="s">
        <v>53</v>
      </c>
      <c r="C40" s="38"/>
    </row>
    <row r="41" spans="1:3" x14ac:dyDescent="0.3">
      <c r="A41" s="37" t="s">
        <v>52</v>
      </c>
      <c r="B41" s="37" t="s">
        <v>53</v>
      </c>
      <c r="C41" s="38">
        <v>77500</v>
      </c>
    </row>
    <row r="42" spans="1:3" x14ac:dyDescent="0.3">
      <c r="A42" s="37" t="s">
        <v>52</v>
      </c>
      <c r="B42" s="37" t="s">
        <v>65</v>
      </c>
      <c r="C42" s="38">
        <v>80850</v>
      </c>
    </row>
    <row r="43" spans="1:3" x14ac:dyDescent="0.3">
      <c r="A43" s="37" t="s">
        <v>52</v>
      </c>
      <c r="B43" s="37" t="s">
        <v>53</v>
      </c>
      <c r="C43" s="38"/>
    </row>
    <row r="44" spans="1:3" x14ac:dyDescent="0.3">
      <c r="A44" s="37" t="s">
        <v>52</v>
      </c>
      <c r="B44" s="37" t="s">
        <v>53</v>
      </c>
      <c r="C44" s="38"/>
    </row>
    <row r="45" spans="1:3" x14ac:dyDescent="0.3">
      <c r="A45" s="37" t="s">
        <v>52</v>
      </c>
      <c r="B45" s="37" t="s">
        <v>53</v>
      </c>
      <c r="C45" s="38">
        <v>51000</v>
      </c>
    </row>
    <row r="46" spans="1:3" x14ac:dyDescent="0.3">
      <c r="A46" s="37" t="s">
        <v>52</v>
      </c>
      <c r="B46" s="37" t="s">
        <v>53</v>
      </c>
      <c r="C46" s="38">
        <v>100000</v>
      </c>
    </row>
    <row r="47" spans="1:3" x14ac:dyDescent="0.3">
      <c r="A47" s="37" t="s">
        <v>66</v>
      </c>
      <c r="B47" s="37" t="s">
        <v>67</v>
      </c>
      <c r="C47" s="38">
        <v>79200</v>
      </c>
    </row>
    <row r="48" spans="1:3" x14ac:dyDescent="0.3">
      <c r="A48" s="37" t="s">
        <v>66</v>
      </c>
      <c r="B48" s="37" t="s">
        <v>68</v>
      </c>
      <c r="C48" s="38">
        <v>110000</v>
      </c>
    </row>
    <row r="49" spans="1:3" x14ac:dyDescent="0.3">
      <c r="A49" s="37" t="s">
        <v>66</v>
      </c>
      <c r="B49" s="37" t="s">
        <v>69</v>
      </c>
      <c r="C49" s="38">
        <v>200000</v>
      </c>
    </row>
    <row r="50" spans="1:3" x14ac:dyDescent="0.3">
      <c r="A50" s="37" t="s">
        <v>66</v>
      </c>
      <c r="B50" s="37" t="s">
        <v>70</v>
      </c>
      <c r="C50" s="38">
        <v>89100</v>
      </c>
    </row>
    <row r="51" spans="1:3" x14ac:dyDescent="0.3">
      <c r="A51" s="37" t="s">
        <v>2</v>
      </c>
      <c r="B51" s="37" t="s">
        <v>53</v>
      </c>
      <c r="C51" s="38">
        <v>144481.5</v>
      </c>
    </row>
    <row r="52" spans="1:3" x14ac:dyDescent="0.3">
      <c r="A52" s="37" t="s">
        <v>2</v>
      </c>
      <c r="B52" s="37" t="s">
        <v>53</v>
      </c>
      <c r="C52" s="38">
        <v>132315</v>
      </c>
    </row>
    <row r="53" spans="1:3" x14ac:dyDescent="0.3">
      <c r="A53" s="37" t="s">
        <v>2</v>
      </c>
      <c r="B53" s="37" t="s">
        <v>53</v>
      </c>
      <c r="C53" s="38">
        <v>112500</v>
      </c>
    </row>
    <row r="54" spans="1:3" x14ac:dyDescent="0.3">
      <c r="A54" s="37" t="s">
        <v>2</v>
      </c>
      <c r="B54" s="37" t="s">
        <v>53</v>
      </c>
      <c r="C54" s="38">
        <v>52500</v>
      </c>
    </row>
    <row r="55" spans="1:3" x14ac:dyDescent="0.3">
      <c r="A55" s="37" t="s">
        <v>2</v>
      </c>
      <c r="B55" s="37" t="s">
        <v>54</v>
      </c>
      <c r="C55" s="38">
        <v>115775</v>
      </c>
    </row>
    <row r="56" spans="1:3" x14ac:dyDescent="0.3">
      <c r="A56" s="37" t="s">
        <v>2</v>
      </c>
      <c r="B56" s="37" t="s">
        <v>53</v>
      </c>
      <c r="C56" s="38">
        <v>97500</v>
      </c>
    </row>
    <row r="57" spans="1:3" x14ac:dyDescent="0.3">
      <c r="A57" s="37" t="s">
        <v>2</v>
      </c>
      <c r="B57" s="37" t="s">
        <v>53</v>
      </c>
      <c r="C57" s="38">
        <v>127500</v>
      </c>
    </row>
    <row r="58" spans="1:3" x14ac:dyDescent="0.3">
      <c r="A58" s="37" t="s">
        <v>2</v>
      </c>
      <c r="B58" s="37" t="s">
        <v>53</v>
      </c>
      <c r="C58" s="38">
        <v>115000</v>
      </c>
    </row>
    <row r="59" spans="1:3" x14ac:dyDescent="0.3">
      <c r="A59" s="37" t="s">
        <v>2</v>
      </c>
      <c r="B59" s="37" t="s">
        <v>53</v>
      </c>
      <c r="C59" s="38"/>
    </row>
    <row r="60" spans="1:3" x14ac:dyDescent="0.3">
      <c r="A60" s="37" t="s">
        <v>2</v>
      </c>
      <c r="B60" s="37" t="s">
        <v>53</v>
      </c>
      <c r="C60" s="38"/>
    </row>
    <row r="61" spans="1:3" x14ac:dyDescent="0.3">
      <c r="A61" s="37" t="s">
        <v>2</v>
      </c>
      <c r="B61" s="37" t="s">
        <v>53</v>
      </c>
      <c r="C61" s="38"/>
    </row>
    <row r="62" spans="1:3" x14ac:dyDescent="0.3">
      <c r="A62" s="37" t="s">
        <v>2</v>
      </c>
      <c r="B62" s="37" t="s">
        <v>53</v>
      </c>
      <c r="C62" s="38">
        <v>175000</v>
      </c>
    </row>
    <row r="63" spans="1:3" x14ac:dyDescent="0.3">
      <c r="A63" s="37" t="s">
        <v>2</v>
      </c>
      <c r="B63" s="37" t="s">
        <v>53</v>
      </c>
      <c r="C63" s="38">
        <v>115000</v>
      </c>
    </row>
    <row r="64" spans="1:3" x14ac:dyDescent="0.3">
      <c r="A64" s="37" t="s">
        <v>2</v>
      </c>
      <c r="B64" s="37" t="s">
        <v>67</v>
      </c>
      <c r="C64" s="38">
        <v>111175</v>
      </c>
    </row>
    <row r="65" spans="1:3" x14ac:dyDescent="0.3">
      <c r="A65" s="37" t="s">
        <v>2</v>
      </c>
      <c r="B65" s="37" t="s">
        <v>71</v>
      </c>
      <c r="C65" s="38">
        <v>51014</v>
      </c>
    </row>
    <row r="66" spans="1:3" x14ac:dyDescent="0.3">
      <c r="A66" s="37" t="s">
        <v>2</v>
      </c>
      <c r="B66" s="37" t="s">
        <v>53</v>
      </c>
      <c r="C66" s="38"/>
    </row>
    <row r="67" spans="1:3" x14ac:dyDescent="0.3">
      <c r="A67" s="37" t="s">
        <v>2</v>
      </c>
      <c r="B67" s="37" t="s">
        <v>53</v>
      </c>
      <c r="C67" s="38"/>
    </row>
    <row r="68" spans="1:3" x14ac:dyDescent="0.3">
      <c r="A68" s="37" t="s">
        <v>2</v>
      </c>
      <c r="B68" s="37" t="s">
        <v>53</v>
      </c>
      <c r="C68" s="38"/>
    </row>
    <row r="69" spans="1:3" x14ac:dyDescent="0.3">
      <c r="A69" s="37" t="s">
        <v>2</v>
      </c>
      <c r="B69" s="37" t="s">
        <v>53</v>
      </c>
      <c r="C69" s="38"/>
    </row>
    <row r="70" spans="1:3" x14ac:dyDescent="0.3">
      <c r="A70" s="37" t="s">
        <v>2</v>
      </c>
      <c r="B70" s="37" t="s">
        <v>53</v>
      </c>
      <c r="C70" s="38">
        <v>133285</v>
      </c>
    </row>
    <row r="71" spans="1:3" x14ac:dyDescent="0.3">
      <c r="A71" s="37" t="s">
        <v>2</v>
      </c>
      <c r="B71" s="37" t="s">
        <v>53</v>
      </c>
      <c r="C71" s="38"/>
    </row>
    <row r="72" spans="1:3" x14ac:dyDescent="0.3">
      <c r="A72" s="37" t="s">
        <v>2</v>
      </c>
      <c r="B72" s="37" t="s">
        <v>53</v>
      </c>
      <c r="C72" s="38"/>
    </row>
    <row r="73" spans="1:3" x14ac:dyDescent="0.3">
      <c r="A73" s="37" t="s">
        <v>2</v>
      </c>
      <c r="B73" s="37" t="s">
        <v>53</v>
      </c>
      <c r="C73" s="38">
        <v>57500</v>
      </c>
    </row>
    <row r="74" spans="1:3" x14ac:dyDescent="0.3">
      <c r="A74" s="37" t="s">
        <v>2</v>
      </c>
      <c r="B74" s="37" t="s">
        <v>53</v>
      </c>
      <c r="C74" s="38"/>
    </row>
    <row r="75" spans="1:3" x14ac:dyDescent="0.3">
      <c r="A75" s="37" t="s">
        <v>2</v>
      </c>
      <c r="B75" s="37" t="s">
        <v>53</v>
      </c>
      <c r="C75" s="38">
        <v>60000</v>
      </c>
    </row>
    <row r="76" spans="1:3" x14ac:dyDescent="0.3">
      <c r="A76" s="37" t="s">
        <v>2</v>
      </c>
      <c r="B76" s="37" t="s">
        <v>70</v>
      </c>
      <c r="C76" s="38">
        <v>45000</v>
      </c>
    </row>
    <row r="77" spans="1:3" x14ac:dyDescent="0.3">
      <c r="A77" s="37" t="s">
        <v>2</v>
      </c>
      <c r="B77" s="37" t="s">
        <v>53</v>
      </c>
      <c r="C77" s="38">
        <v>112500</v>
      </c>
    </row>
    <row r="78" spans="1:3" x14ac:dyDescent="0.3">
      <c r="A78" s="37" t="s">
        <v>2</v>
      </c>
      <c r="B78" s="37" t="s">
        <v>53</v>
      </c>
      <c r="C78" s="38">
        <v>170000</v>
      </c>
    </row>
    <row r="79" spans="1:3" x14ac:dyDescent="0.3">
      <c r="A79" s="37" t="s">
        <v>2</v>
      </c>
      <c r="B79" s="37" t="s">
        <v>53</v>
      </c>
      <c r="C79" s="38">
        <v>145000</v>
      </c>
    </row>
    <row r="80" spans="1:3" x14ac:dyDescent="0.3">
      <c r="A80" s="37" t="s">
        <v>2</v>
      </c>
      <c r="B80" s="37" t="s">
        <v>53</v>
      </c>
      <c r="C80" s="38"/>
    </row>
    <row r="81" spans="1:3" x14ac:dyDescent="0.3">
      <c r="A81" s="37" t="s">
        <v>2</v>
      </c>
      <c r="B81" s="37" t="s">
        <v>53</v>
      </c>
      <c r="C81" s="38">
        <v>101540</v>
      </c>
    </row>
    <row r="82" spans="1:3" x14ac:dyDescent="0.3">
      <c r="A82" s="37" t="s">
        <v>2</v>
      </c>
      <c r="B82" s="37" t="s">
        <v>72</v>
      </c>
      <c r="C82" s="38">
        <v>51014</v>
      </c>
    </row>
    <row r="83" spans="1:3" x14ac:dyDescent="0.3">
      <c r="A83" s="37" t="s">
        <v>2</v>
      </c>
      <c r="B83" s="37" t="s">
        <v>53</v>
      </c>
      <c r="C83" s="38"/>
    </row>
    <row r="84" spans="1:3" x14ac:dyDescent="0.3">
      <c r="A84" s="37" t="s">
        <v>2</v>
      </c>
      <c r="B84" s="37" t="s">
        <v>53</v>
      </c>
      <c r="C84" s="38">
        <v>93000</v>
      </c>
    </row>
    <row r="85" spans="1:3" x14ac:dyDescent="0.3">
      <c r="A85" s="37" t="s">
        <v>2</v>
      </c>
      <c r="B85" s="37" t="s">
        <v>53</v>
      </c>
      <c r="C85" s="38"/>
    </row>
    <row r="86" spans="1:3" x14ac:dyDescent="0.3">
      <c r="A86" s="37" t="s">
        <v>2</v>
      </c>
      <c r="B86" s="37" t="s">
        <v>54</v>
      </c>
      <c r="C86" s="38"/>
    </row>
    <row r="87" spans="1:3" x14ac:dyDescent="0.3">
      <c r="A87" s="37" t="s">
        <v>2</v>
      </c>
      <c r="B87" s="37" t="s">
        <v>53</v>
      </c>
      <c r="C87" s="38">
        <v>85000</v>
      </c>
    </row>
    <row r="88" spans="1:3" x14ac:dyDescent="0.3">
      <c r="A88" s="37" t="s">
        <v>2</v>
      </c>
      <c r="B88" s="37" t="s">
        <v>53</v>
      </c>
      <c r="C88" s="38"/>
    </row>
    <row r="89" spans="1:3" x14ac:dyDescent="0.3">
      <c r="A89" s="37" t="s">
        <v>2</v>
      </c>
      <c r="B89" s="37" t="s">
        <v>54</v>
      </c>
      <c r="C89" s="38">
        <v>52500</v>
      </c>
    </row>
    <row r="90" spans="1:3" x14ac:dyDescent="0.3">
      <c r="A90" s="37" t="s">
        <v>2</v>
      </c>
      <c r="B90" s="37" t="s">
        <v>73</v>
      </c>
      <c r="C90" s="38">
        <v>80850</v>
      </c>
    </row>
    <row r="91" spans="1:3" x14ac:dyDescent="0.3">
      <c r="A91" s="37" t="s">
        <v>2</v>
      </c>
      <c r="B91" s="37" t="s">
        <v>74</v>
      </c>
      <c r="C91" s="38">
        <v>111175</v>
      </c>
    </row>
    <row r="92" spans="1:3" x14ac:dyDescent="0.3">
      <c r="A92" s="37" t="s">
        <v>2</v>
      </c>
      <c r="B92" s="37" t="s">
        <v>53</v>
      </c>
      <c r="C92" s="38"/>
    </row>
    <row r="93" spans="1:3" x14ac:dyDescent="0.3">
      <c r="A93" s="37" t="s">
        <v>2</v>
      </c>
      <c r="B93" s="37" t="s">
        <v>74</v>
      </c>
      <c r="C93" s="38">
        <v>51014</v>
      </c>
    </row>
    <row r="94" spans="1:3" x14ac:dyDescent="0.3">
      <c r="A94" s="37" t="s">
        <v>2</v>
      </c>
      <c r="B94" s="37" t="s">
        <v>53</v>
      </c>
      <c r="C94" s="38"/>
    </row>
    <row r="95" spans="1:3" x14ac:dyDescent="0.3">
      <c r="A95" s="37" t="s">
        <v>2</v>
      </c>
      <c r="B95" s="37" t="s">
        <v>54</v>
      </c>
      <c r="C95" s="38">
        <v>138615</v>
      </c>
    </row>
    <row r="96" spans="1:3" x14ac:dyDescent="0.3">
      <c r="A96" s="37" t="s">
        <v>2</v>
      </c>
      <c r="B96" s="37" t="s">
        <v>53</v>
      </c>
      <c r="C96" s="38">
        <v>85000</v>
      </c>
    </row>
    <row r="97" spans="1:3" x14ac:dyDescent="0.3">
      <c r="A97" s="37" t="s">
        <v>2</v>
      </c>
      <c r="B97" s="37" t="s">
        <v>53</v>
      </c>
      <c r="C97" s="38"/>
    </row>
    <row r="98" spans="1:3" x14ac:dyDescent="0.3">
      <c r="A98" s="37" t="s">
        <v>2</v>
      </c>
      <c r="B98" s="37" t="s">
        <v>75</v>
      </c>
      <c r="C98" s="38">
        <v>56700</v>
      </c>
    </row>
    <row r="99" spans="1:3" x14ac:dyDescent="0.3">
      <c r="A99" s="37" t="s">
        <v>2</v>
      </c>
      <c r="B99" s="37" t="s">
        <v>53</v>
      </c>
      <c r="C99" s="38">
        <v>62500</v>
      </c>
    </row>
    <row r="100" spans="1:3" x14ac:dyDescent="0.3">
      <c r="A100" s="37" t="s">
        <v>2</v>
      </c>
      <c r="B100" s="37" t="s">
        <v>53</v>
      </c>
      <c r="C100" s="38">
        <v>85000</v>
      </c>
    </row>
    <row r="101" spans="1:3" x14ac:dyDescent="0.3">
      <c r="A101" s="37" t="s">
        <v>2</v>
      </c>
      <c r="B101" s="37" t="s">
        <v>54</v>
      </c>
      <c r="C101" s="38"/>
    </row>
    <row r="102" spans="1:3" x14ac:dyDescent="0.3">
      <c r="A102" s="37" t="s">
        <v>2</v>
      </c>
      <c r="B102" s="37" t="s">
        <v>76</v>
      </c>
      <c r="C102" s="38">
        <v>45000</v>
      </c>
    </row>
    <row r="103" spans="1:3" x14ac:dyDescent="0.3">
      <c r="A103" s="37" t="s">
        <v>2</v>
      </c>
      <c r="B103" s="37" t="s">
        <v>53</v>
      </c>
      <c r="C103" s="38">
        <v>155000</v>
      </c>
    </row>
    <row r="104" spans="1:3" x14ac:dyDescent="0.3">
      <c r="A104" s="37" t="s">
        <v>2</v>
      </c>
      <c r="B104" s="37" t="s">
        <v>53</v>
      </c>
      <c r="C104" s="38">
        <v>57500</v>
      </c>
    </row>
    <row r="105" spans="1:3" x14ac:dyDescent="0.3">
      <c r="A105" s="37" t="s">
        <v>2</v>
      </c>
      <c r="B105" s="37" t="s">
        <v>67</v>
      </c>
      <c r="C105" s="38">
        <v>111175</v>
      </c>
    </row>
    <row r="106" spans="1:3" x14ac:dyDescent="0.3">
      <c r="A106" s="37" t="s">
        <v>2</v>
      </c>
      <c r="B106" s="37" t="s">
        <v>53</v>
      </c>
      <c r="C106" s="38">
        <v>117200</v>
      </c>
    </row>
    <row r="107" spans="1:3" x14ac:dyDescent="0.3">
      <c r="A107" s="37" t="s">
        <v>2</v>
      </c>
      <c r="B107" s="37" t="s">
        <v>53</v>
      </c>
      <c r="C107" s="38"/>
    </row>
    <row r="108" spans="1:3" x14ac:dyDescent="0.3">
      <c r="A108" s="37" t="s">
        <v>2</v>
      </c>
      <c r="B108" s="37" t="s">
        <v>53</v>
      </c>
      <c r="C108" s="38">
        <v>95000</v>
      </c>
    </row>
    <row r="109" spans="1:3" x14ac:dyDescent="0.3">
      <c r="A109" s="37" t="s">
        <v>2</v>
      </c>
      <c r="B109" s="37" t="s">
        <v>53</v>
      </c>
      <c r="C109" s="38"/>
    </row>
    <row r="110" spans="1:3" x14ac:dyDescent="0.3">
      <c r="A110" s="37" t="s">
        <v>2</v>
      </c>
      <c r="B110" s="37" t="s">
        <v>53</v>
      </c>
      <c r="C110" s="38">
        <v>115000</v>
      </c>
    </row>
    <row r="111" spans="1:3" x14ac:dyDescent="0.3">
      <c r="A111" s="37" t="s">
        <v>2</v>
      </c>
      <c r="B111" s="37" t="s">
        <v>53</v>
      </c>
      <c r="C111" s="38"/>
    </row>
    <row r="112" spans="1:3" x14ac:dyDescent="0.3">
      <c r="A112" s="37" t="s">
        <v>2</v>
      </c>
      <c r="B112" s="37" t="s">
        <v>54</v>
      </c>
      <c r="C112" s="38">
        <v>115000</v>
      </c>
    </row>
    <row r="113" spans="1:3" x14ac:dyDescent="0.3">
      <c r="A113" s="37" t="s">
        <v>2</v>
      </c>
      <c r="B113" s="37" t="s">
        <v>70</v>
      </c>
      <c r="C113" s="38">
        <v>102500</v>
      </c>
    </row>
    <row r="114" spans="1:3" x14ac:dyDescent="0.3">
      <c r="A114" s="37" t="s">
        <v>2</v>
      </c>
      <c r="B114" s="37" t="s">
        <v>53</v>
      </c>
      <c r="C114" s="38"/>
    </row>
    <row r="115" spans="1:3" x14ac:dyDescent="0.3">
      <c r="A115" s="37" t="s">
        <v>2</v>
      </c>
      <c r="B115" s="37" t="s">
        <v>53</v>
      </c>
      <c r="C115" s="38"/>
    </row>
    <row r="116" spans="1:3" x14ac:dyDescent="0.3">
      <c r="A116" s="37" t="s">
        <v>2</v>
      </c>
      <c r="B116" s="37" t="s">
        <v>53</v>
      </c>
      <c r="C116" s="38">
        <v>215500</v>
      </c>
    </row>
    <row r="117" spans="1:3" x14ac:dyDescent="0.3">
      <c r="A117" s="37" t="s">
        <v>2</v>
      </c>
      <c r="B117" s="37" t="s">
        <v>53</v>
      </c>
      <c r="C117" s="38">
        <v>70000</v>
      </c>
    </row>
    <row r="118" spans="1:3" x14ac:dyDescent="0.3">
      <c r="A118" s="37" t="s">
        <v>2</v>
      </c>
      <c r="B118" s="37" t="s">
        <v>53</v>
      </c>
      <c r="C118" s="38"/>
    </row>
    <row r="119" spans="1:3" x14ac:dyDescent="0.3">
      <c r="A119" s="37" t="s">
        <v>2</v>
      </c>
      <c r="B119" s="37" t="s">
        <v>53</v>
      </c>
      <c r="C119" s="38">
        <v>80000</v>
      </c>
    </row>
    <row r="120" spans="1:3" x14ac:dyDescent="0.3">
      <c r="A120" s="37" t="s">
        <v>2</v>
      </c>
      <c r="B120" s="37" t="s">
        <v>53</v>
      </c>
      <c r="C120" s="38">
        <v>133285</v>
      </c>
    </row>
    <row r="121" spans="1:3" x14ac:dyDescent="0.3">
      <c r="A121" s="37" t="s">
        <v>2</v>
      </c>
      <c r="B121" s="37" t="s">
        <v>53</v>
      </c>
      <c r="C121" s="38">
        <v>115000</v>
      </c>
    </row>
    <row r="122" spans="1:3" x14ac:dyDescent="0.3">
      <c r="A122" s="37" t="s">
        <v>2</v>
      </c>
      <c r="B122" s="37" t="s">
        <v>53</v>
      </c>
      <c r="C122" s="38">
        <v>146100</v>
      </c>
    </row>
    <row r="123" spans="1:3" x14ac:dyDescent="0.3">
      <c r="A123" s="37" t="s">
        <v>2</v>
      </c>
      <c r="B123" s="37" t="s">
        <v>78</v>
      </c>
      <c r="C123" s="38">
        <v>102500</v>
      </c>
    </row>
    <row r="124" spans="1:3" x14ac:dyDescent="0.3">
      <c r="A124" s="37" t="s">
        <v>2</v>
      </c>
      <c r="B124" s="37" t="s">
        <v>53</v>
      </c>
      <c r="C124" s="38"/>
    </row>
    <row r="125" spans="1:3" x14ac:dyDescent="0.3">
      <c r="A125" s="37" t="s">
        <v>2</v>
      </c>
      <c r="B125" s="37" t="s">
        <v>53</v>
      </c>
      <c r="C125" s="38">
        <v>52775</v>
      </c>
    </row>
    <row r="126" spans="1:3" x14ac:dyDescent="0.3">
      <c r="A126" s="37" t="s">
        <v>2</v>
      </c>
      <c r="B126" s="37" t="s">
        <v>53</v>
      </c>
      <c r="C126" s="38"/>
    </row>
    <row r="127" spans="1:3" x14ac:dyDescent="0.3">
      <c r="A127" s="37" t="s">
        <v>2</v>
      </c>
      <c r="B127" s="37" t="s">
        <v>53</v>
      </c>
      <c r="C127" s="38">
        <v>81550</v>
      </c>
    </row>
    <row r="128" spans="1:3" x14ac:dyDescent="0.3">
      <c r="A128" s="37" t="s">
        <v>2</v>
      </c>
      <c r="B128" s="37" t="s">
        <v>79</v>
      </c>
      <c r="C128" s="38">
        <v>111175</v>
      </c>
    </row>
    <row r="129" spans="1:3" x14ac:dyDescent="0.3">
      <c r="A129" s="37" t="s">
        <v>2</v>
      </c>
      <c r="B129" s="37" t="s">
        <v>80</v>
      </c>
      <c r="C129" s="38">
        <v>79200</v>
      </c>
    </row>
    <row r="130" spans="1:3" x14ac:dyDescent="0.3">
      <c r="A130" s="37" t="s">
        <v>2</v>
      </c>
      <c r="B130" s="37" t="s">
        <v>53</v>
      </c>
      <c r="C130" s="38">
        <v>70000</v>
      </c>
    </row>
    <row r="131" spans="1:3" x14ac:dyDescent="0.3">
      <c r="A131" s="37" t="s">
        <v>2</v>
      </c>
      <c r="B131" s="37" t="s">
        <v>53</v>
      </c>
      <c r="C131" s="38">
        <v>55000</v>
      </c>
    </row>
    <row r="132" spans="1:3" x14ac:dyDescent="0.3">
      <c r="A132" s="37" t="s">
        <v>2</v>
      </c>
      <c r="B132" s="37" t="s">
        <v>53</v>
      </c>
      <c r="C132" s="38"/>
    </row>
    <row r="133" spans="1:3" x14ac:dyDescent="0.3">
      <c r="A133" s="37" t="s">
        <v>2</v>
      </c>
      <c r="B133" s="37" t="s">
        <v>53</v>
      </c>
      <c r="C133" s="38">
        <v>46238.3984375</v>
      </c>
    </row>
    <row r="134" spans="1:3" x14ac:dyDescent="0.3">
      <c r="A134" s="37" t="s">
        <v>2</v>
      </c>
      <c r="B134" s="37" t="s">
        <v>53</v>
      </c>
      <c r="C134" s="38"/>
    </row>
    <row r="135" spans="1:3" x14ac:dyDescent="0.3">
      <c r="A135" s="37" t="s">
        <v>2</v>
      </c>
      <c r="B135" s="37" t="s">
        <v>53</v>
      </c>
      <c r="C135" s="38">
        <v>144481.5</v>
      </c>
    </row>
    <row r="136" spans="1:3" x14ac:dyDescent="0.3">
      <c r="A136" s="37" t="s">
        <v>2</v>
      </c>
      <c r="B136" s="37" t="s">
        <v>53</v>
      </c>
      <c r="C136" s="38">
        <v>124444</v>
      </c>
    </row>
    <row r="137" spans="1:3" x14ac:dyDescent="0.3">
      <c r="A137" s="37" t="s">
        <v>2</v>
      </c>
      <c r="B137" s="37" t="s">
        <v>53</v>
      </c>
      <c r="C137" s="38">
        <v>62500</v>
      </c>
    </row>
    <row r="138" spans="1:3" x14ac:dyDescent="0.3">
      <c r="A138" s="37" t="s">
        <v>2</v>
      </c>
      <c r="B138" s="37" t="s">
        <v>53</v>
      </c>
      <c r="C138" s="38"/>
    </row>
    <row r="139" spans="1:3" x14ac:dyDescent="0.3">
      <c r="A139" s="37" t="s">
        <v>2</v>
      </c>
      <c r="B139" s="37" t="s">
        <v>53</v>
      </c>
      <c r="C139" s="38">
        <v>55000</v>
      </c>
    </row>
    <row r="140" spans="1:3" x14ac:dyDescent="0.3">
      <c r="A140" s="37" t="s">
        <v>2</v>
      </c>
      <c r="B140" s="37" t="s">
        <v>53</v>
      </c>
      <c r="C140" s="38"/>
    </row>
    <row r="141" spans="1:3" x14ac:dyDescent="0.3">
      <c r="A141" s="37" t="s">
        <v>2</v>
      </c>
      <c r="B141" s="37" t="s">
        <v>53</v>
      </c>
      <c r="C141" s="38"/>
    </row>
    <row r="142" spans="1:3" x14ac:dyDescent="0.3">
      <c r="A142" s="37" t="s">
        <v>2</v>
      </c>
      <c r="B142" s="37" t="s">
        <v>81</v>
      </c>
      <c r="C142" s="38">
        <v>99150</v>
      </c>
    </row>
    <row r="143" spans="1:3" x14ac:dyDescent="0.3">
      <c r="A143" s="37" t="s">
        <v>2</v>
      </c>
      <c r="B143" s="37" t="s">
        <v>53</v>
      </c>
      <c r="C143" s="38">
        <v>57500</v>
      </c>
    </row>
    <row r="144" spans="1:3" x14ac:dyDescent="0.3">
      <c r="A144" s="37" t="s">
        <v>2</v>
      </c>
      <c r="B144" s="37" t="s">
        <v>53</v>
      </c>
      <c r="C144" s="38">
        <v>90000</v>
      </c>
    </row>
    <row r="145" spans="1:3" x14ac:dyDescent="0.3">
      <c r="A145" s="37" t="s">
        <v>2</v>
      </c>
      <c r="B145" s="37" t="s">
        <v>53</v>
      </c>
      <c r="C145" s="38">
        <v>91960</v>
      </c>
    </row>
    <row r="146" spans="1:3" x14ac:dyDescent="0.3">
      <c r="A146" s="37" t="s">
        <v>2</v>
      </c>
      <c r="B146" s="37" t="s">
        <v>53</v>
      </c>
      <c r="C146" s="38">
        <v>84479</v>
      </c>
    </row>
    <row r="147" spans="1:3" x14ac:dyDescent="0.3">
      <c r="A147" s="37" t="s">
        <v>2</v>
      </c>
      <c r="B147" s="37" t="s">
        <v>82</v>
      </c>
      <c r="C147" s="38"/>
    </row>
    <row r="148" spans="1:3" x14ac:dyDescent="0.3">
      <c r="A148" s="37" t="s">
        <v>2</v>
      </c>
      <c r="B148" s="37" t="s">
        <v>53</v>
      </c>
      <c r="C148" s="38">
        <v>77500</v>
      </c>
    </row>
    <row r="149" spans="1:3" x14ac:dyDescent="0.3">
      <c r="A149" s="37" t="s">
        <v>2</v>
      </c>
      <c r="B149" s="37" t="s">
        <v>83</v>
      </c>
      <c r="C149" s="38">
        <v>51014</v>
      </c>
    </row>
    <row r="150" spans="1:3" x14ac:dyDescent="0.3">
      <c r="A150" s="37" t="s">
        <v>2</v>
      </c>
      <c r="B150" s="37" t="s">
        <v>53</v>
      </c>
      <c r="C150" s="38">
        <v>65000</v>
      </c>
    </row>
    <row r="151" spans="1:3" x14ac:dyDescent="0.3">
      <c r="A151" s="37" t="s">
        <v>2</v>
      </c>
      <c r="B151" s="37" t="s">
        <v>53</v>
      </c>
      <c r="C151" s="38">
        <v>81350</v>
      </c>
    </row>
    <row r="152" spans="1:3" x14ac:dyDescent="0.3">
      <c r="A152" s="37" t="s">
        <v>2</v>
      </c>
      <c r="B152" s="37" t="s">
        <v>53</v>
      </c>
      <c r="C152" s="38">
        <v>82500</v>
      </c>
    </row>
    <row r="153" spans="1:3" x14ac:dyDescent="0.3">
      <c r="A153" s="37" t="s">
        <v>2</v>
      </c>
      <c r="B153" s="37" t="s">
        <v>53</v>
      </c>
      <c r="C153" s="38">
        <v>90000</v>
      </c>
    </row>
    <row r="154" spans="1:3" x14ac:dyDescent="0.3">
      <c r="A154" s="37" t="s">
        <v>2</v>
      </c>
      <c r="B154" s="37" t="s">
        <v>53</v>
      </c>
      <c r="C154" s="38">
        <v>120710</v>
      </c>
    </row>
    <row r="155" spans="1:3" x14ac:dyDescent="0.3">
      <c r="A155" s="37" t="s">
        <v>2</v>
      </c>
      <c r="B155" s="37" t="s">
        <v>53</v>
      </c>
      <c r="C155" s="38">
        <v>60000</v>
      </c>
    </row>
    <row r="156" spans="1:3" x14ac:dyDescent="0.3">
      <c r="A156" s="37" t="s">
        <v>2</v>
      </c>
      <c r="B156" s="37" t="s">
        <v>69</v>
      </c>
      <c r="C156" s="38">
        <v>51014</v>
      </c>
    </row>
    <row r="157" spans="1:3" x14ac:dyDescent="0.3">
      <c r="A157" s="37" t="s">
        <v>2</v>
      </c>
      <c r="B157" s="37" t="s">
        <v>53</v>
      </c>
      <c r="C157" s="38">
        <v>106492.5</v>
      </c>
    </row>
    <row r="158" spans="1:3" x14ac:dyDescent="0.3">
      <c r="A158" s="37" t="s">
        <v>2</v>
      </c>
      <c r="B158" s="37" t="s">
        <v>53</v>
      </c>
      <c r="C158" s="38"/>
    </row>
    <row r="159" spans="1:3" x14ac:dyDescent="0.3">
      <c r="A159" s="37" t="s">
        <v>2</v>
      </c>
      <c r="B159" s="37" t="s">
        <v>53</v>
      </c>
      <c r="C159" s="38"/>
    </row>
    <row r="160" spans="1:3" x14ac:dyDescent="0.3">
      <c r="A160" s="37" t="s">
        <v>2</v>
      </c>
      <c r="B160" s="37" t="s">
        <v>53</v>
      </c>
      <c r="C160" s="38"/>
    </row>
    <row r="161" spans="1:3" x14ac:dyDescent="0.3">
      <c r="A161" s="37" t="s">
        <v>2</v>
      </c>
      <c r="B161" s="37" t="s">
        <v>53</v>
      </c>
      <c r="C161" s="38"/>
    </row>
    <row r="162" spans="1:3" x14ac:dyDescent="0.3">
      <c r="A162" s="37" t="s">
        <v>2</v>
      </c>
      <c r="B162" s="37" t="s">
        <v>53</v>
      </c>
      <c r="C162" s="38">
        <v>125000</v>
      </c>
    </row>
    <row r="163" spans="1:3" x14ac:dyDescent="0.3">
      <c r="A163" s="37" t="s">
        <v>2</v>
      </c>
      <c r="B163" s="37" t="s">
        <v>53</v>
      </c>
      <c r="C163" s="38">
        <v>200000</v>
      </c>
    </row>
    <row r="164" spans="1:3" x14ac:dyDescent="0.3">
      <c r="A164" s="37" t="s">
        <v>2</v>
      </c>
      <c r="B164" s="37" t="s">
        <v>53</v>
      </c>
      <c r="C164" s="38">
        <v>164746</v>
      </c>
    </row>
    <row r="165" spans="1:3" x14ac:dyDescent="0.3">
      <c r="A165" s="37" t="s">
        <v>2</v>
      </c>
      <c r="B165" s="37" t="s">
        <v>53</v>
      </c>
      <c r="C165" s="38"/>
    </row>
    <row r="166" spans="1:3" x14ac:dyDescent="0.3">
      <c r="A166" s="37" t="s">
        <v>2</v>
      </c>
      <c r="B166" s="37" t="s">
        <v>53</v>
      </c>
      <c r="C166" s="38">
        <v>115000</v>
      </c>
    </row>
    <row r="167" spans="1:3" x14ac:dyDescent="0.3">
      <c r="A167" s="37" t="s">
        <v>2</v>
      </c>
      <c r="B167" s="37" t="s">
        <v>53</v>
      </c>
      <c r="C167" s="38"/>
    </row>
    <row r="168" spans="1:3" x14ac:dyDescent="0.3">
      <c r="A168" s="37" t="s">
        <v>2</v>
      </c>
      <c r="B168" s="37" t="s">
        <v>83</v>
      </c>
      <c r="C168" s="38">
        <v>51014</v>
      </c>
    </row>
    <row r="169" spans="1:3" x14ac:dyDescent="0.3">
      <c r="A169" s="37" t="s">
        <v>2</v>
      </c>
      <c r="B169" s="37" t="s">
        <v>53</v>
      </c>
      <c r="C169" s="38"/>
    </row>
    <row r="170" spans="1:3" x14ac:dyDescent="0.3">
      <c r="A170" s="37" t="s">
        <v>2</v>
      </c>
      <c r="B170" s="37" t="s">
        <v>53</v>
      </c>
      <c r="C170" s="38"/>
    </row>
    <row r="171" spans="1:3" x14ac:dyDescent="0.3">
      <c r="A171" s="37" t="s">
        <v>2</v>
      </c>
      <c r="B171" s="37" t="s">
        <v>53</v>
      </c>
      <c r="C171" s="38"/>
    </row>
    <row r="172" spans="1:3" x14ac:dyDescent="0.3">
      <c r="A172" s="37" t="s">
        <v>2</v>
      </c>
      <c r="B172" s="37" t="s">
        <v>84</v>
      </c>
      <c r="C172" s="38">
        <v>89100</v>
      </c>
    </row>
    <row r="173" spans="1:3" x14ac:dyDescent="0.3">
      <c r="A173" s="37" t="s">
        <v>2</v>
      </c>
      <c r="B173" s="37" t="s">
        <v>54</v>
      </c>
      <c r="C173" s="38">
        <v>42500</v>
      </c>
    </row>
    <row r="174" spans="1:3" x14ac:dyDescent="0.3">
      <c r="A174" s="37" t="s">
        <v>2</v>
      </c>
      <c r="B174" s="37" t="s">
        <v>53</v>
      </c>
      <c r="C174" s="38"/>
    </row>
    <row r="175" spans="1:3" x14ac:dyDescent="0.3">
      <c r="A175" s="37" t="s">
        <v>2</v>
      </c>
      <c r="B175" s="37" t="s">
        <v>53</v>
      </c>
      <c r="C175" s="38"/>
    </row>
    <row r="176" spans="1:3" x14ac:dyDescent="0.3">
      <c r="A176" s="37" t="s">
        <v>2</v>
      </c>
      <c r="B176" s="37" t="s">
        <v>53</v>
      </c>
      <c r="C176" s="38">
        <v>67500</v>
      </c>
    </row>
    <row r="177" spans="1:3" x14ac:dyDescent="0.3">
      <c r="A177" s="37" t="s">
        <v>2</v>
      </c>
      <c r="B177" s="37" t="s">
        <v>53</v>
      </c>
      <c r="C177" s="38"/>
    </row>
    <row r="178" spans="1:3" x14ac:dyDescent="0.3">
      <c r="A178" s="37" t="s">
        <v>2</v>
      </c>
      <c r="B178" s="37" t="s">
        <v>53</v>
      </c>
      <c r="C178" s="38">
        <v>80000</v>
      </c>
    </row>
    <row r="179" spans="1:3" x14ac:dyDescent="0.3">
      <c r="A179" s="37" t="s">
        <v>2</v>
      </c>
      <c r="B179" s="37" t="s">
        <v>53</v>
      </c>
      <c r="C179" s="38">
        <v>75000</v>
      </c>
    </row>
    <row r="180" spans="1:3" x14ac:dyDescent="0.3">
      <c r="A180" s="37" t="s">
        <v>2</v>
      </c>
      <c r="B180" s="37" t="s">
        <v>53</v>
      </c>
      <c r="C180" s="38">
        <v>115700</v>
      </c>
    </row>
    <row r="181" spans="1:3" x14ac:dyDescent="0.3">
      <c r="A181" s="37" t="s">
        <v>2</v>
      </c>
      <c r="B181" s="37" t="s">
        <v>53</v>
      </c>
      <c r="C181" s="38">
        <v>102500</v>
      </c>
    </row>
    <row r="182" spans="1:3" x14ac:dyDescent="0.3">
      <c r="A182" s="37" t="s">
        <v>2</v>
      </c>
      <c r="B182" s="37" t="s">
        <v>53</v>
      </c>
      <c r="C182" s="38"/>
    </row>
    <row r="183" spans="1:3" x14ac:dyDescent="0.3">
      <c r="A183" s="37" t="s">
        <v>2</v>
      </c>
      <c r="B183" s="37" t="s">
        <v>53</v>
      </c>
      <c r="C183" s="38">
        <v>110000</v>
      </c>
    </row>
    <row r="184" spans="1:3" x14ac:dyDescent="0.3">
      <c r="A184" s="37" t="s">
        <v>2</v>
      </c>
      <c r="B184" s="37" t="s">
        <v>53</v>
      </c>
      <c r="C184" s="38">
        <v>77981</v>
      </c>
    </row>
    <row r="185" spans="1:3" x14ac:dyDescent="0.3">
      <c r="A185" s="37" t="s">
        <v>2</v>
      </c>
      <c r="B185" s="37" t="s">
        <v>53</v>
      </c>
      <c r="C185" s="38">
        <v>70000</v>
      </c>
    </row>
    <row r="186" spans="1:3" x14ac:dyDescent="0.3">
      <c r="A186" s="37" t="s">
        <v>2</v>
      </c>
      <c r="B186" s="37" t="s">
        <v>63</v>
      </c>
      <c r="C186" s="38">
        <v>111202</v>
      </c>
    </row>
    <row r="187" spans="1:3" x14ac:dyDescent="0.3">
      <c r="A187" s="37" t="s">
        <v>2</v>
      </c>
      <c r="B187" s="37" t="s">
        <v>53</v>
      </c>
      <c r="C187" s="38">
        <v>52500</v>
      </c>
    </row>
    <row r="188" spans="1:3" x14ac:dyDescent="0.3">
      <c r="A188" s="37" t="s">
        <v>2</v>
      </c>
      <c r="B188" s="37" t="s">
        <v>53</v>
      </c>
      <c r="C188" s="38"/>
    </row>
    <row r="189" spans="1:3" x14ac:dyDescent="0.3">
      <c r="A189" s="37" t="s">
        <v>2</v>
      </c>
      <c r="B189" s="37" t="s">
        <v>53</v>
      </c>
      <c r="C189" s="38">
        <v>50000</v>
      </c>
    </row>
    <row r="190" spans="1:3" x14ac:dyDescent="0.3">
      <c r="A190" s="37" t="s">
        <v>2</v>
      </c>
      <c r="B190" s="37" t="s">
        <v>53</v>
      </c>
      <c r="C190" s="38">
        <v>70000</v>
      </c>
    </row>
    <row r="191" spans="1:3" x14ac:dyDescent="0.3">
      <c r="A191" s="37" t="s">
        <v>2</v>
      </c>
      <c r="B191" s="37" t="s">
        <v>53</v>
      </c>
      <c r="C191" s="38">
        <v>75000</v>
      </c>
    </row>
    <row r="192" spans="1:3" x14ac:dyDescent="0.3">
      <c r="A192" s="37" t="s">
        <v>2</v>
      </c>
      <c r="B192" s="37" t="s">
        <v>53</v>
      </c>
      <c r="C192" s="38"/>
    </row>
    <row r="193" spans="1:3" x14ac:dyDescent="0.3">
      <c r="A193" s="37" t="s">
        <v>2</v>
      </c>
      <c r="B193" s="37" t="s">
        <v>53</v>
      </c>
      <c r="C193" s="38">
        <v>79123.6875</v>
      </c>
    </row>
    <row r="194" spans="1:3" x14ac:dyDescent="0.3">
      <c r="A194" s="37" t="s">
        <v>2</v>
      </c>
      <c r="B194" s="37" t="s">
        <v>85</v>
      </c>
      <c r="C194" s="38">
        <v>51014</v>
      </c>
    </row>
    <row r="195" spans="1:3" x14ac:dyDescent="0.3">
      <c r="A195" s="37" t="s">
        <v>2</v>
      </c>
      <c r="B195" s="37" t="s">
        <v>53</v>
      </c>
      <c r="C195" s="38"/>
    </row>
    <row r="196" spans="1:3" x14ac:dyDescent="0.3">
      <c r="A196" s="37" t="s">
        <v>2</v>
      </c>
      <c r="B196" s="37" t="s">
        <v>53</v>
      </c>
      <c r="C196" s="38"/>
    </row>
    <row r="197" spans="1:3" x14ac:dyDescent="0.3">
      <c r="A197" s="37" t="s">
        <v>2</v>
      </c>
      <c r="B197" s="37" t="s">
        <v>86</v>
      </c>
      <c r="C197" s="38">
        <v>111202</v>
      </c>
    </row>
    <row r="198" spans="1:3" x14ac:dyDescent="0.3">
      <c r="A198" s="37" t="s">
        <v>2</v>
      </c>
      <c r="B198" s="37" t="s">
        <v>53</v>
      </c>
      <c r="C198" s="38">
        <v>143500</v>
      </c>
    </row>
    <row r="199" spans="1:3" x14ac:dyDescent="0.3">
      <c r="A199" s="37" t="s">
        <v>2</v>
      </c>
      <c r="B199" s="37" t="s">
        <v>53</v>
      </c>
      <c r="C199" s="38">
        <v>68000</v>
      </c>
    </row>
    <row r="200" spans="1:3" x14ac:dyDescent="0.3">
      <c r="A200" s="37" t="s">
        <v>2</v>
      </c>
      <c r="B200" s="37" t="s">
        <v>53</v>
      </c>
      <c r="C200" s="38"/>
    </row>
    <row r="201" spans="1:3" x14ac:dyDescent="0.3">
      <c r="A201" s="37" t="s">
        <v>2</v>
      </c>
      <c r="B201" s="37" t="s">
        <v>53</v>
      </c>
      <c r="C201" s="38">
        <v>100000</v>
      </c>
    </row>
    <row r="202" spans="1:3" x14ac:dyDescent="0.3">
      <c r="A202" s="37" t="s">
        <v>2</v>
      </c>
      <c r="B202" s="37" t="s">
        <v>53</v>
      </c>
      <c r="C202" s="38">
        <v>97500</v>
      </c>
    </row>
    <row r="203" spans="1:3" x14ac:dyDescent="0.3">
      <c r="A203" s="37" t="s">
        <v>2</v>
      </c>
      <c r="B203" s="37" t="s">
        <v>53</v>
      </c>
      <c r="C203" s="38">
        <v>67500</v>
      </c>
    </row>
    <row r="204" spans="1:3" x14ac:dyDescent="0.3">
      <c r="A204" s="37" t="s">
        <v>2</v>
      </c>
      <c r="B204" s="37" t="s">
        <v>53</v>
      </c>
      <c r="C204" s="38">
        <v>90000</v>
      </c>
    </row>
    <row r="205" spans="1:3" x14ac:dyDescent="0.3">
      <c r="A205" s="37" t="s">
        <v>2</v>
      </c>
      <c r="B205" s="37" t="s">
        <v>53</v>
      </c>
      <c r="C205" s="38"/>
    </row>
    <row r="206" spans="1:3" x14ac:dyDescent="0.3">
      <c r="A206" s="37" t="s">
        <v>2</v>
      </c>
      <c r="B206" s="37" t="s">
        <v>72</v>
      </c>
      <c r="C206" s="38">
        <v>89100</v>
      </c>
    </row>
    <row r="207" spans="1:3" x14ac:dyDescent="0.3">
      <c r="A207" s="37" t="s">
        <v>2</v>
      </c>
      <c r="B207" s="37" t="s">
        <v>53</v>
      </c>
      <c r="C207" s="38">
        <v>105050</v>
      </c>
    </row>
    <row r="208" spans="1:3" x14ac:dyDescent="0.3">
      <c r="A208" s="37" t="s">
        <v>2</v>
      </c>
      <c r="B208" s="37" t="s">
        <v>53</v>
      </c>
      <c r="C208" s="38">
        <v>138615</v>
      </c>
    </row>
    <row r="209" spans="1:3" x14ac:dyDescent="0.3">
      <c r="A209" s="37" t="s">
        <v>2</v>
      </c>
      <c r="B209" s="37" t="s">
        <v>53</v>
      </c>
      <c r="C209" s="38"/>
    </row>
    <row r="210" spans="1:3" x14ac:dyDescent="0.3">
      <c r="A210" s="37" t="s">
        <v>2</v>
      </c>
      <c r="B210" s="37" t="s">
        <v>53</v>
      </c>
      <c r="C210" s="38">
        <v>59000</v>
      </c>
    </row>
    <row r="211" spans="1:3" x14ac:dyDescent="0.3">
      <c r="A211" s="37" t="s">
        <v>2</v>
      </c>
      <c r="B211" s="37" t="s">
        <v>87</v>
      </c>
      <c r="C211" s="38">
        <v>72900</v>
      </c>
    </row>
    <row r="212" spans="1:3" x14ac:dyDescent="0.3">
      <c r="A212" s="37" t="s">
        <v>2</v>
      </c>
      <c r="B212" s="37" t="s">
        <v>53</v>
      </c>
      <c r="C212" s="38">
        <v>62500</v>
      </c>
    </row>
    <row r="213" spans="1:3" x14ac:dyDescent="0.3">
      <c r="A213" s="37" t="s">
        <v>2</v>
      </c>
      <c r="B213" s="37" t="s">
        <v>53</v>
      </c>
      <c r="C213" s="38"/>
    </row>
    <row r="214" spans="1:3" x14ac:dyDescent="0.3">
      <c r="A214" s="37" t="s">
        <v>2</v>
      </c>
      <c r="B214" s="37" t="s">
        <v>53</v>
      </c>
      <c r="C214" s="38"/>
    </row>
    <row r="215" spans="1:3" x14ac:dyDescent="0.3">
      <c r="A215" s="37" t="s">
        <v>2</v>
      </c>
      <c r="B215" s="37" t="s">
        <v>72</v>
      </c>
      <c r="C215" s="38">
        <v>98500</v>
      </c>
    </row>
    <row r="216" spans="1:3" x14ac:dyDescent="0.3">
      <c r="A216" s="37" t="s">
        <v>2</v>
      </c>
      <c r="B216" s="37" t="s">
        <v>53</v>
      </c>
      <c r="C216" s="38">
        <v>51014</v>
      </c>
    </row>
    <row r="217" spans="1:3" x14ac:dyDescent="0.3">
      <c r="A217" s="37" t="s">
        <v>2</v>
      </c>
      <c r="B217" s="37" t="s">
        <v>53</v>
      </c>
      <c r="C217" s="38"/>
    </row>
    <row r="218" spans="1:3" x14ac:dyDescent="0.3">
      <c r="A218" s="37" t="s">
        <v>2</v>
      </c>
      <c r="B218" s="37" t="s">
        <v>53</v>
      </c>
      <c r="C218" s="38">
        <v>125000</v>
      </c>
    </row>
    <row r="219" spans="1:3" x14ac:dyDescent="0.3">
      <c r="A219" s="37" t="s">
        <v>2</v>
      </c>
      <c r="B219" s="37" t="s">
        <v>53</v>
      </c>
      <c r="C219" s="38"/>
    </row>
    <row r="220" spans="1:3" x14ac:dyDescent="0.3">
      <c r="A220" s="37" t="s">
        <v>2</v>
      </c>
      <c r="B220" s="37" t="s">
        <v>53</v>
      </c>
      <c r="C220" s="38"/>
    </row>
    <row r="221" spans="1:3" x14ac:dyDescent="0.3">
      <c r="A221" s="37" t="s">
        <v>2</v>
      </c>
      <c r="B221" s="37" t="s">
        <v>70</v>
      </c>
      <c r="C221" s="38">
        <v>111202</v>
      </c>
    </row>
    <row r="222" spans="1:3" x14ac:dyDescent="0.3">
      <c r="A222" s="37" t="s">
        <v>2</v>
      </c>
      <c r="B222" s="37" t="s">
        <v>53</v>
      </c>
      <c r="C222" s="38">
        <v>90000</v>
      </c>
    </row>
    <row r="223" spans="1:3" x14ac:dyDescent="0.3">
      <c r="A223" s="37" t="s">
        <v>2</v>
      </c>
      <c r="B223" s="37" t="s">
        <v>53</v>
      </c>
      <c r="C223" s="38">
        <v>95000</v>
      </c>
    </row>
    <row r="224" spans="1:3" x14ac:dyDescent="0.3">
      <c r="A224" s="37" t="s">
        <v>2</v>
      </c>
      <c r="B224" s="37" t="s">
        <v>54</v>
      </c>
      <c r="C224" s="38"/>
    </row>
    <row r="225" spans="1:3" x14ac:dyDescent="0.3">
      <c r="A225" s="37" t="s">
        <v>2</v>
      </c>
      <c r="B225" s="37" t="s">
        <v>88</v>
      </c>
      <c r="C225" s="38">
        <v>111175</v>
      </c>
    </row>
    <row r="226" spans="1:3" x14ac:dyDescent="0.3">
      <c r="A226" s="37" t="s">
        <v>2</v>
      </c>
      <c r="B226" s="37" t="s">
        <v>53</v>
      </c>
      <c r="C226" s="38"/>
    </row>
    <row r="227" spans="1:3" x14ac:dyDescent="0.3">
      <c r="A227" s="37" t="s">
        <v>2</v>
      </c>
      <c r="B227" s="37" t="s">
        <v>53</v>
      </c>
      <c r="C227" s="38">
        <v>115000</v>
      </c>
    </row>
    <row r="228" spans="1:3" x14ac:dyDescent="0.3">
      <c r="A228" s="37" t="s">
        <v>2</v>
      </c>
      <c r="B228" s="37" t="s">
        <v>53</v>
      </c>
      <c r="C228" s="38"/>
    </row>
    <row r="229" spans="1:3" x14ac:dyDescent="0.3">
      <c r="A229" s="37" t="s">
        <v>2</v>
      </c>
      <c r="B229" s="37" t="s">
        <v>53</v>
      </c>
      <c r="C229" s="38">
        <v>125000</v>
      </c>
    </row>
    <row r="230" spans="1:3" x14ac:dyDescent="0.3">
      <c r="A230" s="37" t="s">
        <v>2</v>
      </c>
      <c r="B230" s="37" t="s">
        <v>53</v>
      </c>
      <c r="C230" s="38"/>
    </row>
    <row r="231" spans="1:3" x14ac:dyDescent="0.3">
      <c r="A231" s="37" t="s">
        <v>2</v>
      </c>
      <c r="B231" s="37" t="s">
        <v>53</v>
      </c>
      <c r="C231" s="38">
        <v>89300</v>
      </c>
    </row>
    <row r="232" spans="1:3" x14ac:dyDescent="0.3">
      <c r="A232" s="37" t="s">
        <v>2</v>
      </c>
      <c r="B232" s="37" t="s">
        <v>53</v>
      </c>
      <c r="C232" s="38">
        <v>115791.5</v>
      </c>
    </row>
    <row r="233" spans="1:3" x14ac:dyDescent="0.3">
      <c r="A233" s="37" t="s">
        <v>2</v>
      </c>
      <c r="B233" s="37" t="s">
        <v>53</v>
      </c>
      <c r="C233" s="38">
        <v>53357</v>
      </c>
    </row>
    <row r="234" spans="1:3" x14ac:dyDescent="0.3">
      <c r="A234" s="37" t="s">
        <v>2</v>
      </c>
      <c r="B234" s="37" t="s">
        <v>53</v>
      </c>
      <c r="C234" s="38"/>
    </row>
    <row r="235" spans="1:3" x14ac:dyDescent="0.3">
      <c r="A235" s="37" t="s">
        <v>2</v>
      </c>
      <c r="B235" s="37" t="s">
        <v>89</v>
      </c>
      <c r="C235" s="38">
        <v>51014</v>
      </c>
    </row>
    <row r="236" spans="1:3" x14ac:dyDescent="0.3">
      <c r="A236" s="37" t="s">
        <v>2</v>
      </c>
      <c r="B236" s="37" t="s">
        <v>53</v>
      </c>
      <c r="C236" s="38">
        <v>83862.5</v>
      </c>
    </row>
    <row r="237" spans="1:3" x14ac:dyDescent="0.3">
      <c r="A237" s="37" t="s">
        <v>2</v>
      </c>
      <c r="B237" s="37" t="s">
        <v>90</v>
      </c>
      <c r="C237" s="38">
        <v>165000</v>
      </c>
    </row>
    <row r="238" spans="1:3" x14ac:dyDescent="0.3">
      <c r="A238" s="37" t="s">
        <v>2</v>
      </c>
      <c r="B238" s="37" t="s">
        <v>53</v>
      </c>
      <c r="C238" s="38">
        <v>65085</v>
      </c>
    </row>
    <row r="239" spans="1:3" x14ac:dyDescent="0.3">
      <c r="A239" s="37" t="s">
        <v>2</v>
      </c>
      <c r="B239" s="37" t="s">
        <v>53</v>
      </c>
      <c r="C239" s="38"/>
    </row>
    <row r="240" spans="1:3" x14ac:dyDescent="0.3">
      <c r="A240" s="37" t="s">
        <v>2</v>
      </c>
      <c r="B240" s="37" t="s">
        <v>53</v>
      </c>
      <c r="C240" s="38">
        <v>85000</v>
      </c>
    </row>
    <row r="241" spans="1:3" x14ac:dyDescent="0.3">
      <c r="A241" s="37" t="s">
        <v>2</v>
      </c>
      <c r="B241" s="37" t="s">
        <v>91</v>
      </c>
      <c r="C241" s="38">
        <v>100500</v>
      </c>
    </row>
    <row r="242" spans="1:3" x14ac:dyDescent="0.3">
      <c r="A242" s="37" t="s">
        <v>2</v>
      </c>
      <c r="B242" s="37" t="s">
        <v>54</v>
      </c>
      <c r="C242" s="38"/>
    </row>
    <row r="243" spans="1:3" x14ac:dyDescent="0.3">
      <c r="A243" s="37" t="s">
        <v>2</v>
      </c>
      <c r="B243" s="37" t="s">
        <v>54</v>
      </c>
      <c r="C243" s="38"/>
    </row>
    <row r="244" spans="1:3" x14ac:dyDescent="0.3">
      <c r="A244" s="37" t="s">
        <v>2</v>
      </c>
      <c r="B244" s="37" t="s">
        <v>53</v>
      </c>
      <c r="C244" s="38">
        <v>110000</v>
      </c>
    </row>
    <row r="245" spans="1:3" x14ac:dyDescent="0.3">
      <c r="A245" s="37" t="s">
        <v>2</v>
      </c>
      <c r="B245" s="37" t="s">
        <v>54</v>
      </c>
      <c r="C245" s="38">
        <v>40000</v>
      </c>
    </row>
    <row r="246" spans="1:3" x14ac:dyDescent="0.3">
      <c r="A246" s="37" t="s">
        <v>2</v>
      </c>
      <c r="B246" s="37" t="s">
        <v>73</v>
      </c>
      <c r="C246" s="38">
        <v>111202</v>
      </c>
    </row>
    <row r="247" spans="1:3" x14ac:dyDescent="0.3">
      <c r="A247" s="37" t="s">
        <v>2</v>
      </c>
      <c r="B247" s="37" t="s">
        <v>53</v>
      </c>
      <c r="C247" s="38"/>
    </row>
    <row r="248" spans="1:3" x14ac:dyDescent="0.3">
      <c r="A248" s="37" t="s">
        <v>2</v>
      </c>
      <c r="B248" s="37" t="s">
        <v>53</v>
      </c>
      <c r="C248" s="38">
        <v>132500</v>
      </c>
    </row>
    <row r="249" spans="1:3" x14ac:dyDescent="0.3">
      <c r="A249" s="37" t="s">
        <v>2</v>
      </c>
      <c r="B249" s="37" t="s">
        <v>53</v>
      </c>
      <c r="C249" s="38">
        <v>47500</v>
      </c>
    </row>
    <row r="250" spans="1:3" x14ac:dyDescent="0.3">
      <c r="A250" s="37" t="s">
        <v>2</v>
      </c>
      <c r="B250" s="37" t="s">
        <v>53</v>
      </c>
      <c r="C250" s="38"/>
    </row>
    <row r="251" spans="1:3" x14ac:dyDescent="0.3">
      <c r="A251" s="37" t="s">
        <v>2</v>
      </c>
      <c r="B251" s="37" t="s">
        <v>53</v>
      </c>
      <c r="C251" s="38"/>
    </row>
    <row r="252" spans="1:3" x14ac:dyDescent="0.3">
      <c r="A252" s="37" t="s">
        <v>2</v>
      </c>
      <c r="B252" s="37" t="s">
        <v>53</v>
      </c>
      <c r="C252" s="38"/>
    </row>
    <row r="253" spans="1:3" x14ac:dyDescent="0.3">
      <c r="A253" s="37" t="s">
        <v>2</v>
      </c>
      <c r="B253" s="37" t="s">
        <v>53</v>
      </c>
      <c r="C253" s="38"/>
    </row>
    <row r="254" spans="1:3" x14ac:dyDescent="0.3">
      <c r="A254" s="37" t="s">
        <v>2</v>
      </c>
      <c r="B254" s="37" t="s">
        <v>53</v>
      </c>
      <c r="C254" s="38"/>
    </row>
    <row r="255" spans="1:3" x14ac:dyDescent="0.3">
      <c r="A255" s="37" t="s">
        <v>2</v>
      </c>
      <c r="B255" s="37" t="s">
        <v>54</v>
      </c>
      <c r="C255" s="38">
        <v>47500</v>
      </c>
    </row>
    <row r="256" spans="1:3" x14ac:dyDescent="0.3">
      <c r="A256" s="37" t="s">
        <v>2</v>
      </c>
      <c r="B256" s="37" t="s">
        <v>53</v>
      </c>
      <c r="C256" s="38"/>
    </row>
    <row r="257" spans="1:3" x14ac:dyDescent="0.3">
      <c r="A257" s="37" t="s">
        <v>2</v>
      </c>
      <c r="B257" s="37" t="s">
        <v>53</v>
      </c>
      <c r="C257" s="38">
        <v>90000</v>
      </c>
    </row>
    <row r="258" spans="1:3" x14ac:dyDescent="0.3">
      <c r="A258" s="37" t="s">
        <v>2</v>
      </c>
      <c r="B258" s="37" t="s">
        <v>53</v>
      </c>
      <c r="C258" s="38"/>
    </row>
    <row r="259" spans="1:3" x14ac:dyDescent="0.3">
      <c r="A259" s="37" t="s">
        <v>2</v>
      </c>
      <c r="B259" s="37" t="s">
        <v>53</v>
      </c>
      <c r="C259" s="38"/>
    </row>
    <row r="260" spans="1:3" x14ac:dyDescent="0.3">
      <c r="A260" s="37" t="s">
        <v>2</v>
      </c>
      <c r="B260" s="37" t="s">
        <v>54</v>
      </c>
      <c r="C260" s="38"/>
    </row>
    <row r="261" spans="1:3" x14ac:dyDescent="0.3">
      <c r="A261" s="37" t="s">
        <v>2</v>
      </c>
      <c r="B261" s="37" t="s">
        <v>92</v>
      </c>
      <c r="C261" s="38">
        <v>105650</v>
      </c>
    </row>
    <row r="262" spans="1:3" x14ac:dyDescent="0.3">
      <c r="A262" s="37" t="s">
        <v>2</v>
      </c>
      <c r="B262" s="37" t="s">
        <v>53</v>
      </c>
      <c r="C262" s="38"/>
    </row>
    <row r="263" spans="1:3" x14ac:dyDescent="0.3">
      <c r="A263" s="37" t="s">
        <v>2</v>
      </c>
      <c r="B263" s="37" t="s">
        <v>93</v>
      </c>
      <c r="C263" s="38"/>
    </row>
    <row r="264" spans="1:3" x14ac:dyDescent="0.3">
      <c r="A264" s="37" t="s">
        <v>2</v>
      </c>
      <c r="B264" s="37" t="s">
        <v>53</v>
      </c>
      <c r="C264" s="38"/>
    </row>
    <row r="265" spans="1:3" x14ac:dyDescent="0.3">
      <c r="A265" s="37" t="s">
        <v>2</v>
      </c>
      <c r="B265" s="37" t="s">
        <v>53</v>
      </c>
      <c r="C265" s="38">
        <v>87500</v>
      </c>
    </row>
    <row r="266" spans="1:3" x14ac:dyDescent="0.3">
      <c r="A266" s="37" t="s">
        <v>2</v>
      </c>
      <c r="B266" s="37" t="s">
        <v>53</v>
      </c>
      <c r="C266" s="38"/>
    </row>
    <row r="267" spans="1:3" x14ac:dyDescent="0.3">
      <c r="A267" s="37" t="s">
        <v>2</v>
      </c>
      <c r="B267" s="37" t="s">
        <v>94</v>
      </c>
      <c r="C267" s="38">
        <v>44100</v>
      </c>
    </row>
    <row r="268" spans="1:3" x14ac:dyDescent="0.3">
      <c r="A268" s="37" t="s">
        <v>2</v>
      </c>
      <c r="B268" s="37" t="s">
        <v>53</v>
      </c>
      <c r="C268" s="38">
        <v>96500</v>
      </c>
    </row>
    <row r="269" spans="1:3" x14ac:dyDescent="0.3">
      <c r="A269" s="37" t="s">
        <v>2</v>
      </c>
      <c r="B269" s="37" t="s">
        <v>86</v>
      </c>
      <c r="C269" s="38">
        <v>56700</v>
      </c>
    </row>
    <row r="270" spans="1:3" x14ac:dyDescent="0.3">
      <c r="A270" s="37" t="s">
        <v>2</v>
      </c>
      <c r="B270" s="37" t="s">
        <v>53</v>
      </c>
      <c r="C270" s="38">
        <v>55000</v>
      </c>
    </row>
    <row r="271" spans="1:3" x14ac:dyDescent="0.3">
      <c r="A271" s="37" t="s">
        <v>2</v>
      </c>
      <c r="B271" s="37" t="s">
        <v>88</v>
      </c>
      <c r="C271" s="38">
        <v>111175</v>
      </c>
    </row>
    <row r="272" spans="1:3" x14ac:dyDescent="0.3">
      <c r="A272" s="37" t="s">
        <v>2</v>
      </c>
      <c r="B272" s="37" t="s">
        <v>53</v>
      </c>
      <c r="C272" s="38">
        <v>110000</v>
      </c>
    </row>
    <row r="273" spans="1:3" x14ac:dyDescent="0.3">
      <c r="A273" s="37" t="s">
        <v>2</v>
      </c>
      <c r="B273" s="37" t="s">
        <v>53</v>
      </c>
      <c r="C273" s="38">
        <v>115000</v>
      </c>
    </row>
    <row r="274" spans="1:3" x14ac:dyDescent="0.3">
      <c r="A274" s="37" t="s">
        <v>2</v>
      </c>
      <c r="B274" s="37" t="s">
        <v>53</v>
      </c>
      <c r="C274" s="38">
        <v>97500</v>
      </c>
    </row>
    <row r="275" spans="1:3" x14ac:dyDescent="0.3">
      <c r="A275" s="37" t="s">
        <v>2</v>
      </c>
      <c r="B275" s="37" t="s">
        <v>54</v>
      </c>
      <c r="C275" s="38">
        <v>125000</v>
      </c>
    </row>
    <row r="276" spans="1:3" x14ac:dyDescent="0.3">
      <c r="A276" s="37" t="s">
        <v>2</v>
      </c>
      <c r="B276" s="37" t="s">
        <v>53</v>
      </c>
      <c r="C276" s="38">
        <v>50388</v>
      </c>
    </row>
    <row r="277" spans="1:3" x14ac:dyDescent="0.3">
      <c r="A277" s="37" t="s">
        <v>2</v>
      </c>
      <c r="B277" s="37" t="s">
        <v>53</v>
      </c>
      <c r="C277" s="38">
        <v>110000</v>
      </c>
    </row>
    <row r="278" spans="1:3" x14ac:dyDescent="0.3">
      <c r="A278" s="37" t="s">
        <v>2</v>
      </c>
      <c r="B278" s="37" t="s">
        <v>95</v>
      </c>
      <c r="C278" s="38">
        <v>98500</v>
      </c>
    </row>
    <row r="279" spans="1:3" x14ac:dyDescent="0.3">
      <c r="A279" s="37" t="s">
        <v>2</v>
      </c>
      <c r="B279" s="37" t="s">
        <v>53</v>
      </c>
      <c r="C279" s="38"/>
    </row>
    <row r="280" spans="1:3" x14ac:dyDescent="0.3">
      <c r="A280" s="37" t="s">
        <v>2</v>
      </c>
      <c r="B280" s="37" t="s">
        <v>53</v>
      </c>
      <c r="C280" s="38">
        <v>92500</v>
      </c>
    </row>
    <row r="281" spans="1:3" x14ac:dyDescent="0.3">
      <c r="A281" s="37" t="s">
        <v>2</v>
      </c>
      <c r="B281" s="37" t="s">
        <v>53</v>
      </c>
      <c r="C281" s="38"/>
    </row>
    <row r="282" spans="1:3" x14ac:dyDescent="0.3">
      <c r="A282" s="37" t="s">
        <v>2</v>
      </c>
      <c r="B282" s="37" t="s">
        <v>53</v>
      </c>
      <c r="C282" s="38"/>
    </row>
    <row r="283" spans="1:3" x14ac:dyDescent="0.3">
      <c r="A283" s="37" t="s">
        <v>2</v>
      </c>
      <c r="B283" s="37" t="s">
        <v>53</v>
      </c>
      <c r="C283" s="38">
        <v>222500</v>
      </c>
    </row>
    <row r="284" spans="1:3" x14ac:dyDescent="0.3">
      <c r="A284" s="37" t="s">
        <v>2</v>
      </c>
      <c r="B284" s="37" t="s">
        <v>53</v>
      </c>
      <c r="C284" s="38">
        <v>83243</v>
      </c>
    </row>
    <row r="285" spans="1:3" x14ac:dyDescent="0.3">
      <c r="A285" s="37" t="s">
        <v>2</v>
      </c>
      <c r="B285" s="37" t="s">
        <v>53</v>
      </c>
      <c r="C285" s="38"/>
    </row>
    <row r="286" spans="1:3" x14ac:dyDescent="0.3">
      <c r="A286" s="37" t="s">
        <v>2</v>
      </c>
      <c r="B286" s="37" t="s">
        <v>53</v>
      </c>
      <c r="C286" s="38"/>
    </row>
    <row r="287" spans="1:3" x14ac:dyDescent="0.3">
      <c r="A287" s="37" t="s">
        <v>2</v>
      </c>
      <c r="B287" s="37" t="s">
        <v>53</v>
      </c>
      <c r="C287" s="38"/>
    </row>
    <row r="288" spans="1:3" x14ac:dyDescent="0.3">
      <c r="A288" s="37" t="s">
        <v>2</v>
      </c>
      <c r="B288" s="37" t="s">
        <v>53</v>
      </c>
      <c r="C288" s="38">
        <v>81682</v>
      </c>
    </row>
    <row r="289" spans="1:3" x14ac:dyDescent="0.3">
      <c r="A289" s="37" t="s">
        <v>2</v>
      </c>
      <c r="B289" s="37" t="s">
        <v>56</v>
      </c>
      <c r="C289" s="38">
        <v>111202</v>
      </c>
    </row>
    <row r="290" spans="1:3" x14ac:dyDescent="0.3">
      <c r="A290" s="37" t="s">
        <v>2</v>
      </c>
      <c r="B290" s="37" t="s">
        <v>65</v>
      </c>
      <c r="C290" s="38">
        <v>56700</v>
      </c>
    </row>
    <row r="291" spans="1:3" x14ac:dyDescent="0.3">
      <c r="A291" s="37" t="s">
        <v>2</v>
      </c>
      <c r="B291" s="37" t="s">
        <v>53</v>
      </c>
      <c r="C291" s="38">
        <v>137500</v>
      </c>
    </row>
    <row r="292" spans="1:3" x14ac:dyDescent="0.3">
      <c r="A292" s="37" t="s">
        <v>2</v>
      </c>
      <c r="B292" s="37" t="s">
        <v>53</v>
      </c>
      <c r="C292" s="38"/>
    </row>
    <row r="293" spans="1:3" x14ac:dyDescent="0.3">
      <c r="A293" s="37" t="s">
        <v>2</v>
      </c>
      <c r="B293" s="37" t="s">
        <v>53</v>
      </c>
      <c r="C293" s="38">
        <v>115000</v>
      </c>
    </row>
    <row r="294" spans="1:3" x14ac:dyDescent="0.3">
      <c r="A294" s="37" t="s">
        <v>2</v>
      </c>
      <c r="B294" s="37" t="s">
        <v>70</v>
      </c>
      <c r="C294" s="38">
        <v>165000</v>
      </c>
    </row>
    <row r="295" spans="1:3" x14ac:dyDescent="0.3">
      <c r="A295" s="37" t="s">
        <v>2</v>
      </c>
      <c r="B295" s="37" t="s">
        <v>54</v>
      </c>
      <c r="C295" s="38">
        <v>85000</v>
      </c>
    </row>
    <row r="296" spans="1:3" x14ac:dyDescent="0.3">
      <c r="A296" s="37" t="s">
        <v>2</v>
      </c>
      <c r="B296" s="37" t="s">
        <v>53</v>
      </c>
      <c r="C296" s="38"/>
    </row>
    <row r="297" spans="1:3" x14ac:dyDescent="0.3">
      <c r="A297" s="37" t="s">
        <v>2</v>
      </c>
      <c r="B297" s="37" t="s">
        <v>53</v>
      </c>
      <c r="C297" s="38">
        <v>72500</v>
      </c>
    </row>
    <row r="298" spans="1:3" x14ac:dyDescent="0.3">
      <c r="A298" s="37" t="s">
        <v>2</v>
      </c>
      <c r="B298" s="37" t="s">
        <v>53</v>
      </c>
      <c r="C298" s="38"/>
    </row>
    <row r="299" spans="1:3" x14ac:dyDescent="0.3">
      <c r="A299" s="37" t="s">
        <v>2</v>
      </c>
      <c r="B299" s="37" t="s">
        <v>96</v>
      </c>
      <c r="C299" s="38">
        <v>45000</v>
      </c>
    </row>
    <row r="300" spans="1:3" x14ac:dyDescent="0.3">
      <c r="A300" s="37" t="s">
        <v>2</v>
      </c>
      <c r="B300" s="37" t="s">
        <v>53</v>
      </c>
      <c r="C300" s="38">
        <v>46103</v>
      </c>
    </row>
    <row r="301" spans="1:3" x14ac:dyDescent="0.3">
      <c r="A301" s="37" t="s">
        <v>2</v>
      </c>
      <c r="B301" s="37" t="s">
        <v>53</v>
      </c>
      <c r="C301" s="38">
        <v>100000</v>
      </c>
    </row>
    <row r="302" spans="1:3" x14ac:dyDescent="0.3">
      <c r="A302" s="37" t="s">
        <v>2</v>
      </c>
      <c r="B302" s="37" t="s">
        <v>53</v>
      </c>
      <c r="C302" s="38"/>
    </row>
    <row r="303" spans="1:3" x14ac:dyDescent="0.3">
      <c r="A303" s="37" t="s">
        <v>2</v>
      </c>
      <c r="B303" s="37" t="s">
        <v>53</v>
      </c>
      <c r="C303" s="38">
        <v>50000</v>
      </c>
    </row>
    <row r="304" spans="1:3" x14ac:dyDescent="0.3">
      <c r="A304" s="37" t="s">
        <v>2</v>
      </c>
      <c r="B304" s="37" t="s">
        <v>53</v>
      </c>
      <c r="C304" s="38">
        <v>50000</v>
      </c>
    </row>
    <row r="305" spans="1:3" x14ac:dyDescent="0.3">
      <c r="A305" s="37" t="s">
        <v>2</v>
      </c>
      <c r="B305" s="37" t="s">
        <v>53</v>
      </c>
      <c r="C305" s="38"/>
    </row>
    <row r="306" spans="1:3" x14ac:dyDescent="0.3">
      <c r="A306" s="37" t="s">
        <v>2</v>
      </c>
      <c r="B306" s="37" t="s">
        <v>53</v>
      </c>
      <c r="C306" s="38">
        <v>67500</v>
      </c>
    </row>
    <row r="307" spans="1:3" x14ac:dyDescent="0.3">
      <c r="A307" s="37" t="s">
        <v>2</v>
      </c>
      <c r="B307" s="37" t="s">
        <v>53</v>
      </c>
      <c r="C307" s="38"/>
    </row>
    <row r="308" spans="1:3" x14ac:dyDescent="0.3">
      <c r="A308" s="37" t="s">
        <v>2</v>
      </c>
      <c r="B308" s="37" t="s">
        <v>53</v>
      </c>
      <c r="C308" s="38">
        <v>90000</v>
      </c>
    </row>
    <row r="309" spans="1:3" x14ac:dyDescent="0.3">
      <c r="A309" s="37" t="s">
        <v>2</v>
      </c>
      <c r="B309" s="37" t="s">
        <v>53</v>
      </c>
      <c r="C309" s="38">
        <v>63991</v>
      </c>
    </row>
    <row r="310" spans="1:3" x14ac:dyDescent="0.3">
      <c r="A310" s="37" t="s">
        <v>2</v>
      </c>
      <c r="B310" s="37" t="s">
        <v>53</v>
      </c>
      <c r="C310" s="38">
        <v>61266.3984375</v>
      </c>
    </row>
    <row r="311" spans="1:3" x14ac:dyDescent="0.3">
      <c r="A311" s="37" t="s">
        <v>2</v>
      </c>
      <c r="B311" s="37" t="s">
        <v>53</v>
      </c>
      <c r="C311" s="38"/>
    </row>
    <row r="312" spans="1:3" x14ac:dyDescent="0.3">
      <c r="A312" s="37" t="s">
        <v>2</v>
      </c>
      <c r="B312" s="37" t="s">
        <v>53</v>
      </c>
      <c r="C312" s="38">
        <v>85000</v>
      </c>
    </row>
    <row r="313" spans="1:3" x14ac:dyDescent="0.3">
      <c r="A313" s="37" t="s">
        <v>2</v>
      </c>
      <c r="B313" s="37" t="s">
        <v>53</v>
      </c>
      <c r="C313" s="38">
        <v>77500</v>
      </c>
    </row>
    <row r="314" spans="1:3" x14ac:dyDescent="0.3">
      <c r="A314" s="37" t="s">
        <v>2</v>
      </c>
      <c r="B314" s="37" t="s">
        <v>53</v>
      </c>
      <c r="C314" s="38"/>
    </row>
    <row r="315" spans="1:3" x14ac:dyDescent="0.3">
      <c r="A315" s="37" t="s">
        <v>2</v>
      </c>
      <c r="B315" s="37" t="s">
        <v>53</v>
      </c>
      <c r="C315" s="38"/>
    </row>
    <row r="316" spans="1:3" x14ac:dyDescent="0.3">
      <c r="A316" s="37" t="s">
        <v>2</v>
      </c>
      <c r="B316" s="37" t="s">
        <v>53</v>
      </c>
      <c r="C316" s="38">
        <v>51232</v>
      </c>
    </row>
    <row r="317" spans="1:3" x14ac:dyDescent="0.3">
      <c r="A317" s="37" t="s">
        <v>2</v>
      </c>
      <c r="B317" s="37" t="s">
        <v>73</v>
      </c>
      <c r="C317" s="38">
        <v>100500</v>
      </c>
    </row>
    <row r="318" spans="1:3" x14ac:dyDescent="0.3">
      <c r="A318" s="37" t="s">
        <v>2</v>
      </c>
      <c r="B318" s="37" t="s">
        <v>65</v>
      </c>
      <c r="C318" s="38">
        <v>51014</v>
      </c>
    </row>
    <row r="319" spans="1:3" x14ac:dyDescent="0.3">
      <c r="A319" s="37" t="s">
        <v>2</v>
      </c>
      <c r="B319" s="37" t="s">
        <v>53</v>
      </c>
      <c r="C319" s="38"/>
    </row>
    <row r="320" spans="1:3" x14ac:dyDescent="0.3">
      <c r="A320" s="37" t="s">
        <v>2</v>
      </c>
      <c r="B320" s="37" t="s">
        <v>53</v>
      </c>
      <c r="C320" s="38">
        <v>65000</v>
      </c>
    </row>
    <row r="321" spans="1:3" x14ac:dyDescent="0.3">
      <c r="A321" s="37" t="s">
        <v>2</v>
      </c>
      <c r="B321" s="37" t="s">
        <v>53</v>
      </c>
      <c r="C321" s="38">
        <v>55000</v>
      </c>
    </row>
    <row r="322" spans="1:3" x14ac:dyDescent="0.3">
      <c r="A322" s="37" t="s">
        <v>2</v>
      </c>
      <c r="B322" s="37" t="s">
        <v>53</v>
      </c>
      <c r="C322" s="38">
        <v>132315</v>
      </c>
    </row>
    <row r="323" spans="1:3" x14ac:dyDescent="0.3">
      <c r="A323" s="37" t="s">
        <v>2</v>
      </c>
      <c r="B323" s="37" t="s">
        <v>53</v>
      </c>
      <c r="C323" s="38"/>
    </row>
    <row r="324" spans="1:3" x14ac:dyDescent="0.3">
      <c r="A324" s="37" t="s">
        <v>2</v>
      </c>
      <c r="B324" s="37" t="s">
        <v>53</v>
      </c>
      <c r="C324" s="38">
        <v>146100</v>
      </c>
    </row>
    <row r="325" spans="1:3" x14ac:dyDescent="0.3">
      <c r="A325" s="37" t="s">
        <v>2</v>
      </c>
      <c r="B325" s="37" t="s">
        <v>53</v>
      </c>
      <c r="C325" s="38">
        <v>50000</v>
      </c>
    </row>
    <row r="326" spans="1:3" x14ac:dyDescent="0.3">
      <c r="A326" s="37" t="s">
        <v>2</v>
      </c>
      <c r="B326" s="37" t="s">
        <v>97</v>
      </c>
      <c r="C326" s="38">
        <v>51014</v>
      </c>
    </row>
    <row r="327" spans="1:3" x14ac:dyDescent="0.3">
      <c r="A327" s="37" t="s">
        <v>2</v>
      </c>
      <c r="B327" s="37" t="s">
        <v>53</v>
      </c>
      <c r="C327" s="38"/>
    </row>
    <row r="328" spans="1:3" x14ac:dyDescent="0.3">
      <c r="A328" s="37" t="s">
        <v>2</v>
      </c>
      <c r="B328" s="37" t="s">
        <v>53</v>
      </c>
      <c r="C328" s="38">
        <v>118000</v>
      </c>
    </row>
    <row r="329" spans="1:3" x14ac:dyDescent="0.3">
      <c r="A329" s="37" t="s">
        <v>2</v>
      </c>
      <c r="B329" s="37" t="s">
        <v>98</v>
      </c>
      <c r="C329" s="38">
        <v>200000</v>
      </c>
    </row>
    <row r="330" spans="1:3" x14ac:dyDescent="0.3">
      <c r="A330" s="37" t="s">
        <v>2</v>
      </c>
      <c r="B330" s="37" t="s">
        <v>53</v>
      </c>
      <c r="C330" s="38">
        <v>56000</v>
      </c>
    </row>
    <row r="331" spans="1:3" x14ac:dyDescent="0.3">
      <c r="A331" s="37" t="s">
        <v>2</v>
      </c>
      <c r="B331" s="37" t="s">
        <v>53</v>
      </c>
      <c r="C331" s="38">
        <v>77500</v>
      </c>
    </row>
    <row r="332" spans="1:3" x14ac:dyDescent="0.3">
      <c r="A332" s="37" t="s">
        <v>2</v>
      </c>
      <c r="B332" s="37" t="s">
        <v>53</v>
      </c>
      <c r="C332" s="38">
        <v>115000</v>
      </c>
    </row>
    <row r="333" spans="1:3" x14ac:dyDescent="0.3">
      <c r="A333" s="37" t="s">
        <v>2</v>
      </c>
      <c r="B333" s="37" t="s">
        <v>80</v>
      </c>
      <c r="C333" s="38">
        <v>111175</v>
      </c>
    </row>
    <row r="334" spans="1:3" x14ac:dyDescent="0.3">
      <c r="A334" s="37" t="s">
        <v>2</v>
      </c>
      <c r="B334" s="37" t="s">
        <v>53</v>
      </c>
      <c r="C334" s="38">
        <v>100000</v>
      </c>
    </row>
    <row r="335" spans="1:3" x14ac:dyDescent="0.3">
      <c r="A335" s="37" t="s">
        <v>2</v>
      </c>
      <c r="B335" s="37" t="s">
        <v>53</v>
      </c>
      <c r="C335" s="38">
        <v>155000</v>
      </c>
    </row>
    <row r="336" spans="1:3" x14ac:dyDescent="0.3">
      <c r="A336" s="37" t="s">
        <v>2</v>
      </c>
      <c r="B336" s="37" t="s">
        <v>53</v>
      </c>
      <c r="C336" s="38">
        <v>52500</v>
      </c>
    </row>
    <row r="337" spans="1:3" x14ac:dyDescent="0.3">
      <c r="A337" s="37" t="s">
        <v>2</v>
      </c>
      <c r="B337" s="37" t="s">
        <v>98</v>
      </c>
      <c r="C337" s="38">
        <v>98500</v>
      </c>
    </row>
    <row r="338" spans="1:3" x14ac:dyDescent="0.3">
      <c r="A338" s="37" t="s">
        <v>2</v>
      </c>
      <c r="B338" s="37" t="s">
        <v>53</v>
      </c>
      <c r="C338" s="38">
        <v>95000</v>
      </c>
    </row>
    <row r="339" spans="1:3" x14ac:dyDescent="0.3">
      <c r="A339" s="37" t="s">
        <v>2</v>
      </c>
      <c r="B339" s="37" t="s">
        <v>53</v>
      </c>
      <c r="C339" s="38">
        <v>133285</v>
      </c>
    </row>
    <row r="340" spans="1:3" x14ac:dyDescent="0.3">
      <c r="A340" s="37" t="s">
        <v>2</v>
      </c>
      <c r="B340" s="37" t="s">
        <v>69</v>
      </c>
      <c r="C340" s="38">
        <v>80850</v>
      </c>
    </row>
    <row r="341" spans="1:3" x14ac:dyDescent="0.3">
      <c r="A341" s="37" t="s">
        <v>2</v>
      </c>
      <c r="B341" s="37" t="s">
        <v>99</v>
      </c>
      <c r="C341" s="38">
        <v>98500</v>
      </c>
    </row>
    <row r="342" spans="1:3" x14ac:dyDescent="0.3">
      <c r="A342" s="37" t="s">
        <v>2</v>
      </c>
      <c r="B342" s="37" t="s">
        <v>53</v>
      </c>
      <c r="C342" s="38"/>
    </row>
    <row r="343" spans="1:3" x14ac:dyDescent="0.3">
      <c r="A343" s="37" t="s">
        <v>2</v>
      </c>
      <c r="B343" s="37" t="s">
        <v>53</v>
      </c>
      <c r="C343" s="38"/>
    </row>
    <row r="344" spans="1:3" x14ac:dyDescent="0.3">
      <c r="A344" s="37" t="s">
        <v>2</v>
      </c>
      <c r="B344" s="37" t="s">
        <v>54</v>
      </c>
      <c r="C344" s="38">
        <v>111175</v>
      </c>
    </row>
    <row r="345" spans="1:3" x14ac:dyDescent="0.3">
      <c r="A345" s="37" t="s">
        <v>2</v>
      </c>
      <c r="B345" s="37" t="s">
        <v>73</v>
      </c>
      <c r="C345" s="38">
        <v>147500</v>
      </c>
    </row>
    <row r="346" spans="1:3" x14ac:dyDescent="0.3">
      <c r="A346" s="37" t="s">
        <v>2</v>
      </c>
      <c r="B346" s="37" t="s">
        <v>53</v>
      </c>
      <c r="C346" s="38">
        <v>100000</v>
      </c>
    </row>
    <row r="347" spans="1:3" x14ac:dyDescent="0.3">
      <c r="A347" s="37" t="s">
        <v>2</v>
      </c>
      <c r="B347" s="37" t="s">
        <v>53</v>
      </c>
      <c r="C347" s="38">
        <v>70000</v>
      </c>
    </row>
    <row r="348" spans="1:3" x14ac:dyDescent="0.3">
      <c r="A348" s="37" t="s">
        <v>2</v>
      </c>
      <c r="B348" s="37" t="s">
        <v>53</v>
      </c>
      <c r="C348" s="38"/>
    </row>
    <row r="349" spans="1:3" x14ac:dyDescent="0.3">
      <c r="A349" s="37" t="s">
        <v>2</v>
      </c>
      <c r="B349" s="37" t="s">
        <v>53</v>
      </c>
      <c r="C349" s="38">
        <v>85000</v>
      </c>
    </row>
    <row r="350" spans="1:3" x14ac:dyDescent="0.3">
      <c r="A350" s="37" t="s">
        <v>2</v>
      </c>
      <c r="B350" s="37" t="s">
        <v>100</v>
      </c>
      <c r="C350" s="38">
        <v>79200</v>
      </c>
    </row>
    <row r="351" spans="1:3" x14ac:dyDescent="0.3">
      <c r="A351" s="37" t="s">
        <v>2</v>
      </c>
      <c r="B351" s="37" t="s">
        <v>53</v>
      </c>
      <c r="C351" s="38">
        <v>57000</v>
      </c>
    </row>
    <row r="352" spans="1:3" x14ac:dyDescent="0.3">
      <c r="A352" s="37" t="s">
        <v>2</v>
      </c>
      <c r="B352" s="37" t="s">
        <v>53</v>
      </c>
      <c r="C352" s="38">
        <v>45000</v>
      </c>
    </row>
    <row r="353" spans="1:3" x14ac:dyDescent="0.3">
      <c r="A353" s="37" t="s">
        <v>2</v>
      </c>
      <c r="B353" s="37" t="s">
        <v>53</v>
      </c>
      <c r="C353" s="38">
        <v>97500</v>
      </c>
    </row>
    <row r="354" spans="1:3" x14ac:dyDescent="0.3">
      <c r="A354" s="37" t="s">
        <v>2</v>
      </c>
      <c r="B354" s="37" t="s">
        <v>53</v>
      </c>
      <c r="C354" s="38">
        <v>115000</v>
      </c>
    </row>
    <row r="355" spans="1:3" x14ac:dyDescent="0.3">
      <c r="A355" s="37" t="s">
        <v>2</v>
      </c>
      <c r="B355" s="37" t="s">
        <v>53</v>
      </c>
      <c r="C355" s="38">
        <v>121065</v>
      </c>
    </row>
    <row r="356" spans="1:3" x14ac:dyDescent="0.3">
      <c r="A356" s="37" t="s">
        <v>2</v>
      </c>
      <c r="B356" s="37" t="s">
        <v>53</v>
      </c>
      <c r="C356" s="38">
        <v>218500</v>
      </c>
    </row>
    <row r="357" spans="1:3" x14ac:dyDescent="0.3">
      <c r="A357" s="37" t="s">
        <v>2</v>
      </c>
      <c r="B357" s="37" t="s">
        <v>53</v>
      </c>
      <c r="C357" s="38">
        <v>75000</v>
      </c>
    </row>
    <row r="358" spans="1:3" x14ac:dyDescent="0.3">
      <c r="A358" s="37" t="s">
        <v>2</v>
      </c>
      <c r="B358" s="37" t="s">
        <v>53</v>
      </c>
      <c r="C358" s="38"/>
    </row>
    <row r="359" spans="1:3" x14ac:dyDescent="0.3">
      <c r="A359" s="37" t="s">
        <v>2</v>
      </c>
      <c r="B359" s="37" t="s">
        <v>54</v>
      </c>
      <c r="C359" s="38">
        <v>112500</v>
      </c>
    </row>
    <row r="360" spans="1:3" x14ac:dyDescent="0.3">
      <c r="A360" s="37" t="s">
        <v>2</v>
      </c>
      <c r="B360" s="37" t="s">
        <v>53</v>
      </c>
      <c r="C360" s="38">
        <v>172015</v>
      </c>
    </row>
    <row r="361" spans="1:3" x14ac:dyDescent="0.3">
      <c r="A361" s="37" t="s">
        <v>2</v>
      </c>
      <c r="B361" s="37" t="s">
        <v>53</v>
      </c>
      <c r="C361" s="38">
        <v>104750</v>
      </c>
    </row>
    <row r="362" spans="1:3" x14ac:dyDescent="0.3">
      <c r="A362" s="37" t="s">
        <v>2</v>
      </c>
      <c r="B362" s="37" t="s">
        <v>53</v>
      </c>
      <c r="C362" s="38"/>
    </row>
    <row r="363" spans="1:3" x14ac:dyDescent="0.3">
      <c r="A363" s="37" t="s">
        <v>2</v>
      </c>
      <c r="B363" s="37" t="s">
        <v>53</v>
      </c>
      <c r="C363" s="38"/>
    </row>
    <row r="364" spans="1:3" x14ac:dyDescent="0.3">
      <c r="A364" s="37" t="s">
        <v>2</v>
      </c>
      <c r="B364" s="37" t="s">
        <v>53</v>
      </c>
      <c r="C364" s="38"/>
    </row>
    <row r="365" spans="1:3" x14ac:dyDescent="0.3">
      <c r="A365" s="37" t="s">
        <v>2</v>
      </c>
      <c r="B365" s="37" t="s">
        <v>53</v>
      </c>
      <c r="C365" s="38">
        <v>115000</v>
      </c>
    </row>
    <row r="366" spans="1:3" x14ac:dyDescent="0.3">
      <c r="A366" s="37" t="s">
        <v>2</v>
      </c>
      <c r="B366" s="37" t="s">
        <v>90</v>
      </c>
      <c r="C366" s="38">
        <v>51014</v>
      </c>
    </row>
    <row r="367" spans="1:3" x14ac:dyDescent="0.3">
      <c r="A367" s="37" t="s">
        <v>2</v>
      </c>
      <c r="B367" s="37" t="s">
        <v>73</v>
      </c>
      <c r="C367" s="38">
        <v>51014</v>
      </c>
    </row>
    <row r="368" spans="1:3" x14ac:dyDescent="0.3">
      <c r="A368" s="37" t="s">
        <v>2</v>
      </c>
      <c r="B368" s="37" t="s">
        <v>53</v>
      </c>
      <c r="C368" s="38">
        <v>52366.3984375</v>
      </c>
    </row>
    <row r="369" spans="1:3" x14ac:dyDescent="0.3">
      <c r="A369" s="37" t="s">
        <v>2</v>
      </c>
      <c r="B369" s="37" t="s">
        <v>53</v>
      </c>
      <c r="C369" s="38">
        <v>52500</v>
      </c>
    </row>
    <row r="370" spans="1:3" x14ac:dyDescent="0.3">
      <c r="A370" s="37" t="s">
        <v>2</v>
      </c>
      <c r="B370" s="37" t="s">
        <v>53</v>
      </c>
      <c r="C370" s="38">
        <v>57500</v>
      </c>
    </row>
    <row r="371" spans="1:3" x14ac:dyDescent="0.3">
      <c r="A371" s="37" t="s">
        <v>2</v>
      </c>
      <c r="B371" s="37" t="s">
        <v>53</v>
      </c>
      <c r="C371" s="38">
        <v>80000</v>
      </c>
    </row>
    <row r="372" spans="1:3" x14ac:dyDescent="0.3">
      <c r="A372" s="37" t="s">
        <v>2</v>
      </c>
      <c r="B372" s="37" t="s">
        <v>53</v>
      </c>
      <c r="C372" s="38">
        <v>111202</v>
      </c>
    </row>
    <row r="373" spans="1:3" x14ac:dyDescent="0.3">
      <c r="A373" s="37" t="s">
        <v>2</v>
      </c>
      <c r="B373" s="37" t="s">
        <v>53</v>
      </c>
      <c r="C373" s="38">
        <v>118222</v>
      </c>
    </row>
    <row r="374" spans="1:3" x14ac:dyDescent="0.3">
      <c r="A374" s="37" t="s">
        <v>2</v>
      </c>
      <c r="B374" s="37" t="s">
        <v>53</v>
      </c>
      <c r="C374" s="38"/>
    </row>
    <row r="375" spans="1:3" x14ac:dyDescent="0.3">
      <c r="A375" s="37" t="s">
        <v>2</v>
      </c>
      <c r="B375" s="37" t="s">
        <v>53</v>
      </c>
      <c r="C375" s="38"/>
    </row>
    <row r="376" spans="1:3" x14ac:dyDescent="0.3">
      <c r="A376" s="37" t="s">
        <v>2</v>
      </c>
      <c r="B376" s="37" t="s">
        <v>87</v>
      </c>
      <c r="C376" s="38">
        <v>51014</v>
      </c>
    </row>
    <row r="377" spans="1:3" x14ac:dyDescent="0.3">
      <c r="A377" s="37" t="s">
        <v>2</v>
      </c>
      <c r="B377" s="37" t="s">
        <v>97</v>
      </c>
      <c r="C377" s="38">
        <v>111202</v>
      </c>
    </row>
    <row r="378" spans="1:3" x14ac:dyDescent="0.3">
      <c r="A378" s="37" t="s">
        <v>2</v>
      </c>
      <c r="B378" s="37" t="s">
        <v>53</v>
      </c>
      <c r="C378" s="38">
        <v>55080</v>
      </c>
    </row>
    <row r="379" spans="1:3" x14ac:dyDescent="0.3">
      <c r="A379" s="37" t="s">
        <v>2</v>
      </c>
      <c r="B379" s="37" t="s">
        <v>53</v>
      </c>
      <c r="C379" s="38"/>
    </row>
    <row r="380" spans="1:3" x14ac:dyDescent="0.3">
      <c r="A380" s="37" t="s">
        <v>2</v>
      </c>
      <c r="B380" s="37" t="s">
        <v>53</v>
      </c>
      <c r="C380" s="38"/>
    </row>
    <row r="381" spans="1:3" x14ac:dyDescent="0.3">
      <c r="A381" s="37" t="s">
        <v>2</v>
      </c>
      <c r="B381" s="37" t="s">
        <v>53</v>
      </c>
      <c r="C381" s="38"/>
    </row>
    <row r="382" spans="1:3" x14ac:dyDescent="0.3">
      <c r="A382" s="37" t="s">
        <v>2</v>
      </c>
      <c r="B382" s="37" t="s">
        <v>73</v>
      </c>
      <c r="C382" s="38">
        <v>80850</v>
      </c>
    </row>
    <row r="383" spans="1:3" x14ac:dyDescent="0.3">
      <c r="A383" s="37" t="s">
        <v>2</v>
      </c>
      <c r="B383" s="37" t="s">
        <v>53</v>
      </c>
      <c r="C383" s="38"/>
    </row>
    <row r="384" spans="1:3" x14ac:dyDescent="0.3">
      <c r="A384" s="37" t="s">
        <v>2</v>
      </c>
      <c r="B384" s="37" t="s">
        <v>53</v>
      </c>
      <c r="C384" s="38"/>
    </row>
    <row r="385" spans="1:3" x14ac:dyDescent="0.3">
      <c r="A385" s="37" t="s">
        <v>2</v>
      </c>
      <c r="B385" s="37" t="s">
        <v>101</v>
      </c>
      <c r="C385" s="38">
        <v>45000</v>
      </c>
    </row>
    <row r="386" spans="1:3" x14ac:dyDescent="0.3">
      <c r="A386" s="37" t="s">
        <v>2</v>
      </c>
      <c r="B386" s="37" t="s">
        <v>53</v>
      </c>
      <c r="C386" s="38"/>
    </row>
    <row r="387" spans="1:3" x14ac:dyDescent="0.3">
      <c r="A387" s="37" t="s">
        <v>2</v>
      </c>
      <c r="B387" s="37" t="s">
        <v>54</v>
      </c>
      <c r="C387" s="38"/>
    </row>
    <row r="388" spans="1:3" x14ac:dyDescent="0.3">
      <c r="A388" s="37" t="s">
        <v>2</v>
      </c>
      <c r="B388" s="37" t="s">
        <v>53</v>
      </c>
      <c r="C388" s="38">
        <v>85000</v>
      </c>
    </row>
    <row r="389" spans="1:3" x14ac:dyDescent="0.3">
      <c r="A389" s="37" t="s">
        <v>2</v>
      </c>
      <c r="B389" s="37" t="s">
        <v>53</v>
      </c>
      <c r="C389" s="38"/>
    </row>
    <row r="390" spans="1:3" x14ac:dyDescent="0.3">
      <c r="A390" s="37" t="s">
        <v>2</v>
      </c>
      <c r="B390" s="37" t="s">
        <v>53</v>
      </c>
      <c r="C390" s="38">
        <v>60000</v>
      </c>
    </row>
    <row r="391" spans="1:3" x14ac:dyDescent="0.3">
      <c r="A391" s="37" t="s">
        <v>2</v>
      </c>
      <c r="B391" s="37" t="s">
        <v>65</v>
      </c>
      <c r="C391" s="38">
        <v>111175</v>
      </c>
    </row>
    <row r="392" spans="1:3" x14ac:dyDescent="0.3">
      <c r="A392" s="37" t="s">
        <v>2</v>
      </c>
      <c r="B392" s="37" t="s">
        <v>53</v>
      </c>
      <c r="C392" s="38"/>
    </row>
    <row r="393" spans="1:3" x14ac:dyDescent="0.3">
      <c r="A393" s="37" t="s">
        <v>2</v>
      </c>
      <c r="B393" s="37" t="s">
        <v>53</v>
      </c>
      <c r="C393" s="38">
        <v>75000</v>
      </c>
    </row>
    <row r="394" spans="1:3" x14ac:dyDescent="0.3">
      <c r="A394" s="37" t="s">
        <v>2</v>
      </c>
      <c r="B394" s="37" t="s">
        <v>53</v>
      </c>
      <c r="C394" s="38"/>
    </row>
    <row r="395" spans="1:3" x14ac:dyDescent="0.3">
      <c r="A395" s="37" t="s">
        <v>2</v>
      </c>
      <c r="B395" s="37" t="s">
        <v>53</v>
      </c>
      <c r="C395" s="38"/>
    </row>
    <row r="396" spans="1:3" x14ac:dyDescent="0.3">
      <c r="A396" s="37" t="s">
        <v>2</v>
      </c>
      <c r="B396" s="37" t="s">
        <v>53</v>
      </c>
      <c r="C396" s="38"/>
    </row>
    <row r="397" spans="1:3" x14ac:dyDescent="0.3">
      <c r="A397" s="37" t="s">
        <v>2</v>
      </c>
      <c r="B397" s="37" t="s">
        <v>69</v>
      </c>
      <c r="C397" s="38">
        <v>166419.5</v>
      </c>
    </row>
    <row r="398" spans="1:3" x14ac:dyDescent="0.3">
      <c r="A398" s="37" t="s">
        <v>2</v>
      </c>
      <c r="B398" s="37" t="s">
        <v>53</v>
      </c>
      <c r="C398" s="38">
        <v>95000</v>
      </c>
    </row>
    <row r="399" spans="1:3" x14ac:dyDescent="0.3">
      <c r="A399" s="37" t="s">
        <v>2</v>
      </c>
      <c r="B399" s="37" t="s">
        <v>53</v>
      </c>
      <c r="C399" s="38">
        <v>87500</v>
      </c>
    </row>
    <row r="400" spans="1:3" x14ac:dyDescent="0.3">
      <c r="A400" s="37" t="s">
        <v>2</v>
      </c>
      <c r="B400" s="37" t="s">
        <v>56</v>
      </c>
      <c r="C400" s="38">
        <v>111175</v>
      </c>
    </row>
    <row r="401" spans="1:3" x14ac:dyDescent="0.3">
      <c r="A401" s="37" t="s">
        <v>2</v>
      </c>
      <c r="B401" s="37" t="s">
        <v>53</v>
      </c>
      <c r="C401" s="38"/>
    </row>
    <row r="402" spans="1:3" x14ac:dyDescent="0.3">
      <c r="A402" s="37" t="s">
        <v>2</v>
      </c>
      <c r="B402" s="37" t="s">
        <v>53</v>
      </c>
      <c r="C402" s="38">
        <v>72500</v>
      </c>
    </row>
    <row r="403" spans="1:3" x14ac:dyDescent="0.3">
      <c r="A403" s="37" t="s">
        <v>2</v>
      </c>
      <c r="B403" s="37" t="s">
        <v>53</v>
      </c>
      <c r="C403" s="38"/>
    </row>
    <row r="404" spans="1:3" x14ac:dyDescent="0.3">
      <c r="A404" s="37" t="s">
        <v>2</v>
      </c>
      <c r="B404" s="37" t="s">
        <v>53</v>
      </c>
      <c r="C404" s="38"/>
    </row>
    <row r="405" spans="1:3" x14ac:dyDescent="0.3">
      <c r="A405" s="37" t="s">
        <v>2</v>
      </c>
      <c r="B405" s="37" t="s">
        <v>53</v>
      </c>
      <c r="C405" s="38"/>
    </row>
    <row r="406" spans="1:3" x14ac:dyDescent="0.3">
      <c r="A406" s="37" t="s">
        <v>2</v>
      </c>
      <c r="B406" s="37" t="s">
        <v>53</v>
      </c>
      <c r="C406" s="38">
        <v>65000</v>
      </c>
    </row>
    <row r="407" spans="1:3" x14ac:dyDescent="0.3">
      <c r="A407" s="37" t="s">
        <v>2</v>
      </c>
      <c r="B407" s="37" t="s">
        <v>53</v>
      </c>
      <c r="C407" s="38"/>
    </row>
    <row r="408" spans="1:3" x14ac:dyDescent="0.3">
      <c r="A408" s="37" t="s">
        <v>2</v>
      </c>
      <c r="B408" s="37" t="s">
        <v>53</v>
      </c>
      <c r="C408" s="38">
        <v>95000</v>
      </c>
    </row>
    <row r="409" spans="1:3" x14ac:dyDescent="0.3">
      <c r="A409" s="37" t="s">
        <v>2</v>
      </c>
      <c r="B409" s="37" t="s">
        <v>53</v>
      </c>
      <c r="C409" s="38">
        <v>65000</v>
      </c>
    </row>
    <row r="410" spans="1:3" x14ac:dyDescent="0.3">
      <c r="A410" s="37" t="s">
        <v>2</v>
      </c>
      <c r="B410" s="37" t="s">
        <v>102</v>
      </c>
      <c r="C410" s="38">
        <v>59000</v>
      </c>
    </row>
    <row r="411" spans="1:3" x14ac:dyDescent="0.3">
      <c r="A411" s="37" t="s">
        <v>2</v>
      </c>
      <c r="B411" s="37" t="s">
        <v>53</v>
      </c>
      <c r="C411" s="38"/>
    </row>
    <row r="412" spans="1:3" x14ac:dyDescent="0.3">
      <c r="A412" s="37" t="s">
        <v>2</v>
      </c>
      <c r="B412" s="37" t="s">
        <v>53</v>
      </c>
      <c r="C412" s="38"/>
    </row>
    <row r="413" spans="1:3" x14ac:dyDescent="0.3">
      <c r="A413" s="37" t="s">
        <v>2</v>
      </c>
      <c r="B413" s="37" t="s">
        <v>73</v>
      </c>
      <c r="C413" s="38">
        <v>111175</v>
      </c>
    </row>
    <row r="414" spans="1:3" x14ac:dyDescent="0.3">
      <c r="A414" s="37" t="s">
        <v>2</v>
      </c>
      <c r="B414" s="37" t="s">
        <v>98</v>
      </c>
      <c r="C414" s="38">
        <v>163782</v>
      </c>
    </row>
    <row r="415" spans="1:3" x14ac:dyDescent="0.3">
      <c r="A415" s="37" t="s">
        <v>2</v>
      </c>
      <c r="B415" s="37" t="s">
        <v>53</v>
      </c>
      <c r="C415" s="38"/>
    </row>
    <row r="416" spans="1:3" x14ac:dyDescent="0.3">
      <c r="A416" s="37" t="s">
        <v>2</v>
      </c>
      <c r="B416" s="37" t="s">
        <v>64</v>
      </c>
      <c r="C416" s="38">
        <v>109500</v>
      </c>
    </row>
    <row r="417" spans="1:3" x14ac:dyDescent="0.3">
      <c r="A417" s="37" t="s">
        <v>2</v>
      </c>
      <c r="B417" s="37" t="s">
        <v>53</v>
      </c>
      <c r="C417" s="38"/>
    </row>
    <row r="418" spans="1:3" x14ac:dyDescent="0.3">
      <c r="A418" s="37" t="s">
        <v>2</v>
      </c>
      <c r="B418" s="37" t="s">
        <v>54</v>
      </c>
      <c r="C418" s="38"/>
    </row>
    <row r="419" spans="1:3" x14ac:dyDescent="0.3">
      <c r="A419" s="37" t="s">
        <v>2</v>
      </c>
      <c r="B419" s="37" t="s">
        <v>53</v>
      </c>
      <c r="C419" s="38">
        <v>130000</v>
      </c>
    </row>
    <row r="420" spans="1:3" x14ac:dyDescent="0.3">
      <c r="A420" s="37" t="s">
        <v>2</v>
      </c>
      <c r="B420" s="37" t="s">
        <v>53</v>
      </c>
      <c r="C420" s="38"/>
    </row>
    <row r="421" spans="1:3" x14ac:dyDescent="0.3">
      <c r="A421" s="37" t="s">
        <v>2</v>
      </c>
      <c r="B421" s="37" t="s">
        <v>63</v>
      </c>
      <c r="C421" s="38">
        <v>45000</v>
      </c>
    </row>
    <row r="422" spans="1:3" x14ac:dyDescent="0.3">
      <c r="A422" s="37" t="s">
        <v>2</v>
      </c>
      <c r="B422" s="37" t="s">
        <v>53</v>
      </c>
      <c r="C422" s="38">
        <v>82500</v>
      </c>
    </row>
    <row r="423" spans="1:3" x14ac:dyDescent="0.3">
      <c r="A423" s="37" t="s">
        <v>2</v>
      </c>
      <c r="B423" s="37" t="s">
        <v>53</v>
      </c>
      <c r="C423" s="38">
        <v>43656</v>
      </c>
    </row>
    <row r="424" spans="1:3" x14ac:dyDescent="0.3">
      <c r="A424" s="37" t="s">
        <v>2</v>
      </c>
      <c r="B424" s="37" t="s">
        <v>53</v>
      </c>
      <c r="C424" s="38">
        <v>70600</v>
      </c>
    </row>
    <row r="425" spans="1:3" x14ac:dyDescent="0.3">
      <c r="A425" s="37" t="s">
        <v>2</v>
      </c>
      <c r="B425" s="37" t="s">
        <v>53</v>
      </c>
      <c r="C425" s="38"/>
    </row>
    <row r="426" spans="1:3" x14ac:dyDescent="0.3">
      <c r="A426" s="37" t="s">
        <v>2</v>
      </c>
      <c r="B426" s="37" t="s">
        <v>53</v>
      </c>
      <c r="C426" s="38"/>
    </row>
    <row r="427" spans="1:3" x14ac:dyDescent="0.3">
      <c r="A427" s="37" t="s">
        <v>2</v>
      </c>
      <c r="B427" s="37" t="s">
        <v>53</v>
      </c>
      <c r="C427" s="38"/>
    </row>
    <row r="428" spans="1:3" x14ac:dyDescent="0.3">
      <c r="A428" s="37" t="s">
        <v>2</v>
      </c>
      <c r="B428" s="37" t="s">
        <v>53</v>
      </c>
      <c r="C428" s="38">
        <v>140000</v>
      </c>
    </row>
    <row r="429" spans="1:3" x14ac:dyDescent="0.3">
      <c r="A429" s="37" t="s">
        <v>2</v>
      </c>
      <c r="B429" s="37" t="s">
        <v>67</v>
      </c>
      <c r="C429" s="38">
        <v>111202</v>
      </c>
    </row>
    <row r="430" spans="1:3" x14ac:dyDescent="0.3">
      <c r="A430" s="37" t="s">
        <v>2</v>
      </c>
      <c r="B430" s="37" t="s">
        <v>53</v>
      </c>
      <c r="C430" s="38"/>
    </row>
    <row r="431" spans="1:3" x14ac:dyDescent="0.3">
      <c r="A431" s="37" t="s">
        <v>2</v>
      </c>
      <c r="B431" s="37" t="s">
        <v>53</v>
      </c>
      <c r="C431" s="38">
        <v>90000</v>
      </c>
    </row>
    <row r="432" spans="1:3" x14ac:dyDescent="0.3">
      <c r="A432" s="37" t="s">
        <v>2</v>
      </c>
      <c r="B432" s="37" t="s">
        <v>53</v>
      </c>
      <c r="C432" s="38">
        <v>90000</v>
      </c>
    </row>
    <row r="433" spans="1:3" x14ac:dyDescent="0.3">
      <c r="A433" s="37" t="s">
        <v>2</v>
      </c>
      <c r="B433" s="37" t="s">
        <v>53</v>
      </c>
      <c r="C433" s="38"/>
    </row>
    <row r="434" spans="1:3" x14ac:dyDescent="0.3">
      <c r="A434" s="37" t="s">
        <v>2</v>
      </c>
      <c r="B434" s="37" t="s">
        <v>53</v>
      </c>
      <c r="C434" s="38">
        <v>67043</v>
      </c>
    </row>
    <row r="435" spans="1:3" x14ac:dyDescent="0.3">
      <c r="A435" s="37" t="s">
        <v>2</v>
      </c>
      <c r="B435" s="37" t="s">
        <v>53</v>
      </c>
      <c r="C435" s="38"/>
    </row>
    <row r="436" spans="1:3" x14ac:dyDescent="0.3">
      <c r="A436" s="37" t="s">
        <v>2</v>
      </c>
      <c r="B436" s="37" t="s">
        <v>88</v>
      </c>
      <c r="C436" s="38">
        <v>104500</v>
      </c>
    </row>
    <row r="437" spans="1:3" x14ac:dyDescent="0.3">
      <c r="A437" s="37" t="s">
        <v>2</v>
      </c>
      <c r="B437" s="37" t="s">
        <v>103</v>
      </c>
      <c r="C437" s="38">
        <v>72900</v>
      </c>
    </row>
    <row r="438" spans="1:3" x14ac:dyDescent="0.3">
      <c r="A438" s="37" t="s">
        <v>2</v>
      </c>
      <c r="B438" s="37" t="s">
        <v>53</v>
      </c>
      <c r="C438" s="38">
        <v>80000</v>
      </c>
    </row>
    <row r="439" spans="1:3" x14ac:dyDescent="0.3">
      <c r="A439" s="37" t="s">
        <v>2</v>
      </c>
      <c r="B439" s="37" t="s">
        <v>53</v>
      </c>
      <c r="C439" s="38"/>
    </row>
    <row r="440" spans="1:3" x14ac:dyDescent="0.3">
      <c r="A440" s="37" t="s">
        <v>2</v>
      </c>
      <c r="B440" s="37" t="s">
        <v>53</v>
      </c>
      <c r="C440" s="38"/>
    </row>
    <row r="441" spans="1:3" x14ac:dyDescent="0.3">
      <c r="A441" s="37" t="s">
        <v>2</v>
      </c>
      <c r="B441" s="37" t="s">
        <v>53</v>
      </c>
      <c r="C441" s="38"/>
    </row>
    <row r="442" spans="1:3" x14ac:dyDescent="0.3">
      <c r="A442" s="37" t="s">
        <v>2</v>
      </c>
      <c r="B442" s="37" t="s">
        <v>54</v>
      </c>
      <c r="C442" s="38"/>
    </row>
    <row r="443" spans="1:3" x14ac:dyDescent="0.3">
      <c r="A443" s="37" t="s">
        <v>2</v>
      </c>
      <c r="B443" s="37" t="s">
        <v>53</v>
      </c>
      <c r="C443" s="38">
        <v>91960</v>
      </c>
    </row>
    <row r="444" spans="1:3" x14ac:dyDescent="0.3">
      <c r="A444" s="37" t="s">
        <v>2</v>
      </c>
      <c r="B444" s="37" t="s">
        <v>75</v>
      </c>
      <c r="C444" s="38">
        <v>165000</v>
      </c>
    </row>
    <row r="445" spans="1:3" x14ac:dyDescent="0.3">
      <c r="A445" s="37" t="s">
        <v>2</v>
      </c>
      <c r="B445" s="37" t="s">
        <v>70</v>
      </c>
      <c r="C445" s="38">
        <v>111175</v>
      </c>
    </row>
    <row r="446" spans="1:3" x14ac:dyDescent="0.3">
      <c r="A446" s="37" t="s">
        <v>2</v>
      </c>
      <c r="B446" s="37" t="s">
        <v>53</v>
      </c>
      <c r="C446" s="38">
        <v>65000</v>
      </c>
    </row>
    <row r="447" spans="1:3" x14ac:dyDescent="0.3">
      <c r="A447" s="37" t="s">
        <v>2</v>
      </c>
      <c r="B447" s="37" t="s">
        <v>53</v>
      </c>
      <c r="C447" s="38">
        <v>61313.82421875</v>
      </c>
    </row>
    <row r="448" spans="1:3" x14ac:dyDescent="0.3">
      <c r="A448" s="37" t="s">
        <v>2</v>
      </c>
      <c r="B448" s="37" t="s">
        <v>53</v>
      </c>
      <c r="C448" s="38">
        <v>66058</v>
      </c>
    </row>
    <row r="449" spans="1:3" x14ac:dyDescent="0.3">
      <c r="A449" s="37" t="s">
        <v>2</v>
      </c>
      <c r="B449" s="37" t="s">
        <v>53</v>
      </c>
      <c r="C449" s="38">
        <v>93670</v>
      </c>
    </row>
    <row r="450" spans="1:3" x14ac:dyDescent="0.3">
      <c r="A450" s="37" t="s">
        <v>2</v>
      </c>
      <c r="B450" s="37" t="s">
        <v>53</v>
      </c>
      <c r="C450" s="38">
        <v>115000</v>
      </c>
    </row>
    <row r="451" spans="1:3" x14ac:dyDescent="0.3">
      <c r="A451" s="37" t="s">
        <v>2</v>
      </c>
      <c r="B451" s="37" t="s">
        <v>65</v>
      </c>
      <c r="C451" s="38">
        <v>165000</v>
      </c>
    </row>
    <row r="452" spans="1:3" x14ac:dyDescent="0.3">
      <c r="A452" s="37" t="s">
        <v>2</v>
      </c>
      <c r="B452" s="37" t="s">
        <v>53</v>
      </c>
      <c r="C452" s="38">
        <v>65000</v>
      </c>
    </row>
    <row r="453" spans="1:3" x14ac:dyDescent="0.3">
      <c r="A453" s="37" t="s">
        <v>2</v>
      </c>
      <c r="B453" s="37" t="s">
        <v>53</v>
      </c>
      <c r="C453" s="38"/>
    </row>
    <row r="454" spans="1:3" x14ac:dyDescent="0.3">
      <c r="A454" s="37" t="s">
        <v>2</v>
      </c>
      <c r="B454" s="37" t="s">
        <v>53</v>
      </c>
      <c r="C454" s="38">
        <v>112500</v>
      </c>
    </row>
    <row r="455" spans="1:3" x14ac:dyDescent="0.3">
      <c r="A455" s="37" t="s">
        <v>2</v>
      </c>
      <c r="B455" s="37" t="s">
        <v>53</v>
      </c>
      <c r="C455" s="38"/>
    </row>
    <row r="456" spans="1:3" x14ac:dyDescent="0.3">
      <c r="A456" s="37" t="s">
        <v>2</v>
      </c>
      <c r="B456" s="37" t="s">
        <v>53</v>
      </c>
      <c r="C456" s="38"/>
    </row>
    <row r="457" spans="1:3" x14ac:dyDescent="0.3">
      <c r="A457" s="37" t="s">
        <v>2</v>
      </c>
      <c r="B457" s="37" t="s">
        <v>104</v>
      </c>
      <c r="C457" s="38">
        <v>111175</v>
      </c>
    </row>
    <row r="458" spans="1:3" x14ac:dyDescent="0.3">
      <c r="A458" s="37" t="s">
        <v>2</v>
      </c>
      <c r="B458" s="37" t="s">
        <v>53</v>
      </c>
      <c r="C458" s="38"/>
    </row>
    <row r="459" spans="1:3" x14ac:dyDescent="0.3">
      <c r="A459" s="37" t="s">
        <v>2</v>
      </c>
      <c r="B459" s="37" t="s">
        <v>53</v>
      </c>
      <c r="C459" s="38"/>
    </row>
    <row r="460" spans="1:3" x14ac:dyDescent="0.3">
      <c r="A460" s="37" t="s">
        <v>2</v>
      </c>
      <c r="B460" s="37" t="s">
        <v>53</v>
      </c>
      <c r="C460" s="38">
        <v>65000</v>
      </c>
    </row>
    <row r="461" spans="1:3" x14ac:dyDescent="0.3">
      <c r="A461" s="37" t="s">
        <v>2</v>
      </c>
      <c r="B461" s="37" t="s">
        <v>53</v>
      </c>
      <c r="C461" s="38">
        <v>217000</v>
      </c>
    </row>
    <row r="462" spans="1:3" x14ac:dyDescent="0.3">
      <c r="A462" s="37" t="s">
        <v>2</v>
      </c>
      <c r="B462" s="37" t="s">
        <v>53</v>
      </c>
      <c r="C462" s="38">
        <v>77500</v>
      </c>
    </row>
    <row r="463" spans="1:3" x14ac:dyDescent="0.3">
      <c r="A463" s="37" t="s">
        <v>2</v>
      </c>
      <c r="B463" s="37" t="s">
        <v>53</v>
      </c>
      <c r="C463" s="38"/>
    </row>
    <row r="464" spans="1:3" x14ac:dyDescent="0.3">
      <c r="A464" s="37" t="s">
        <v>2</v>
      </c>
      <c r="B464" s="37" t="s">
        <v>53</v>
      </c>
      <c r="C464" s="38">
        <v>55000</v>
      </c>
    </row>
    <row r="465" spans="1:3" x14ac:dyDescent="0.3">
      <c r="A465" s="37" t="s">
        <v>2</v>
      </c>
      <c r="B465" s="37" t="s">
        <v>83</v>
      </c>
      <c r="C465" s="38">
        <v>111175</v>
      </c>
    </row>
    <row r="466" spans="1:3" x14ac:dyDescent="0.3">
      <c r="A466" s="37" t="s">
        <v>2</v>
      </c>
      <c r="B466" s="37" t="s">
        <v>64</v>
      </c>
      <c r="C466" s="38">
        <v>111175</v>
      </c>
    </row>
    <row r="467" spans="1:3" x14ac:dyDescent="0.3">
      <c r="A467" s="37" t="s">
        <v>2</v>
      </c>
      <c r="B467" s="37" t="s">
        <v>105</v>
      </c>
      <c r="C467" s="38">
        <v>79200</v>
      </c>
    </row>
    <row r="468" spans="1:3" x14ac:dyDescent="0.3">
      <c r="A468" s="37" t="s">
        <v>2</v>
      </c>
      <c r="B468" s="37" t="s">
        <v>64</v>
      </c>
      <c r="C468" s="38">
        <v>100500</v>
      </c>
    </row>
    <row r="469" spans="1:3" x14ac:dyDescent="0.3">
      <c r="A469" s="37" t="s">
        <v>2</v>
      </c>
      <c r="B469" s="37" t="s">
        <v>53</v>
      </c>
      <c r="C469" s="38">
        <v>180000</v>
      </c>
    </row>
    <row r="470" spans="1:3" x14ac:dyDescent="0.3">
      <c r="A470" s="37" t="s">
        <v>2</v>
      </c>
      <c r="B470" s="37" t="s">
        <v>53</v>
      </c>
      <c r="C470" s="38"/>
    </row>
    <row r="471" spans="1:3" x14ac:dyDescent="0.3">
      <c r="A471" s="37" t="s">
        <v>2</v>
      </c>
      <c r="B471" s="37" t="s">
        <v>53</v>
      </c>
      <c r="C471" s="38"/>
    </row>
    <row r="472" spans="1:3" x14ac:dyDescent="0.3">
      <c r="A472" s="37" t="s">
        <v>2</v>
      </c>
      <c r="B472" s="37" t="s">
        <v>53</v>
      </c>
      <c r="C472" s="38">
        <v>60000</v>
      </c>
    </row>
    <row r="473" spans="1:3" x14ac:dyDescent="0.3">
      <c r="A473" s="37" t="s">
        <v>2</v>
      </c>
      <c r="B473" s="37" t="s">
        <v>53</v>
      </c>
      <c r="C473" s="38"/>
    </row>
    <row r="474" spans="1:3" x14ac:dyDescent="0.3">
      <c r="A474" s="37" t="s">
        <v>2</v>
      </c>
      <c r="B474" s="37" t="s">
        <v>53</v>
      </c>
      <c r="C474" s="38">
        <v>70087</v>
      </c>
    </row>
    <row r="475" spans="1:3" x14ac:dyDescent="0.3">
      <c r="A475" s="37" t="s">
        <v>2</v>
      </c>
      <c r="B475" s="37" t="s">
        <v>53</v>
      </c>
      <c r="C475" s="38">
        <v>52000</v>
      </c>
    </row>
    <row r="476" spans="1:3" x14ac:dyDescent="0.3">
      <c r="A476" s="37" t="s">
        <v>2</v>
      </c>
      <c r="B476" s="37" t="s">
        <v>53</v>
      </c>
      <c r="C476" s="38">
        <v>65000</v>
      </c>
    </row>
    <row r="477" spans="1:3" x14ac:dyDescent="0.3">
      <c r="A477" s="37" t="s">
        <v>2</v>
      </c>
      <c r="B477" s="37" t="s">
        <v>97</v>
      </c>
      <c r="C477" s="38">
        <v>105650</v>
      </c>
    </row>
    <row r="478" spans="1:3" x14ac:dyDescent="0.3">
      <c r="A478" s="37" t="s">
        <v>2</v>
      </c>
      <c r="B478" s="37" t="s">
        <v>53</v>
      </c>
      <c r="C478" s="38"/>
    </row>
    <row r="479" spans="1:3" x14ac:dyDescent="0.3">
      <c r="A479" s="37" t="s">
        <v>2</v>
      </c>
      <c r="B479" s="37" t="s">
        <v>53</v>
      </c>
      <c r="C479" s="38">
        <v>59192.5</v>
      </c>
    </row>
    <row r="480" spans="1:3" x14ac:dyDescent="0.3">
      <c r="A480" s="37" t="s">
        <v>2</v>
      </c>
      <c r="B480" s="37" t="s">
        <v>53</v>
      </c>
      <c r="C480" s="38">
        <v>109159</v>
      </c>
    </row>
    <row r="481" spans="1:3" x14ac:dyDescent="0.3">
      <c r="A481" s="37" t="s">
        <v>2</v>
      </c>
      <c r="B481" s="37" t="s">
        <v>53</v>
      </c>
      <c r="C481" s="38"/>
    </row>
    <row r="482" spans="1:3" x14ac:dyDescent="0.3">
      <c r="A482" s="37" t="s">
        <v>2</v>
      </c>
      <c r="B482" s="37" t="s">
        <v>53</v>
      </c>
      <c r="C482" s="38">
        <v>86500</v>
      </c>
    </row>
    <row r="483" spans="1:3" x14ac:dyDescent="0.3">
      <c r="A483" s="37" t="s">
        <v>2</v>
      </c>
      <c r="B483" s="37" t="s">
        <v>53</v>
      </c>
      <c r="C483" s="38"/>
    </row>
    <row r="484" spans="1:3" x14ac:dyDescent="0.3">
      <c r="A484" s="37" t="s">
        <v>2</v>
      </c>
      <c r="B484" s="37" t="s">
        <v>53</v>
      </c>
      <c r="C484" s="38">
        <v>65000</v>
      </c>
    </row>
    <row r="485" spans="1:3" x14ac:dyDescent="0.3">
      <c r="A485" s="37" t="s">
        <v>2</v>
      </c>
      <c r="B485" s="37" t="s">
        <v>53</v>
      </c>
      <c r="C485" s="38">
        <v>95000</v>
      </c>
    </row>
    <row r="486" spans="1:3" x14ac:dyDescent="0.3">
      <c r="A486" s="37" t="s">
        <v>2</v>
      </c>
      <c r="B486" s="37" t="s">
        <v>53</v>
      </c>
      <c r="C486" s="38">
        <v>51059</v>
      </c>
    </row>
    <row r="487" spans="1:3" x14ac:dyDescent="0.3">
      <c r="A487" s="37" t="s">
        <v>2</v>
      </c>
      <c r="B487" s="37" t="s">
        <v>53</v>
      </c>
      <c r="C487" s="38">
        <v>64105</v>
      </c>
    </row>
    <row r="488" spans="1:3" x14ac:dyDescent="0.3">
      <c r="A488" s="37" t="s">
        <v>2</v>
      </c>
      <c r="B488" s="37" t="s">
        <v>53</v>
      </c>
      <c r="C488" s="38">
        <v>90000</v>
      </c>
    </row>
    <row r="489" spans="1:3" x14ac:dyDescent="0.3">
      <c r="A489" s="37" t="s">
        <v>2</v>
      </c>
      <c r="B489" s="37" t="s">
        <v>58</v>
      </c>
      <c r="C489" s="38"/>
    </row>
    <row r="490" spans="1:3" x14ac:dyDescent="0.3">
      <c r="A490" s="37" t="s">
        <v>2</v>
      </c>
      <c r="B490" s="37" t="s">
        <v>53</v>
      </c>
      <c r="C490" s="38">
        <v>130000</v>
      </c>
    </row>
    <row r="491" spans="1:3" x14ac:dyDescent="0.3">
      <c r="A491" s="37" t="s">
        <v>2</v>
      </c>
      <c r="B491" s="37" t="s">
        <v>53</v>
      </c>
      <c r="C491" s="38">
        <v>109735</v>
      </c>
    </row>
    <row r="492" spans="1:3" x14ac:dyDescent="0.3">
      <c r="A492" s="37" t="s">
        <v>2</v>
      </c>
      <c r="B492" s="37" t="s">
        <v>53</v>
      </c>
      <c r="C492" s="38">
        <v>100000</v>
      </c>
    </row>
    <row r="493" spans="1:3" x14ac:dyDescent="0.3">
      <c r="A493" s="37" t="s">
        <v>2</v>
      </c>
      <c r="B493" s="37" t="s">
        <v>54</v>
      </c>
      <c r="C493" s="38">
        <v>43000</v>
      </c>
    </row>
    <row r="494" spans="1:3" x14ac:dyDescent="0.3">
      <c r="A494" s="37" t="s">
        <v>2</v>
      </c>
      <c r="B494" s="37" t="s">
        <v>53</v>
      </c>
      <c r="C494" s="38"/>
    </row>
    <row r="495" spans="1:3" x14ac:dyDescent="0.3">
      <c r="A495" s="37" t="s">
        <v>2</v>
      </c>
      <c r="B495" s="37" t="s">
        <v>53</v>
      </c>
      <c r="C495" s="38"/>
    </row>
    <row r="496" spans="1:3" x14ac:dyDescent="0.3">
      <c r="A496" s="37" t="s">
        <v>2</v>
      </c>
      <c r="B496" s="37" t="s">
        <v>53</v>
      </c>
      <c r="C496" s="38">
        <v>70000</v>
      </c>
    </row>
    <row r="497" spans="1:3" x14ac:dyDescent="0.3">
      <c r="A497" s="37" t="s">
        <v>2</v>
      </c>
      <c r="B497" s="37" t="s">
        <v>53</v>
      </c>
      <c r="C497" s="38">
        <v>57550</v>
      </c>
    </row>
    <row r="498" spans="1:3" x14ac:dyDescent="0.3">
      <c r="A498" s="37" t="s">
        <v>2</v>
      </c>
      <c r="B498" s="37" t="s">
        <v>53</v>
      </c>
      <c r="C498" s="38">
        <v>90000</v>
      </c>
    </row>
    <row r="499" spans="1:3" x14ac:dyDescent="0.3">
      <c r="A499" s="37" t="s">
        <v>2</v>
      </c>
      <c r="B499" s="37" t="s">
        <v>53</v>
      </c>
      <c r="C499" s="38">
        <v>87500</v>
      </c>
    </row>
    <row r="500" spans="1:3" x14ac:dyDescent="0.3">
      <c r="A500" s="37" t="s">
        <v>2</v>
      </c>
      <c r="B500" s="37" t="s">
        <v>53</v>
      </c>
      <c r="C500" s="38">
        <v>109159</v>
      </c>
    </row>
    <row r="501" spans="1:3" x14ac:dyDescent="0.3">
      <c r="A501" s="37" t="s">
        <v>2</v>
      </c>
      <c r="B501" s="37" t="s">
        <v>53</v>
      </c>
      <c r="C501" s="38">
        <v>105000</v>
      </c>
    </row>
    <row r="502" spans="1:3" x14ac:dyDescent="0.3">
      <c r="A502" s="37" t="s">
        <v>2</v>
      </c>
      <c r="B502" s="37" t="s">
        <v>53</v>
      </c>
      <c r="C502" s="38">
        <v>90000</v>
      </c>
    </row>
    <row r="503" spans="1:3" x14ac:dyDescent="0.3">
      <c r="A503" s="37" t="s">
        <v>2</v>
      </c>
      <c r="B503" s="37" t="s">
        <v>54</v>
      </c>
      <c r="C503" s="38">
        <v>170000</v>
      </c>
    </row>
    <row r="504" spans="1:3" x14ac:dyDescent="0.3">
      <c r="A504" s="37" t="s">
        <v>2</v>
      </c>
      <c r="B504" s="37" t="s">
        <v>53</v>
      </c>
      <c r="C504" s="38">
        <v>100000</v>
      </c>
    </row>
    <row r="505" spans="1:3" x14ac:dyDescent="0.3">
      <c r="A505" s="37" t="s">
        <v>2</v>
      </c>
      <c r="B505" s="37" t="s">
        <v>53</v>
      </c>
      <c r="C505" s="38"/>
    </row>
    <row r="506" spans="1:3" x14ac:dyDescent="0.3">
      <c r="A506" s="37" t="s">
        <v>2</v>
      </c>
      <c r="B506" s="37" t="s">
        <v>53</v>
      </c>
      <c r="C506" s="38">
        <v>96000</v>
      </c>
    </row>
    <row r="507" spans="1:3" x14ac:dyDescent="0.3">
      <c r="A507" s="37" t="s">
        <v>2</v>
      </c>
      <c r="B507" s="37" t="s">
        <v>104</v>
      </c>
      <c r="C507" s="38">
        <v>45000</v>
      </c>
    </row>
    <row r="508" spans="1:3" x14ac:dyDescent="0.3">
      <c r="A508" s="37" t="s">
        <v>2</v>
      </c>
      <c r="B508" s="37" t="s">
        <v>53</v>
      </c>
      <c r="C508" s="38"/>
    </row>
    <row r="509" spans="1:3" x14ac:dyDescent="0.3">
      <c r="A509" s="37" t="s">
        <v>2</v>
      </c>
      <c r="B509" s="37" t="s">
        <v>53</v>
      </c>
      <c r="C509" s="38"/>
    </row>
    <row r="510" spans="1:3" x14ac:dyDescent="0.3">
      <c r="A510" s="37" t="s">
        <v>2</v>
      </c>
      <c r="B510" s="37" t="s">
        <v>53</v>
      </c>
      <c r="C510" s="38"/>
    </row>
    <row r="511" spans="1:3" x14ac:dyDescent="0.3">
      <c r="A511" s="37" t="s">
        <v>2</v>
      </c>
      <c r="B511" s="37" t="s">
        <v>53</v>
      </c>
      <c r="C511" s="38"/>
    </row>
    <row r="512" spans="1:3" x14ac:dyDescent="0.3">
      <c r="A512" s="37" t="s">
        <v>2</v>
      </c>
      <c r="B512" s="37" t="s">
        <v>53</v>
      </c>
      <c r="C512" s="38"/>
    </row>
    <row r="513" spans="1:3" x14ac:dyDescent="0.3">
      <c r="A513" s="37" t="s">
        <v>2</v>
      </c>
      <c r="B513" s="37" t="s">
        <v>53</v>
      </c>
      <c r="C513" s="38"/>
    </row>
    <row r="514" spans="1:3" x14ac:dyDescent="0.3">
      <c r="A514" s="37" t="s">
        <v>2</v>
      </c>
      <c r="B514" s="37" t="s">
        <v>53</v>
      </c>
      <c r="C514" s="38"/>
    </row>
    <row r="515" spans="1:3" x14ac:dyDescent="0.3">
      <c r="A515" s="37" t="s">
        <v>2</v>
      </c>
      <c r="B515" s="37" t="s">
        <v>53</v>
      </c>
      <c r="C515" s="38"/>
    </row>
    <row r="516" spans="1:3" x14ac:dyDescent="0.3">
      <c r="A516" s="37" t="s">
        <v>2</v>
      </c>
      <c r="B516" s="37" t="s">
        <v>53</v>
      </c>
      <c r="C516" s="38">
        <v>105000</v>
      </c>
    </row>
    <row r="517" spans="1:3" x14ac:dyDescent="0.3">
      <c r="A517" s="37" t="s">
        <v>2</v>
      </c>
      <c r="B517" s="37" t="s">
        <v>53</v>
      </c>
      <c r="C517" s="38"/>
    </row>
    <row r="518" spans="1:3" x14ac:dyDescent="0.3">
      <c r="A518" s="37" t="s">
        <v>2</v>
      </c>
      <c r="B518" s="37" t="s">
        <v>53</v>
      </c>
      <c r="C518" s="38">
        <v>95000</v>
      </c>
    </row>
    <row r="519" spans="1:3" x14ac:dyDescent="0.3">
      <c r="A519" s="37" t="s">
        <v>2</v>
      </c>
      <c r="B519" s="37" t="s">
        <v>53</v>
      </c>
      <c r="C519" s="38"/>
    </row>
    <row r="520" spans="1:3" x14ac:dyDescent="0.3">
      <c r="A520" s="37" t="s">
        <v>2</v>
      </c>
      <c r="B520" s="37" t="s">
        <v>54</v>
      </c>
      <c r="C520" s="38"/>
    </row>
    <row r="521" spans="1:3" x14ac:dyDescent="0.3">
      <c r="A521" s="37" t="s">
        <v>2</v>
      </c>
      <c r="B521" s="37" t="s">
        <v>53</v>
      </c>
      <c r="C521" s="38">
        <v>98500</v>
      </c>
    </row>
    <row r="522" spans="1:3" x14ac:dyDescent="0.3">
      <c r="A522" s="37" t="s">
        <v>2</v>
      </c>
      <c r="B522" s="37" t="s">
        <v>53</v>
      </c>
      <c r="C522" s="38">
        <v>127500</v>
      </c>
    </row>
    <row r="523" spans="1:3" x14ac:dyDescent="0.3">
      <c r="A523" s="37" t="s">
        <v>2</v>
      </c>
      <c r="B523" s="37" t="s">
        <v>53</v>
      </c>
      <c r="C523" s="38">
        <v>70000</v>
      </c>
    </row>
    <row r="524" spans="1:3" x14ac:dyDescent="0.3">
      <c r="A524" s="37" t="s">
        <v>2</v>
      </c>
      <c r="B524" s="37" t="s">
        <v>53</v>
      </c>
      <c r="C524" s="38">
        <v>62500</v>
      </c>
    </row>
    <row r="525" spans="1:3" x14ac:dyDescent="0.3">
      <c r="A525" s="37" t="s">
        <v>2</v>
      </c>
      <c r="B525" s="37" t="s">
        <v>53</v>
      </c>
      <c r="C525" s="38">
        <v>67500</v>
      </c>
    </row>
    <row r="526" spans="1:3" x14ac:dyDescent="0.3">
      <c r="A526" s="37" t="s">
        <v>2</v>
      </c>
      <c r="B526" s="37" t="s">
        <v>106</v>
      </c>
      <c r="C526" s="38">
        <v>165000</v>
      </c>
    </row>
    <row r="527" spans="1:3" x14ac:dyDescent="0.3">
      <c r="A527" s="37" t="s">
        <v>2</v>
      </c>
      <c r="B527" s="37" t="s">
        <v>53</v>
      </c>
      <c r="C527" s="38">
        <v>47275.5</v>
      </c>
    </row>
    <row r="528" spans="1:3" x14ac:dyDescent="0.3">
      <c r="A528" s="37" t="s">
        <v>2</v>
      </c>
      <c r="B528" s="37" t="s">
        <v>53</v>
      </c>
      <c r="C528" s="38"/>
    </row>
    <row r="529" spans="1:3" x14ac:dyDescent="0.3">
      <c r="A529" s="37" t="s">
        <v>2</v>
      </c>
      <c r="B529" s="37" t="s">
        <v>53</v>
      </c>
      <c r="C529" s="38">
        <v>95680</v>
      </c>
    </row>
    <row r="530" spans="1:3" x14ac:dyDescent="0.3">
      <c r="A530" s="37" t="s">
        <v>2</v>
      </c>
      <c r="B530" s="37" t="s">
        <v>53</v>
      </c>
      <c r="C530" s="38"/>
    </row>
    <row r="531" spans="1:3" x14ac:dyDescent="0.3">
      <c r="A531" s="37" t="s">
        <v>2</v>
      </c>
      <c r="B531" s="37" t="s">
        <v>53</v>
      </c>
      <c r="C531" s="38">
        <v>62500</v>
      </c>
    </row>
    <row r="532" spans="1:3" x14ac:dyDescent="0.3">
      <c r="A532" s="37" t="s">
        <v>2</v>
      </c>
      <c r="B532" s="37" t="s">
        <v>53</v>
      </c>
      <c r="C532" s="38"/>
    </row>
    <row r="533" spans="1:3" x14ac:dyDescent="0.3">
      <c r="A533" s="37" t="s">
        <v>2</v>
      </c>
      <c r="B533" s="37" t="s">
        <v>69</v>
      </c>
      <c r="C533" s="38">
        <v>51014</v>
      </c>
    </row>
    <row r="534" spans="1:3" x14ac:dyDescent="0.3">
      <c r="A534" s="37" t="s">
        <v>2</v>
      </c>
      <c r="B534" s="37" t="s">
        <v>54</v>
      </c>
      <c r="C534" s="38">
        <v>77250</v>
      </c>
    </row>
    <row r="535" spans="1:3" x14ac:dyDescent="0.3">
      <c r="A535" s="37" t="s">
        <v>2</v>
      </c>
      <c r="B535" s="37" t="s">
        <v>53</v>
      </c>
      <c r="C535" s="38">
        <v>125000</v>
      </c>
    </row>
    <row r="536" spans="1:3" x14ac:dyDescent="0.3">
      <c r="A536" s="37" t="s">
        <v>2</v>
      </c>
      <c r="B536" s="37" t="s">
        <v>53</v>
      </c>
      <c r="C536" s="38">
        <v>70000</v>
      </c>
    </row>
    <row r="537" spans="1:3" x14ac:dyDescent="0.3">
      <c r="A537" s="37" t="s">
        <v>2</v>
      </c>
      <c r="B537" s="37" t="s">
        <v>53</v>
      </c>
      <c r="C537" s="38"/>
    </row>
    <row r="538" spans="1:3" x14ac:dyDescent="0.3">
      <c r="A538" s="37" t="s">
        <v>2</v>
      </c>
      <c r="B538" s="37" t="s">
        <v>53</v>
      </c>
      <c r="C538" s="38"/>
    </row>
    <row r="539" spans="1:3" x14ac:dyDescent="0.3">
      <c r="A539" s="37" t="s">
        <v>2</v>
      </c>
      <c r="B539" s="37" t="s">
        <v>53</v>
      </c>
      <c r="C539" s="38">
        <v>90000</v>
      </c>
    </row>
    <row r="540" spans="1:3" x14ac:dyDescent="0.3">
      <c r="A540" s="37" t="s">
        <v>2</v>
      </c>
      <c r="B540" s="37" t="s">
        <v>53</v>
      </c>
      <c r="C540" s="38"/>
    </row>
    <row r="541" spans="1:3" x14ac:dyDescent="0.3">
      <c r="A541" s="37" t="s">
        <v>2</v>
      </c>
      <c r="B541" s="37" t="s">
        <v>53</v>
      </c>
      <c r="C541" s="38">
        <v>87900</v>
      </c>
    </row>
    <row r="542" spans="1:3" x14ac:dyDescent="0.3">
      <c r="A542" s="37" t="s">
        <v>2</v>
      </c>
      <c r="B542" s="37" t="s">
        <v>53</v>
      </c>
      <c r="C542" s="38">
        <v>140000</v>
      </c>
    </row>
    <row r="543" spans="1:3" x14ac:dyDescent="0.3">
      <c r="A543" s="37" t="s">
        <v>2</v>
      </c>
      <c r="B543" s="37" t="s">
        <v>53</v>
      </c>
      <c r="C543" s="38">
        <v>81167</v>
      </c>
    </row>
    <row r="544" spans="1:3" x14ac:dyDescent="0.3">
      <c r="A544" s="37" t="s">
        <v>2</v>
      </c>
      <c r="B544" s="37" t="s">
        <v>53</v>
      </c>
      <c r="C544" s="38">
        <v>131900</v>
      </c>
    </row>
    <row r="545" spans="1:3" x14ac:dyDescent="0.3">
      <c r="A545" s="37" t="s">
        <v>2</v>
      </c>
      <c r="B545" s="37" t="s">
        <v>53</v>
      </c>
      <c r="C545" s="38">
        <v>151950</v>
      </c>
    </row>
    <row r="546" spans="1:3" x14ac:dyDescent="0.3">
      <c r="A546" s="37" t="s">
        <v>2</v>
      </c>
      <c r="B546" s="37" t="s">
        <v>53</v>
      </c>
      <c r="C546" s="38">
        <v>125000</v>
      </c>
    </row>
    <row r="547" spans="1:3" x14ac:dyDescent="0.3">
      <c r="A547" s="37" t="s">
        <v>2</v>
      </c>
      <c r="B547" s="37" t="s">
        <v>53</v>
      </c>
      <c r="C547" s="38"/>
    </row>
    <row r="548" spans="1:3" x14ac:dyDescent="0.3">
      <c r="A548" s="37" t="s">
        <v>2</v>
      </c>
      <c r="B548" s="37" t="s">
        <v>53</v>
      </c>
      <c r="C548" s="38">
        <v>94500</v>
      </c>
    </row>
    <row r="549" spans="1:3" x14ac:dyDescent="0.3">
      <c r="A549" s="37" t="s">
        <v>2</v>
      </c>
      <c r="B549" s="37" t="s">
        <v>53</v>
      </c>
      <c r="C549" s="38"/>
    </row>
    <row r="550" spans="1:3" x14ac:dyDescent="0.3">
      <c r="A550" s="37" t="s">
        <v>2</v>
      </c>
      <c r="B550" s="37" t="s">
        <v>53</v>
      </c>
      <c r="C550" s="38"/>
    </row>
    <row r="551" spans="1:3" x14ac:dyDescent="0.3">
      <c r="A551" s="37" t="s">
        <v>2</v>
      </c>
      <c r="B551" s="37" t="s">
        <v>53</v>
      </c>
      <c r="C551" s="38">
        <v>143000</v>
      </c>
    </row>
    <row r="552" spans="1:3" x14ac:dyDescent="0.3">
      <c r="A552" s="37" t="s">
        <v>2</v>
      </c>
      <c r="B552" s="37" t="s">
        <v>53</v>
      </c>
      <c r="C552" s="38"/>
    </row>
    <row r="553" spans="1:3" x14ac:dyDescent="0.3">
      <c r="A553" s="37" t="s">
        <v>2</v>
      </c>
      <c r="B553" s="37" t="s">
        <v>53</v>
      </c>
      <c r="C553" s="38"/>
    </row>
    <row r="554" spans="1:3" x14ac:dyDescent="0.3">
      <c r="A554" s="37" t="s">
        <v>2</v>
      </c>
      <c r="B554" s="37" t="s">
        <v>53</v>
      </c>
      <c r="C554" s="38">
        <v>85000</v>
      </c>
    </row>
    <row r="555" spans="1:3" x14ac:dyDescent="0.3">
      <c r="A555" s="37" t="s">
        <v>2</v>
      </c>
      <c r="B555" s="37" t="s">
        <v>53</v>
      </c>
      <c r="C555" s="38">
        <v>138615</v>
      </c>
    </row>
    <row r="556" spans="1:3" x14ac:dyDescent="0.3">
      <c r="A556" s="37" t="s">
        <v>2</v>
      </c>
      <c r="B556" s="37" t="s">
        <v>53</v>
      </c>
      <c r="C556" s="38"/>
    </row>
    <row r="557" spans="1:3" x14ac:dyDescent="0.3">
      <c r="A557" s="37" t="s">
        <v>2</v>
      </c>
      <c r="B557" s="37" t="s">
        <v>54</v>
      </c>
      <c r="C557" s="38">
        <v>57500</v>
      </c>
    </row>
    <row r="558" spans="1:3" x14ac:dyDescent="0.3">
      <c r="A558" s="37" t="s">
        <v>2</v>
      </c>
      <c r="B558" s="37" t="s">
        <v>53</v>
      </c>
      <c r="C558" s="38"/>
    </row>
    <row r="559" spans="1:3" x14ac:dyDescent="0.3">
      <c r="A559" s="37" t="s">
        <v>2</v>
      </c>
      <c r="B559" s="37" t="s">
        <v>53</v>
      </c>
      <c r="C559" s="38"/>
    </row>
    <row r="560" spans="1:3" x14ac:dyDescent="0.3">
      <c r="A560" s="37" t="s">
        <v>2</v>
      </c>
      <c r="B560" s="37" t="s">
        <v>103</v>
      </c>
      <c r="C560" s="38">
        <v>89100</v>
      </c>
    </row>
    <row r="561" spans="1:3" x14ac:dyDescent="0.3">
      <c r="A561" s="37" t="s">
        <v>2</v>
      </c>
      <c r="B561" s="37" t="s">
        <v>53</v>
      </c>
      <c r="C561" s="38"/>
    </row>
    <row r="562" spans="1:3" x14ac:dyDescent="0.3">
      <c r="A562" s="37" t="s">
        <v>2</v>
      </c>
      <c r="B562" s="37" t="s">
        <v>53</v>
      </c>
      <c r="C562" s="38">
        <v>144481.5</v>
      </c>
    </row>
    <row r="563" spans="1:3" x14ac:dyDescent="0.3">
      <c r="A563" s="37" t="s">
        <v>2</v>
      </c>
      <c r="B563" s="37" t="s">
        <v>53</v>
      </c>
      <c r="C563" s="38">
        <v>60000</v>
      </c>
    </row>
    <row r="564" spans="1:3" x14ac:dyDescent="0.3">
      <c r="A564" s="37" t="s">
        <v>2</v>
      </c>
      <c r="B564" s="37" t="s">
        <v>69</v>
      </c>
      <c r="C564" s="38">
        <v>200000</v>
      </c>
    </row>
    <row r="565" spans="1:3" x14ac:dyDescent="0.3">
      <c r="A565" s="37" t="s">
        <v>2</v>
      </c>
      <c r="B565" s="37" t="s">
        <v>53</v>
      </c>
      <c r="C565" s="38">
        <v>97500</v>
      </c>
    </row>
    <row r="566" spans="1:3" x14ac:dyDescent="0.3">
      <c r="A566" s="37" t="s">
        <v>2</v>
      </c>
      <c r="B566" s="37" t="s">
        <v>53</v>
      </c>
      <c r="C566" s="38">
        <v>115000</v>
      </c>
    </row>
    <row r="567" spans="1:3" x14ac:dyDescent="0.3">
      <c r="A567" s="37" t="s">
        <v>2</v>
      </c>
      <c r="B567" s="37" t="s">
        <v>53</v>
      </c>
      <c r="C567" s="38">
        <v>65000</v>
      </c>
    </row>
    <row r="568" spans="1:3" x14ac:dyDescent="0.3">
      <c r="A568" s="37" t="s">
        <v>2</v>
      </c>
      <c r="B568" s="37" t="s">
        <v>53</v>
      </c>
      <c r="C568" s="38"/>
    </row>
    <row r="569" spans="1:3" x14ac:dyDescent="0.3">
      <c r="A569" s="37" t="s">
        <v>2</v>
      </c>
      <c r="B569" s="37" t="s">
        <v>53</v>
      </c>
      <c r="C569" s="38">
        <v>120000</v>
      </c>
    </row>
    <row r="570" spans="1:3" x14ac:dyDescent="0.3">
      <c r="A570" s="37" t="s">
        <v>2</v>
      </c>
      <c r="B570" s="37" t="s">
        <v>53</v>
      </c>
      <c r="C570" s="38"/>
    </row>
    <row r="571" spans="1:3" x14ac:dyDescent="0.3">
      <c r="A571" s="37" t="s">
        <v>2</v>
      </c>
      <c r="B571" s="37" t="s">
        <v>68</v>
      </c>
      <c r="C571" s="38"/>
    </row>
    <row r="572" spans="1:3" x14ac:dyDescent="0.3">
      <c r="A572" s="37" t="s">
        <v>2</v>
      </c>
      <c r="B572" s="37" t="s">
        <v>88</v>
      </c>
      <c r="C572" s="38">
        <v>165000</v>
      </c>
    </row>
    <row r="573" spans="1:3" x14ac:dyDescent="0.3">
      <c r="A573" s="37" t="s">
        <v>2</v>
      </c>
      <c r="B573" s="37" t="s">
        <v>53</v>
      </c>
      <c r="C573" s="38"/>
    </row>
    <row r="574" spans="1:3" x14ac:dyDescent="0.3">
      <c r="A574" s="37" t="s">
        <v>2</v>
      </c>
      <c r="B574" s="37" t="s">
        <v>53</v>
      </c>
      <c r="C574" s="38">
        <v>125000</v>
      </c>
    </row>
    <row r="575" spans="1:3" x14ac:dyDescent="0.3">
      <c r="A575" s="37" t="s">
        <v>2</v>
      </c>
      <c r="B575" s="37" t="s">
        <v>53</v>
      </c>
      <c r="C575" s="38">
        <v>32500</v>
      </c>
    </row>
    <row r="576" spans="1:3" x14ac:dyDescent="0.3">
      <c r="A576" s="37" t="s">
        <v>2</v>
      </c>
      <c r="B576" s="37" t="s">
        <v>53</v>
      </c>
      <c r="C576" s="38">
        <v>55000</v>
      </c>
    </row>
    <row r="577" spans="1:3" x14ac:dyDescent="0.3">
      <c r="A577" s="37" t="s">
        <v>2</v>
      </c>
      <c r="B577" s="37" t="s">
        <v>53</v>
      </c>
      <c r="C577" s="38">
        <v>60500</v>
      </c>
    </row>
    <row r="578" spans="1:3" x14ac:dyDescent="0.3">
      <c r="A578" s="37" t="s">
        <v>2</v>
      </c>
      <c r="B578" s="37" t="s">
        <v>53</v>
      </c>
      <c r="C578" s="38"/>
    </row>
    <row r="579" spans="1:3" x14ac:dyDescent="0.3">
      <c r="A579" s="37" t="s">
        <v>2</v>
      </c>
      <c r="B579" s="37" t="s">
        <v>53</v>
      </c>
      <c r="C579" s="38">
        <v>89830</v>
      </c>
    </row>
    <row r="580" spans="1:3" x14ac:dyDescent="0.3">
      <c r="A580" s="37" t="s">
        <v>2</v>
      </c>
      <c r="B580" s="37" t="s">
        <v>69</v>
      </c>
      <c r="C580" s="38">
        <v>102500</v>
      </c>
    </row>
    <row r="581" spans="1:3" x14ac:dyDescent="0.3">
      <c r="A581" s="37" t="s">
        <v>2</v>
      </c>
      <c r="B581" s="37" t="s">
        <v>53</v>
      </c>
      <c r="C581" s="38"/>
    </row>
    <row r="582" spans="1:3" x14ac:dyDescent="0.3">
      <c r="A582" s="37" t="s">
        <v>2</v>
      </c>
      <c r="B582" s="37" t="s">
        <v>53</v>
      </c>
      <c r="C582" s="38">
        <v>72500</v>
      </c>
    </row>
    <row r="583" spans="1:3" x14ac:dyDescent="0.3">
      <c r="A583" s="37" t="s">
        <v>2</v>
      </c>
      <c r="B583" s="37" t="s">
        <v>53</v>
      </c>
      <c r="C583" s="38"/>
    </row>
    <row r="584" spans="1:3" x14ac:dyDescent="0.3">
      <c r="A584" s="37" t="s">
        <v>2</v>
      </c>
      <c r="B584" s="37" t="s">
        <v>53</v>
      </c>
      <c r="C584" s="38">
        <v>160000</v>
      </c>
    </row>
    <row r="585" spans="1:3" x14ac:dyDescent="0.3">
      <c r="A585" s="37" t="s">
        <v>2</v>
      </c>
      <c r="B585" s="37" t="s">
        <v>53</v>
      </c>
      <c r="C585" s="38">
        <v>60000</v>
      </c>
    </row>
    <row r="586" spans="1:3" x14ac:dyDescent="0.3">
      <c r="A586" s="37" t="s">
        <v>2</v>
      </c>
      <c r="B586" s="37" t="s">
        <v>53</v>
      </c>
      <c r="C586" s="38"/>
    </row>
    <row r="587" spans="1:3" x14ac:dyDescent="0.3">
      <c r="A587" s="37" t="s">
        <v>2</v>
      </c>
      <c r="B587" s="37" t="s">
        <v>53</v>
      </c>
      <c r="C587" s="38">
        <v>55000</v>
      </c>
    </row>
    <row r="588" spans="1:3" x14ac:dyDescent="0.3">
      <c r="A588" s="37" t="s">
        <v>2</v>
      </c>
      <c r="B588" s="37" t="s">
        <v>53</v>
      </c>
      <c r="C588" s="38"/>
    </row>
    <row r="589" spans="1:3" x14ac:dyDescent="0.3">
      <c r="A589" s="37" t="s">
        <v>2</v>
      </c>
      <c r="B589" s="37" t="s">
        <v>53</v>
      </c>
      <c r="C589" s="38"/>
    </row>
    <row r="590" spans="1:3" x14ac:dyDescent="0.3">
      <c r="A590" s="37" t="s">
        <v>2</v>
      </c>
      <c r="B590" s="37" t="s">
        <v>53</v>
      </c>
      <c r="C590" s="38">
        <v>137500</v>
      </c>
    </row>
    <row r="591" spans="1:3" x14ac:dyDescent="0.3">
      <c r="A591" s="37" t="s">
        <v>2</v>
      </c>
      <c r="B591" s="37" t="s">
        <v>53</v>
      </c>
      <c r="C591" s="38">
        <v>64500</v>
      </c>
    </row>
    <row r="592" spans="1:3" x14ac:dyDescent="0.3">
      <c r="A592" s="37" t="s">
        <v>2</v>
      </c>
      <c r="B592" s="37" t="s">
        <v>53</v>
      </c>
      <c r="C592" s="38">
        <v>83862.5</v>
      </c>
    </row>
    <row r="593" spans="1:3" x14ac:dyDescent="0.3">
      <c r="A593" s="37" t="s">
        <v>2</v>
      </c>
      <c r="B593" s="37" t="s">
        <v>53</v>
      </c>
      <c r="C593" s="38">
        <v>128356</v>
      </c>
    </row>
    <row r="594" spans="1:3" x14ac:dyDescent="0.3">
      <c r="A594" s="37" t="s">
        <v>2</v>
      </c>
      <c r="B594" s="37" t="s">
        <v>53</v>
      </c>
      <c r="C594" s="38">
        <v>175000</v>
      </c>
    </row>
    <row r="595" spans="1:3" x14ac:dyDescent="0.3">
      <c r="A595" s="37" t="s">
        <v>2</v>
      </c>
      <c r="B595" s="37" t="s">
        <v>53</v>
      </c>
      <c r="C595" s="38"/>
    </row>
    <row r="596" spans="1:3" x14ac:dyDescent="0.3">
      <c r="A596" s="37" t="s">
        <v>2</v>
      </c>
      <c r="B596" s="37" t="s">
        <v>104</v>
      </c>
      <c r="C596" s="38">
        <v>111202</v>
      </c>
    </row>
    <row r="597" spans="1:3" x14ac:dyDescent="0.3">
      <c r="A597" s="37" t="s">
        <v>2</v>
      </c>
      <c r="B597" s="37" t="s">
        <v>53</v>
      </c>
      <c r="C597" s="38">
        <v>130000</v>
      </c>
    </row>
    <row r="598" spans="1:3" x14ac:dyDescent="0.3">
      <c r="A598" s="37" t="s">
        <v>2</v>
      </c>
      <c r="B598" s="37" t="s">
        <v>53</v>
      </c>
      <c r="C598" s="38">
        <v>109350</v>
      </c>
    </row>
    <row r="599" spans="1:3" x14ac:dyDescent="0.3">
      <c r="A599" s="37" t="s">
        <v>2</v>
      </c>
      <c r="B599" s="37" t="s">
        <v>53</v>
      </c>
      <c r="C599" s="38">
        <v>50000</v>
      </c>
    </row>
    <row r="600" spans="1:3" x14ac:dyDescent="0.3">
      <c r="A600" s="37" t="s">
        <v>2</v>
      </c>
      <c r="B600" s="37" t="s">
        <v>87</v>
      </c>
      <c r="C600" s="38">
        <v>51000</v>
      </c>
    </row>
    <row r="601" spans="1:3" x14ac:dyDescent="0.3">
      <c r="A601" s="37" t="s">
        <v>2</v>
      </c>
      <c r="B601" s="37" t="s">
        <v>53</v>
      </c>
      <c r="C601" s="38"/>
    </row>
    <row r="602" spans="1:3" x14ac:dyDescent="0.3">
      <c r="A602" s="37" t="s">
        <v>2</v>
      </c>
      <c r="B602" s="37" t="s">
        <v>53</v>
      </c>
      <c r="C602" s="38">
        <v>130000</v>
      </c>
    </row>
    <row r="603" spans="1:3" x14ac:dyDescent="0.3">
      <c r="A603" s="37" t="s">
        <v>2</v>
      </c>
      <c r="B603" s="37" t="s">
        <v>53</v>
      </c>
      <c r="C603" s="38">
        <v>88000</v>
      </c>
    </row>
    <row r="604" spans="1:3" x14ac:dyDescent="0.3">
      <c r="A604" s="37" t="s">
        <v>2</v>
      </c>
      <c r="B604" s="37" t="s">
        <v>88</v>
      </c>
      <c r="C604" s="38">
        <v>64800</v>
      </c>
    </row>
    <row r="605" spans="1:3" x14ac:dyDescent="0.3">
      <c r="A605" s="37" t="s">
        <v>2</v>
      </c>
      <c r="B605" s="37" t="s">
        <v>53</v>
      </c>
      <c r="C605" s="38">
        <v>65000</v>
      </c>
    </row>
    <row r="606" spans="1:3" x14ac:dyDescent="0.3">
      <c r="A606" s="37" t="s">
        <v>2</v>
      </c>
      <c r="B606" s="37" t="s">
        <v>53</v>
      </c>
      <c r="C606" s="38"/>
    </row>
    <row r="607" spans="1:3" x14ac:dyDescent="0.3">
      <c r="A607" s="37" t="s">
        <v>2</v>
      </c>
      <c r="B607" s="37" t="s">
        <v>53</v>
      </c>
      <c r="C607" s="38"/>
    </row>
    <row r="608" spans="1:3" x14ac:dyDescent="0.3">
      <c r="A608" s="37" t="s">
        <v>2</v>
      </c>
      <c r="B608" s="37" t="s">
        <v>53</v>
      </c>
      <c r="C608" s="38"/>
    </row>
    <row r="609" spans="1:3" x14ac:dyDescent="0.3">
      <c r="A609" s="37" t="s">
        <v>2</v>
      </c>
      <c r="B609" s="37" t="s">
        <v>53</v>
      </c>
      <c r="C609" s="38"/>
    </row>
    <row r="610" spans="1:3" x14ac:dyDescent="0.3">
      <c r="A610" s="37" t="s">
        <v>2</v>
      </c>
      <c r="B610" s="37" t="s">
        <v>53</v>
      </c>
      <c r="C610" s="38">
        <v>67500</v>
      </c>
    </row>
    <row r="611" spans="1:3" x14ac:dyDescent="0.3">
      <c r="A611" s="37" t="s">
        <v>2</v>
      </c>
      <c r="B611" s="37" t="s">
        <v>53</v>
      </c>
      <c r="C611" s="38">
        <v>105000</v>
      </c>
    </row>
    <row r="612" spans="1:3" x14ac:dyDescent="0.3">
      <c r="A612" s="37" t="s">
        <v>2</v>
      </c>
      <c r="B612" s="37" t="s">
        <v>53</v>
      </c>
      <c r="C612" s="38">
        <v>95700</v>
      </c>
    </row>
    <row r="613" spans="1:3" x14ac:dyDescent="0.3">
      <c r="A613" s="37" t="s">
        <v>2</v>
      </c>
      <c r="B613" s="37" t="s">
        <v>53</v>
      </c>
      <c r="C613" s="38"/>
    </row>
    <row r="614" spans="1:3" x14ac:dyDescent="0.3">
      <c r="A614" s="37" t="s">
        <v>2</v>
      </c>
      <c r="B614" s="37" t="s">
        <v>53</v>
      </c>
      <c r="C614" s="38">
        <v>138516</v>
      </c>
    </row>
    <row r="615" spans="1:3" x14ac:dyDescent="0.3">
      <c r="A615" s="37" t="s">
        <v>2</v>
      </c>
      <c r="B615" s="37" t="s">
        <v>53</v>
      </c>
      <c r="C615" s="38"/>
    </row>
    <row r="616" spans="1:3" x14ac:dyDescent="0.3">
      <c r="A616" s="37" t="s">
        <v>2</v>
      </c>
      <c r="B616" s="37" t="s">
        <v>53</v>
      </c>
      <c r="C616" s="38">
        <v>109159</v>
      </c>
    </row>
    <row r="617" spans="1:3" x14ac:dyDescent="0.3">
      <c r="A617" s="37" t="s">
        <v>2</v>
      </c>
      <c r="B617" s="37" t="s">
        <v>53</v>
      </c>
      <c r="C617" s="38">
        <v>107500</v>
      </c>
    </row>
    <row r="618" spans="1:3" x14ac:dyDescent="0.3">
      <c r="A618" s="37" t="s">
        <v>2</v>
      </c>
      <c r="B618" s="37" t="s">
        <v>53</v>
      </c>
      <c r="C618" s="38">
        <v>95000</v>
      </c>
    </row>
    <row r="619" spans="1:3" x14ac:dyDescent="0.3">
      <c r="A619" s="37" t="s">
        <v>2</v>
      </c>
      <c r="B619" s="37" t="s">
        <v>53</v>
      </c>
      <c r="C619" s="38">
        <v>111500</v>
      </c>
    </row>
    <row r="620" spans="1:3" x14ac:dyDescent="0.3">
      <c r="A620" s="37" t="s">
        <v>2</v>
      </c>
      <c r="B620" s="37" t="s">
        <v>53</v>
      </c>
      <c r="C620" s="38"/>
    </row>
    <row r="621" spans="1:3" x14ac:dyDescent="0.3">
      <c r="A621" s="37" t="s">
        <v>2</v>
      </c>
      <c r="B621" s="37" t="s">
        <v>53</v>
      </c>
      <c r="C621" s="38"/>
    </row>
    <row r="622" spans="1:3" x14ac:dyDescent="0.3">
      <c r="A622" s="37" t="s">
        <v>2</v>
      </c>
      <c r="B622" s="37" t="s">
        <v>53</v>
      </c>
      <c r="C622" s="38">
        <v>50000</v>
      </c>
    </row>
    <row r="623" spans="1:3" x14ac:dyDescent="0.3">
      <c r="A623" s="37" t="s">
        <v>2</v>
      </c>
      <c r="B623" s="37" t="s">
        <v>53</v>
      </c>
      <c r="C623" s="38"/>
    </row>
    <row r="624" spans="1:3" x14ac:dyDescent="0.3">
      <c r="A624" s="37" t="s">
        <v>2</v>
      </c>
      <c r="B624" s="37" t="s">
        <v>53</v>
      </c>
      <c r="C624" s="38"/>
    </row>
    <row r="625" spans="1:3" x14ac:dyDescent="0.3">
      <c r="A625" s="37" t="s">
        <v>2</v>
      </c>
      <c r="B625" s="37" t="s">
        <v>53</v>
      </c>
      <c r="C625" s="38">
        <v>54000</v>
      </c>
    </row>
    <row r="626" spans="1:3" x14ac:dyDescent="0.3">
      <c r="A626" s="37" t="s">
        <v>2</v>
      </c>
      <c r="B626" s="37" t="s">
        <v>53</v>
      </c>
      <c r="C626" s="38"/>
    </row>
    <row r="627" spans="1:3" x14ac:dyDescent="0.3">
      <c r="A627" s="37" t="s">
        <v>2</v>
      </c>
      <c r="B627" s="37" t="s">
        <v>53</v>
      </c>
      <c r="C627" s="38"/>
    </row>
    <row r="628" spans="1:3" x14ac:dyDescent="0.3">
      <c r="A628" s="37" t="s">
        <v>2</v>
      </c>
      <c r="B628" s="37" t="s">
        <v>53</v>
      </c>
      <c r="C628" s="38"/>
    </row>
    <row r="629" spans="1:3" x14ac:dyDescent="0.3">
      <c r="A629" s="37" t="s">
        <v>2</v>
      </c>
      <c r="B629" s="37" t="s">
        <v>53</v>
      </c>
      <c r="C629" s="38">
        <v>62500</v>
      </c>
    </row>
    <row r="630" spans="1:3" x14ac:dyDescent="0.3">
      <c r="A630" s="37" t="s">
        <v>2</v>
      </c>
      <c r="B630" s="37" t="s">
        <v>53</v>
      </c>
      <c r="C630" s="38">
        <v>122500</v>
      </c>
    </row>
    <row r="631" spans="1:3" x14ac:dyDescent="0.3">
      <c r="A631" s="37" t="s">
        <v>2</v>
      </c>
      <c r="B631" s="37" t="s">
        <v>53</v>
      </c>
      <c r="C631" s="38"/>
    </row>
    <row r="632" spans="1:3" x14ac:dyDescent="0.3">
      <c r="A632" s="37" t="s">
        <v>2</v>
      </c>
      <c r="B632" s="37" t="s">
        <v>53</v>
      </c>
      <c r="C632" s="38"/>
    </row>
    <row r="633" spans="1:3" x14ac:dyDescent="0.3">
      <c r="A633" s="37" t="s">
        <v>2</v>
      </c>
      <c r="B633" s="37" t="s">
        <v>95</v>
      </c>
      <c r="C633" s="38">
        <v>109500</v>
      </c>
    </row>
    <row r="634" spans="1:3" x14ac:dyDescent="0.3">
      <c r="A634" s="37" t="s">
        <v>2</v>
      </c>
      <c r="B634" s="37" t="s">
        <v>53</v>
      </c>
      <c r="C634" s="38"/>
    </row>
    <row r="635" spans="1:3" x14ac:dyDescent="0.3">
      <c r="A635" s="37" t="s">
        <v>2</v>
      </c>
      <c r="B635" s="37" t="s">
        <v>53</v>
      </c>
      <c r="C635" s="38">
        <v>95000</v>
      </c>
    </row>
    <row r="636" spans="1:3" x14ac:dyDescent="0.3">
      <c r="A636" s="37" t="s">
        <v>2</v>
      </c>
      <c r="B636" s="37" t="s">
        <v>53</v>
      </c>
      <c r="C636" s="38">
        <v>90000</v>
      </c>
    </row>
    <row r="637" spans="1:3" x14ac:dyDescent="0.3">
      <c r="A637" s="37" t="s">
        <v>2</v>
      </c>
      <c r="B637" s="37" t="s">
        <v>54</v>
      </c>
      <c r="C637" s="38">
        <v>82430</v>
      </c>
    </row>
    <row r="638" spans="1:3" x14ac:dyDescent="0.3">
      <c r="A638" s="37" t="s">
        <v>2</v>
      </c>
      <c r="B638" s="37" t="s">
        <v>53</v>
      </c>
      <c r="C638" s="38"/>
    </row>
    <row r="639" spans="1:3" x14ac:dyDescent="0.3">
      <c r="A639" s="37" t="s">
        <v>2</v>
      </c>
      <c r="B639" s="37" t="s">
        <v>53</v>
      </c>
      <c r="C639" s="38">
        <v>82500</v>
      </c>
    </row>
    <row r="640" spans="1:3" x14ac:dyDescent="0.3">
      <c r="A640" s="37" t="s">
        <v>2</v>
      </c>
      <c r="B640" s="37" t="s">
        <v>97</v>
      </c>
      <c r="C640" s="38">
        <v>51014</v>
      </c>
    </row>
    <row r="641" spans="1:3" x14ac:dyDescent="0.3">
      <c r="A641" s="37" t="s">
        <v>2</v>
      </c>
      <c r="B641" s="37" t="s">
        <v>53</v>
      </c>
      <c r="C641" s="38"/>
    </row>
    <row r="642" spans="1:3" x14ac:dyDescent="0.3">
      <c r="A642" s="37" t="s">
        <v>2</v>
      </c>
      <c r="B642" s="37" t="s">
        <v>53</v>
      </c>
      <c r="C642" s="38"/>
    </row>
    <row r="643" spans="1:3" x14ac:dyDescent="0.3">
      <c r="A643" s="37" t="s">
        <v>2</v>
      </c>
      <c r="B643" s="37" t="s">
        <v>53</v>
      </c>
      <c r="C643" s="38"/>
    </row>
    <row r="644" spans="1:3" x14ac:dyDescent="0.3">
      <c r="A644" s="37" t="s">
        <v>2</v>
      </c>
      <c r="B644" s="37" t="s">
        <v>53</v>
      </c>
      <c r="C644" s="38"/>
    </row>
    <row r="645" spans="1:3" x14ac:dyDescent="0.3">
      <c r="A645" s="37" t="s">
        <v>2</v>
      </c>
      <c r="B645" s="37" t="s">
        <v>53</v>
      </c>
      <c r="C645" s="38">
        <v>70000</v>
      </c>
    </row>
    <row r="646" spans="1:3" x14ac:dyDescent="0.3">
      <c r="A646" s="37" t="s">
        <v>2</v>
      </c>
      <c r="B646" s="37" t="s">
        <v>53</v>
      </c>
      <c r="C646" s="38"/>
    </row>
    <row r="647" spans="1:3" x14ac:dyDescent="0.3">
      <c r="A647" s="37" t="s">
        <v>2</v>
      </c>
      <c r="B647" s="37" t="s">
        <v>105</v>
      </c>
      <c r="C647" s="38">
        <v>111175</v>
      </c>
    </row>
    <row r="648" spans="1:3" x14ac:dyDescent="0.3">
      <c r="A648" s="37" t="s">
        <v>2</v>
      </c>
      <c r="B648" s="37" t="s">
        <v>53</v>
      </c>
      <c r="C648" s="38">
        <v>52500</v>
      </c>
    </row>
    <row r="649" spans="1:3" x14ac:dyDescent="0.3">
      <c r="A649" s="37" t="s">
        <v>2</v>
      </c>
      <c r="B649" s="37" t="s">
        <v>53</v>
      </c>
      <c r="C649" s="38"/>
    </row>
    <row r="650" spans="1:3" x14ac:dyDescent="0.3">
      <c r="A650" s="37" t="s">
        <v>2</v>
      </c>
      <c r="B650" s="37" t="s">
        <v>53</v>
      </c>
      <c r="C650" s="38">
        <v>70000</v>
      </c>
    </row>
    <row r="651" spans="1:3" x14ac:dyDescent="0.3">
      <c r="A651" s="37" t="s">
        <v>2</v>
      </c>
      <c r="B651" s="37" t="s">
        <v>53</v>
      </c>
      <c r="C651" s="38">
        <v>37500</v>
      </c>
    </row>
    <row r="652" spans="1:3" x14ac:dyDescent="0.3">
      <c r="A652" s="37" t="s">
        <v>2</v>
      </c>
      <c r="B652" s="37" t="s">
        <v>53</v>
      </c>
      <c r="C652" s="38">
        <v>159133</v>
      </c>
    </row>
    <row r="653" spans="1:3" x14ac:dyDescent="0.3">
      <c r="A653" s="37" t="s">
        <v>2</v>
      </c>
      <c r="B653" s="37" t="s">
        <v>53</v>
      </c>
      <c r="C653" s="38">
        <v>90000</v>
      </c>
    </row>
    <row r="654" spans="1:3" x14ac:dyDescent="0.3">
      <c r="A654" s="37" t="s">
        <v>2</v>
      </c>
      <c r="B654" s="37" t="s">
        <v>53</v>
      </c>
      <c r="C654" s="38">
        <v>88000</v>
      </c>
    </row>
    <row r="655" spans="1:3" x14ac:dyDescent="0.3">
      <c r="A655" s="37" t="s">
        <v>2</v>
      </c>
      <c r="B655" s="37" t="s">
        <v>53</v>
      </c>
      <c r="C655" s="38"/>
    </row>
    <row r="656" spans="1:3" x14ac:dyDescent="0.3">
      <c r="A656" s="37" t="s">
        <v>2</v>
      </c>
      <c r="B656" s="37" t="s">
        <v>53</v>
      </c>
      <c r="C656" s="38"/>
    </row>
    <row r="657" spans="1:3" x14ac:dyDescent="0.3">
      <c r="A657" s="37" t="s">
        <v>2</v>
      </c>
      <c r="B657" s="37" t="s">
        <v>53</v>
      </c>
      <c r="C657" s="38"/>
    </row>
    <row r="658" spans="1:3" x14ac:dyDescent="0.3">
      <c r="A658" s="37" t="s">
        <v>2</v>
      </c>
      <c r="B658" s="37" t="s">
        <v>53</v>
      </c>
      <c r="C658" s="38"/>
    </row>
    <row r="659" spans="1:3" x14ac:dyDescent="0.3">
      <c r="A659" s="37" t="s">
        <v>2</v>
      </c>
      <c r="B659" s="37" t="s">
        <v>53</v>
      </c>
      <c r="C659" s="38">
        <v>85000</v>
      </c>
    </row>
    <row r="660" spans="1:3" x14ac:dyDescent="0.3">
      <c r="A660" s="37" t="s">
        <v>2</v>
      </c>
      <c r="B660" s="37" t="s">
        <v>53</v>
      </c>
      <c r="C660" s="38"/>
    </row>
    <row r="661" spans="1:3" x14ac:dyDescent="0.3">
      <c r="A661" s="37" t="s">
        <v>2</v>
      </c>
      <c r="B661" s="37" t="s">
        <v>64</v>
      </c>
      <c r="C661" s="38">
        <v>111175</v>
      </c>
    </row>
    <row r="662" spans="1:3" x14ac:dyDescent="0.3">
      <c r="A662" s="37" t="s">
        <v>2</v>
      </c>
      <c r="B662" s="37" t="s">
        <v>105</v>
      </c>
      <c r="C662" s="38">
        <v>111175</v>
      </c>
    </row>
    <row r="663" spans="1:3" x14ac:dyDescent="0.3">
      <c r="A663" s="37" t="s">
        <v>2</v>
      </c>
      <c r="B663" s="37" t="s">
        <v>54</v>
      </c>
      <c r="C663" s="38"/>
    </row>
    <row r="664" spans="1:3" x14ac:dyDescent="0.3">
      <c r="A664" s="37" t="s">
        <v>2</v>
      </c>
      <c r="B664" s="37" t="s">
        <v>53</v>
      </c>
      <c r="C664" s="38">
        <v>100000</v>
      </c>
    </row>
    <row r="665" spans="1:3" x14ac:dyDescent="0.3">
      <c r="A665" s="37" t="s">
        <v>2</v>
      </c>
      <c r="B665" s="37" t="s">
        <v>53</v>
      </c>
      <c r="C665" s="38"/>
    </row>
    <row r="666" spans="1:3" x14ac:dyDescent="0.3">
      <c r="A666" s="37" t="s">
        <v>2</v>
      </c>
      <c r="B666" s="37" t="s">
        <v>53</v>
      </c>
      <c r="C666" s="38">
        <v>90000</v>
      </c>
    </row>
    <row r="667" spans="1:3" x14ac:dyDescent="0.3">
      <c r="A667" s="37" t="s">
        <v>2</v>
      </c>
      <c r="B667" s="37" t="s">
        <v>53</v>
      </c>
      <c r="C667" s="38">
        <v>90000</v>
      </c>
    </row>
    <row r="668" spans="1:3" x14ac:dyDescent="0.3">
      <c r="A668" s="37" t="s">
        <v>2</v>
      </c>
      <c r="B668" s="37" t="s">
        <v>53</v>
      </c>
      <c r="C668" s="38"/>
    </row>
    <row r="669" spans="1:3" x14ac:dyDescent="0.3">
      <c r="A669" s="37" t="s">
        <v>2</v>
      </c>
      <c r="B669" s="37" t="s">
        <v>53</v>
      </c>
      <c r="C669" s="38">
        <v>187875</v>
      </c>
    </row>
    <row r="670" spans="1:3" x14ac:dyDescent="0.3">
      <c r="A670" s="37" t="s">
        <v>2</v>
      </c>
      <c r="B670" s="37" t="s">
        <v>53</v>
      </c>
      <c r="C670" s="38"/>
    </row>
    <row r="671" spans="1:3" x14ac:dyDescent="0.3">
      <c r="A671" s="37" t="s">
        <v>2</v>
      </c>
      <c r="B671" s="37" t="s">
        <v>54</v>
      </c>
      <c r="C671" s="38">
        <v>139246.5</v>
      </c>
    </row>
    <row r="672" spans="1:3" x14ac:dyDescent="0.3">
      <c r="A672" s="37" t="s">
        <v>2</v>
      </c>
      <c r="B672" s="37" t="s">
        <v>53</v>
      </c>
      <c r="C672" s="38"/>
    </row>
    <row r="673" spans="1:3" x14ac:dyDescent="0.3">
      <c r="A673" s="37" t="s">
        <v>2</v>
      </c>
      <c r="B673" s="37" t="s">
        <v>53</v>
      </c>
      <c r="C673" s="38"/>
    </row>
    <row r="674" spans="1:3" x14ac:dyDescent="0.3">
      <c r="A674" s="37" t="s">
        <v>2</v>
      </c>
      <c r="B674" s="37" t="s">
        <v>53</v>
      </c>
      <c r="C674" s="38">
        <v>188675</v>
      </c>
    </row>
    <row r="675" spans="1:3" x14ac:dyDescent="0.3">
      <c r="A675" s="37" t="s">
        <v>2</v>
      </c>
      <c r="B675" s="37" t="s">
        <v>53</v>
      </c>
      <c r="C675" s="38"/>
    </row>
    <row r="676" spans="1:3" x14ac:dyDescent="0.3">
      <c r="A676" s="37" t="s">
        <v>2</v>
      </c>
      <c r="B676" s="37" t="s">
        <v>53</v>
      </c>
      <c r="C676" s="38">
        <v>157000</v>
      </c>
    </row>
    <row r="677" spans="1:3" x14ac:dyDescent="0.3">
      <c r="A677" s="37" t="s">
        <v>2</v>
      </c>
      <c r="B677" s="37" t="s">
        <v>53</v>
      </c>
      <c r="C677" s="38">
        <v>98500</v>
      </c>
    </row>
    <row r="678" spans="1:3" x14ac:dyDescent="0.3">
      <c r="A678" s="37" t="s">
        <v>2</v>
      </c>
      <c r="B678" s="37" t="s">
        <v>79</v>
      </c>
      <c r="C678" s="38">
        <v>100500</v>
      </c>
    </row>
    <row r="679" spans="1:3" x14ac:dyDescent="0.3">
      <c r="A679" s="37" t="s">
        <v>2</v>
      </c>
      <c r="B679" s="37" t="s">
        <v>53</v>
      </c>
      <c r="C679" s="38"/>
    </row>
    <row r="680" spans="1:3" x14ac:dyDescent="0.3">
      <c r="A680" s="37" t="s">
        <v>2</v>
      </c>
      <c r="B680" s="37" t="s">
        <v>53</v>
      </c>
      <c r="C680" s="38"/>
    </row>
    <row r="681" spans="1:3" x14ac:dyDescent="0.3">
      <c r="A681" s="37" t="s">
        <v>2</v>
      </c>
      <c r="B681" s="37" t="s">
        <v>53</v>
      </c>
      <c r="C681" s="38"/>
    </row>
    <row r="682" spans="1:3" x14ac:dyDescent="0.3">
      <c r="A682" s="37" t="s">
        <v>2</v>
      </c>
      <c r="B682" s="37" t="s">
        <v>53</v>
      </c>
      <c r="C682" s="38">
        <v>125000</v>
      </c>
    </row>
    <row r="683" spans="1:3" x14ac:dyDescent="0.3">
      <c r="A683" s="37" t="s">
        <v>2</v>
      </c>
      <c r="B683" s="37" t="s">
        <v>53</v>
      </c>
      <c r="C683" s="38">
        <v>75000</v>
      </c>
    </row>
    <row r="684" spans="1:3" x14ac:dyDescent="0.3">
      <c r="A684" s="37" t="s">
        <v>2</v>
      </c>
      <c r="B684" s="37" t="s">
        <v>53</v>
      </c>
      <c r="C684" s="38"/>
    </row>
    <row r="685" spans="1:3" x14ac:dyDescent="0.3">
      <c r="A685" s="37" t="s">
        <v>2</v>
      </c>
      <c r="B685" s="37" t="s">
        <v>72</v>
      </c>
      <c r="C685" s="38">
        <v>51014</v>
      </c>
    </row>
    <row r="686" spans="1:3" x14ac:dyDescent="0.3">
      <c r="A686" s="37" t="s">
        <v>2</v>
      </c>
      <c r="B686" s="37" t="s">
        <v>74</v>
      </c>
      <c r="C686" s="38">
        <v>45000</v>
      </c>
    </row>
    <row r="687" spans="1:3" x14ac:dyDescent="0.3">
      <c r="A687" s="37" t="s">
        <v>2</v>
      </c>
      <c r="B687" s="37" t="s">
        <v>53</v>
      </c>
      <c r="C687" s="38"/>
    </row>
    <row r="688" spans="1:3" x14ac:dyDescent="0.3">
      <c r="A688" s="37" t="s">
        <v>2</v>
      </c>
      <c r="B688" s="37" t="s">
        <v>53</v>
      </c>
      <c r="C688" s="38"/>
    </row>
    <row r="689" spans="1:3" x14ac:dyDescent="0.3">
      <c r="A689" s="37" t="s">
        <v>2</v>
      </c>
      <c r="B689" s="37" t="s">
        <v>53</v>
      </c>
      <c r="C689" s="38"/>
    </row>
    <row r="690" spans="1:3" x14ac:dyDescent="0.3">
      <c r="A690" s="37" t="s">
        <v>2</v>
      </c>
      <c r="B690" s="37" t="s">
        <v>53</v>
      </c>
      <c r="C690" s="38"/>
    </row>
    <row r="691" spans="1:3" x14ac:dyDescent="0.3">
      <c r="A691" s="37" t="s">
        <v>2</v>
      </c>
      <c r="B691" s="37" t="s">
        <v>53</v>
      </c>
      <c r="C691" s="38">
        <v>115000</v>
      </c>
    </row>
    <row r="692" spans="1:3" x14ac:dyDescent="0.3">
      <c r="A692" s="37" t="s">
        <v>2</v>
      </c>
      <c r="B692" s="37" t="s">
        <v>53</v>
      </c>
      <c r="C692" s="38">
        <v>105900</v>
      </c>
    </row>
    <row r="693" spans="1:3" x14ac:dyDescent="0.3">
      <c r="A693" s="37" t="s">
        <v>2</v>
      </c>
      <c r="B693" s="37" t="s">
        <v>53</v>
      </c>
      <c r="C693" s="38"/>
    </row>
    <row r="694" spans="1:3" x14ac:dyDescent="0.3">
      <c r="A694" s="37" t="s">
        <v>2</v>
      </c>
      <c r="B694" s="37" t="s">
        <v>53</v>
      </c>
      <c r="C694" s="38"/>
    </row>
    <row r="695" spans="1:3" x14ac:dyDescent="0.3">
      <c r="A695" s="37" t="s">
        <v>2</v>
      </c>
      <c r="B695" s="37" t="s">
        <v>53</v>
      </c>
      <c r="C695" s="38"/>
    </row>
    <row r="696" spans="1:3" x14ac:dyDescent="0.3">
      <c r="A696" s="37" t="s">
        <v>2</v>
      </c>
      <c r="B696" s="37" t="s">
        <v>53</v>
      </c>
      <c r="C696" s="38"/>
    </row>
    <row r="697" spans="1:3" x14ac:dyDescent="0.3">
      <c r="A697" s="37" t="s">
        <v>2</v>
      </c>
      <c r="B697" s="37" t="s">
        <v>53</v>
      </c>
      <c r="C697" s="38">
        <v>90000</v>
      </c>
    </row>
    <row r="698" spans="1:3" x14ac:dyDescent="0.3">
      <c r="A698" s="37" t="s">
        <v>2</v>
      </c>
      <c r="B698" s="37" t="s">
        <v>86</v>
      </c>
      <c r="C698" s="38">
        <v>51014</v>
      </c>
    </row>
    <row r="699" spans="1:3" x14ac:dyDescent="0.3">
      <c r="A699" s="37" t="s">
        <v>2</v>
      </c>
      <c r="B699" s="37" t="s">
        <v>53</v>
      </c>
      <c r="C699" s="38"/>
    </row>
    <row r="700" spans="1:3" x14ac:dyDescent="0.3">
      <c r="A700" s="37" t="s">
        <v>2</v>
      </c>
      <c r="B700" s="37" t="s">
        <v>53</v>
      </c>
      <c r="C700" s="38">
        <v>77500</v>
      </c>
    </row>
    <row r="701" spans="1:3" x14ac:dyDescent="0.3">
      <c r="A701" s="37" t="s">
        <v>2</v>
      </c>
      <c r="B701" s="37" t="s">
        <v>53</v>
      </c>
      <c r="C701" s="38"/>
    </row>
    <row r="702" spans="1:3" x14ac:dyDescent="0.3">
      <c r="A702" s="37" t="s">
        <v>2</v>
      </c>
      <c r="B702" s="37" t="s">
        <v>53</v>
      </c>
      <c r="C702" s="38"/>
    </row>
    <row r="703" spans="1:3" x14ac:dyDescent="0.3">
      <c r="A703" s="37" t="s">
        <v>2</v>
      </c>
      <c r="B703" s="37" t="s">
        <v>53</v>
      </c>
      <c r="C703" s="38">
        <v>137500</v>
      </c>
    </row>
    <row r="704" spans="1:3" x14ac:dyDescent="0.3">
      <c r="A704" s="37" t="s">
        <v>2</v>
      </c>
      <c r="B704" s="37" t="s">
        <v>53</v>
      </c>
      <c r="C704" s="38">
        <v>76000</v>
      </c>
    </row>
    <row r="705" spans="1:3" x14ac:dyDescent="0.3">
      <c r="A705" s="37" t="s">
        <v>2</v>
      </c>
      <c r="B705" s="37" t="s">
        <v>53</v>
      </c>
      <c r="C705" s="38">
        <v>73481</v>
      </c>
    </row>
    <row r="706" spans="1:3" x14ac:dyDescent="0.3">
      <c r="A706" s="37" t="s">
        <v>2</v>
      </c>
      <c r="B706" s="37" t="s">
        <v>98</v>
      </c>
      <c r="C706" s="38">
        <v>89100</v>
      </c>
    </row>
    <row r="707" spans="1:3" x14ac:dyDescent="0.3">
      <c r="A707" s="37" t="s">
        <v>2</v>
      </c>
      <c r="B707" s="37" t="s">
        <v>53</v>
      </c>
      <c r="C707" s="38">
        <v>71500</v>
      </c>
    </row>
    <row r="708" spans="1:3" x14ac:dyDescent="0.3">
      <c r="A708" s="37" t="s">
        <v>2</v>
      </c>
      <c r="B708" s="37" t="s">
        <v>53</v>
      </c>
      <c r="C708" s="38">
        <v>100000</v>
      </c>
    </row>
    <row r="709" spans="1:3" x14ac:dyDescent="0.3">
      <c r="A709" s="37" t="s">
        <v>2</v>
      </c>
      <c r="B709" s="37" t="s">
        <v>53</v>
      </c>
      <c r="C709" s="38">
        <v>45000</v>
      </c>
    </row>
    <row r="710" spans="1:3" x14ac:dyDescent="0.3">
      <c r="A710" s="37" t="s">
        <v>2</v>
      </c>
      <c r="B710" s="37" t="s">
        <v>53</v>
      </c>
      <c r="C710" s="38"/>
    </row>
    <row r="711" spans="1:3" x14ac:dyDescent="0.3">
      <c r="A711" s="37" t="s">
        <v>2</v>
      </c>
      <c r="B711" s="37" t="s">
        <v>53</v>
      </c>
      <c r="C711" s="38">
        <v>111202</v>
      </c>
    </row>
    <row r="712" spans="1:3" x14ac:dyDescent="0.3">
      <c r="A712" s="37" t="s">
        <v>2</v>
      </c>
      <c r="B712" s="37" t="s">
        <v>53</v>
      </c>
      <c r="C712" s="38">
        <v>90792</v>
      </c>
    </row>
    <row r="713" spans="1:3" x14ac:dyDescent="0.3">
      <c r="A713" s="37" t="s">
        <v>2</v>
      </c>
      <c r="B713" s="37" t="s">
        <v>53</v>
      </c>
      <c r="C713" s="38">
        <v>85000</v>
      </c>
    </row>
    <row r="714" spans="1:3" x14ac:dyDescent="0.3">
      <c r="A714" s="37" t="s">
        <v>2</v>
      </c>
      <c r="B714" s="37" t="s">
        <v>53</v>
      </c>
      <c r="C714" s="38"/>
    </row>
    <row r="715" spans="1:3" x14ac:dyDescent="0.3">
      <c r="A715" s="37" t="s">
        <v>2</v>
      </c>
      <c r="B715" s="37" t="s">
        <v>53</v>
      </c>
      <c r="C715" s="38"/>
    </row>
    <row r="716" spans="1:3" x14ac:dyDescent="0.3">
      <c r="A716" s="37" t="s">
        <v>2</v>
      </c>
      <c r="B716" s="37" t="s">
        <v>53</v>
      </c>
      <c r="C716" s="38">
        <v>117550</v>
      </c>
    </row>
    <row r="717" spans="1:3" x14ac:dyDescent="0.3">
      <c r="A717" s="37" t="s">
        <v>2</v>
      </c>
      <c r="B717" s="37" t="s">
        <v>53</v>
      </c>
      <c r="C717" s="38">
        <v>181425</v>
      </c>
    </row>
    <row r="718" spans="1:3" x14ac:dyDescent="0.3">
      <c r="A718" s="37" t="s">
        <v>2</v>
      </c>
      <c r="B718" s="37" t="s">
        <v>53</v>
      </c>
      <c r="C718" s="38"/>
    </row>
    <row r="719" spans="1:3" x14ac:dyDescent="0.3">
      <c r="A719" s="37" t="s">
        <v>2</v>
      </c>
      <c r="B719" s="37" t="s">
        <v>53</v>
      </c>
      <c r="C719" s="38">
        <v>150000</v>
      </c>
    </row>
    <row r="720" spans="1:3" x14ac:dyDescent="0.3">
      <c r="A720" s="37" t="s">
        <v>2</v>
      </c>
      <c r="B720" s="37" t="s">
        <v>53</v>
      </c>
      <c r="C720" s="38">
        <v>150000</v>
      </c>
    </row>
    <row r="721" spans="1:3" x14ac:dyDescent="0.3">
      <c r="A721" s="37" t="s">
        <v>2</v>
      </c>
      <c r="B721" s="37" t="s">
        <v>69</v>
      </c>
      <c r="C721" s="38">
        <v>200000</v>
      </c>
    </row>
    <row r="722" spans="1:3" x14ac:dyDescent="0.3">
      <c r="A722" s="37" t="s">
        <v>2</v>
      </c>
      <c r="B722" s="37" t="s">
        <v>53</v>
      </c>
      <c r="C722" s="38">
        <v>52500</v>
      </c>
    </row>
    <row r="723" spans="1:3" x14ac:dyDescent="0.3">
      <c r="A723" s="37" t="s">
        <v>2</v>
      </c>
      <c r="B723" s="37" t="s">
        <v>53</v>
      </c>
      <c r="C723" s="38">
        <v>144481.5</v>
      </c>
    </row>
    <row r="724" spans="1:3" x14ac:dyDescent="0.3">
      <c r="A724" s="37" t="s">
        <v>2</v>
      </c>
      <c r="B724" s="37" t="s">
        <v>53</v>
      </c>
      <c r="C724" s="38"/>
    </row>
    <row r="725" spans="1:3" x14ac:dyDescent="0.3">
      <c r="A725" s="37" t="s">
        <v>2</v>
      </c>
      <c r="B725" s="37" t="s">
        <v>53</v>
      </c>
      <c r="C725" s="38">
        <v>90000</v>
      </c>
    </row>
    <row r="726" spans="1:3" x14ac:dyDescent="0.3">
      <c r="A726" s="37" t="s">
        <v>2</v>
      </c>
      <c r="B726" s="37" t="s">
        <v>98</v>
      </c>
      <c r="C726" s="38">
        <v>98500</v>
      </c>
    </row>
    <row r="727" spans="1:3" x14ac:dyDescent="0.3">
      <c r="A727" s="37" t="s">
        <v>2</v>
      </c>
      <c r="B727" s="37" t="s">
        <v>53</v>
      </c>
      <c r="C727" s="38">
        <v>55000</v>
      </c>
    </row>
    <row r="728" spans="1:3" x14ac:dyDescent="0.3">
      <c r="A728" s="37" t="s">
        <v>2</v>
      </c>
      <c r="B728" s="37" t="s">
        <v>53</v>
      </c>
      <c r="C728" s="38">
        <v>70000</v>
      </c>
    </row>
    <row r="729" spans="1:3" x14ac:dyDescent="0.3">
      <c r="A729" s="37" t="s">
        <v>2</v>
      </c>
      <c r="B729" s="37" t="s">
        <v>53</v>
      </c>
      <c r="C729" s="38">
        <v>52500</v>
      </c>
    </row>
    <row r="730" spans="1:3" x14ac:dyDescent="0.3">
      <c r="A730" s="37" t="s">
        <v>2</v>
      </c>
      <c r="B730" s="37" t="s">
        <v>53</v>
      </c>
      <c r="C730" s="38"/>
    </row>
    <row r="731" spans="1:3" x14ac:dyDescent="0.3">
      <c r="A731" s="37" t="s">
        <v>2</v>
      </c>
      <c r="B731" s="37" t="s">
        <v>53</v>
      </c>
      <c r="C731" s="38">
        <v>65000</v>
      </c>
    </row>
    <row r="732" spans="1:3" x14ac:dyDescent="0.3">
      <c r="A732" s="37" t="s">
        <v>2</v>
      </c>
      <c r="B732" s="37" t="s">
        <v>53</v>
      </c>
      <c r="C732" s="38"/>
    </row>
    <row r="733" spans="1:3" x14ac:dyDescent="0.3">
      <c r="A733" s="37" t="s">
        <v>2</v>
      </c>
      <c r="B733" s="37" t="s">
        <v>53</v>
      </c>
      <c r="C733" s="38">
        <v>58017</v>
      </c>
    </row>
    <row r="734" spans="1:3" x14ac:dyDescent="0.3">
      <c r="A734" s="37" t="s">
        <v>2</v>
      </c>
      <c r="B734" s="37" t="s">
        <v>53</v>
      </c>
      <c r="C734" s="38"/>
    </row>
    <row r="735" spans="1:3" x14ac:dyDescent="0.3">
      <c r="A735" s="37" t="s">
        <v>2</v>
      </c>
      <c r="B735" s="37" t="s">
        <v>69</v>
      </c>
      <c r="C735" s="38">
        <v>89100</v>
      </c>
    </row>
    <row r="736" spans="1:3" x14ac:dyDescent="0.3">
      <c r="A736" s="37" t="s">
        <v>2</v>
      </c>
      <c r="B736" s="37" t="s">
        <v>53</v>
      </c>
      <c r="C736" s="38">
        <v>80000</v>
      </c>
    </row>
    <row r="737" spans="1:3" x14ac:dyDescent="0.3">
      <c r="A737" s="37" t="s">
        <v>2</v>
      </c>
      <c r="B737" s="37" t="s">
        <v>53</v>
      </c>
      <c r="C737" s="38"/>
    </row>
    <row r="738" spans="1:3" x14ac:dyDescent="0.3">
      <c r="A738" s="37" t="s">
        <v>2</v>
      </c>
      <c r="B738" s="37" t="s">
        <v>53</v>
      </c>
      <c r="C738" s="38">
        <v>105000</v>
      </c>
    </row>
    <row r="739" spans="1:3" x14ac:dyDescent="0.3">
      <c r="A739" s="37" t="s">
        <v>2</v>
      </c>
      <c r="B739" s="37" t="s">
        <v>53</v>
      </c>
      <c r="C739" s="38"/>
    </row>
    <row r="740" spans="1:3" x14ac:dyDescent="0.3">
      <c r="A740" s="37" t="s">
        <v>2</v>
      </c>
      <c r="B740" s="37" t="s">
        <v>53</v>
      </c>
      <c r="C740" s="38">
        <v>127100</v>
      </c>
    </row>
    <row r="741" spans="1:3" x14ac:dyDescent="0.3">
      <c r="A741" s="37" t="s">
        <v>2</v>
      </c>
      <c r="B741" s="37" t="s">
        <v>53</v>
      </c>
      <c r="C741" s="38"/>
    </row>
    <row r="742" spans="1:3" x14ac:dyDescent="0.3">
      <c r="A742" s="37" t="s">
        <v>2</v>
      </c>
      <c r="B742" s="37" t="s">
        <v>53</v>
      </c>
      <c r="C742" s="38">
        <v>90000</v>
      </c>
    </row>
    <row r="743" spans="1:3" x14ac:dyDescent="0.3">
      <c r="A743" s="37" t="s">
        <v>2</v>
      </c>
      <c r="B743" s="37" t="s">
        <v>53</v>
      </c>
      <c r="C743" s="38"/>
    </row>
    <row r="744" spans="1:3" x14ac:dyDescent="0.3">
      <c r="A744" s="37" t="s">
        <v>2</v>
      </c>
      <c r="B744" s="37" t="s">
        <v>53</v>
      </c>
      <c r="C744" s="38">
        <v>81350</v>
      </c>
    </row>
    <row r="745" spans="1:3" x14ac:dyDescent="0.3">
      <c r="A745" s="37" t="s">
        <v>2</v>
      </c>
      <c r="B745" s="37" t="s">
        <v>53</v>
      </c>
      <c r="C745" s="38"/>
    </row>
    <row r="746" spans="1:3" x14ac:dyDescent="0.3">
      <c r="A746" s="37" t="s">
        <v>2</v>
      </c>
      <c r="B746" s="37" t="s">
        <v>53</v>
      </c>
      <c r="C746" s="38">
        <v>101540</v>
      </c>
    </row>
    <row r="747" spans="1:3" x14ac:dyDescent="0.3">
      <c r="A747" s="37" t="s">
        <v>2</v>
      </c>
      <c r="B747" s="37" t="s">
        <v>53</v>
      </c>
      <c r="C747" s="38">
        <v>125000</v>
      </c>
    </row>
    <row r="748" spans="1:3" x14ac:dyDescent="0.3">
      <c r="A748" s="37" t="s">
        <v>2</v>
      </c>
      <c r="B748" s="37" t="s">
        <v>53</v>
      </c>
      <c r="C748" s="38">
        <v>49500</v>
      </c>
    </row>
    <row r="749" spans="1:3" x14ac:dyDescent="0.3">
      <c r="A749" s="37" t="s">
        <v>2</v>
      </c>
      <c r="B749" s="37" t="s">
        <v>53</v>
      </c>
      <c r="C749" s="38">
        <v>92500</v>
      </c>
    </row>
    <row r="750" spans="1:3" x14ac:dyDescent="0.3">
      <c r="A750" s="37" t="s">
        <v>2</v>
      </c>
      <c r="B750" s="37" t="s">
        <v>53</v>
      </c>
      <c r="C750" s="38">
        <v>150000</v>
      </c>
    </row>
    <row r="751" spans="1:3" x14ac:dyDescent="0.3">
      <c r="A751" s="37" t="s">
        <v>2</v>
      </c>
      <c r="B751" s="37" t="s">
        <v>53</v>
      </c>
      <c r="C751" s="38">
        <v>70000</v>
      </c>
    </row>
    <row r="752" spans="1:3" x14ac:dyDescent="0.3">
      <c r="A752" s="37" t="s">
        <v>2</v>
      </c>
      <c r="B752" s="37" t="s">
        <v>53</v>
      </c>
      <c r="C752" s="38">
        <v>85000</v>
      </c>
    </row>
    <row r="753" spans="1:3" x14ac:dyDescent="0.3">
      <c r="A753" s="37" t="s">
        <v>2</v>
      </c>
      <c r="B753" s="37" t="s">
        <v>53</v>
      </c>
      <c r="C753" s="38">
        <v>150000</v>
      </c>
    </row>
    <row r="754" spans="1:3" x14ac:dyDescent="0.3">
      <c r="A754" s="37" t="s">
        <v>2</v>
      </c>
      <c r="B754" s="37" t="s">
        <v>53</v>
      </c>
      <c r="C754" s="38">
        <v>115000</v>
      </c>
    </row>
    <row r="755" spans="1:3" x14ac:dyDescent="0.3">
      <c r="A755" s="37" t="s">
        <v>2</v>
      </c>
      <c r="B755" s="37" t="s">
        <v>53</v>
      </c>
      <c r="C755" s="38"/>
    </row>
    <row r="756" spans="1:3" x14ac:dyDescent="0.3">
      <c r="A756" s="37" t="s">
        <v>2</v>
      </c>
      <c r="B756" s="37" t="s">
        <v>53</v>
      </c>
      <c r="C756" s="38">
        <v>115000</v>
      </c>
    </row>
    <row r="757" spans="1:3" x14ac:dyDescent="0.3">
      <c r="A757" s="37" t="s">
        <v>2</v>
      </c>
      <c r="B757" s="37" t="s">
        <v>53</v>
      </c>
      <c r="C757" s="38">
        <v>115000</v>
      </c>
    </row>
    <row r="758" spans="1:3" x14ac:dyDescent="0.3">
      <c r="A758" s="37" t="s">
        <v>2</v>
      </c>
      <c r="B758" s="37" t="s">
        <v>53</v>
      </c>
      <c r="C758" s="38"/>
    </row>
    <row r="759" spans="1:3" x14ac:dyDescent="0.3">
      <c r="A759" s="37" t="s">
        <v>2</v>
      </c>
      <c r="B759" s="37" t="s">
        <v>53</v>
      </c>
      <c r="C759" s="38"/>
    </row>
    <row r="760" spans="1:3" x14ac:dyDescent="0.3">
      <c r="A760" s="37" t="s">
        <v>2</v>
      </c>
      <c r="B760" s="37" t="s">
        <v>53</v>
      </c>
      <c r="C760" s="38"/>
    </row>
    <row r="761" spans="1:3" x14ac:dyDescent="0.3">
      <c r="A761" s="37" t="s">
        <v>2</v>
      </c>
      <c r="B761" s="37" t="s">
        <v>53</v>
      </c>
      <c r="C761" s="38">
        <v>50289.1796875</v>
      </c>
    </row>
    <row r="762" spans="1:3" x14ac:dyDescent="0.3">
      <c r="A762" s="37" t="s">
        <v>2</v>
      </c>
      <c r="B762" s="37" t="s">
        <v>53</v>
      </c>
      <c r="C762" s="38">
        <v>42120</v>
      </c>
    </row>
    <row r="763" spans="1:3" x14ac:dyDescent="0.3">
      <c r="A763" s="37" t="s">
        <v>2</v>
      </c>
      <c r="B763" s="37" t="s">
        <v>53</v>
      </c>
      <c r="C763" s="38"/>
    </row>
    <row r="764" spans="1:3" x14ac:dyDescent="0.3">
      <c r="A764" s="37" t="s">
        <v>2</v>
      </c>
      <c r="B764" s="37" t="s">
        <v>85</v>
      </c>
      <c r="C764" s="38">
        <v>45000</v>
      </c>
    </row>
    <row r="765" spans="1:3" x14ac:dyDescent="0.3">
      <c r="A765" s="37" t="s">
        <v>2</v>
      </c>
      <c r="B765" s="37" t="s">
        <v>53</v>
      </c>
      <c r="C765" s="38">
        <v>70000</v>
      </c>
    </row>
    <row r="766" spans="1:3" x14ac:dyDescent="0.3">
      <c r="A766" s="37" t="s">
        <v>2</v>
      </c>
      <c r="B766" s="37" t="s">
        <v>53</v>
      </c>
      <c r="C766" s="38">
        <v>87000</v>
      </c>
    </row>
    <row r="767" spans="1:3" x14ac:dyDescent="0.3">
      <c r="A767" s="37" t="s">
        <v>2</v>
      </c>
      <c r="B767" s="37" t="s">
        <v>53</v>
      </c>
      <c r="C767" s="38"/>
    </row>
    <row r="768" spans="1:3" x14ac:dyDescent="0.3">
      <c r="A768" s="37" t="s">
        <v>2</v>
      </c>
      <c r="B768" s="37" t="s">
        <v>53</v>
      </c>
      <c r="C768" s="38"/>
    </row>
    <row r="769" spans="1:3" x14ac:dyDescent="0.3">
      <c r="A769" s="37" t="s">
        <v>2</v>
      </c>
      <c r="B769" s="37" t="s">
        <v>53</v>
      </c>
      <c r="C769" s="38">
        <v>110240.109375</v>
      </c>
    </row>
    <row r="770" spans="1:3" x14ac:dyDescent="0.3">
      <c r="A770" s="37" t="s">
        <v>2</v>
      </c>
      <c r="B770" s="37" t="s">
        <v>53</v>
      </c>
      <c r="C770" s="38"/>
    </row>
    <row r="771" spans="1:3" x14ac:dyDescent="0.3">
      <c r="A771" s="37" t="s">
        <v>2</v>
      </c>
      <c r="B771" s="37" t="s">
        <v>53</v>
      </c>
      <c r="C771" s="38"/>
    </row>
    <row r="772" spans="1:3" x14ac:dyDescent="0.3">
      <c r="A772" s="37" t="s">
        <v>2</v>
      </c>
      <c r="B772" s="37" t="s">
        <v>53</v>
      </c>
      <c r="C772" s="38">
        <v>39500</v>
      </c>
    </row>
    <row r="773" spans="1:3" x14ac:dyDescent="0.3">
      <c r="A773" s="37" t="s">
        <v>2</v>
      </c>
      <c r="B773" s="37" t="s">
        <v>53</v>
      </c>
      <c r="C773" s="38"/>
    </row>
    <row r="774" spans="1:3" x14ac:dyDescent="0.3">
      <c r="A774" s="37" t="s">
        <v>2</v>
      </c>
      <c r="B774" s="37" t="s">
        <v>53</v>
      </c>
      <c r="C774" s="38"/>
    </row>
    <row r="775" spans="1:3" x14ac:dyDescent="0.3">
      <c r="A775" s="37" t="s">
        <v>2</v>
      </c>
      <c r="B775" s="37" t="s">
        <v>53</v>
      </c>
      <c r="C775" s="38">
        <v>61500</v>
      </c>
    </row>
    <row r="776" spans="1:3" x14ac:dyDescent="0.3">
      <c r="A776" s="37" t="s">
        <v>2</v>
      </c>
      <c r="B776" s="37" t="s">
        <v>53</v>
      </c>
      <c r="C776" s="38">
        <v>70000</v>
      </c>
    </row>
    <row r="777" spans="1:3" x14ac:dyDescent="0.3">
      <c r="A777" s="37" t="s">
        <v>2</v>
      </c>
      <c r="B777" s="37" t="s">
        <v>57</v>
      </c>
      <c r="C777" s="38">
        <v>60000</v>
      </c>
    </row>
    <row r="778" spans="1:3" x14ac:dyDescent="0.3">
      <c r="A778" s="37" t="s">
        <v>2</v>
      </c>
      <c r="B778" s="37" t="s">
        <v>53</v>
      </c>
      <c r="C778" s="38"/>
    </row>
    <row r="779" spans="1:3" x14ac:dyDescent="0.3">
      <c r="A779" s="37" t="s">
        <v>2</v>
      </c>
      <c r="B779" s="37" t="s">
        <v>53</v>
      </c>
      <c r="C779" s="38">
        <v>75000</v>
      </c>
    </row>
    <row r="780" spans="1:3" x14ac:dyDescent="0.3">
      <c r="A780" s="37" t="s">
        <v>2</v>
      </c>
      <c r="B780" s="37" t="s">
        <v>53</v>
      </c>
      <c r="C780" s="38">
        <v>60000</v>
      </c>
    </row>
    <row r="781" spans="1:3" x14ac:dyDescent="0.3">
      <c r="A781" s="37" t="s">
        <v>2</v>
      </c>
      <c r="B781" s="37" t="s">
        <v>53</v>
      </c>
      <c r="C781" s="38">
        <v>137500</v>
      </c>
    </row>
    <row r="782" spans="1:3" x14ac:dyDescent="0.3">
      <c r="A782" s="37" t="s">
        <v>2</v>
      </c>
      <c r="B782" s="37" t="s">
        <v>53</v>
      </c>
      <c r="C782" s="38">
        <v>89833.5</v>
      </c>
    </row>
    <row r="783" spans="1:3" x14ac:dyDescent="0.3">
      <c r="A783" s="37" t="s">
        <v>2</v>
      </c>
      <c r="B783" s="37" t="s">
        <v>53</v>
      </c>
      <c r="C783" s="38"/>
    </row>
    <row r="784" spans="1:3" x14ac:dyDescent="0.3">
      <c r="A784" s="37" t="s">
        <v>2</v>
      </c>
      <c r="B784" s="37" t="s">
        <v>53</v>
      </c>
      <c r="C784" s="38">
        <v>74801.5</v>
      </c>
    </row>
    <row r="785" spans="1:3" x14ac:dyDescent="0.3">
      <c r="A785" s="37" t="s">
        <v>2</v>
      </c>
      <c r="B785" s="37" t="s">
        <v>53</v>
      </c>
      <c r="C785" s="38"/>
    </row>
    <row r="786" spans="1:3" x14ac:dyDescent="0.3">
      <c r="A786" s="37" t="s">
        <v>2</v>
      </c>
      <c r="B786" s="37" t="s">
        <v>53</v>
      </c>
      <c r="C786" s="38"/>
    </row>
    <row r="787" spans="1:3" x14ac:dyDescent="0.3">
      <c r="A787" s="37" t="s">
        <v>2</v>
      </c>
      <c r="B787" s="37" t="s">
        <v>53</v>
      </c>
      <c r="C787" s="38"/>
    </row>
    <row r="788" spans="1:3" x14ac:dyDescent="0.3">
      <c r="A788" s="37" t="s">
        <v>2</v>
      </c>
      <c r="B788" s="37" t="s">
        <v>53</v>
      </c>
      <c r="C788" s="38">
        <v>50000</v>
      </c>
    </row>
    <row r="789" spans="1:3" x14ac:dyDescent="0.3">
      <c r="A789" s="37" t="s">
        <v>2</v>
      </c>
      <c r="B789" s="37" t="s">
        <v>53</v>
      </c>
      <c r="C789" s="38">
        <v>60000</v>
      </c>
    </row>
    <row r="790" spans="1:3" x14ac:dyDescent="0.3">
      <c r="A790" s="37" t="s">
        <v>2</v>
      </c>
      <c r="B790" s="37" t="s">
        <v>53</v>
      </c>
      <c r="C790" s="38">
        <v>97500</v>
      </c>
    </row>
    <row r="791" spans="1:3" x14ac:dyDescent="0.3">
      <c r="A791" s="37" t="s">
        <v>2</v>
      </c>
      <c r="B791" s="37" t="s">
        <v>107</v>
      </c>
      <c r="C791" s="38">
        <v>56700</v>
      </c>
    </row>
    <row r="792" spans="1:3" x14ac:dyDescent="0.3">
      <c r="A792" s="37" t="s">
        <v>2</v>
      </c>
      <c r="B792" s="37" t="s">
        <v>53</v>
      </c>
      <c r="C792" s="38">
        <v>51014</v>
      </c>
    </row>
    <row r="793" spans="1:3" x14ac:dyDescent="0.3">
      <c r="A793" s="37" t="s">
        <v>2</v>
      </c>
      <c r="B793" s="37" t="s">
        <v>53</v>
      </c>
      <c r="C793" s="38"/>
    </row>
    <row r="794" spans="1:3" x14ac:dyDescent="0.3">
      <c r="A794" s="37" t="s">
        <v>2</v>
      </c>
      <c r="B794" s="37" t="s">
        <v>53</v>
      </c>
      <c r="C794" s="38"/>
    </row>
    <row r="795" spans="1:3" x14ac:dyDescent="0.3">
      <c r="A795" s="37" t="s">
        <v>2</v>
      </c>
      <c r="B795" s="37" t="s">
        <v>53</v>
      </c>
      <c r="C795" s="38"/>
    </row>
    <row r="796" spans="1:3" x14ac:dyDescent="0.3">
      <c r="A796" s="37" t="s">
        <v>2</v>
      </c>
      <c r="B796" s="37" t="s">
        <v>53</v>
      </c>
      <c r="C796" s="38">
        <v>63211</v>
      </c>
    </row>
    <row r="797" spans="1:3" x14ac:dyDescent="0.3">
      <c r="A797" s="37" t="s">
        <v>2</v>
      </c>
      <c r="B797" s="37" t="s">
        <v>53</v>
      </c>
      <c r="C797" s="38"/>
    </row>
    <row r="798" spans="1:3" x14ac:dyDescent="0.3">
      <c r="A798" s="37" t="s">
        <v>2</v>
      </c>
      <c r="B798" s="37" t="s">
        <v>53</v>
      </c>
      <c r="C798" s="38">
        <v>91000</v>
      </c>
    </row>
    <row r="799" spans="1:3" x14ac:dyDescent="0.3">
      <c r="A799" s="37" t="s">
        <v>2</v>
      </c>
      <c r="B799" s="37" t="s">
        <v>53</v>
      </c>
      <c r="C799" s="38"/>
    </row>
    <row r="800" spans="1:3" x14ac:dyDescent="0.3">
      <c r="A800" s="37" t="s">
        <v>2</v>
      </c>
      <c r="B800" s="37" t="s">
        <v>53</v>
      </c>
      <c r="C800" s="38"/>
    </row>
    <row r="801" spans="1:3" x14ac:dyDescent="0.3">
      <c r="A801" s="37" t="s">
        <v>2</v>
      </c>
      <c r="B801" s="37" t="s">
        <v>75</v>
      </c>
      <c r="C801" s="38">
        <v>56700</v>
      </c>
    </row>
    <row r="802" spans="1:3" x14ac:dyDescent="0.3">
      <c r="A802" s="37" t="s">
        <v>2</v>
      </c>
      <c r="B802" s="37" t="s">
        <v>53</v>
      </c>
      <c r="C802" s="38">
        <v>59000</v>
      </c>
    </row>
    <row r="803" spans="1:3" x14ac:dyDescent="0.3">
      <c r="A803" s="37" t="s">
        <v>2</v>
      </c>
      <c r="B803" s="37" t="s">
        <v>53</v>
      </c>
      <c r="C803" s="38">
        <v>64998</v>
      </c>
    </row>
    <row r="804" spans="1:3" x14ac:dyDescent="0.3">
      <c r="A804" s="37" t="s">
        <v>2</v>
      </c>
      <c r="B804" s="37" t="s">
        <v>64</v>
      </c>
      <c r="C804" s="38">
        <v>45000</v>
      </c>
    </row>
    <row r="805" spans="1:3" x14ac:dyDescent="0.3">
      <c r="A805" s="37" t="s">
        <v>2</v>
      </c>
      <c r="B805" s="37" t="s">
        <v>53</v>
      </c>
      <c r="C805" s="38"/>
    </row>
    <row r="806" spans="1:3" x14ac:dyDescent="0.3">
      <c r="A806" s="37" t="s">
        <v>2</v>
      </c>
      <c r="B806" s="37" t="s">
        <v>53</v>
      </c>
      <c r="C806" s="38"/>
    </row>
    <row r="807" spans="1:3" x14ac:dyDescent="0.3">
      <c r="A807" s="37" t="s">
        <v>2</v>
      </c>
      <c r="B807" s="37" t="s">
        <v>53</v>
      </c>
      <c r="C807" s="38">
        <v>85000</v>
      </c>
    </row>
    <row r="808" spans="1:3" x14ac:dyDescent="0.3">
      <c r="A808" s="37" t="s">
        <v>2</v>
      </c>
      <c r="B808" s="37" t="s">
        <v>53</v>
      </c>
      <c r="C808" s="38"/>
    </row>
    <row r="809" spans="1:3" x14ac:dyDescent="0.3">
      <c r="A809" s="37" t="s">
        <v>2</v>
      </c>
      <c r="B809" s="37" t="s">
        <v>53</v>
      </c>
      <c r="C809" s="38">
        <v>132500</v>
      </c>
    </row>
    <row r="810" spans="1:3" x14ac:dyDescent="0.3">
      <c r="A810" s="37" t="s">
        <v>2</v>
      </c>
      <c r="B810" s="37" t="s">
        <v>53</v>
      </c>
      <c r="C810" s="38">
        <v>82430</v>
      </c>
    </row>
    <row r="811" spans="1:3" x14ac:dyDescent="0.3">
      <c r="A811" s="37" t="s">
        <v>2</v>
      </c>
      <c r="B811" s="37" t="s">
        <v>53</v>
      </c>
      <c r="C811" s="38">
        <v>70000</v>
      </c>
    </row>
    <row r="812" spans="1:3" x14ac:dyDescent="0.3">
      <c r="A812" s="37" t="s">
        <v>2</v>
      </c>
      <c r="B812" s="37" t="s">
        <v>53</v>
      </c>
      <c r="C812" s="38">
        <v>140000</v>
      </c>
    </row>
    <row r="813" spans="1:3" x14ac:dyDescent="0.3">
      <c r="A813" s="37" t="s">
        <v>2</v>
      </c>
      <c r="B813" s="37" t="s">
        <v>53</v>
      </c>
      <c r="C813" s="38"/>
    </row>
    <row r="814" spans="1:3" x14ac:dyDescent="0.3">
      <c r="A814" s="37" t="s">
        <v>2</v>
      </c>
      <c r="B814" s="37" t="s">
        <v>53</v>
      </c>
      <c r="C814" s="38">
        <v>115000</v>
      </c>
    </row>
    <row r="815" spans="1:3" x14ac:dyDescent="0.3">
      <c r="A815" s="37" t="s">
        <v>2</v>
      </c>
      <c r="B815" s="37" t="s">
        <v>53</v>
      </c>
      <c r="C815" s="38"/>
    </row>
    <row r="816" spans="1:3" x14ac:dyDescent="0.3">
      <c r="A816" s="37" t="s">
        <v>2</v>
      </c>
      <c r="B816" s="37" t="s">
        <v>70</v>
      </c>
      <c r="C816" s="38">
        <v>89100</v>
      </c>
    </row>
    <row r="817" spans="1:3" x14ac:dyDescent="0.3">
      <c r="A817" s="37" t="s">
        <v>2</v>
      </c>
      <c r="B817" s="37" t="s">
        <v>53</v>
      </c>
      <c r="C817" s="38"/>
    </row>
    <row r="818" spans="1:3" x14ac:dyDescent="0.3">
      <c r="A818" s="37" t="s">
        <v>2</v>
      </c>
      <c r="B818" s="37" t="s">
        <v>53</v>
      </c>
      <c r="C818" s="38"/>
    </row>
    <row r="819" spans="1:3" x14ac:dyDescent="0.3">
      <c r="A819" s="37" t="s">
        <v>2</v>
      </c>
      <c r="B819" s="37" t="s">
        <v>53</v>
      </c>
      <c r="C819" s="38"/>
    </row>
    <row r="820" spans="1:3" x14ac:dyDescent="0.3">
      <c r="A820" s="37" t="s">
        <v>2</v>
      </c>
      <c r="B820" s="37" t="s">
        <v>83</v>
      </c>
      <c r="C820" s="38">
        <v>63000</v>
      </c>
    </row>
    <row r="821" spans="1:3" x14ac:dyDescent="0.3">
      <c r="A821" s="37" t="s">
        <v>2</v>
      </c>
      <c r="B821" s="37" t="s">
        <v>68</v>
      </c>
      <c r="C821" s="38">
        <v>47500</v>
      </c>
    </row>
    <row r="822" spans="1:3" x14ac:dyDescent="0.3">
      <c r="A822" s="37" t="s">
        <v>2</v>
      </c>
      <c r="B822" s="37" t="s">
        <v>53</v>
      </c>
      <c r="C822" s="38"/>
    </row>
    <row r="823" spans="1:3" x14ac:dyDescent="0.3">
      <c r="A823" s="37" t="s">
        <v>2</v>
      </c>
      <c r="B823" s="37" t="s">
        <v>53</v>
      </c>
      <c r="C823" s="38">
        <v>67431</v>
      </c>
    </row>
    <row r="824" spans="1:3" x14ac:dyDescent="0.3">
      <c r="A824" s="37" t="s">
        <v>2</v>
      </c>
      <c r="B824" s="37" t="s">
        <v>53</v>
      </c>
      <c r="C824" s="38">
        <v>115000</v>
      </c>
    </row>
    <row r="825" spans="1:3" x14ac:dyDescent="0.3">
      <c r="A825" s="37" t="s">
        <v>2</v>
      </c>
      <c r="B825" s="37" t="s">
        <v>53</v>
      </c>
      <c r="C825" s="38"/>
    </row>
    <row r="826" spans="1:3" x14ac:dyDescent="0.3">
      <c r="A826" s="37" t="s">
        <v>2</v>
      </c>
      <c r="B826" s="37" t="s">
        <v>53</v>
      </c>
      <c r="C826" s="38">
        <v>97500</v>
      </c>
    </row>
    <row r="827" spans="1:3" x14ac:dyDescent="0.3">
      <c r="A827" s="37" t="s">
        <v>2</v>
      </c>
      <c r="B827" s="37" t="s">
        <v>53</v>
      </c>
      <c r="C827" s="38"/>
    </row>
    <row r="828" spans="1:3" x14ac:dyDescent="0.3">
      <c r="A828" s="37" t="s">
        <v>2</v>
      </c>
      <c r="B828" s="37" t="s">
        <v>53</v>
      </c>
      <c r="C828" s="38"/>
    </row>
    <row r="829" spans="1:3" x14ac:dyDescent="0.3">
      <c r="A829" s="37" t="s">
        <v>2</v>
      </c>
      <c r="B829" s="37" t="s">
        <v>53</v>
      </c>
      <c r="C829" s="38"/>
    </row>
    <row r="830" spans="1:3" x14ac:dyDescent="0.3">
      <c r="A830" s="37" t="s">
        <v>2</v>
      </c>
      <c r="B830" s="37" t="s">
        <v>53</v>
      </c>
      <c r="C830" s="38"/>
    </row>
    <row r="831" spans="1:3" x14ac:dyDescent="0.3">
      <c r="A831" s="37" t="s">
        <v>2</v>
      </c>
      <c r="B831" s="37" t="s">
        <v>53</v>
      </c>
      <c r="C831" s="38"/>
    </row>
    <row r="832" spans="1:3" x14ac:dyDescent="0.3">
      <c r="A832" s="37" t="s">
        <v>2</v>
      </c>
      <c r="B832" s="37" t="s">
        <v>53</v>
      </c>
      <c r="C832" s="38"/>
    </row>
    <row r="833" spans="1:3" x14ac:dyDescent="0.3">
      <c r="A833" s="37" t="s">
        <v>2</v>
      </c>
      <c r="B833" s="37" t="s">
        <v>53</v>
      </c>
      <c r="C833" s="38"/>
    </row>
    <row r="834" spans="1:3" x14ac:dyDescent="0.3">
      <c r="A834" s="37" t="s">
        <v>2</v>
      </c>
      <c r="B834" s="37" t="s">
        <v>53</v>
      </c>
      <c r="C834" s="38"/>
    </row>
    <row r="835" spans="1:3" x14ac:dyDescent="0.3">
      <c r="A835" s="37" t="s">
        <v>2</v>
      </c>
      <c r="B835" s="37" t="s">
        <v>53</v>
      </c>
      <c r="C835" s="38"/>
    </row>
    <row r="836" spans="1:3" x14ac:dyDescent="0.3">
      <c r="A836" s="37" t="s">
        <v>2</v>
      </c>
      <c r="B836" s="37" t="s">
        <v>53</v>
      </c>
      <c r="C836" s="38">
        <v>146100</v>
      </c>
    </row>
    <row r="837" spans="1:3" x14ac:dyDescent="0.3">
      <c r="A837" s="37" t="s">
        <v>2</v>
      </c>
      <c r="B837" s="37" t="s">
        <v>53</v>
      </c>
      <c r="C837" s="38"/>
    </row>
    <row r="838" spans="1:3" x14ac:dyDescent="0.3">
      <c r="A838" s="37" t="s">
        <v>2</v>
      </c>
      <c r="B838" s="37" t="s">
        <v>53</v>
      </c>
      <c r="C838" s="38"/>
    </row>
    <row r="839" spans="1:3" x14ac:dyDescent="0.3">
      <c r="A839" s="37" t="s">
        <v>2</v>
      </c>
      <c r="B839" s="37" t="s">
        <v>53</v>
      </c>
      <c r="C839" s="38">
        <v>112500</v>
      </c>
    </row>
    <row r="840" spans="1:3" x14ac:dyDescent="0.3">
      <c r="A840" s="37" t="s">
        <v>2</v>
      </c>
      <c r="B840" s="37" t="s">
        <v>53</v>
      </c>
      <c r="C840" s="38">
        <v>90000</v>
      </c>
    </row>
    <row r="841" spans="1:3" x14ac:dyDescent="0.3">
      <c r="A841" s="37" t="s">
        <v>2</v>
      </c>
      <c r="B841" s="37" t="s">
        <v>53</v>
      </c>
      <c r="C841" s="38">
        <v>87500</v>
      </c>
    </row>
    <row r="842" spans="1:3" x14ac:dyDescent="0.3">
      <c r="A842" s="37" t="s">
        <v>2</v>
      </c>
      <c r="B842" s="37" t="s">
        <v>53</v>
      </c>
      <c r="C842" s="38"/>
    </row>
    <row r="843" spans="1:3" x14ac:dyDescent="0.3">
      <c r="A843" s="37" t="s">
        <v>2</v>
      </c>
      <c r="B843" s="37" t="s">
        <v>53</v>
      </c>
      <c r="C843" s="38">
        <v>89833.5</v>
      </c>
    </row>
    <row r="844" spans="1:3" x14ac:dyDescent="0.3">
      <c r="A844" s="37" t="s">
        <v>2</v>
      </c>
      <c r="B844" s="37" t="s">
        <v>53</v>
      </c>
      <c r="C844" s="38">
        <v>67500</v>
      </c>
    </row>
    <row r="845" spans="1:3" x14ac:dyDescent="0.3">
      <c r="A845" s="37" t="s">
        <v>2</v>
      </c>
      <c r="B845" s="37" t="s">
        <v>53</v>
      </c>
      <c r="C845" s="38"/>
    </row>
    <row r="846" spans="1:3" x14ac:dyDescent="0.3">
      <c r="A846" s="37" t="s">
        <v>2</v>
      </c>
      <c r="B846" s="37" t="s">
        <v>108</v>
      </c>
      <c r="C846" s="38">
        <v>89100</v>
      </c>
    </row>
    <row r="847" spans="1:3" x14ac:dyDescent="0.3">
      <c r="A847" s="37" t="s">
        <v>2</v>
      </c>
      <c r="B847" s="37" t="s">
        <v>53</v>
      </c>
      <c r="C847" s="38"/>
    </row>
    <row r="848" spans="1:3" x14ac:dyDescent="0.3">
      <c r="A848" s="37" t="s">
        <v>2</v>
      </c>
      <c r="B848" s="37" t="s">
        <v>53</v>
      </c>
      <c r="C848" s="38"/>
    </row>
    <row r="849" spans="1:3" x14ac:dyDescent="0.3">
      <c r="A849" s="37" t="s">
        <v>2</v>
      </c>
      <c r="B849" s="37" t="s">
        <v>53</v>
      </c>
      <c r="C849" s="38">
        <v>65000</v>
      </c>
    </row>
    <row r="850" spans="1:3" x14ac:dyDescent="0.3">
      <c r="A850" s="37" t="s">
        <v>2</v>
      </c>
      <c r="B850" s="37" t="s">
        <v>53</v>
      </c>
      <c r="C850" s="38">
        <v>100000</v>
      </c>
    </row>
    <row r="851" spans="1:3" x14ac:dyDescent="0.3">
      <c r="A851" s="37" t="s">
        <v>2</v>
      </c>
      <c r="B851" s="37" t="s">
        <v>53</v>
      </c>
      <c r="C851" s="38">
        <v>114500</v>
      </c>
    </row>
    <row r="852" spans="1:3" x14ac:dyDescent="0.3">
      <c r="A852" s="37" t="s">
        <v>2</v>
      </c>
      <c r="B852" s="37" t="s">
        <v>53</v>
      </c>
      <c r="C852" s="38"/>
    </row>
    <row r="853" spans="1:3" x14ac:dyDescent="0.3">
      <c r="A853" s="37" t="s">
        <v>2</v>
      </c>
      <c r="B853" s="37" t="s">
        <v>53</v>
      </c>
      <c r="C853" s="38"/>
    </row>
    <row r="854" spans="1:3" x14ac:dyDescent="0.3">
      <c r="A854" s="37" t="s">
        <v>2</v>
      </c>
      <c r="B854" s="37" t="s">
        <v>53</v>
      </c>
      <c r="C854" s="38">
        <v>90000</v>
      </c>
    </row>
    <row r="855" spans="1:3" x14ac:dyDescent="0.3">
      <c r="A855" s="37" t="s">
        <v>2</v>
      </c>
      <c r="B855" s="37" t="s">
        <v>53</v>
      </c>
      <c r="C855" s="38"/>
    </row>
    <row r="856" spans="1:3" x14ac:dyDescent="0.3">
      <c r="A856" s="37" t="s">
        <v>2</v>
      </c>
      <c r="B856" s="37" t="s">
        <v>53</v>
      </c>
      <c r="C856" s="38">
        <v>67500</v>
      </c>
    </row>
    <row r="857" spans="1:3" x14ac:dyDescent="0.3">
      <c r="A857" s="37" t="s">
        <v>2</v>
      </c>
      <c r="B857" s="37" t="s">
        <v>53</v>
      </c>
      <c r="C857" s="38"/>
    </row>
    <row r="858" spans="1:3" x14ac:dyDescent="0.3">
      <c r="A858" s="37" t="s">
        <v>2</v>
      </c>
      <c r="B858" s="37" t="s">
        <v>53</v>
      </c>
      <c r="C858" s="38">
        <v>83002.3828125</v>
      </c>
    </row>
    <row r="859" spans="1:3" x14ac:dyDescent="0.3">
      <c r="A859" s="37" t="s">
        <v>2</v>
      </c>
      <c r="B859" s="37" t="s">
        <v>53</v>
      </c>
      <c r="C859" s="38">
        <v>65000</v>
      </c>
    </row>
    <row r="860" spans="1:3" x14ac:dyDescent="0.3">
      <c r="A860" s="37" t="s">
        <v>2</v>
      </c>
      <c r="B860" s="37" t="s">
        <v>53</v>
      </c>
      <c r="C860" s="38">
        <v>45886</v>
      </c>
    </row>
    <row r="861" spans="1:3" x14ac:dyDescent="0.3">
      <c r="A861" s="37" t="s">
        <v>2</v>
      </c>
      <c r="B861" s="37" t="s">
        <v>53</v>
      </c>
      <c r="C861" s="38">
        <v>105515</v>
      </c>
    </row>
    <row r="862" spans="1:3" x14ac:dyDescent="0.3">
      <c r="A862" s="37" t="s">
        <v>2</v>
      </c>
      <c r="B862" s="37" t="s">
        <v>53</v>
      </c>
      <c r="C862" s="38"/>
    </row>
    <row r="863" spans="1:3" x14ac:dyDescent="0.3">
      <c r="A863" s="37" t="s">
        <v>2</v>
      </c>
      <c r="B863" s="37" t="s">
        <v>83</v>
      </c>
      <c r="C863" s="38">
        <v>44100</v>
      </c>
    </row>
    <row r="864" spans="1:3" x14ac:dyDescent="0.3">
      <c r="A864" s="37" t="s">
        <v>2</v>
      </c>
      <c r="B864" s="37" t="s">
        <v>53</v>
      </c>
      <c r="C864" s="38"/>
    </row>
    <row r="865" spans="1:3" x14ac:dyDescent="0.3">
      <c r="A865" s="37" t="s">
        <v>2</v>
      </c>
      <c r="B865" s="37" t="s">
        <v>53</v>
      </c>
      <c r="C865" s="38"/>
    </row>
    <row r="866" spans="1:3" x14ac:dyDescent="0.3">
      <c r="A866" s="37" t="s">
        <v>2</v>
      </c>
      <c r="B866" s="37" t="s">
        <v>53</v>
      </c>
      <c r="C866" s="38">
        <v>90000</v>
      </c>
    </row>
    <row r="867" spans="1:3" x14ac:dyDescent="0.3">
      <c r="A867" s="37" t="s">
        <v>2</v>
      </c>
      <c r="B867" s="37" t="s">
        <v>53</v>
      </c>
      <c r="C867" s="38"/>
    </row>
    <row r="868" spans="1:3" x14ac:dyDescent="0.3">
      <c r="A868" s="37" t="s">
        <v>2</v>
      </c>
      <c r="B868" s="37" t="s">
        <v>53</v>
      </c>
      <c r="C868" s="38"/>
    </row>
    <row r="869" spans="1:3" x14ac:dyDescent="0.3">
      <c r="A869" s="37" t="s">
        <v>2</v>
      </c>
      <c r="B869" s="37" t="s">
        <v>88</v>
      </c>
      <c r="C869" s="38">
        <v>64800</v>
      </c>
    </row>
    <row r="870" spans="1:3" x14ac:dyDescent="0.3">
      <c r="A870" s="37" t="s">
        <v>2</v>
      </c>
      <c r="B870" s="37" t="s">
        <v>53</v>
      </c>
      <c r="C870" s="38">
        <v>90000</v>
      </c>
    </row>
    <row r="871" spans="1:3" x14ac:dyDescent="0.3">
      <c r="A871" s="37" t="s">
        <v>2</v>
      </c>
      <c r="B871" s="37" t="s">
        <v>109</v>
      </c>
      <c r="C871" s="38"/>
    </row>
    <row r="872" spans="1:3" x14ac:dyDescent="0.3">
      <c r="A872" s="37" t="s">
        <v>2</v>
      </c>
      <c r="B872" s="37" t="s">
        <v>53</v>
      </c>
      <c r="C872" s="38"/>
    </row>
    <row r="873" spans="1:3" x14ac:dyDescent="0.3">
      <c r="A873" s="37" t="s">
        <v>2</v>
      </c>
      <c r="B873" s="37" t="s">
        <v>53</v>
      </c>
      <c r="C873" s="38"/>
    </row>
    <row r="874" spans="1:3" x14ac:dyDescent="0.3">
      <c r="A874" s="37" t="s">
        <v>2</v>
      </c>
      <c r="B874" s="37" t="s">
        <v>53</v>
      </c>
      <c r="C874" s="38">
        <v>150000</v>
      </c>
    </row>
    <row r="875" spans="1:3" x14ac:dyDescent="0.3">
      <c r="A875" s="37" t="s">
        <v>2</v>
      </c>
      <c r="B875" s="37" t="s">
        <v>53</v>
      </c>
      <c r="C875" s="38"/>
    </row>
    <row r="876" spans="1:3" x14ac:dyDescent="0.3">
      <c r="A876" s="37" t="s">
        <v>2</v>
      </c>
      <c r="B876" s="37" t="s">
        <v>53</v>
      </c>
      <c r="C876" s="38">
        <v>82923</v>
      </c>
    </row>
    <row r="877" spans="1:3" x14ac:dyDescent="0.3">
      <c r="A877" s="37" t="s">
        <v>2</v>
      </c>
      <c r="B877" s="37" t="s">
        <v>53</v>
      </c>
      <c r="C877" s="38">
        <v>218500</v>
      </c>
    </row>
    <row r="878" spans="1:3" x14ac:dyDescent="0.3">
      <c r="A878" s="37" t="s">
        <v>2</v>
      </c>
      <c r="B878" s="37" t="s">
        <v>53</v>
      </c>
      <c r="C878" s="38"/>
    </row>
    <row r="879" spans="1:3" x14ac:dyDescent="0.3">
      <c r="A879" s="37" t="s">
        <v>2</v>
      </c>
      <c r="B879" s="37" t="s">
        <v>53</v>
      </c>
      <c r="C879" s="38">
        <v>103000</v>
      </c>
    </row>
    <row r="880" spans="1:3" x14ac:dyDescent="0.3">
      <c r="A880" s="37" t="s">
        <v>2</v>
      </c>
      <c r="B880" s="37" t="s">
        <v>53</v>
      </c>
      <c r="C880" s="38"/>
    </row>
    <row r="881" spans="1:3" x14ac:dyDescent="0.3">
      <c r="A881" s="37" t="s">
        <v>2</v>
      </c>
      <c r="B881" s="37" t="s">
        <v>53</v>
      </c>
      <c r="C881" s="38">
        <v>73453</v>
      </c>
    </row>
    <row r="882" spans="1:3" x14ac:dyDescent="0.3">
      <c r="A882" s="37" t="s">
        <v>2</v>
      </c>
      <c r="B882" s="37" t="s">
        <v>53</v>
      </c>
      <c r="C882" s="38"/>
    </row>
    <row r="883" spans="1:3" x14ac:dyDescent="0.3">
      <c r="A883" s="37" t="s">
        <v>2</v>
      </c>
      <c r="B883" s="37" t="s">
        <v>53</v>
      </c>
      <c r="C883" s="38">
        <v>125000</v>
      </c>
    </row>
    <row r="884" spans="1:3" x14ac:dyDescent="0.3">
      <c r="A884" s="37" t="s">
        <v>2</v>
      </c>
      <c r="B884" s="37" t="s">
        <v>53</v>
      </c>
      <c r="C884" s="38">
        <v>65000</v>
      </c>
    </row>
    <row r="885" spans="1:3" x14ac:dyDescent="0.3">
      <c r="A885" s="37" t="s">
        <v>2</v>
      </c>
      <c r="B885" s="37" t="s">
        <v>95</v>
      </c>
      <c r="C885" s="38">
        <v>80850</v>
      </c>
    </row>
    <row r="886" spans="1:3" x14ac:dyDescent="0.3">
      <c r="A886" s="37" t="s">
        <v>2</v>
      </c>
      <c r="B886" s="37" t="s">
        <v>53</v>
      </c>
      <c r="C886" s="38">
        <v>189000</v>
      </c>
    </row>
    <row r="887" spans="1:3" x14ac:dyDescent="0.3">
      <c r="A887" s="37" t="s">
        <v>2</v>
      </c>
      <c r="B887" s="37" t="s">
        <v>90</v>
      </c>
      <c r="C887" s="38">
        <v>45000</v>
      </c>
    </row>
    <row r="888" spans="1:3" x14ac:dyDescent="0.3">
      <c r="A888" s="37" t="s">
        <v>2</v>
      </c>
      <c r="B888" s="37" t="s">
        <v>53</v>
      </c>
      <c r="C888" s="38">
        <v>95000</v>
      </c>
    </row>
    <row r="889" spans="1:3" x14ac:dyDescent="0.3">
      <c r="A889" s="37" t="s">
        <v>2</v>
      </c>
      <c r="B889" s="37" t="s">
        <v>53</v>
      </c>
      <c r="C889" s="38">
        <v>70000</v>
      </c>
    </row>
    <row r="890" spans="1:3" x14ac:dyDescent="0.3">
      <c r="A890" s="37" t="s">
        <v>2</v>
      </c>
      <c r="B890" s="37" t="s">
        <v>88</v>
      </c>
      <c r="C890" s="38">
        <v>79200</v>
      </c>
    </row>
    <row r="891" spans="1:3" x14ac:dyDescent="0.3">
      <c r="A891" s="37" t="s">
        <v>2</v>
      </c>
      <c r="B891" s="37" t="s">
        <v>53</v>
      </c>
      <c r="C891" s="38">
        <v>81500</v>
      </c>
    </row>
    <row r="892" spans="1:3" x14ac:dyDescent="0.3">
      <c r="A892" s="37" t="s">
        <v>2</v>
      </c>
      <c r="B892" s="37" t="s">
        <v>53</v>
      </c>
      <c r="C892" s="38">
        <v>111202</v>
      </c>
    </row>
    <row r="893" spans="1:3" x14ac:dyDescent="0.3">
      <c r="A893" s="37" t="s">
        <v>2</v>
      </c>
      <c r="B893" s="37" t="s">
        <v>53</v>
      </c>
      <c r="C893" s="38"/>
    </row>
    <row r="894" spans="1:3" x14ac:dyDescent="0.3">
      <c r="A894" s="37" t="s">
        <v>2</v>
      </c>
      <c r="B894" s="37" t="s">
        <v>53</v>
      </c>
      <c r="C894" s="38">
        <v>125000</v>
      </c>
    </row>
    <row r="895" spans="1:3" x14ac:dyDescent="0.3">
      <c r="A895" s="37" t="s">
        <v>2</v>
      </c>
      <c r="B895" s="37" t="s">
        <v>53</v>
      </c>
      <c r="C895" s="38"/>
    </row>
    <row r="896" spans="1:3" x14ac:dyDescent="0.3">
      <c r="A896" s="37" t="s">
        <v>2</v>
      </c>
      <c r="B896" s="37" t="s">
        <v>53</v>
      </c>
      <c r="C896" s="38"/>
    </row>
    <row r="897" spans="1:3" x14ac:dyDescent="0.3">
      <c r="A897" s="37" t="s">
        <v>2</v>
      </c>
      <c r="B897" s="37" t="s">
        <v>53</v>
      </c>
      <c r="C897" s="38">
        <v>72500</v>
      </c>
    </row>
    <row r="898" spans="1:3" x14ac:dyDescent="0.3">
      <c r="A898" s="37" t="s">
        <v>2</v>
      </c>
      <c r="B898" s="37" t="s">
        <v>53</v>
      </c>
      <c r="C898" s="38">
        <v>80000</v>
      </c>
    </row>
    <row r="899" spans="1:3" x14ac:dyDescent="0.3">
      <c r="A899" s="37" t="s">
        <v>2</v>
      </c>
      <c r="B899" s="37" t="s">
        <v>53</v>
      </c>
      <c r="C899" s="38"/>
    </row>
    <row r="900" spans="1:3" x14ac:dyDescent="0.3">
      <c r="A900" s="37" t="s">
        <v>2</v>
      </c>
      <c r="B900" s="37" t="s">
        <v>53</v>
      </c>
      <c r="C900" s="38"/>
    </row>
    <row r="901" spans="1:3" x14ac:dyDescent="0.3">
      <c r="A901" s="37" t="s">
        <v>2</v>
      </c>
      <c r="B901" s="37" t="s">
        <v>53</v>
      </c>
      <c r="C901" s="38"/>
    </row>
    <row r="902" spans="1:3" x14ac:dyDescent="0.3">
      <c r="A902" s="37" t="s">
        <v>2</v>
      </c>
      <c r="B902" s="37" t="s">
        <v>53</v>
      </c>
      <c r="C902" s="38">
        <v>67500</v>
      </c>
    </row>
    <row r="903" spans="1:3" x14ac:dyDescent="0.3">
      <c r="A903" s="37" t="s">
        <v>2</v>
      </c>
      <c r="B903" s="37" t="s">
        <v>53</v>
      </c>
      <c r="C903" s="38">
        <v>52000</v>
      </c>
    </row>
    <row r="904" spans="1:3" x14ac:dyDescent="0.3">
      <c r="A904" s="37" t="s">
        <v>2</v>
      </c>
      <c r="B904" s="37" t="s">
        <v>53</v>
      </c>
      <c r="C904" s="38">
        <v>90000</v>
      </c>
    </row>
    <row r="905" spans="1:3" x14ac:dyDescent="0.3">
      <c r="A905" s="37" t="s">
        <v>2</v>
      </c>
      <c r="B905" s="37" t="s">
        <v>53</v>
      </c>
      <c r="C905" s="38"/>
    </row>
    <row r="906" spans="1:3" x14ac:dyDescent="0.3">
      <c r="A906" s="37" t="s">
        <v>2</v>
      </c>
      <c r="B906" s="37" t="s">
        <v>53</v>
      </c>
      <c r="C906" s="38"/>
    </row>
    <row r="907" spans="1:3" x14ac:dyDescent="0.3">
      <c r="A907" s="37" t="s">
        <v>2</v>
      </c>
      <c r="B907" s="37" t="s">
        <v>53</v>
      </c>
      <c r="C907" s="38"/>
    </row>
    <row r="908" spans="1:3" x14ac:dyDescent="0.3">
      <c r="A908" s="37" t="s">
        <v>2</v>
      </c>
      <c r="B908" s="37" t="s">
        <v>53</v>
      </c>
      <c r="C908" s="38">
        <v>60000</v>
      </c>
    </row>
    <row r="909" spans="1:3" x14ac:dyDescent="0.3">
      <c r="A909" s="37" t="s">
        <v>2</v>
      </c>
      <c r="B909" s="37" t="s">
        <v>53</v>
      </c>
      <c r="C909" s="38">
        <v>115000</v>
      </c>
    </row>
    <row r="910" spans="1:3" x14ac:dyDescent="0.3">
      <c r="A910" s="37" t="s">
        <v>2</v>
      </c>
      <c r="B910" s="37" t="s">
        <v>53</v>
      </c>
      <c r="C910" s="38"/>
    </row>
    <row r="911" spans="1:3" x14ac:dyDescent="0.3">
      <c r="A911" s="37" t="s">
        <v>2</v>
      </c>
      <c r="B911" s="37" t="s">
        <v>53</v>
      </c>
      <c r="C911" s="38"/>
    </row>
    <row r="912" spans="1:3" x14ac:dyDescent="0.3">
      <c r="A912" s="37" t="s">
        <v>2</v>
      </c>
      <c r="B912" s="37" t="s">
        <v>53</v>
      </c>
      <c r="C912" s="38">
        <v>75000</v>
      </c>
    </row>
    <row r="913" spans="1:3" x14ac:dyDescent="0.3">
      <c r="A913" s="37" t="s">
        <v>2</v>
      </c>
      <c r="B913" s="37" t="s">
        <v>53</v>
      </c>
      <c r="C913" s="38"/>
    </row>
    <row r="914" spans="1:3" x14ac:dyDescent="0.3">
      <c r="A914" s="37" t="s">
        <v>2</v>
      </c>
      <c r="B914" s="37" t="s">
        <v>88</v>
      </c>
      <c r="C914" s="38">
        <v>64800</v>
      </c>
    </row>
    <row r="915" spans="1:3" x14ac:dyDescent="0.3">
      <c r="A915" s="37" t="s">
        <v>2</v>
      </c>
      <c r="B915" s="37" t="s">
        <v>105</v>
      </c>
      <c r="C915" s="38">
        <v>111175</v>
      </c>
    </row>
    <row r="916" spans="1:3" x14ac:dyDescent="0.3">
      <c r="A916" s="37" t="s">
        <v>2</v>
      </c>
      <c r="B916" s="37" t="s">
        <v>53</v>
      </c>
      <c r="C916" s="38"/>
    </row>
    <row r="917" spans="1:3" x14ac:dyDescent="0.3">
      <c r="A917" s="37" t="s">
        <v>2</v>
      </c>
      <c r="B917" s="37" t="s">
        <v>53</v>
      </c>
      <c r="C917" s="38"/>
    </row>
    <row r="918" spans="1:3" x14ac:dyDescent="0.3">
      <c r="A918" s="37" t="s">
        <v>2</v>
      </c>
      <c r="B918" s="37" t="s">
        <v>53</v>
      </c>
      <c r="C918" s="38"/>
    </row>
    <row r="919" spans="1:3" x14ac:dyDescent="0.3">
      <c r="A919" s="37" t="s">
        <v>2</v>
      </c>
      <c r="B919" s="37" t="s">
        <v>53</v>
      </c>
      <c r="C919" s="38"/>
    </row>
    <row r="920" spans="1:3" x14ac:dyDescent="0.3">
      <c r="A920" s="37" t="s">
        <v>2</v>
      </c>
      <c r="B920" s="37" t="s">
        <v>53</v>
      </c>
      <c r="C920" s="38">
        <v>146100</v>
      </c>
    </row>
    <row r="921" spans="1:3" x14ac:dyDescent="0.3">
      <c r="A921" s="37" t="s">
        <v>2</v>
      </c>
      <c r="B921" s="37" t="s">
        <v>53</v>
      </c>
      <c r="C921" s="38">
        <v>70000</v>
      </c>
    </row>
    <row r="922" spans="1:3" x14ac:dyDescent="0.3">
      <c r="A922" s="37" t="s">
        <v>2</v>
      </c>
      <c r="B922" s="37" t="s">
        <v>53</v>
      </c>
      <c r="C922" s="38">
        <v>70000</v>
      </c>
    </row>
    <row r="923" spans="1:3" x14ac:dyDescent="0.3">
      <c r="A923" s="37" t="s">
        <v>2</v>
      </c>
      <c r="B923" s="37" t="s">
        <v>53</v>
      </c>
      <c r="C923" s="38"/>
    </row>
    <row r="924" spans="1:3" x14ac:dyDescent="0.3">
      <c r="A924" s="37" t="s">
        <v>2</v>
      </c>
      <c r="B924" s="37" t="s">
        <v>53</v>
      </c>
      <c r="C924" s="38">
        <v>85000</v>
      </c>
    </row>
    <row r="925" spans="1:3" x14ac:dyDescent="0.3">
      <c r="A925" s="37" t="s">
        <v>2</v>
      </c>
      <c r="B925" s="37" t="s">
        <v>54</v>
      </c>
      <c r="C925" s="38"/>
    </row>
    <row r="926" spans="1:3" x14ac:dyDescent="0.3">
      <c r="A926" s="37" t="s">
        <v>2</v>
      </c>
      <c r="B926" s="37" t="s">
        <v>53</v>
      </c>
      <c r="C926" s="38">
        <v>115000</v>
      </c>
    </row>
    <row r="927" spans="1:3" x14ac:dyDescent="0.3">
      <c r="A927" s="37" t="s">
        <v>2</v>
      </c>
      <c r="B927" s="37" t="s">
        <v>53</v>
      </c>
      <c r="C927" s="38"/>
    </row>
    <row r="928" spans="1:3" x14ac:dyDescent="0.3">
      <c r="A928" s="37" t="s">
        <v>2</v>
      </c>
      <c r="B928" s="37" t="s">
        <v>53</v>
      </c>
      <c r="C928" s="38"/>
    </row>
    <row r="929" spans="1:3" x14ac:dyDescent="0.3">
      <c r="A929" s="37" t="s">
        <v>2</v>
      </c>
      <c r="B929" s="37" t="s">
        <v>72</v>
      </c>
      <c r="C929" s="38">
        <v>102500</v>
      </c>
    </row>
    <row r="930" spans="1:3" x14ac:dyDescent="0.3">
      <c r="A930" s="37" t="s">
        <v>2</v>
      </c>
      <c r="B930" s="37" t="s">
        <v>53</v>
      </c>
      <c r="C930" s="38">
        <v>145000</v>
      </c>
    </row>
    <row r="931" spans="1:3" x14ac:dyDescent="0.3">
      <c r="A931" s="37" t="s">
        <v>2</v>
      </c>
      <c r="B931" s="37" t="s">
        <v>53</v>
      </c>
      <c r="C931" s="38"/>
    </row>
    <row r="932" spans="1:3" x14ac:dyDescent="0.3">
      <c r="A932" s="37" t="s">
        <v>2</v>
      </c>
      <c r="B932" s="37" t="s">
        <v>53</v>
      </c>
      <c r="C932" s="38"/>
    </row>
    <row r="933" spans="1:3" x14ac:dyDescent="0.3">
      <c r="A933" s="37" t="s">
        <v>2</v>
      </c>
      <c r="B933" s="37" t="s">
        <v>81</v>
      </c>
      <c r="C933" s="38">
        <v>98500</v>
      </c>
    </row>
    <row r="934" spans="1:3" x14ac:dyDescent="0.3">
      <c r="A934" s="37" t="s">
        <v>2</v>
      </c>
      <c r="B934" s="37" t="s">
        <v>53</v>
      </c>
      <c r="C934" s="38"/>
    </row>
    <row r="935" spans="1:3" x14ac:dyDescent="0.3">
      <c r="A935" s="37" t="s">
        <v>2</v>
      </c>
      <c r="B935" s="37" t="s">
        <v>53</v>
      </c>
      <c r="C935" s="38">
        <v>90000</v>
      </c>
    </row>
    <row r="936" spans="1:3" x14ac:dyDescent="0.3">
      <c r="A936" s="37" t="s">
        <v>2</v>
      </c>
      <c r="B936" s="37" t="s">
        <v>53</v>
      </c>
      <c r="C936" s="38">
        <v>98500</v>
      </c>
    </row>
    <row r="937" spans="1:3" x14ac:dyDescent="0.3">
      <c r="A937" s="37" t="s">
        <v>2</v>
      </c>
      <c r="B937" s="37" t="s">
        <v>53</v>
      </c>
      <c r="C937" s="38">
        <v>82500</v>
      </c>
    </row>
    <row r="938" spans="1:3" x14ac:dyDescent="0.3">
      <c r="A938" s="37" t="s">
        <v>2</v>
      </c>
      <c r="B938" s="37" t="s">
        <v>53</v>
      </c>
      <c r="C938" s="38">
        <v>157500</v>
      </c>
    </row>
    <row r="939" spans="1:3" x14ac:dyDescent="0.3">
      <c r="A939" s="37" t="s">
        <v>2</v>
      </c>
      <c r="B939" s="37" t="s">
        <v>53</v>
      </c>
      <c r="C939" s="38">
        <v>54500</v>
      </c>
    </row>
    <row r="940" spans="1:3" x14ac:dyDescent="0.3">
      <c r="A940" s="37" t="s">
        <v>2</v>
      </c>
      <c r="B940" s="37" t="s">
        <v>53</v>
      </c>
      <c r="C940" s="38">
        <v>97500</v>
      </c>
    </row>
    <row r="941" spans="1:3" x14ac:dyDescent="0.3">
      <c r="A941" s="37" t="s">
        <v>2</v>
      </c>
      <c r="B941" s="37" t="s">
        <v>53</v>
      </c>
      <c r="C941" s="38">
        <v>113000</v>
      </c>
    </row>
    <row r="942" spans="1:3" x14ac:dyDescent="0.3">
      <c r="A942" s="37" t="s">
        <v>2</v>
      </c>
      <c r="B942" s="37" t="s">
        <v>53</v>
      </c>
      <c r="C942" s="38">
        <v>118162</v>
      </c>
    </row>
    <row r="943" spans="1:3" x14ac:dyDescent="0.3">
      <c r="A943" s="37" t="s">
        <v>2</v>
      </c>
      <c r="B943" s="37" t="s">
        <v>53</v>
      </c>
      <c r="C943" s="38"/>
    </row>
    <row r="944" spans="1:3" x14ac:dyDescent="0.3">
      <c r="A944" s="37" t="s">
        <v>2</v>
      </c>
      <c r="B944" s="37" t="s">
        <v>53</v>
      </c>
      <c r="C944" s="38">
        <v>115000</v>
      </c>
    </row>
    <row r="945" spans="1:3" x14ac:dyDescent="0.3">
      <c r="A945" s="37" t="s">
        <v>2</v>
      </c>
      <c r="B945" s="37" t="s">
        <v>53</v>
      </c>
      <c r="C945" s="38"/>
    </row>
    <row r="946" spans="1:3" x14ac:dyDescent="0.3">
      <c r="A946" s="37" t="s">
        <v>2</v>
      </c>
      <c r="B946" s="37" t="s">
        <v>53</v>
      </c>
      <c r="C946" s="38"/>
    </row>
    <row r="947" spans="1:3" x14ac:dyDescent="0.3">
      <c r="A947" s="37" t="s">
        <v>2</v>
      </c>
      <c r="B947" s="37" t="s">
        <v>53</v>
      </c>
      <c r="C947" s="38">
        <v>68328.546875</v>
      </c>
    </row>
    <row r="948" spans="1:3" x14ac:dyDescent="0.3">
      <c r="A948" s="37" t="s">
        <v>2</v>
      </c>
      <c r="B948" s="37" t="s">
        <v>88</v>
      </c>
      <c r="C948" s="38">
        <v>111175</v>
      </c>
    </row>
    <row r="949" spans="1:3" x14ac:dyDescent="0.3">
      <c r="A949" s="37" t="s">
        <v>2</v>
      </c>
      <c r="B949" s="37" t="s">
        <v>53</v>
      </c>
      <c r="C949" s="38"/>
    </row>
    <row r="950" spans="1:3" x14ac:dyDescent="0.3">
      <c r="A950" s="37" t="s">
        <v>2</v>
      </c>
      <c r="B950" s="37" t="s">
        <v>53</v>
      </c>
      <c r="C950" s="38">
        <v>127500</v>
      </c>
    </row>
    <row r="951" spans="1:3" x14ac:dyDescent="0.3">
      <c r="A951" s="37" t="s">
        <v>2</v>
      </c>
      <c r="B951" s="37" t="s">
        <v>53</v>
      </c>
      <c r="C951" s="38">
        <v>110000</v>
      </c>
    </row>
    <row r="952" spans="1:3" x14ac:dyDescent="0.3">
      <c r="A952" s="37" t="s">
        <v>2</v>
      </c>
      <c r="B952" s="37" t="s">
        <v>53</v>
      </c>
      <c r="C952" s="38"/>
    </row>
    <row r="953" spans="1:3" x14ac:dyDescent="0.3">
      <c r="A953" s="37" t="s">
        <v>2</v>
      </c>
      <c r="B953" s="37" t="s">
        <v>53</v>
      </c>
      <c r="C953" s="38">
        <v>71850</v>
      </c>
    </row>
    <row r="954" spans="1:3" x14ac:dyDescent="0.3">
      <c r="A954" s="37" t="s">
        <v>2</v>
      </c>
      <c r="B954" s="37" t="s">
        <v>53</v>
      </c>
      <c r="C954" s="38"/>
    </row>
    <row r="955" spans="1:3" x14ac:dyDescent="0.3">
      <c r="A955" s="37" t="s">
        <v>2</v>
      </c>
      <c r="B955" s="37" t="s">
        <v>53</v>
      </c>
      <c r="C955" s="38"/>
    </row>
    <row r="956" spans="1:3" x14ac:dyDescent="0.3">
      <c r="A956" s="37" t="s">
        <v>2</v>
      </c>
      <c r="B956" s="37" t="s">
        <v>53</v>
      </c>
      <c r="C956" s="38">
        <v>110000</v>
      </c>
    </row>
    <row r="957" spans="1:3" x14ac:dyDescent="0.3">
      <c r="A957" s="37" t="s">
        <v>2</v>
      </c>
      <c r="B957" s="37" t="s">
        <v>53</v>
      </c>
      <c r="C957" s="38"/>
    </row>
    <row r="958" spans="1:3" x14ac:dyDescent="0.3">
      <c r="A958" s="37" t="s">
        <v>2</v>
      </c>
      <c r="B958" s="37" t="s">
        <v>53</v>
      </c>
      <c r="C958" s="38">
        <v>65500.6640625</v>
      </c>
    </row>
    <row r="959" spans="1:3" x14ac:dyDescent="0.3">
      <c r="A959" s="37" t="s">
        <v>2</v>
      </c>
      <c r="B959" s="37" t="s">
        <v>53</v>
      </c>
      <c r="C959" s="38">
        <v>75000</v>
      </c>
    </row>
    <row r="960" spans="1:3" x14ac:dyDescent="0.3">
      <c r="A960" s="37" t="s">
        <v>2</v>
      </c>
      <c r="B960" s="37" t="s">
        <v>53</v>
      </c>
      <c r="C960" s="38"/>
    </row>
    <row r="961" spans="1:3" x14ac:dyDescent="0.3">
      <c r="A961" s="37" t="s">
        <v>2</v>
      </c>
      <c r="B961" s="37" t="s">
        <v>53</v>
      </c>
      <c r="C961" s="38">
        <v>105000</v>
      </c>
    </row>
    <row r="962" spans="1:3" x14ac:dyDescent="0.3">
      <c r="A962" s="37" t="s">
        <v>2</v>
      </c>
      <c r="B962" s="37" t="s">
        <v>53</v>
      </c>
      <c r="C962" s="38">
        <v>115000</v>
      </c>
    </row>
    <row r="963" spans="1:3" x14ac:dyDescent="0.3">
      <c r="A963" s="37" t="s">
        <v>2</v>
      </c>
      <c r="B963" s="37" t="s">
        <v>53</v>
      </c>
      <c r="C963" s="38"/>
    </row>
    <row r="964" spans="1:3" x14ac:dyDescent="0.3">
      <c r="A964" s="37" t="s">
        <v>2</v>
      </c>
      <c r="B964" s="37" t="s">
        <v>53</v>
      </c>
      <c r="C964" s="38">
        <v>102500</v>
      </c>
    </row>
    <row r="965" spans="1:3" x14ac:dyDescent="0.3">
      <c r="A965" s="37" t="s">
        <v>2</v>
      </c>
      <c r="B965" s="37" t="s">
        <v>53</v>
      </c>
      <c r="C965" s="38"/>
    </row>
    <row r="966" spans="1:3" x14ac:dyDescent="0.3">
      <c r="A966" s="37" t="s">
        <v>2</v>
      </c>
      <c r="B966" s="37" t="s">
        <v>53</v>
      </c>
      <c r="C966" s="38"/>
    </row>
    <row r="967" spans="1:3" x14ac:dyDescent="0.3">
      <c r="A967" s="37" t="s">
        <v>2</v>
      </c>
      <c r="B967" s="37" t="s">
        <v>53</v>
      </c>
      <c r="C967" s="38"/>
    </row>
    <row r="968" spans="1:3" x14ac:dyDescent="0.3">
      <c r="A968" s="37" t="s">
        <v>2</v>
      </c>
      <c r="B968" s="37" t="s">
        <v>53</v>
      </c>
      <c r="C968" s="38">
        <v>56745</v>
      </c>
    </row>
    <row r="969" spans="1:3" x14ac:dyDescent="0.3">
      <c r="A969" s="37" t="s">
        <v>2</v>
      </c>
      <c r="B969" s="37" t="s">
        <v>53</v>
      </c>
      <c r="C969" s="38">
        <v>90000</v>
      </c>
    </row>
    <row r="970" spans="1:3" x14ac:dyDescent="0.3">
      <c r="A970" s="37" t="s">
        <v>2</v>
      </c>
      <c r="B970" s="37" t="s">
        <v>53</v>
      </c>
      <c r="C970" s="38">
        <v>125000</v>
      </c>
    </row>
    <row r="971" spans="1:3" x14ac:dyDescent="0.3">
      <c r="A971" s="37" t="s">
        <v>2</v>
      </c>
      <c r="B971" s="37" t="s">
        <v>53</v>
      </c>
      <c r="C971" s="38">
        <v>64140</v>
      </c>
    </row>
    <row r="972" spans="1:3" x14ac:dyDescent="0.3">
      <c r="A972" s="37" t="s">
        <v>2</v>
      </c>
      <c r="B972" s="37" t="s">
        <v>53</v>
      </c>
      <c r="C972" s="38"/>
    </row>
    <row r="973" spans="1:3" x14ac:dyDescent="0.3">
      <c r="A973" s="37" t="s">
        <v>2</v>
      </c>
      <c r="B973" s="37" t="s">
        <v>53</v>
      </c>
      <c r="C973" s="38">
        <v>80000</v>
      </c>
    </row>
    <row r="974" spans="1:3" x14ac:dyDescent="0.3">
      <c r="A974" s="37" t="s">
        <v>2</v>
      </c>
      <c r="B974" s="37" t="s">
        <v>53</v>
      </c>
      <c r="C974" s="38"/>
    </row>
    <row r="975" spans="1:3" x14ac:dyDescent="0.3">
      <c r="A975" s="37" t="s">
        <v>2</v>
      </c>
      <c r="B975" s="37" t="s">
        <v>53</v>
      </c>
      <c r="C975" s="38"/>
    </row>
    <row r="976" spans="1:3" x14ac:dyDescent="0.3">
      <c r="A976" s="37" t="s">
        <v>2</v>
      </c>
      <c r="B976" s="37" t="s">
        <v>53</v>
      </c>
      <c r="C976" s="38"/>
    </row>
    <row r="977" spans="1:3" x14ac:dyDescent="0.3">
      <c r="A977" s="37" t="s">
        <v>2</v>
      </c>
      <c r="B977" s="37" t="s">
        <v>53</v>
      </c>
      <c r="C977" s="38"/>
    </row>
    <row r="978" spans="1:3" x14ac:dyDescent="0.3">
      <c r="A978" s="37" t="s">
        <v>2</v>
      </c>
      <c r="B978" s="37" t="s">
        <v>53</v>
      </c>
      <c r="C978" s="38"/>
    </row>
    <row r="979" spans="1:3" x14ac:dyDescent="0.3">
      <c r="A979" s="37" t="s">
        <v>2</v>
      </c>
      <c r="B979" s="37" t="s">
        <v>53</v>
      </c>
      <c r="C979" s="38"/>
    </row>
    <row r="980" spans="1:3" x14ac:dyDescent="0.3">
      <c r="A980" s="37" t="s">
        <v>2</v>
      </c>
      <c r="B980" s="37" t="s">
        <v>53</v>
      </c>
      <c r="C980" s="38">
        <v>55000</v>
      </c>
    </row>
    <row r="981" spans="1:3" x14ac:dyDescent="0.3">
      <c r="A981" s="37" t="s">
        <v>2</v>
      </c>
      <c r="B981" s="37" t="s">
        <v>53</v>
      </c>
      <c r="C981" s="38"/>
    </row>
    <row r="982" spans="1:3" x14ac:dyDescent="0.3">
      <c r="A982" s="37" t="s">
        <v>2</v>
      </c>
      <c r="B982" s="37" t="s">
        <v>53</v>
      </c>
      <c r="C982" s="38"/>
    </row>
    <row r="983" spans="1:3" x14ac:dyDescent="0.3">
      <c r="A983" s="37" t="s">
        <v>2</v>
      </c>
      <c r="B983" s="37" t="s">
        <v>53</v>
      </c>
      <c r="C983" s="38">
        <v>52500</v>
      </c>
    </row>
    <row r="984" spans="1:3" x14ac:dyDescent="0.3">
      <c r="A984" s="37" t="s">
        <v>2</v>
      </c>
      <c r="B984" s="37" t="s">
        <v>53</v>
      </c>
      <c r="C984" s="38">
        <v>55000</v>
      </c>
    </row>
    <row r="985" spans="1:3" x14ac:dyDescent="0.3">
      <c r="A985" s="37" t="s">
        <v>2</v>
      </c>
      <c r="B985" s="37" t="s">
        <v>53</v>
      </c>
      <c r="C985" s="38">
        <v>81350</v>
      </c>
    </row>
    <row r="986" spans="1:3" x14ac:dyDescent="0.3">
      <c r="A986" s="37" t="s">
        <v>2</v>
      </c>
      <c r="B986" s="37" t="s">
        <v>53</v>
      </c>
      <c r="C986" s="38"/>
    </row>
    <row r="987" spans="1:3" x14ac:dyDescent="0.3">
      <c r="A987" s="37" t="s">
        <v>2</v>
      </c>
      <c r="B987" s="37" t="s">
        <v>53</v>
      </c>
      <c r="C987" s="38"/>
    </row>
    <row r="988" spans="1:3" x14ac:dyDescent="0.3">
      <c r="A988" s="37" t="s">
        <v>2</v>
      </c>
      <c r="B988" s="37" t="s">
        <v>53</v>
      </c>
      <c r="C988" s="38">
        <v>92500</v>
      </c>
    </row>
    <row r="989" spans="1:3" x14ac:dyDescent="0.3">
      <c r="A989" s="37" t="s">
        <v>2</v>
      </c>
      <c r="B989" s="37" t="s">
        <v>53</v>
      </c>
      <c r="C989" s="38">
        <v>65037.5</v>
      </c>
    </row>
    <row r="990" spans="1:3" x14ac:dyDescent="0.3">
      <c r="A990" s="37" t="s">
        <v>2</v>
      </c>
      <c r="B990" s="37" t="s">
        <v>53</v>
      </c>
      <c r="C990" s="38"/>
    </row>
    <row r="991" spans="1:3" x14ac:dyDescent="0.3">
      <c r="A991" s="37" t="s">
        <v>2</v>
      </c>
      <c r="B991" s="37" t="s">
        <v>53</v>
      </c>
      <c r="C991" s="38"/>
    </row>
    <row r="992" spans="1:3" x14ac:dyDescent="0.3">
      <c r="A992" s="37" t="s">
        <v>2</v>
      </c>
      <c r="B992" s="37" t="s">
        <v>53</v>
      </c>
      <c r="C992" s="38">
        <v>75000</v>
      </c>
    </row>
    <row r="993" spans="1:3" x14ac:dyDescent="0.3">
      <c r="A993" s="37" t="s">
        <v>2</v>
      </c>
      <c r="B993" s="37" t="s">
        <v>53</v>
      </c>
      <c r="C993" s="38"/>
    </row>
    <row r="994" spans="1:3" x14ac:dyDescent="0.3">
      <c r="A994" s="37" t="s">
        <v>2</v>
      </c>
      <c r="B994" s="37" t="s">
        <v>53</v>
      </c>
      <c r="C994" s="38"/>
    </row>
    <row r="995" spans="1:3" x14ac:dyDescent="0.3">
      <c r="A995" s="37" t="s">
        <v>2</v>
      </c>
      <c r="B995" s="37" t="s">
        <v>97</v>
      </c>
      <c r="C995" s="38">
        <v>45000</v>
      </c>
    </row>
    <row r="996" spans="1:3" x14ac:dyDescent="0.3">
      <c r="A996" s="37" t="s">
        <v>2</v>
      </c>
      <c r="B996" s="37" t="s">
        <v>53</v>
      </c>
      <c r="C996" s="38">
        <v>95680</v>
      </c>
    </row>
    <row r="997" spans="1:3" x14ac:dyDescent="0.3">
      <c r="A997" s="37" t="s">
        <v>2</v>
      </c>
      <c r="B997" s="37" t="s">
        <v>53</v>
      </c>
      <c r="C997" s="38"/>
    </row>
    <row r="998" spans="1:3" x14ac:dyDescent="0.3">
      <c r="A998" s="37" t="s">
        <v>2</v>
      </c>
      <c r="B998" s="37" t="s">
        <v>88</v>
      </c>
      <c r="C998" s="38">
        <v>100500</v>
      </c>
    </row>
    <row r="999" spans="1:3" x14ac:dyDescent="0.3">
      <c r="A999" s="37" t="s">
        <v>2</v>
      </c>
      <c r="B999" s="37" t="s">
        <v>53</v>
      </c>
      <c r="C999" s="38">
        <v>90000</v>
      </c>
    </row>
    <row r="1000" spans="1:3" x14ac:dyDescent="0.3">
      <c r="A1000" s="37" t="s">
        <v>2</v>
      </c>
      <c r="B1000" s="37" t="s">
        <v>53</v>
      </c>
      <c r="C1000" s="38">
        <v>85000</v>
      </c>
    </row>
    <row r="1001" spans="1:3" x14ac:dyDescent="0.3">
      <c r="A1001" s="37" t="s">
        <v>2</v>
      </c>
      <c r="B1001" s="37" t="s">
        <v>53</v>
      </c>
      <c r="C1001" s="38">
        <v>52500</v>
      </c>
    </row>
    <row r="1002" spans="1:3" x14ac:dyDescent="0.3">
      <c r="A1002" s="37" t="s">
        <v>2</v>
      </c>
      <c r="B1002" s="37" t="s">
        <v>53</v>
      </c>
      <c r="C1002" s="38">
        <v>120710</v>
      </c>
    </row>
    <row r="1003" spans="1:3" x14ac:dyDescent="0.3">
      <c r="A1003" s="37" t="s">
        <v>2</v>
      </c>
      <c r="B1003" s="37" t="s">
        <v>53</v>
      </c>
      <c r="C1003" s="38">
        <v>82500</v>
      </c>
    </row>
    <row r="1004" spans="1:3" x14ac:dyDescent="0.3">
      <c r="A1004" s="37" t="s">
        <v>2</v>
      </c>
      <c r="B1004" s="37" t="s">
        <v>53</v>
      </c>
      <c r="C1004" s="38"/>
    </row>
    <row r="1005" spans="1:3" x14ac:dyDescent="0.3">
      <c r="A1005" s="37" t="s">
        <v>2</v>
      </c>
      <c r="B1005" s="37" t="s">
        <v>53</v>
      </c>
      <c r="C1005" s="38">
        <v>85000</v>
      </c>
    </row>
    <row r="1006" spans="1:3" x14ac:dyDescent="0.3">
      <c r="A1006" s="37" t="s">
        <v>2</v>
      </c>
      <c r="B1006" s="37" t="s">
        <v>53</v>
      </c>
      <c r="C1006" s="38">
        <v>65000</v>
      </c>
    </row>
    <row r="1007" spans="1:3" x14ac:dyDescent="0.3">
      <c r="A1007" s="37" t="s">
        <v>2</v>
      </c>
      <c r="B1007" s="37" t="s">
        <v>53</v>
      </c>
      <c r="C1007" s="38">
        <v>80000</v>
      </c>
    </row>
    <row r="1008" spans="1:3" x14ac:dyDescent="0.3">
      <c r="A1008" s="37" t="s">
        <v>2</v>
      </c>
      <c r="B1008" s="37" t="s">
        <v>53</v>
      </c>
      <c r="C1008" s="38">
        <v>142500</v>
      </c>
    </row>
    <row r="1009" spans="1:3" x14ac:dyDescent="0.3">
      <c r="A1009" s="37" t="s">
        <v>2</v>
      </c>
      <c r="B1009" s="37" t="s">
        <v>53</v>
      </c>
      <c r="C1009" s="38"/>
    </row>
    <row r="1010" spans="1:3" x14ac:dyDescent="0.3">
      <c r="A1010" s="37" t="s">
        <v>2</v>
      </c>
      <c r="B1010" s="37" t="s">
        <v>53</v>
      </c>
      <c r="C1010" s="38"/>
    </row>
    <row r="1011" spans="1:3" x14ac:dyDescent="0.3">
      <c r="A1011" s="37" t="s">
        <v>2</v>
      </c>
      <c r="B1011" s="37" t="s">
        <v>53</v>
      </c>
      <c r="C1011" s="38"/>
    </row>
    <row r="1012" spans="1:3" x14ac:dyDescent="0.3">
      <c r="A1012" s="37" t="s">
        <v>2</v>
      </c>
      <c r="B1012" s="37" t="s">
        <v>53</v>
      </c>
      <c r="C1012" s="38">
        <v>75500</v>
      </c>
    </row>
    <row r="1013" spans="1:3" x14ac:dyDescent="0.3">
      <c r="A1013" s="37" t="s">
        <v>2</v>
      </c>
      <c r="B1013" s="37" t="s">
        <v>53</v>
      </c>
      <c r="C1013" s="38"/>
    </row>
    <row r="1014" spans="1:3" x14ac:dyDescent="0.3">
      <c r="A1014" s="37" t="s">
        <v>2</v>
      </c>
      <c r="B1014" s="37" t="s">
        <v>53</v>
      </c>
      <c r="C1014" s="38">
        <v>95000</v>
      </c>
    </row>
    <row r="1015" spans="1:3" x14ac:dyDescent="0.3">
      <c r="A1015" s="37" t="s">
        <v>2</v>
      </c>
      <c r="B1015" s="37" t="s">
        <v>53</v>
      </c>
      <c r="C1015" s="38">
        <v>65000</v>
      </c>
    </row>
    <row r="1016" spans="1:3" x14ac:dyDescent="0.3">
      <c r="A1016" s="37" t="s">
        <v>2</v>
      </c>
      <c r="B1016" s="37" t="s">
        <v>53</v>
      </c>
      <c r="C1016" s="38">
        <v>56212.5</v>
      </c>
    </row>
    <row r="1017" spans="1:3" x14ac:dyDescent="0.3">
      <c r="A1017" s="37" t="s">
        <v>2</v>
      </c>
      <c r="B1017" s="37" t="s">
        <v>53</v>
      </c>
      <c r="C1017" s="38"/>
    </row>
    <row r="1018" spans="1:3" x14ac:dyDescent="0.3">
      <c r="A1018" s="37" t="s">
        <v>2</v>
      </c>
      <c r="B1018" s="37" t="s">
        <v>53</v>
      </c>
      <c r="C1018" s="38">
        <v>115000</v>
      </c>
    </row>
    <row r="1019" spans="1:3" x14ac:dyDescent="0.3">
      <c r="A1019" s="37" t="s">
        <v>2</v>
      </c>
      <c r="B1019" s="37" t="s">
        <v>53</v>
      </c>
      <c r="C1019" s="38">
        <v>65000</v>
      </c>
    </row>
    <row r="1020" spans="1:3" x14ac:dyDescent="0.3">
      <c r="A1020" s="37" t="s">
        <v>2</v>
      </c>
      <c r="B1020" s="37" t="s">
        <v>53</v>
      </c>
      <c r="C1020" s="38"/>
    </row>
    <row r="1021" spans="1:3" x14ac:dyDescent="0.3">
      <c r="A1021" s="37" t="s">
        <v>2</v>
      </c>
      <c r="B1021" s="37" t="s">
        <v>53</v>
      </c>
      <c r="C1021" s="38"/>
    </row>
    <row r="1022" spans="1:3" x14ac:dyDescent="0.3">
      <c r="A1022" s="37" t="s">
        <v>2</v>
      </c>
      <c r="B1022" s="37" t="s">
        <v>53</v>
      </c>
      <c r="C1022" s="38"/>
    </row>
    <row r="1023" spans="1:3" x14ac:dyDescent="0.3">
      <c r="A1023" s="37" t="s">
        <v>2</v>
      </c>
      <c r="B1023" s="37" t="s">
        <v>53</v>
      </c>
      <c r="C1023" s="38">
        <v>105000</v>
      </c>
    </row>
    <row r="1024" spans="1:3" x14ac:dyDescent="0.3">
      <c r="A1024" s="37" t="s">
        <v>2</v>
      </c>
      <c r="B1024" s="37" t="s">
        <v>53</v>
      </c>
      <c r="C1024" s="38"/>
    </row>
    <row r="1025" spans="1:3" x14ac:dyDescent="0.3">
      <c r="A1025" s="37" t="s">
        <v>2</v>
      </c>
      <c r="B1025" s="37" t="s">
        <v>75</v>
      </c>
      <c r="C1025" s="38">
        <v>56700</v>
      </c>
    </row>
    <row r="1026" spans="1:3" x14ac:dyDescent="0.3">
      <c r="A1026" s="37" t="s">
        <v>2</v>
      </c>
      <c r="B1026" s="37" t="s">
        <v>53</v>
      </c>
      <c r="C1026" s="38"/>
    </row>
    <row r="1027" spans="1:3" x14ac:dyDescent="0.3">
      <c r="A1027" s="37" t="s">
        <v>2</v>
      </c>
      <c r="B1027" s="37" t="s">
        <v>53</v>
      </c>
      <c r="C1027" s="38">
        <v>76579</v>
      </c>
    </row>
    <row r="1028" spans="1:3" x14ac:dyDescent="0.3">
      <c r="A1028" s="37" t="s">
        <v>2</v>
      </c>
      <c r="B1028" s="37" t="s">
        <v>53</v>
      </c>
      <c r="C1028" s="38">
        <v>115791.5</v>
      </c>
    </row>
    <row r="1029" spans="1:3" x14ac:dyDescent="0.3">
      <c r="A1029" s="37" t="s">
        <v>2</v>
      </c>
      <c r="B1029" s="37" t="s">
        <v>53</v>
      </c>
      <c r="C1029" s="38"/>
    </row>
    <row r="1030" spans="1:3" x14ac:dyDescent="0.3">
      <c r="A1030" s="37" t="s">
        <v>2</v>
      </c>
      <c r="B1030" s="37" t="s">
        <v>53</v>
      </c>
      <c r="C1030" s="38">
        <v>79928.40625</v>
      </c>
    </row>
    <row r="1031" spans="1:3" x14ac:dyDescent="0.3">
      <c r="A1031" s="37" t="s">
        <v>2</v>
      </c>
      <c r="B1031" s="37" t="s">
        <v>53</v>
      </c>
      <c r="C1031" s="38">
        <v>56500</v>
      </c>
    </row>
    <row r="1032" spans="1:3" x14ac:dyDescent="0.3">
      <c r="A1032" s="37" t="s">
        <v>2</v>
      </c>
      <c r="B1032" s="37" t="s">
        <v>53</v>
      </c>
      <c r="C1032" s="38"/>
    </row>
    <row r="1033" spans="1:3" x14ac:dyDescent="0.3">
      <c r="A1033" s="37" t="s">
        <v>4</v>
      </c>
      <c r="B1033" s="37" t="s">
        <v>69</v>
      </c>
      <c r="C1033" s="38">
        <v>98301.5</v>
      </c>
    </row>
    <row r="1034" spans="1:3" x14ac:dyDescent="0.3">
      <c r="A1034" s="37" t="s">
        <v>4</v>
      </c>
      <c r="B1034" s="37" t="s">
        <v>53</v>
      </c>
      <c r="C1034" s="38">
        <v>102500</v>
      </c>
    </row>
    <row r="1035" spans="1:3" x14ac:dyDescent="0.3">
      <c r="A1035" s="37" t="s">
        <v>4</v>
      </c>
      <c r="B1035" s="37" t="s">
        <v>53</v>
      </c>
      <c r="C1035" s="38">
        <v>75000</v>
      </c>
    </row>
    <row r="1036" spans="1:3" x14ac:dyDescent="0.3">
      <c r="A1036" s="37" t="s">
        <v>4</v>
      </c>
      <c r="B1036" s="37" t="s">
        <v>53</v>
      </c>
      <c r="C1036" s="38">
        <v>105000</v>
      </c>
    </row>
    <row r="1037" spans="1:3" x14ac:dyDescent="0.3">
      <c r="A1037" s="37" t="s">
        <v>4</v>
      </c>
      <c r="B1037" s="37" t="s">
        <v>53</v>
      </c>
      <c r="C1037" s="38">
        <v>90000</v>
      </c>
    </row>
    <row r="1038" spans="1:3" x14ac:dyDescent="0.3">
      <c r="A1038" s="37" t="s">
        <v>4</v>
      </c>
      <c r="B1038" s="37" t="s">
        <v>54</v>
      </c>
      <c r="C1038" s="38">
        <v>105000</v>
      </c>
    </row>
    <row r="1039" spans="1:3" x14ac:dyDescent="0.3">
      <c r="A1039" s="37" t="s">
        <v>4</v>
      </c>
      <c r="B1039" s="37" t="s">
        <v>53</v>
      </c>
      <c r="C1039" s="38">
        <v>164500</v>
      </c>
    </row>
    <row r="1040" spans="1:3" x14ac:dyDescent="0.3">
      <c r="A1040" s="37" t="s">
        <v>4</v>
      </c>
      <c r="B1040" s="37" t="s">
        <v>53</v>
      </c>
      <c r="C1040" s="38">
        <v>149874</v>
      </c>
    </row>
    <row r="1041" spans="1:3" x14ac:dyDescent="0.3">
      <c r="A1041" s="37" t="s">
        <v>4</v>
      </c>
      <c r="B1041" s="37" t="s">
        <v>53</v>
      </c>
      <c r="C1041" s="38">
        <v>155000</v>
      </c>
    </row>
    <row r="1042" spans="1:3" x14ac:dyDescent="0.3">
      <c r="A1042" s="37" t="s">
        <v>4</v>
      </c>
      <c r="B1042" s="37" t="s">
        <v>53</v>
      </c>
      <c r="C1042" s="38">
        <v>145000</v>
      </c>
    </row>
    <row r="1043" spans="1:3" x14ac:dyDescent="0.3">
      <c r="A1043" s="37" t="s">
        <v>4</v>
      </c>
      <c r="B1043" s="37" t="s">
        <v>53</v>
      </c>
      <c r="C1043" s="38">
        <v>147500</v>
      </c>
    </row>
    <row r="1044" spans="1:3" x14ac:dyDescent="0.3">
      <c r="A1044" s="37" t="s">
        <v>4</v>
      </c>
      <c r="B1044" s="37" t="s">
        <v>53</v>
      </c>
      <c r="C1044" s="38">
        <v>70000</v>
      </c>
    </row>
    <row r="1045" spans="1:3" x14ac:dyDescent="0.3">
      <c r="A1045" s="37" t="s">
        <v>4</v>
      </c>
      <c r="B1045" s="37" t="s">
        <v>54</v>
      </c>
      <c r="C1045" s="38">
        <v>125000</v>
      </c>
    </row>
    <row r="1046" spans="1:3" x14ac:dyDescent="0.3">
      <c r="A1046" s="37" t="s">
        <v>4</v>
      </c>
      <c r="B1046" s="37" t="s">
        <v>53</v>
      </c>
      <c r="C1046" s="38">
        <v>127500</v>
      </c>
    </row>
    <row r="1047" spans="1:3" x14ac:dyDescent="0.3">
      <c r="A1047" s="37" t="s">
        <v>4</v>
      </c>
      <c r="B1047" s="37" t="s">
        <v>54</v>
      </c>
      <c r="C1047" s="38">
        <v>150000</v>
      </c>
    </row>
    <row r="1048" spans="1:3" x14ac:dyDescent="0.3">
      <c r="A1048" s="37" t="s">
        <v>4</v>
      </c>
      <c r="B1048" s="37" t="s">
        <v>53</v>
      </c>
      <c r="C1048" s="38"/>
    </row>
    <row r="1049" spans="1:3" x14ac:dyDescent="0.3">
      <c r="A1049" s="37" t="s">
        <v>4</v>
      </c>
      <c r="B1049" s="37" t="s">
        <v>53</v>
      </c>
      <c r="C1049" s="38">
        <v>115000</v>
      </c>
    </row>
    <row r="1050" spans="1:3" x14ac:dyDescent="0.3">
      <c r="A1050" s="37" t="s">
        <v>4</v>
      </c>
      <c r="B1050" s="37" t="s">
        <v>53</v>
      </c>
      <c r="C1050" s="38">
        <v>155000</v>
      </c>
    </row>
    <row r="1051" spans="1:3" x14ac:dyDescent="0.3">
      <c r="A1051" s="37" t="s">
        <v>4</v>
      </c>
      <c r="B1051" s="37" t="s">
        <v>53</v>
      </c>
      <c r="C1051" s="38">
        <v>145000</v>
      </c>
    </row>
    <row r="1052" spans="1:3" x14ac:dyDescent="0.3">
      <c r="A1052" s="37" t="s">
        <v>4</v>
      </c>
      <c r="B1052" s="37" t="s">
        <v>53</v>
      </c>
      <c r="C1052" s="38">
        <v>90000</v>
      </c>
    </row>
    <row r="1053" spans="1:3" x14ac:dyDescent="0.3">
      <c r="A1053" s="37" t="s">
        <v>4</v>
      </c>
      <c r="B1053" s="37" t="s">
        <v>54</v>
      </c>
      <c r="C1053" s="38">
        <v>80000</v>
      </c>
    </row>
    <row r="1054" spans="1:3" x14ac:dyDescent="0.3">
      <c r="A1054" s="37" t="s">
        <v>4</v>
      </c>
      <c r="B1054" s="37" t="s">
        <v>53</v>
      </c>
      <c r="C1054" s="38">
        <v>140000</v>
      </c>
    </row>
    <row r="1055" spans="1:3" x14ac:dyDescent="0.3">
      <c r="A1055" s="37" t="s">
        <v>4</v>
      </c>
      <c r="B1055" s="37" t="s">
        <v>53</v>
      </c>
      <c r="C1055" s="38">
        <v>85000</v>
      </c>
    </row>
    <row r="1056" spans="1:3" x14ac:dyDescent="0.3">
      <c r="A1056" s="37" t="s">
        <v>4</v>
      </c>
      <c r="B1056" s="37" t="s">
        <v>81</v>
      </c>
      <c r="C1056" s="38">
        <v>124000</v>
      </c>
    </row>
    <row r="1057" spans="1:3" x14ac:dyDescent="0.3">
      <c r="A1057" s="37" t="s">
        <v>4</v>
      </c>
      <c r="B1057" s="37" t="s">
        <v>53</v>
      </c>
      <c r="C1057" s="38"/>
    </row>
    <row r="1058" spans="1:3" x14ac:dyDescent="0.3">
      <c r="A1058" s="37" t="s">
        <v>4</v>
      </c>
      <c r="B1058" s="37" t="s">
        <v>53</v>
      </c>
      <c r="C1058" s="38">
        <v>110000</v>
      </c>
    </row>
    <row r="1059" spans="1:3" x14ac:dyDescent="0.3">
      <c r="A1059" s="37" t="s">
        <v>4</v>
      </c>
      <c r="B1059" s="37" t="s">
        <v>53</v>
      </c>
      <c r="C1059" s="38">
        <v>165000</v>
      </c>
    </row>
    <row r="1060" spans="1:3" x14ac:dyDescent="0.3">
      <c r="A1060" s="37" t="s">
        <v>4</v>
      </c>
      <c r="B1060" s="37" t="s">
        <v>53</v>
      </c>
      <c r="C1060" s="38"/>
    </row>
    <row r="1061" spans="1:3" x14ac:dyDescent="0.3">
      <c r="A1061" s="37" t="s">
        <v>4</v>
      </c>
      <c r="B1061" s="37" t="s">
        <v>53</v>
      </c>
      <c r="C1061" s="38">
        <v>123600</v>
      </c>
    </row>
    <row r="1062" spans="1:3" x14ac:dyDescent="0.3">
      <c r="A1062" s="37" t="s">
        <v>4</v>
      </c>
      <c r="B1062" s="37" t="s">
        <v>87</v>
      </c>
      <c r="C1062" s="38">
        <v>147500</v>
      </c>
    </row>
    <row r="1063" spans="1:3" x14ac:dyDescent="0.3">
      <c r="A1063" s="37" t="s">
        <v>4</v>
      </c>
      <c r="B1063" s="37" t="s">
        <v>53</v>
      </c>
      <c r="C1063" s="38">
        <v>208114</v>
      </c>
    </row>
    <row r="1064" spans="1:3" x14ac:dyDescent="0.3">
      <c r="A1064" s="37" t="s">
        <v>4</v>
      </c>
      <c r="B1064" s="37" t="s">
        <v>53</v>
      </c>
      <c r="C1064" s="38">
        <v>175000</v>
      </c>
    </row>
    <row r="1065" spans="1:3" x14ac:dyDescent="0.3">
      <c r="A1065" s="37" t="s">
        <v>4</v>
      </c>
      <c r="B1065" s="37" t="s">
        <v>53</v>
      </c>
      <c r="C1065" s="38">
        <v>160000</v>
      </c>
    </row>
    <row r="1066" spans="1:3" x14ac:dyDescent="0.3">
      <c r="A1066" s="37" t="s">
        <v>4</v>
      </c>
      <c r="B1066" s="37" t="s">
        <v>110</v>
      </c>
      <c r="C1066" s="38">
        <v>165000</v>
      </c>
    </row>
    <row r="1067" spans="1:3" x14ac:dyDescent="0.3">
      <c r="A1067" s="37" t="s">
        <v>4</v>
      </c>
      <c r="B1067" s="37" t="s">
        <v>53</v>
      </c>
      <c r="C1067" s="38">
        <v>127500</v>
      </c>
    </row>
    <row r="1068" spans="1:3" x14ac:dyDescent="0.3">
      <c r="A1068" s="37" t="s">
        <v>4</v>
      </c>
      <c r="B1068" s="37" t="s">
        <v>53</v>
      </c>
      <c r="C1068" s="38">
        <v>160000</v>
      </c>
    </row>
    <row r="1069" spans="1:3" x14ac:dyDescent="0.3">
      <c r="A1069" s="37" t="s">
        <v>4</v>
      </c>
      <c r="B1069" s="37" t="s">
        <v>53</v>
      </c>
      <c r="C1069" s="38"/>
    </row>
    <row r="1070" spans="1:3" x14ac:dyDescent="0.3">
      <c r="A1070" s="37" t="s">
        <v>4</v>
      </c>
      <c r="B1070" s="37" t="s">
        <v>88</v>
      </c>
      <c r="C1070" s="38">
        <v>147500</v>
      </c>
    </row>
    <row r="1071" spans="1:3" x14ac:dyDescent="0.3">
      <c r="A1071" s="37" t="s">
        <v>4</v>
      </c>
      <c r="B1071" s="37" t="s">
        <v>53</v>
      </c>
      <c r="C1071" s="38">
        <v>125000</v>
      </c>
    </row>
    <row r="1072" spans="1:3" x14ac:dyDescent="0.3">
      <c r="A1072" s="37" t="s">
        <v>4</v>
      </c>
      <c r="B1072" s="37" t="s">
        <v>105</v>
      </c>
      <c r="C1072" s="38">
        <v>98301.5</v>
      </c>
    </row>
    <row r="1073" spans="1:3" x14ac:dyDescent="0.3">
      <c r="A1073" s="37" t="s">
        <v>4</v>
      </c>
      <c r="B1073" s="37" t="s">
        <v>53</v>
      </c>
      <c r="C1073" s="38">
        <v>90000</v>
      </c>
    </row>
    <row r="1074" spans="1:3" x14ac:dyDescent="0.3">
      <c r="A1074" s="37" t="s">
        <v>4</v>
      </c>
      <c r="B1074" s="37" t="s">
        <v>53</v>
      </c>
      <c r="C1074" s="38">
        <v>102500</v>
      </c>
    </row>
    <row r="1075" spans="1:3" x14ac:dyDescent="0.3">
      <c r="A1075" s="37" t="s">
        <v>4</v>
      </c>
      <c r="B1075" s="37" t="s">
        <v>53</v>
      </c>
      <c r="C1075" s="38">
        <v>120000</v>
      </c>
    </row>
    <row r="1076" spans="1:3" x14ac:dyDescent="0.3">
      <c r="A1076" s="37" t="s">
        <v>4</v>
      </c>
      <c r="B1076" s="37" t="s">
        <v>53</v>
      </c>
      <c r="C1076" s="38">
        <v>120000</v>
      </c>
    </row>
    <row r="1077" spans="1:3" x14ac:dyDescent="0.3">
      <c r="A1077" s="37" t="s">
        <v>4</v>
      </c>
      <c r="B1077" s="37" t="s">
        <v>53</v>
      </c>
      <c r="C1077" s="38">
        <v>160060.234375</v>
      </c>
    </row>
    <row r="1078" spans="1:3" x14ac:dyDescent="0.3">
      <c r="A1078" s="37" t="s">
        <v>4</v>
      </c>
      <c r="B1078" s="37" t="s">
        <v>53</v>
      </c>
      <c r="C1078" s="38">
        <v>90000</v>
      </c>
    </row>
    <row r="1079" spans="1:3" x14ac:dyDescent="0.3">
      <c r="A1079" s="37" t="s">
        <v>4</v>
      </c>
      <c r="B1079" s="37" t="s">
        <v>79</v>
      </c>
      <c r="C1079" s="38">
        <v>147500</v>
      </c>
    </row>
    <row r="1080" spans="1:3" x14ac:dyDescent="0.3">
      <c r="A1080" s="37" t="s">
        <v>4</v>
      </c>
      <c r="B1080" s="37" t="s">
        <v>53</v>
      </c>
      <c r="C1080" s="38">
        <v>127500</v>
      </c>
    </row>
    <row r="1081" spans="1:3" x14ac:dyDescent="0.3">
      <c r="A1081" s="37" t="s">
        <v>4</v>
      </c>
      <c r="B1081" s="37" t="s">
        <v>53</v>
      </c>
      <c r="C1081" s="38">
        <v>90000</v>
      </c>
    </row>
    <row r="1082" spans="1:3" x14ac:dyDescent="0.3">
      <c r="A1082" s="37" t="s">
        <v>4</v>
      </c>
      <c r="B1082" s="37" t="s">
        <v>53</v>
      </c>
      <c r="C1082" s="38">
        <v>96500</v>
      </c>
    </row>
    <row r="1083" spans="1:3" x14ac:dyDescent="0.3">
      <c r="A1083" s="37" t="s">
        <v>4</v>
      </c>
      <c r="B1083" s="37" t="s">
        <v>54</v>
      </c>
      <c r="C1083" s="38">
        <v>112500</v>
      </c>
    </row>
    <row r="1084" spans="1:3" x14ac:dyDescent="0.3">
      <c r="A1084" s="37" t="s">
        <v>4</v>
      </c>
      <c r="B1084" s="37" t="s">
        <v>75</v>
      </c>
      <c r="C1084" s="38">
        <v>98301.5</v>
      </c>
    </row>
    <row r="1085" spans="1:3" x14ac:dyDescent="0.3">
      <c r="A1085" s="37" t="s">
        <v>4</v>
      </c>
      <c r="B1085" s="37" t="s">
        <v>53</v>
      </c>
      <c r="C1085" s="38">
        <v>150000</v>
      </c>
    </row>
    <row r="1086" spans="1:3" x14ac:dyDescent="0.3">
      <c r="A1086" s="37" t="s">
        <v>4</v>
      </c>
      <c r="B1086" s="37" t="s">
        <v>54</v>
      </c>
      <c r="C1086" s="38">
        <v>125000</v>
      </c>
    </row>
    <row r="1087" spans="1:3" x14ac:dyDescent="0.3">
      <c r="A1087" s="37" t="s">
        <v>4</v>
      </c>
      <c r="B1087" s="37" t="s">
        <v>53</v>
      </c>
      <c r="C1087" s="38">
        <v>125000</v>
      </c>
    </row>
    <row r="1088" spans="1:3" x14ac:dyDescent="0.3">
      <c r="A1088" s="37" t="s">
        <v>4</v>
      </c>
      <c r="B1088" s="37" t="s">
        <v>53</v>
      </c>
      <c r="C1088" s="38">
        <v>90000</v>
      </c>
    </row>
    <row r="1089" spans="1:3" x14ac:dyDescent="0.3">
      <c r="A1089" s="37" t="s">
        <v>4</v>
      </c>
      <c r="B1089" s="37" t="s">
        <v>53</v>
      </c>
      <c r="C1089" s="38">
        <v>125000</v>
      </c>
    </row>
    <row r="1090" spans="1:3" x14ac:dyDescent="0.3">
      <c r="A1090" s="37" t="s">
        <v>4</v>
      </c>
      <c r="B1090" s="37" t="s">
        <v>53</v>
      </c>
      <c r="C1090" s="38">
        <v>98301.5</v>
      </c>
    </row>
    <row r="1091" spans="1:3" x14ac:dyDescent="0.3">
      <c r="A1091" s="37" t="s">
        <v>4</v>
      </c>
      <c r="B1091" s="37" t="s">
        <v>53</v>
      </c>
      <c r="C1091" s="38">
        <v>160000</v>
      </c>
    </row>
    <row r="1092" spans="1:3" x14ac:dyDescent="0.3">
      <c r="A1092" s="37" t="s">
        <v>4</v>
      </c>
      <c r="B1092" s="37" t="s">
        <v>53</v>
      </c>
      <c r="C1092" s="38"/>
    </row>
    <row r="1093" spans="1:3" x14ac:dyDescent="0.3">
      <c r="A1093" s="37" t="s">
        <v>4</v>
      </c>
      <c r="B1093" s="37" t="s">
        <v>53</v>
      </c>
      <c r="C1093" s="38">
        <v>115000</v>
      </c>
    </row>
    <row r="1094" spans="1:3" x14ac:dyDescent="0.3">
      <c r="A1094" s="37" t="s">
        <v>4</v>
      </c>
      <c r="B1094" s="37" t="s">
        <v>54</v>
      </c>
      <c r="C1094" s="38"/>
    </row>
    <row r="1095" spans="1:3" x14ac:dyDescent="0.3">
      <c r="A1095" s="37" t="s">
        <v>4</v>
      </c>
      <c r="B1095" s="37" t="s">
        <v>53</v>
      </c>
      <c r="C1095" s="38">
        <v>90000</v>
      </c>
    </row>
    <row r="1096" spans="1:3" x14ac:dyDescent="0.3">
      <c r="A1096" s="37" t="s">
        <v>4</v>
      </c>
      <c r="B1096" s="37" t="s">
        <v>53</v>
      </c>
      <c r="C1096" s="38">
        <v>50000</v>
      </c>
    </row>
    <row r="1097" spans="1:3" x14ac:dyDescent="0.3">
      <c r="A1097" s="37" t="s">
        <v>4</v>
      </c>
      <c r="B1097" s="37" t="s">
        <v>53</v>
      </c>
      <c r="C1097" s="38">
        <v>172500</v>
      </c>
    </row>
    <row r="1098" spans="1:3" x14ac:dyDescent="0.3">
      <c r="A1098" s="37" t="s">
        <v>4</v>
      </c>
      <c r="B1098" s="37" t="s">
        <v>53</v>
      </c>
      <c r="C1098" s="38">
        <v>105000</v>
      </c>
    </row>
    <row r="1099" spans="1:3" x14ac:dyDescent="0.3">
      <c r="A1099" s="37" t="s">
        <v>4</v>
      </c>
      <c r="B1099" s="37" t="s">
        <v>53</v>
      </c>
      <c r="C1099" s="38">
        <v>144481.5</v>
      </c>
    </row>
    <row r="1100" spans="1:3" x14ac:dyDescent="0.3">
      <c r="A1100" s="37" t="s">
        <v>4</v>
      </c>
      <c r="B1100" s="37" t="s">
        <v>53</v>
      </c>
      <c r="C1100" s="38">
        <v>110000</v>
      </c>
    </row>
    <row r="1101" spans="1:3" x14ac:dyDescent="0.3">
      <c r="A1101" s="37" t="s">
        <v>4</v>
      </c>
      <c r="B1101" s="37" t="s">
        <v>70</v>
      </c>
      <c r="C1101" s="38">
        <v>147500</v>
      </c>
    </row>
    <row r="1102" spans="1:3" x14ac:dyDescent="0.3">
      <c r="A1102" s="37" t="s">
        <v>4</v>
      </c>
      <c r="B1102" s="37" t="s">
        <v>53</v>
      </c>
      <c r="C1102" s="38">
        <v>115000</v>
      </c>
    </row>
    <row r="1103" spans="1:3" x14ac:dyDescent="0.3">
      <c r="A1103" s="37" t="s">
        <v>4</v>
      </c>
      <c r="B1103" s="37" t="s">
        <v>53</v>
      </c>
      <c r="C1103" s="38"/>
    </row>
    <row r="1104" spans="1:3" x14ac:dyDescent="0.3">
      <c r="A1104" s="37" t="s">
        <v>4</v>
      </c>
      <c r="B1104" s="37" t="s">
        <v>53</v>
      </c>
      <c r="C1104" s="38">
        <v>175000</v>
      </c>
    </row>
    <row r="1105" spans="1:3" x14ac:dyDescent="0.3">
      <c r="A1105" s="37" t="s">
        <v>4</v>
      </c>
      <c r="B1105" s="37" t="s">
        <v>53</v>
      </c>
      <c r="C1105" s="38">
        <v>115000</v>
      </c>
    </row>
    <row r="1106" spans="1:3" x14ac:dyDescent="0.3">
      <c r="A1106" s="37" t="s">
        <v>4</v>
      </c>
      <c r="B1106" s="37" t="s">
        <v>53</v>
      </c>
      <c r="C1106" s="38"/>
    </row>
    <row r="1107" spans="1:3" x14ac:dyDescent="0.3">
      <c r="A1107" s="37" t="s">
        <v>4</v>
      </c>
      <c r="B1107" s="37" t="s">
        <v>53</v>
      </c>
      <c r="C1107" s="38">
        <v>157500</v>
      </c>
    </row>
    <row r="1108" spans="1:3" x14ac:dyDescent="0.3">
      <c r="A1108" s="37" t="s">
        <v>4</v>
      </c>
      <c r="B1108" s="37" t="s">
        <v>54</v>
      </c>
      <c r="C1108" s="38">
        <v>133900</v>
      </c>
    </row>
    <row r="1109" spans="1:3" x14ac:dyDescent="0.3">
      <c r="A1109" s="37" t="s">
        <v>4</v>
      </c>
      <c r="B1109" s="37" t="s">
        <v>53</v>
      </c>
      <c r="C1109" s="38">
        <v>125000</v>
      </c>
    </row>
    <row r="1110" spans="1:3" x14ac:dyDescent="0.3">
      <c r="A1110" s="37" t="s">
        <v>4</v>
      </c>
      <c r="B1110" s="37" t="s">
        <v>53</v>
      </c>
      <c r="C1110" s="38">
        <v>120000</v>
      </c>
    </row>
    <row r="1111" spans="1:3" x14ac:dyDescent="0.3">
      <c r="A1111" s="37" t="s">
        <v>4</v>
      </c>
      <c r="B1111" s="37" t="s">
        <v>53</v>
      </c>
      <c r="C1111" s="38">
        <v>160000</v>
      </c>
    </row>
    <row r="1112" spans="1:3" x14ac:dyDescent="0.3">
      <c r="A1112" s="37" t="s">
        <v>4</v>
      </c>
      <c r="B1112" s="37" t="s">
        <v>54</v>
      </c>
      <c r="C1112" s="38"/>
    </row>
    <row r="1113" spans="1:3" x14ac:dyDescent="0.3">
      <c r="A1113" s="37" t="s">
        <v>4</v>
      </c>
      <c r="B1113" s="37" t="s">
        <v>100</v>
      </c>
      <c r="C1113" s="38">
        <v>96760.5</v>
      </c>
    </row>
    <row r="1114" spans="1:3" x14ac:dyDescent="0.3">
      <c r="A1114" s="37" t="s">
        <v>4</v>
      </c>
      <c r="B1114" s="37" t="s">
        <v>104</v>
      </c>
      <c r="C1114" s="38">
        <v>98301.5</v>
      </c>
    </row>
    <row r="1115" spans="1:3" x14ac:dyDescent="0.3">
      <c r="A1115" s="37" t="s">
        <v>4</v>
      </c>
      <c r="B1115" s="37" t="s">
        <v>53</v>
      </c>
      <c r="C1115" s="38">
        <v>140000</v>
      </c>
    </row>
    <row r="1116" spans="1:3" x14ac:dyDescent="0.3">
      <c r="A1116" s="37" t="s">
        <v>4</v>
      </c>
      <c r="B1116" s="37" t="s">
        <v>53</v>
      </c>
      <c r="C1116" s="38">
        <v>214000</v>
      </c>
    </row>
    <row r="1117" spans="1:3" x14ac:dyDescent="0.3">
      <c r="A1117" s="37" t="s">
        <v>4</v>
      </c>
      <c r="B1117" s="37" t="s">
        <v>53</v>
      </c>
      <c r="C1117" s="38">
        <v>119037.5</v>
      </c>
    </row>
    <row r="1118" spans="1:3" x14ac:dyDescent="0.3">
      <c r="A1118" s="37" t="s">
        <v>4</v>
      </c>
      <c r="B1118" s="37" t="s">
        <v>54</v>
      </c>
      <c r="C1118" s="38">
        <v>215000</v>
      </c>
    </row>
    <row r="1119" spans="1:3" x14ac:dyDescent="0.3">
      <c r="A1119" s="37" t="s">
        <v>4</v>
      </c>
      <c r="B1119" s="37" t="s">
        <v>100</v>
      </c>
      <c r="C1119" s="38">
        <v>249000</v>
      </c>
    </row>
    <row r="1120" spans="1:3" x14ac:dyDescent="0.3">
      <c r="A1120" s="37" t="s">
        <v>4</v>
      </c>
      <c r="B1120" s="37" t="s">
        <v>54</v>
      </c>
      <c r="C1120" s="38">
        <v>112500</v>
      </c>
    </row>
    <row r="1121" spans="1:3" x14ac:dyDescent="0.3">
      <c r="A1121" s="37" t="s">
        <v>4</v>
      </c>
      <c r="B1121" s="37" t="s">
        <v>53</v>
      </c>
      <c r="C1121" s="38">
        <v>130000</v>
      </c>
    </row>
    <row r="1122" spans="1:3" x14ac:dyDescent="0.3">
      <c r="A1122" s="37" t="s">
        <v>4</v>
      </c>
      <c r="B1122" s="37" t="s">
        <v>53</v>
      </c>
      <c r="C1122" s="38">
        <v>155000</v>
      </c>
    </row>
    <row r="1123" spans="1:3" x14ac:dyDescent="0.3">
      <c r="A1123" s="37" t="s">
        <v>4</v>
      </c>
      <c r="B1123" s="37" t="s">
        <v>53</v>
      </c>
      <c r="C1123" s="38">
        <v>175000</v>
      </c>
    </row>
    <row r="1124" spans="1:3" x14ac:dyDescent="0.3">
      <c r="A1124" s="37" t="s">
        <v>4</v>
      </c>
      <c r="B1124" s="37" t="s">
        <v>54</v>
      </c>
      <c r="C1124" s="38">
        <v>145000</v>
      </c>
    </row>
    <row r="1125" spans="1:3" x14ac:dyDescent="0.3">
      <c r="A1125" s="37" t="s">
        <v>4</v>
      </c>
      <c r="B1125" s="37" t="s">
        <v>53</v>
      </c>
      <c r="C1125" s="38">
        <v>131000</v>
      </c>
    </row>
    <row r="1126" spans="1:3" x14ac:dyDescent="0.3">
      <c r="A1126" s="37" t="s">
        <v>4</v>
      </c>
      <c r="B1126" s="37" t="s">
        <v>53</v>
      </c>
      <c r="C1126" s="38">
        <v>90000</v>
      </c>
    </row>
    <row r="1127" spans="1:3" x14ac:dyDescent="0.3">
      <c r="A1127" s="37" t="s">
        <v>4</v>
      </c>
      <c r="B1127" s="37" t="s">
        <v>54</v>
      </c>
      <c r="C1127" s="38">
        <v>151000</v>
      </c>
    </row>
    <row r="1128" spans="1:3" x14ac:dyDescent="0.3">
      <c r="A1128" s="37" t="s">
        <v>4</v>
      </c>
      <c r="B1128" s="37" t="s">
        <v>53</v>
      </c>
      <c r="C1128" s="38">
        <v>117500</v>
      </c>
    </row>
    <row r="1129" spans="1:3" x14ac:dyDescent="0.3">
      <c r="A1129" s="37" t="s">
        <v>4</v>
      </c>
      <c r="B1129" s="37" t="s">
        <v>88</v>
      </c>
      <c r="C1129" s="38">
        <v>96760.5</v>
      </c>
    </row>
    <row r="1130" spans="1:3" x14ac:dyDescent="0.3">
      <c r="A1130" s="37" t="s">
        <v>4</v>
      </c>
      <c r="B1130" s="37" t="s">
        <v>97</v>
      </c>
      <c r="C1130" s="38">
        <v>98283</v>
      </c>
    </row>
    <row r="1131" spans="1:3" x14ac:dyDescent="0.3">
      <c r="A1131" s="37" t="s">
        <v>4</v>
      </c>
      <c r="B1131" s="37" t="s">
        <v>53</v>
      </c>
      <c r="C1131" s="38">
        <v>193562.5</v>
      </c>
    </row>
    <row r="1132" spans="1:3" x14ac:dyDescent="0.3">
      <c r="A1132" s="37" t="s">
        <v>4</v>
      </c>
      <c r="B1132" s="37" t="s">
        <v>53</v>
      </c>
      <c r="C1132" s="38">
        <v>90000</v>
      </c>
    </row>
    <row r="1133" spans="1:3" x14ac:dyDescent="0.3">
      <c r="A1133" s="37" t="s">
        <v>4</v>
      </c>
      <c r="B1133" s="37" t="s">
        <v>54</v>
      </c>
      <c r="C1133" s="38"/>
    </row>
    <row r="1134" spans="1:3" x14ac:dyDescent="0.3">
      <c r="A1134" s="37" t="s">
        <v>4</v>
      </c>
      <c r="B1134" s="37" t="s">
        <v>53</v>
      </c>
      <c r="C1134" s="38">
        <v>105000</v>
      </c>
    </row>
    <row r="1135" spans="1:3" x14ac:dyDescent="0.3">
      <c r="A1135" s="37" t="s">
        <v>4</v>
      </c>
      <c r="B1135" s="37" t="s">
        <v>53</v>
      </c>
      <c r="C1135" s="38">
        <v>80000</v>
      </c>
    </row>
    <row r="1136" spans="1:3" x14ac:dyDescent="0.3">
      <c r="A1136" s="37" t="s">
        <v>4</v>
      </c>
      <c r="B1136" s="37" t="s">
        <v>56</v>
      </c>
      <c r="C1136" s="38">
        <v>98301.5</v>
      </c>
    </row>
    <row r="1137" spans="1:3" x14ac:dyDescent="0.3">
      <c r="A1137" s="37" t="s">
        <v>4</v>
      </c>
      <c r="B1137" s="37" t="s">
        <v>54</v>
      </c>
      <c r="C1137" s="38">
        <v>140000</v>
      </c>
    </row>
    <row r="1138" spans="1:3" x14ac:dyDescent="0.3">
      <c r="A1138" s="37" t="s">
        <v>4</v>
      </c>
      <c r="B1138" s="37" t="s">
        <v>81</v>
      </c>
      <c r="C1138" s="38">
        <v>147500</v>
      </c>
    </row>
    <row r="1139" spans="1:3" x14ac:dyDescent="0.3">
      <c r="A1139" s="37" t="s">
        <v>4</v>
      </c>
      <c r="B1139" s="37" t="s">
        <v>110</v>
      </c>
      <c r="C1139" s="38">
        <v>89100</v>
      </c>
    </row>
    <row r="1140" spans="1:3" x14ac:dyDescent="0.3">
      <c r="A1140" s="37" t="s">
        <v>4</v>
      </c>
      <c r="B1140" s="37" t="s">
        <v>53</v>
      </c>
      <c r="C1140" s="38">
        <v>122500</v>
      </c>
    </row>
    <row r="1141" spans="1:3" x14ac:dyDescent="0.3">
      <c r="A1141" s="37" t="s">
        <v>4</v>
      </c>
      <c r="B1141" s="37" t="s">
        <v>53</v>
      </c>
      <c r="C1141" s="38">
        <v>110000</v>
      </c>
    </row>
    <row r="1142" spans="1:3" x14ac:dyDescent="0.3">
      <c r="A1142" s="37" t="s">
        <v>4</v>
      </c>
      <c r="B1142" s="37" t="s">
        <v>53</v>
      </c>
      <c r="C1142" s="38">
        <v>105000</v>
      </c>
    </row>
    <row r="1143" spans="1:3" x14ac:dyDescent="0.3">
      <c r="A1143" s="37" t="s">
        <v>4</v>
      </c>
      <c r="B1143" s="37" t="s">
        <v>53</v>
      </c>
      <c r="C1143" s="38">
        <v>99800</v>
      </c>
    </row>
    <row r="1144" spans="1:3" x14ac:dyDescent="0.3">
      <c r="A1144" s="37" t="s">
        <v>4</v>
      </c>
      <c r="B1144" s="37" t="s">
        <v>53</v>
      </c>
      <c r="C1144" s="38"/>
    </row>
    <row r="1145" spans="1:3" x14ac:dyDescent="0.3">
      <c r="A1145" s="37" t="s">
        <v>4</v>
      </c>
      <c r="B1145" s="37" t="s">
        <v>53</v>
      </c>
      <c r="C1145" s="38">
        <v>200000</v>
      </c>
    </row>
    <row r="1146" spans="1:3" x14ac:dyDescent="0.3">
      <c r="A1146" s="37" t="s">
        <v>4</v>
      </c>
      <c r="B1146" s="37" t="s">
        <v>53</v>
      </c>
      <c r="C1146" s="38">
        <v>200000</v>
      </c>
    </row>
    <row r="1147" spans="1:3" x14ac:dyDescent="0.3">
      <c r="A1147" s="37" t="s">
        <v>4</v>
      </c>
      <c r="B1147" s="37" t="s">
        <v>53</v>
      </c>
      <c r="C1147" s="38">
        <v>105000</v>
      </c>
    </row>
    <row r="1148" spans="1:3" x14ac:dyDescent="0.3">
      <c r="A1148" s="37" t="s">
        <v>4</v>
      </c>
      <c r="B1148" s="37" t="s">
        <v>53</v>
      </c>
      <c r="C1148" s="38">
        <v>106256.8984375</v>
      </c>
    </row>
    <row r="1149" spans="1:3" x14ac:dyDescent="0.3">
      <c r="A1149" s="37" t="s">
        <v>4</v>
      </c>
      <c r="B1149" s="37" t="s">
        <v>53</v>
      </c>
      <c r="C1149" s="38">
        <v>58926</v>
      </c>
    </row>
    <row r="1150" spans="1:3" x14ac:dyDescent="0.3">
      <c r="A1150" s="37" t="s">
        <v>4</v>
      </c>
      <c r="B1150" s="37" t="s">
        <v>53</v>
      </c>
      <c r="C1150" s="38">
        <v>105000</v>
      </c>
    </row>
    <row r="1151" spans="1:3" x14ac:dyDescent="0.3">
      <c r="A1151" s="37" t="s">
        <v>4</v>
      </c>
      <c r="B1151" s="37" t="s">
        <v>53</v>
      </c>
      <c r="C1151" s="38">
        <v>105000</v>
      </c>
    </row>
    <row r="1152" spans="1:3" x14ac:dyDescent="0.3">
      <c r="A1152" s="37" t="s">
        <v>4</v>
      </c>
      <c r="B1152" s="37" t="s">
        <v>71</v>
      </c>
      <c r="C1152" s="38">
        <v>64800</v>
      </c>
    </row>
    <row r="1153" spans="1:3" x14ac:dyDescent="0.3">
      <c r="A1153" s="37" t="s">
        <v>4</v>
      </c>
      <c r="B1153" s="37" t="s">
        <v>53</v>
      </c>
      <c r="C1153" s="38"/>
    </row>
    <row r="1154" spans="1:3" x14ac:dyDescent="0.3">
      <c r="A1154" s="37" t="s">
        <v>4</v>
      </c>
      <c r="B1154" s="37" t="s">
        <v>53</v>
      </c>
      <c r="C1154" s="38">
        <v>190950</v>
      </c>
    </row>
    <row r="1155" spans="1:3" x14ac:dyDescent="0.3">
      <c r="A1155" s="37" t="s">
        <v>4</v>
      </c>
      <c r="B1155" s="37" t="s">
        <v>54</v>
      </c>
      <c r="C1155" s="38">
        <v>122500</v>
      </c>
    </row>
    <row r="1156" spans="1:3" x14ac:dyDescent="0.3">
      <c r="A1156" s="37" t="s">
        <v>4</v>
      </c>
      <c r="B1156" s="37" t="s">
        <v>53</v>
      </c>
      <c r="C1156" s="38">
        <v>245000</v>
      </c>
    </row>
    <row r="1157" spans="1:3" x14ac:dyDescent="0.3">
      <c r="A1157" s="37" t="s">
        <v>4</v>
      </c>
      <c r="B1157" s="37" t="s">
        <v>53</v>
      </c>
      <c r="C1157" s="38">
        <v>165000</v>
      </c>
    </row>
    <row r="1158" spans="1:3" x14ac:dyDescent="0.3">
      <c r="A1158" s="37" t="s">
        <v>4</v>
      </c>
      <c r="B1158" s="37" t="s">
        <v>53</v>
      </c>
      <c r="C1158" s="38">
        <v>133000</v>
      </c>
    </row>
    <row r="1159" spans="1:3" x14ac:dyDescent="0.3">
      <c r="A1159" s="37" t="s">
        <v>4</v>
      </c>
      <c r="B1159" s="37" t="s">
        <v>68</v>
      </c>
      <c r="C1159" s="38">
        <v>98283</v>
      </c>
    </row>
    <row r="1160" spans="1:3" x14ac:dyDescent="0.3">
      <c r="A1160" s="37" t="s">
        <v>4</v>
      </c>
      <c r="B1160" s="37" t="s">
        <v>53</v>
      </c>
      <c r="C1160" s="38"/>
    </row>
    <row r="1161" spans="1:3" x14ac:dyDescent="0.3">
      <c r="A1161" s="37" t="s">
        <v>4</v>
      </c>
      <c r="B1161" s="37" t="s">
        <v>53</v>
      </c>
      <c r="C1161" s="38"/>
    </row>
    <row r="1162" spans="1:3" x14ac:dyDescent="0.3">
      <c r="A1162" s="37" t="s">
        <v>4</v>
      </c>
      <c r="B1162" s="37" t="s">
        <v>53</v>
      </c>
      <c r="C1162" s="38">
        <v>147500</v>
      </c>
    </row>
    <row r="1163" spans="1:3" x14ac:dyDescent="0.3">
      <c r="A1163" s="37" t="s">
        <v>4</v>
      </c>
      <c r="B1163" s="37" t="s">
        <v>53</v>
      </c>
      <c r="C1163" s="38"/>
    </row>
    <row r="1164" spans="1:3" x14ac:dyDescent="0.3">
      <c r="A1164" s="37" t="s">
        <v>4</v>
      </c>
      <c r="B1164" s="37" t="s">
        <v>54</v>
      </c>
      <c r="C1164" s="38">
        <v>137320.3125</v>
      </c>
    </row>
    <row r="1165" spans="1:3" x14ac:dyDescent="0.3">
      <c r="A1165" s="37" t="s">
        <v>4</v>
      </c>
      <c r="B1165" s="37" t="s">
        <v>54</v>
      </c>
      <c r="C1165" s="38">
        <v>98275.5</v>
      </c>
    </row>
    <row r="1166" spans="1:3" x14ac:dyDescent="0.3">
      <c r="A1166" s="37" t="s">
        <v>4</v>
      </c>
      <c r="B1166" s="37" t="s">
        <v>53</v>
      </c>
      <c r="C1166" s="38">
        <v>122470.5</v>
      </c>
    </row>
    <row r="1167" spans="1:3" x14ac:dyDescent="0.3">
      <c r="A1167" s="37" t="s">
        <v>4</v>
      </c>
      <c r="B1167" s="37" t="s">
        <v>53</v>
      </c>
      <c r="C1167" s="38"/>
    </row>
    <row r="1168" spans="1:3" x14ac:dyDescent="0.3">
      <c r="A1168" s="37" t="s">
        <v>4</v>
      </c>
      <c r="B1168" s="37" t="s">
        <v>54</v>
      </c>
      <c r="C1168" s="38"/>
    </row>
    <row r="1169" spans="1:3" x14ac:dyDescent="0.3">
      <c r="A1169" s="37" t="s">
        <v>4</v>
      </c>
      <c r="B1169" s="37" t="s">
        <v>53</v>
      </c>
      <c r="C1169" s="38">
        <v>117500</v>
      </c>
    </row>
    <row r="1170" spans="1:3" x14ac:dyDescent="0.3">
      <c r="A1170" s="37" t="s">
        <v>4</v>
      </c>
      <c r="B1170" s="37" t="s">
        <v>53</v>
      </c>
      <c r="C1170" s="38">
        <v>125000</v>
      </c>
    </row>
    <row r="1171" spans="1:3" x14ac:dyDescent="0.3">
      <c r="A1171" s="37" t="s">
        <v>4</v>
      </c>
      <c r="B1171" s="37" t="s">
        <v>53</v>
      </c>
      <c r="C1171" s="38">
        <v>190950</v>
      </c>
    </row>
    <row r="1172" spans="1:3" x14ac:dyDescent="0.3">
      <c r="A1172" s="37" t="s">
        <v>4</v>
      </c>
      <c r="B1172" s="37" t="s">
        <v>53</v>
      </c>
      <c r="C1172" s="38"/>
    </row>
    <row r="1173" spans="1:3" x14ac:dyDescent="0.3">
      <c r="A1173" s="37" t="s">
        <v>4</v>
      </c>
      <c r="B1173" s="37" t="s">
        <v>111</v>
      </c>
      <c r="C1173" s="38">
        <v>147500</v>
      </c>
    </row>
    <row r="1174" spans="1:3" x14ac:dyDescent="0.3">
      <c r="A1174" s="37" t="s">
        <v>4</v>
      </c>
      <c r="B1174" s="37" t="s">
        <v>53</v>
      </c>
      <c r="C1174" s="38"/>
    </row>
    <row r="1175" spans="1:3" x14ac:dyDescent="0.3">
      <c r="A1175" s="37" t="s">
        <v>4</v>
      </c>
      <c r="B1175" s="37" t="s">
        <v>53</v>
      </c>
      <c r="C1175" s="38"/>
    </row>
    <row r="1176" spans="1:3" x14ac:dyDescent="0.3">
      <c r="A1176" s="37" t="s">
        <v>4</v>
      </c>
      <c r="B1176" s="37" t="s">
        <v>54</v>
      </c>
      <c r="C1176" s="38"/>
    </row>
    <row r="1177" spans="1:3" x14ac:dyDescent="0.3">
      <c r="A1177" s="37" t="s">
        <v>4</v>
      </c>
      <c r="B1177" s="37" t="s">
        <v>53</v>
      </c>
      <c r="C1177" s="38">
        <v>110144.390625</v>
      </c>
    </row>
    <row r="1178" spans="1:3" x14ac:dyDescent="0.3">
      <c r="A1178" s="37" t="s">
        <v>4</v>
      </c>
      <c r="B1178" s="37" t="s">
        <v>53</v>
      </c>
      <c r="C1178" s="38">
        <v>109750</v>
      </c>
    </row>
    <row r="1179" spans="1:3" x14ac:dyDescent="0.3">
      <c r="A1179" s="37" t="s">
        <v>4</v>
      </c>
      <c r="B1179" s="37" t="s">
        <v>54</v>
      </c>
      <c r="C1179" s="38"/>
    </row>
    <row r="1180" spans="1:3" x14ac:dyDescent="0.3">
      <c r="A1180" s="37" t="s">
        <v>4</v>
      </c>
      <c r="B1180" s="37" t="s">
        <v>53</v>
      </c>
      <c r="C1180" s="38"/>
    </row>
    <row r="1181" spans="1:3" x14ac:dyDescent="0.3">
      <c r="A1181" s="37" t="s">
        <v>4</v>
      </c>
      <c r="B1181" s="37" t="s">
        <v>54</v>
      </c>
      <c r="C1181" s="38">
        <v>135000</v>
      </c>
    </row>
    <row r="1182" spans="1:3" x14ac:dyDescent="0.3">
      <c r="A1182" s="37" t="s">
        <v>4</v>
      </c>
      <c r="B1182" s="37" t="s">
        <v>73</v>
      </c>
      <c r="C1182" s="38">
        <v>96773</v>
      </c>
    </row>
    <row r="1183" spans="1:3" x14ac:dyDescent="0.3">
      <c r="A1183" s="37" t="s">
        <v>4</v>
      </c>
      <c r="B1183" s="37" t="s">
        <v>53</v>
      </c>
      <c r="C1183" s="38">
        <v>136000</v>
      </c>
    </row>
    <row r="1184" spans="1:3" x14ac:dyDescent="0.3">
      <c r="A1184" s="37" t="s">
        <v>4</v>
      </c>
      <c r="B1184" s="37" t="s">
        <v>88</v>
      </c>
      <c r="C1184" s="38">
        <v>131580</v>
      </c>
    </row>
    <row r="1185" spans="1:3" x14ac:dyDescent="0.3">
      <c r="A1185" s="37" t="s">
        <v>4</v>
      </c>
      <c r="B1185" s="37" t="s">
        <v>53</v>
      </c>
      <c r="C1185" s="38">
        <v>125000</v>
      </c>
    </row>
    <row r="1186" spans="1:3" x14ac:dyDescent="0.3">
      <c r="A1186" s="37" t="s">
        <v>4</v>
      </c>
      <c r="B1186" s="37" t="s">
        <v>88</v>
      </c>
      <c r="C1186" s="38">
        <v>147500</v>
      </c>
    </row>
    <row r="1187" spans="1:3" x14ac:dyDescent="0.3">
      <c r="A1187" s="37" t="s">
        <v>4</v>
      </c>
      <c r="B1187" s="37" t="s">
        <v>54</v>
      </c>
      <c r="C1187" s="38">
        <v>180000</v>
      </c>
    </row>
    <row r="1188" spans="1:3" x14ac:dyDescent="0.3">
      <c r="A1188" s="37" t="s">
        <v>4</v>
      </c>
      <c r="B1188" s="37" t="s">
        <v>53</v>
      </c>
      <c r="C1188" s="38">
        <v>175000</v>
      </c>
    </row>
    <row r="1189" spans="1:3" x14ac:dyDescent="0.3">
      <c r="A1189" s="37" t="s">
        <v>4</v>
      </c>
      <c r="B1189" s="37" t="s">
        <v>65</v>
      </c>
      <c r="C1189" s="38">
        <v>96773</v>
      </c>
    </row>
    <row r="1190" spans="1:3" x14ac:dyDescent="0.3">
      <c r="A1190" s="37" t="s">
        <v>4</v>
      </c>
      <c r="B1190" s="37" t="s">
        <v>53</v>
      </c>
      <c r="C1190" s="38"/>
    </row>
    <row r="1191" spans="1:3" x14ac:dyDescent="0.3">
      <c r="A1191" s="37" t="s">
        <v>4</v>
      </c>
      <c r="B1191" s="37" t="s">
        <v>53</v>
      </c>
      <c r="C1191" s="38">
        <v>154000</v>
      </c>
    </row>
    <row r="1192" spans="1:3" x14ac:dyDescent="0.3">
      <c r="A1192" s="37" t="s">
        <v>4</v>
      </c>
      <c r="B1192" s="37" t="s">
        <v>53</v>
      </c>
      <c r="C1192" s="38"/>
    </row>
    <row r="1193" spans="1:3" x14ac:dyDescent="0.3">
      <c r="A1193" s="37" t="s">
        <v>4</v>
      </c>
      <c r="B1193" s="37" t="s">
        <v>53</v>
      </c>
      <c r="C1193" s="38">
        <v>208114</v>
      </c>
    </row>
    <row r="1194" spans="1:3" x14ac:dyDescent="0.3">
      <c r="A1194" s="37" t="s">
        <v>4</v>
      </c>
      <c r="B1194" s="37" t="s">
        <v>53</v>
      </c>
      <c r="C1194" s="38">
        <v>175000</v>
      </c>
    </row>
    <row r="1195" spans="1:3" x14ac:dyDescent="0.3">
      <c r="A1195" s="37" t="s">
        <v>4</v>
      </c>
      <c r="B1195" s="37" t="s">
        <v>53</v>
      </c>
      <c r="C1195" s="38">
        <v>90000</v>
      </c>
    </row>
    <row r="1196" spans="1:3" x14ac:dyDescent="0.3">
      <c r="A1196" s="37" t="s">
        <v>4</v>
      </c>
      <c r="B1196" s="37" t="s">
        <v>53</v>
      </c>
      <c r="C1196" s="38"/>
    </row>
    <row r="1197" spans="1:3" x14ac:dyDescent="0.3">
      <c r="A1197" s="37" t="s">
        <v>4</v>
      </c>
      <c r="B1197" s="37" t="s">
        <v>53</v>
      </c>
      <c r="C1197" s="38">
        <v>115000</v>
      </c>
    </row>
    <row r="1198" spans="1:3" x14ac:dyDescent="0.3">
      <c r="A1198" s="37" t="s">
        <v>4</v>
      </c>
      <c r="B1198" s="37" t="s">
        <v>53</v>
      </c>
      <c r="C1198" s="38">
        <v>144481.5</v>
      </c>
    </row>
    <row r="1199" spans="1:3" x14ac:dyDescent="0.3">
      <c r="A1199" s="37" t="s">
        <v>4</v>
      </c>
      <c r="B1199" s="37" t="s">
        <v>53</v>
      </c>
      <c r="C1199" s="38"/>
    </row>
    <row r="1200" spans="1:3" x14ac:dyDescent="0.3">
      <c r="A1200" s="37" t="s">
        <v>4</v>
      </c>
      <c r="B1200" s="37" t="s">
        <v>53</v>
      </c>
      <c r="C1200" s="38"/>
    </row>
    <row r="1201" spans="1:3" x14ac:dyDescent="0.3">
      <c r="A1201" s="37" t="s">
        <v>4</v>
      </c>
      <c r="B1201" s="37" t="s">
        <v>53</v>
      </c>
      <c r="C1201" s="38"/>
    </row>
    <row r="1202" spans="1:3" x14ac:dyDescent="0.3">
      <c r="A1202" s="37" t="s">
        <v>4</v>
      </c>
      <c r="B1202" s="37" t="s">
        <v>53</v>
      </c>
      <c r="C1202" s="38">
        <v>115000</v>
      </c>
    </row>
    <row r="1203" spans="1:3" x14ac:dyDescent="0.3">
      <c r="A1203" s="37" t="s">
        <v>4</v>
      </c>
      <c r="B1203" s="37" t="s">
        <v>54</v>
      </c>
      <c r="C1203" s="38"/>
    </row>
    <row r="1204" spans="1:3" x14ac:dyDescent="0.3">
      <c r="A1204" s="37" t="s">
        <v>4</v>
      </c>
      <c r="B1204" s="37" t="s">
        <v>53</v>
      </c>
      <c r="C1204" s="38">
        <v>146000</v>
      </c>
    </row>
    <row r="1205" spans="1:3" x14ac:dyDescent="0.3">
      <c r="A1205" s="37" t="s">
        <v>4</v>
      </c>
      <c r="B1205" s="37" t="s">
        <v>74</v>
      </c>
      <c r="C1205" s="38">
        <v>50400</v>
      </c>
    </row>
    <row r="1206" spans="1:3" x14ac:dyDescent="0.3">
      <c r="A1206" s="37" t="s">
        <v>4</v>
      </c>
      <c r="B1206" s="37" t="s">
        <v>53</v>
      </c>
      <c r="C1206" s="38">
        <v>160000</v>
      </c>
    </row>
    <row r="1207" spans="1:3" x14ac:dyDescent="0.3">
      <c r="A1207" s="37" t="s">
        <v>4</v>
      </c>
      <c r="B1207" s="37" t="s">
        <v>53</v>
      </c>
      <c r="C1207" s="38">
        <v>155000</v>
      </c>
    </row>
    <row r="1208" spans="1:3" x14ac:dyDescent="0.3">
      <c r="A1208" s="37" t="s">
        <v>4</v>
      </c>
      <c r="B1208" s="37" t="s">
        <v>53</v>
      </c>
      <c r="C1208" s="38">
        <v>187500</v>
      </c>
    </row>
    <row r="1209" spans="1:3" x14ac:dyDescent="0.3">
      <c r="A1209" s="37" t="s">
        <v>4</v>
      </c>
      <c r="B1209" s="37" t="s">
        <v>53</v>
      </c>
      <c r="C1209" s="38">
        <v>137290.484375</v>
      </c>
    </row>
    <row r="1210" spans="1:3" x14ac:dyDescent="0.3">
      <c r="A1210" s="37" t="s">
        <v>4</v>
      </c>
      <c r="B1210" s="37" t="s">
        <v>53</v>
      </c>
      <c r="C1210" s="38">
        <v>172500</v>
      </c>
    </row>
    <row r="1211" spans="1:3" x14ac:dyDescent="0.3">
      <c r="A1211" s="37" t="s">
        <v>4</v>
      </c>
      <c r="B1211" s="37" t="s">
        <v>53</v>
      </c>
      <c r="C1211" s="38">
        <v>89500</v>
      </c>
    </row>
    <row r="1212" spans="1:3" x14ac:dyDescent="0.3">
      <c r="A1212" s="37" t="s">
        <v>4</v>
      </c>
      <c r="B1212" s="37" t="s">
        <v>53</v>
      </c>
      <c r="C1212" s="38">
        <v>125000</v>
      </c>
    </row>
    <row r="1213" spans="1:3" x14ac:dyDescent="0.3">
      <c r="A1213" s="37" t="s">
        <v>4</v>
      </c>
      <c r="B1213" s="37" t="s">
        <v>53</v>
      </c>
      <c r="C1213" s="38">
        <v>180000</v>
      </c>
    </row>
    <row r="1214" spans="1:3" x14ac:dyDescent="0.3">
      <c r="A1214" s="37" t="s">
        <v>4</v>
      </c>
      <c r="B1214" s="37" t="s">
        <v>53</v>
      </c>
      <c r="C1214" s="38">
        <v>87500</v>
      </c>
    </row>
    <row r="1215" spans="1:3" x14ac:dyDescent="0.3">
      <c r="A1215" s="37" t="s">
        <v>4</v>
      </c>
      <c r="B1215" s="37" t="s">
        <v>98</v>
      </c>
      <c r="C1215" s="38">
        <v>96760.5</v>
      </c>
    </row>
    <row r="1216" spans="1:3" x14ac:dyDescent="0.3">
      <c r="A1216" s="37" t="s">
        <v>4</v>
      </c>
      <c r="B1216" s="37" t="s">
        <v>88</v>
      </c>
      <c r="C1216" s="38">
        <v>147500</v>
      </c>
    </row>
    <row r="1217" spans="1:3" x14ac:dyDescent="0.3">
      <c r="A1217" s="37" t="s">
        <v>4</v>
      </c>
      <c r="B1217" s="37" t="s">
        <v>53</v>
      </c>
      <c r="C1217" s="38">
        <v>112500</v>
      </c>
    </row>
    <row r="1218" spans="1:3" x14ac:dyDescent="0.3">
      <c r="A1218" s="37" t="s">
        <v>4</v>
      </c>
      <c r="B1218" s="37" t="s">
        <v>53</v>
      </c>
      <c r="C1218" s="38">
        <v>95000</v>
      </c>
    </row>
    <row r="1219" spans="1:3" x14ac:dyDescent="0.3">
      <c r="A1219" s="37" t="s">
        <v>4</v>
      </c>
      <c r="B1219" s="37" t="s">
        <v>53</v>
      </c>
      <c r="C1219" s="38">
        <v>95000</v>
      </c>
    </row>
    <row r="1220" spans="1:3" x14ac:dyDescent="0.3">
      <c r="A1220" s="37" t="s">
        <v>4</v>
      </c>
      <c r="B1220" s="37" t="s">
        <v>54</v>
      </c>
      <c r="C1220" s="38">
        <v>99500</v>
      </c>
    </row>
    <row r="1221" spans="1:3" x14ac:dyDescent="0.3">
      <c r="A1221" s="37" t="s">
        <v>4</v>
      </c>
      <c r="B1221" s="37" t="s">
        <v>53</v>
      </c>
      <c r="C1221" s="38"/>
    </row>
    <row r="1222" spans="1:3" x14ac:dyDescent="0.3">
      <c r="A1222" s="37" t="s">
        <v>4</v>
      </c>
      <c r="B1222" s="37" t="s">
        <v>53</v>
      </c>
      <c r="C1222" s="38">
        <v>150000</v>
      </c>
    </row>
    <row r="1223" spans="1:3" x14ac:dyDescent="0.3">
      <c r="A1223" s="37" t="s">
        <v>4</v>
      </c>
      <c r="B1223" s="37" t="s">
        <v>88</v>
      </c>
      <c r="C1223" s="38">
        <v>147500</v>
      </c>
    </row>
    <row r="1224" spans="1:3" x14ac:dyDescent="0.3">
      <c r="A1224" s="37" t="s">
        <v>4</v>
      </c>
      <c r="B1224" s="37" t="s">
        <v>53</v>
      </c>
      <c r="C1224" s="38"/>
    </row>
    <row r="1225" spans="1:3" x14ac:dyDescent="0.3">
      <c r="A1225" s="37" t="s">
        <v>4</v>
      </c>
      <c r="B1225" s="37" t="s">
        <v>53</v>
      </c>
      <c r="C1225" s="38">
        <v>190950</v>
      </c>
    </row>
    <row r="1226" spans="1:3" x14ac:dyDescent="0.3">
      <c r="A1226" s="37" t="s">
        <v>4</v>
      </c>
      <c r="B1226" s="37" t="s">
        <v>53</v>
      </c>
      <c r="C1226" s="38">
        <v>145000</v>
      </c>
    </row>
    <row r="1227" spans="1:3" x14ac:dyDescent="0.3">
      <c r="A1227" s="37" t="s">
        <v>4</v>
      </c>
      <c r="B1227" s="37" t="s">
        <v>53</v>
      </c>
      <c r="C1227" s="38"/>
    </row>
    <row r="1228" spans="1:3" x14ac:dyDescent="0.3">
      <c r="A1228" s="37" t="s">
        <v>4</v>
      </c>
      <c r="B1228" s="37" t="s">
        <v>53</v>
      </c>
      <c r="C1228" s="38"/>
    </row>
    <row r="1229" spans="1:3" x14ac:dyDescent="0.3">
      <c r="A1229" s="37" t="s">
        <v>4</v>
      </c>
      <c r="B1229" s="37" t="s">
        <v>53</v>
      </c>
      <c r="C1229" s="38">
        <v>102500</v>
      </c>
    </row>
    <row r="1230" spans="1:3" x14ac:dyDescent="0.3">
      <c r="A1230" s="37" t="s">
        <v>4</v>
      </c>
      <c r="B1230" s="37" t="s">
        <v>53</v>
      </c>
      <c r="C1230" s="38"/>
    </row>
    <row r="1231" spans="1:3" x14ac:dyDescent="0.3">
      <c r="A1231" s="37" t="s">
        <v>4</v>
      </c>
      <c r="B1231" s="37" t="s">
        <v>53</v>
      </c>
      <c r="C1231" s="38">
        <v>80000</v>
      </c>
    </row>
    <row r="1232" spans="1:3" x14ac:dyDescent="0.3">
      <c r="A1232" s="37" t="s">
        <v>4</v>
      </c>
      <c r="B1232" s="37" t="s">
        <v>53</v>
      </c>
      <c r="C1232" s="38">
        <v>130000</v>
      </c>
    </row>
    <row r="1233" spans="1:3" x14ac:dyDescent="0.3">
      <c r="A1233" s="37" t="s">
        <v>4</v>
      </c>
      <c r="B1233" s="37" t="s">
        <v>88</v>
      </c>
      <c r="C1233" s="38">
        <v>147500</v>
      </c>
    </row>
    <row r="1234" spans="1:3" x14ac:dyDescent="0.3">
      <c r="A1234" s="37" t="s">
        <v>4</v>
      </c>
      <c r="B1234" s="37" t="s">
        <v>54</v>
      </c>
      <c r="C1234" s="38">
        <v>165000</v>
      </c>
    </row>
    <row r="1235" spans="1:3" x14ac:dyDescent="0.3">
      <c r="A1235" s="37" t="s">
        <v>4</v>
      </c>
      <c r="B1235" s="37" t="s">
        <v>53</v>
      </c>
      <c r="C1235" s="38"/>
    </row>
    <row r="1236" spans="1:3" x14ac:dyDescent="0.3">
      <c r="A1236" s="37" t="s">
        <v>4</v>
      </c>
      <c r="B1236" s="37" t="s">
        <v>75</v>
      </c>
      <c r="C1236" s="38">
        <v>147500</v>
      </c>
    </row>
    <row r="1237" spans="1:3" x14ac:dyDescent="0.3">
      <c r="A1237" s="37" t="s">
        <v>4</v>
      </c>
      <c r="B1237" s="37" t="s">
        <v>54</v>
      </c>
      <c r="C1237" s="38"/>
    </row>
    <row r="1238" spans="1:3" x14ac:dyDescent="0.3">
      <c r="A1238" s="37" t="s">
        <v>4</v>
      </c>
      <c r="B1238" s="37" t="s">
        <v>53</v>
      </c>
      <c r="C1238" s="38">
        <v>117500</v>
      </c>
    </row>
    <row r="1239" spans="1:3" x14ac:dyDescent="0.3">
      <c r="A1239" s="37" t="s">
        <v>4</v>
      </c>
      <c r="B1239" s="37" t="s">
        <v>53</v>
      </c>
      <c r="C1239" s="38">
        <v>150000</v>
      </c>
    </row>
    <row r="1240" spans="1:3" x14ac:dyDescent="0.3">
      <c r="A1240" s="37" t="s">
        <v>4</v>
      </c>
      <c r="B1240" s="37" t="s">
        <v>54</v>
      </c>
      <c r="C1240" s="38">
        <v>90000</v>
      </c>
    </row>
    <row r="1241" spans="1:3" x14ac:dyDescent="0.3">
      <c r="A1241" s="37" t="s">
        <v>4</v>
      </c>
      <c r="B1241" s="37" t="s">
        <v>53</v>
      </c>
      <c r="C1241" s="38"/>
    </row>
    <row r="1242" spans="1:3" x14ac:dyDescent="0.3">
      <c r="A1242" s="37" t="s">
        <v>4</v>
      </c>
      <c r="B1242" s="37" t="s">
        <v>100</v>
      </c>
      <c r="C1242" s="38">
        <v>72960</v>
      </c>
    </row>
    <row r="1243" spans="1:3" x14ac:dyDescent="0.3">
      <c r="A1243" s="37" t="s">
        <v>4</v>
      </c>
      <c r="B1243" s="37" t="s">
        <v>53</v>
      </c>
      <c r="C1243" s="38">
        <v>80000</v>
      </c>
    </row>
    <row r="1244" spans="1:3" x14ac:dyDescent="0.3">
      <c r="A1244" s="37" t="s">
        <v>4</v>
      </c>
      <c r="B1244" s="37" t="s">
        <v>54</v>
      </c>
      <c r="C1244" s="38">
        <v>150000</v>
      </c>
    </row>
    <row r="1245" spans="1:3" x14ac:dyDescent="0.3">
      <c r="A1245" s="37" t="s">
        <v>4</v>
      </c>
      <c r="B1245" s="37" t="s">
        <v>53</v>
      </c>
      <c r="C1245" s="38">
        <v>200256</v>
      </c>
    </row>
    <row r="1246" spans="1:3" x14ac:dyDescent="0.3">
      <c r="A1246" s="37" t="s">
        <v>4</v>
      </c>
      <c r="B1246" s="37" t="s">
        <v>53</v>
      </c>
      <c r="C1246" s="38">
        <v>145000</v>
      </c>
    </row>
    <row r="1247" spans="1:3" x14ac:dyDescent="0.3">
      <c r="A1247" s="37" t="s">
        <v>4</v>
      </c>
      <c r="B1247" s="37" t="s">
        <v>69</v>
      </c>
      <c r="C1247" s="38">
        <v>56700</v>
      </c>
    </row>
    <row r="1248" spans="1:3" x14ac:dyDescent="0.3">
      <c r="A1248" s="37" t="s">
        <v>4</v>
      </c>
      <c r="B1248" s="37" t="s">
        <v>53</v>
      </c>
      <c r="C1248" s="38"/>
    </row>
    <row r="1249" spans="1:3" x14ac:dyDescent="0.3">
      <c r="A1249" s="37" t="s">
        <v>4</v>
      </c>
      <c r="B1249" s="37" t="s">
        <v>53</v>
      </c>
      <c r="C1249" s="38"/>
    </row>
    <row r="1250" spans="1:3" x14ac:dyDescent="0.3">
      <c r="A1250" s="37" t="s">
        <v>4</v>
      </c>
      <c r="B1250" s="37" t="s">
        <v>53</v>
      </c>
      <c r="C1250" s="38">
        <v>145000</v>
      </c>
    </row>
    <row r="1251" spans="1:3" x14ac:dyDescent="0.3">
      <c r="A1251" s="37" t="s">
        <v>4</v>
      </c>
      <c r="B1251" s="37" t="s">
        <v>65</v>
      </c>
      <c r="C1251" s="38">
        <v>80850</v>
      </c>
    </row>
    <row r="1252" spans="1:3" x14ac:dyDescent="0.3">
      <c r="A1252" s="37" t="s">
        <v>4</v>
      </c>
      <c r="B1252" s="37" t="s">
        <v>56</v>
      </c>
      <c r="C1252" s="38">
        <v>98283</v>
      </c>
    </row>
    <row r="1253" spans="1:3" x14ac:dyDescent="0.3">
      <c r="A1253" s="37" t="s">
        <v>4</v>
      </c>
      <c r="B1253" s="37" t="s">
        <v>63</v>
      </c>
      <c r="C1253" s="38">
        <v>96773</v>
      </c>
    </row>
    <row r="1254" spans="1:3" x14ac:dyDescent="0.3">
      <c r="A1254" s="37" t="s">
        <v>4</v>
      </c>
      <c r="B1254" s="37" t="s">
        <v>53</v>
      </c>
      <c r="C1254" s="38">
        <v>142500</v>
      </c>
    </row>
    <row r="1255" spans="1:3" x14ac:dyDescent="0.3">
      <c r="A1255" s="37" t="s">
        <v>4</v>
      </c>
      <c r="B1255" s="37" t="s">
        <v>53</v>
      </c>
      <c r="C1255" s="38"/>
    </row>
    <row r="1256" spans="1:3" x14ac:dyDescent="0.3">
      <c r="A1256" s="37" t="s">
        <v>4</v>
      </c>
      <c r="B1256" s="37" t="s">
        <v>53</v>
      </c>
      <c r="C1256" s="38">
        <v>169000</v>
      </c>
    </row>
    <row r="1257" spans="1:3" x14ac:dyDescent="0.3">
      <c r="A1257" s="37" t="s">
        <v>4</v>
      </c>
      <c r="B1257" s="37" t="s">
        <v>53</v>
      </c>
      <c r="C1257" s="38">
        <v>135600</v>
      </c>
    </row>
    <row r="1258" spans="1:3" x14ac:dyDescent="0.3">
      <c r="A1258" s="37" t="s">
        <v>4</v>
      </c>
      <c r="B1258" s="37" t="s">
        <v>63</v>
      </c>
      <c r="C1258" s="38">
        <v>147500</v>
      </c>
    </row>
    <row r="1259" spans="1:3" x14ac:dyDescent="0.3">
      <c r="A1259" s="37" t="s">
        <v>4</v>
      </c>
      <c r="B1259" s="37" t="s">
        <v>54</v>
      </c>
      <c r="C1259" s="38">
        <v>106358</v>
      </c>
    </row>
    <row r="1260" spans="1:3" x14ac:dyDescent="0.3">
      <c r="A1260" s="37" t="s">
        <v>4</v>
      </c>
      <c r="B1260" s="37" t="s">
        <v>53</v>
      </c>
      <c r="C1260" s="38"/>
    </row>
    <row r="1261" spans="1:3" x14ac:dyDescent="0.3">
      <c r="A1261" s="37" t="s">
        <v>4</v>
      </c>
      <c r="B1261" s="37" t="s">
        <v>53</v>
      </c>
      <c r="C1261" s="38"/>
    </row>
    <row r="1262" spans="1:3" x14ac:dyDescent="0.3">
      <c r="A1262" s="37" t="s">
        <v>4</v>
      </c>
      <c r="B1262" s="37" t="s">
        <v>53</v>
      </c>
      <c r="C1262" s="38"/>
    </row>
    <row r="1263" spans="1:3" x14ac:dyDescent="0.3">
      <c r="A1263" s="37" t="s">
        <v>4</v>
      </c>
      <c r="B1263" s="37" t="s">
        <v>53</v>
      </c>
      <c r="C1263" s="38">
        <v>205000</v>
      </c>
    </row>
    <row r="1264" spans="1:3" x14ac:dyDescent="0.3">
      <c r="A1264" s="37" t="s">
        <v>4</v>
      </c>
      <c r="B1264" s="37" t="s">
        <v>53</v>
      </c>
      <c r="C1264" s="38">
        <v>90000</v>
      </c>
    </row>
    <row r="1265" spans="1:3" x14ac:dyDescent="0.3">
      <c r="A1265" s="37" t="s">
        <v>4</v>
      </c>
      <c r="B1265" s="37" t="s">
        <v>53</v>
      </c>
      <c r="C1265" s="38">
        <v>127500</v>
      </c>
    </row>
    <row r="1266" spans="1:3" x14ac:dyDescent="0.3">
      <c r="A1266" s="37" t="s">
        <v>4</v>
      </c>
      <c r="B1266" s="37" t="s">
        <v>54</v>
      </c>
      <c r="C1266" s="38"/>
    </row>
    <row r="1267" spans="1:3" x14ac:dyDescent="0.3">
      <c r="A1267" s="37" t="s">
        <v>4</v>
      </c>
      <c r="B1267" s="37" t="s">
        <v>53</v>
      </c>
      <c r="C1267" s="38">
        <v>147500</v>
      </c>
    </row>
    <row r="1268" spans="1:3" x14ac:dyDescent="0.3">
      <c r="A1268" s="37" t="s">
        <v>4</v>
      </c>
      <c r="B1268" s="37" t="s">
        <v>53</v>
      </c>
      <c r="C1268" s="38">
        <v>87500</v>
      </c>
    </row>
    <row r="1269" spans="1:3" x14ac:dyDescent="0.3">
      <c r="A1269" s="37" t="s">
        <v>4</v>
      </c>
      <c r="B1269" s="37" t="s">
        <v>53</v>
      </c>
      <c r="C1269" s="38"/>
    </row>
    <row r="1270" spans="1:3" x14ac:dyDescent="0.3">
      <c r="A1270" s="37" t="s">
        <v>4</v>
      </c>
      <c r="B1270" s="37" t="s">
        <v>53</v>
      </c>
      <c r="C1270" s="38">
        <v>144000</v>
      </c>
    </row>
    <row r="1271" spans="1:3" x14ac:dyDescent="0.3">
      <c r="A1271" s="37" t="s">
        <v>4</v>
      </c>
      <c r="B1271" s="37" t="s">
        <v>53</v>
      </c>
      <c r="C1271" s="38"/>
    </row>
    <row r="1272" spans="1:3" x14ac:dyDescent="0.3">
      <c r="A1272" s="37" t="s">
        <v>4</v>
      </c>
      <c r="B1272" s="37" t="s">
        <v>53</v>
      </c>
      <c r="C1272" s="38">
        <v>112500</v>
      </c>
    </row>
    <row r="1273" spans="1:3" x14ac:dyDescent="0.3">
      <c r="A1273" s="37" t="s">
        <v>4</v>
      </c>
      <c r="B1273" s="37" t="s">
        <v>53</v>
      </c>
      <c r="C1273" s="38"/>
    </row>
    <row r="1274" spans="1:3" x14ac:dyDescent="0.3">
      <c r="A1274" s="37" t="s">
        <v>4</v>
      </c>
      <c r="B1274" s="37" t="s">
        <v>53</v>
      </c>
      <c r="C1274" s="38">
        <v>130000</v>
      </c>
    </row>
    <row r="1275" spans="1:3" x14ac:dyDescent="0.3">
      <c r="A1275" s="37" t="s">
        <v>4</v>
      </c>
      <c r="B1275" s="37" t="s">
        <v>53</v>
      </c>
      <c r="C1275" s="38">
        <v>120000</v>
      </c>
    </row>
    <row r="1276" spans="1:3" x14ac:dyDescent="0.3">
      <c r="A1276" s="37" t="s">
        <v>4</v>
      </c>
      <c r="B1276" s="37" t="s">
        <v>53</v>
      </c>
      <c r="C1276" s="38">
        <v>146100</v>
      </c>
    </row>
    <row r="1277" spans="1:3" x14ac:dyDescent="0.3">
      <c r="A1277" s="37" t="s">
        <v>4</v>
      </c>
      <c r="B1277" s="37" t="s">
        <v>53</v>
      </c>
      <c r="C1277" s="38"/>
    </row>
    <row r="1278" spans="1:3" x14ac:dyDescent="0.3">
      <c r="A1278" s="37" t="s">
        <v>4</v>
      </c>
      <c r="B1278" s="37" t="s">
        <v>69</v>
      </c>
      <c r="C1278" s="38">
        <v>147500</v>
      </c>
    </row>
    <row r="1279" spans="1:3" x14ac:dyDescent="0.3">
      <c r="A1279" s="37" t="s">
        <v>4</v>
      </c>
      <c r="B1279" s="37" t="s">
        <v>54</v>
      </c>
      <c r="C1279" s="38">
        <v>120000</v>
      </c>
    </row>
    <row r="1280" spans="1:3" x14ac:dyDescent="0.3">
      <c r="A1280" s="37" t="s">
        <v>4</v>
      </c>
      <c r="B1280" s="37" t="s">
        <v>97</v>
      </c>
      <c r="C1280" s="38">
        <v>89100</v>
      </c>
    </row>
    <row r="1281" spans="1:3" x14ac:dyDescent="0.3">
      <c r="A1281" s="37" t="s">
        <v>4</v>
      </c>
      <c r="B1281" s="37" t="s">
        <v>98</v>
      </c>
      <c r="C1281" s="38">
        <v>147500</v>
      </c>
    </row>
    <row r="1282" spans="1:3" x14ac:dyDescent="0.3">
      <c r="A1282" s="37" t="s">
        <v>4</v>
      </c>
      <c r="B1282" s="37" t="s">
        <v>53</v>
      </c>
      <c r="C1282" s="38">
        <v>112500</v>
      </c>
    </row>
    <row r="1283" spans="1:3" x14ac:dyDescent="0.3">
      <c r="A1283" s="37" t="s">
        <v>4</v>
      </c>
      <c r="B1283" s="37" t="s">
        <v>53</v>
      </c>
      <c r="C1283" s="38">
        <v>99150</v>
      </c>
    </row>
    <row r="1284" spans="1:3" x14ac:dyDescent="0.3">
      <c r="A1284" s="37" t="s">
        <v>4</v>
      </c>
      <c r="B1284" s="37" t="s">
        <v>53</v>
      </c>
      <c r="C1284" s="38">
        <v>175000</v>
      </c>
    </row>
    <row r="1285" spans="1:3" x14ac:dyDescent="0.3">
      <c r="A1285" s="37" t="s">
        <v>4</v>
      </c>
      <c r="B1285" s="37" t="s">
        <v>53</v>
      </c>
      <c r="C1285" s="38">
        <v>150000</v>
      </c>
    </row>
    <row r="1286" spans="1:3" x14ac:dyDescent="0.3">
      <c r="A1286" s="37" t="s">
        <v>4</v>
      </c>
      <c r="B1286" s="37" t="s">
        <v>54</v>
      </c>
      <c r="C1286" s="38">
        <v>125000</v>
      </c>
    </row>
    <row r="1287" spans="1:3" x14ac:dyDescent="0.3">
      <c r="A1287" s="37" t="s">
        <v>4</v>
      </c>
      <c r="B1287" s="37" t="s">
        <v>53</v>
      </c>
      <c r="C1287" s="38">
        <v>95000</v>
      </c>
    </row>
    <row r="1288" spans="1:3" x14ac:dyDescent="0.3">
      <c r="A1288" s="37" t="s">
        <v>4</v>
      </c>
      <c r="B1288" s="37" t="s">
        <v>53</v>
      </c>
      <c r="C1288" s="38">
        <v>105000</v>
      </c>
    </row>
    <row r="1289" spans="1:3" x14ac:dyDescent="0.3">
      <c r="A1289" s="37" t="s">
        <v>4</v>
      </c>
      <c r="B1289" s="37" t="s">
        <v>112</v>
      </c>
      <c r="C1289" s="38">
        <v>133000</v>
      </c>
    </row>
    <row r="1290" spans="1:3" x14ac:dyDescent="0.3">
      <c r="A1290" s="37" t="s">
        <v>4</v>
      </c>
      <c r="B1290" s="37" t="s">
        <v>53</v>
      </c>
      <c r="C1290" s="38">
        <v>130000</v>
      </c>
    </row>
    <row r="1291" spans="1:3" x14ac:dyDescent="0.3">
      <c r="A1291" s="37" t="s">
        <v>4</v>
      </c>
      <c r="B1291" s="37" t="s">
        <v>53</v>
      </c>
      <c r="C1291" s="38">
        <v>110000</v>
      </c>
    </row>
    <row r="1292" spans="1:3" x14ac:dyDescent="0.3">
      <c r="A1292" s="37" t="s">
        <v>4</v>
      </c>
      <c r="B1292" s="37" t="s">
        <v>53</v>
      </c>
      <c r="C1292" s="38">
        <v>102150</v>
      </c>
    </row>
    <row r="1293" spans="1:3" x14ac:dyDescent="0.3">
      <c r="A1293" s="37" t="s">
        <v>4</v>
      </c>
      <c r="B1293" s="37" t="s">
        <v>53</v>
      </c>
      <c r="C1293" s="38">
        <v>130000</v>
      </c>
    </row>
    <row r="1294" spans="1:3" x14ac:dyDescent="0.3">
      <c r="A1294" s="37" t="s">
        <v>4</v>
      </c>
      <c r="B1294" s="37" t="s">
        <v>54</v>
      </c>
      <c r="C1294" s="38">
        <v>107500</v>
      </c>
    </row>
    <row r="1295" spans="1:3" x14ac:dyDescent="0.3">
      <c r="A1295" s="37" t="s">
        <v>4</v>
      </c>
      <c r="B1295" s="37" t="s">
        <v>53</v>
      </c>
      <c r="C1295" s="38">
        <v>130000</v>
      </c>
    </row>
    <row r="1296" spans="1:3" x14ac:dyDescent="0.3">
      <c r="A1296" s="37" t="s">
        <v>4</v>
      </c>
      <c r="B1296" s="37" t="s">
        <v>53</v>
      </c>
      <c r="C1296" s="38">
        <v>146000</v>
      </c>
    </row>
    <row r="1297" spans="1:3" x14ac:dyDescent="0.3">
      <c r="A1297" s="37" t="s">
        <v>4</v>
      </c>
      <c r="B1297" s="37" t="s">
        <v>53</v>
      </c>
      <c r="C1297" s="38">
        <v>255000</v>
      </c>
    </row>
    <row r="1298" spans="1:3" x14ac:dyDescent="0.3">
      <c r="A1298" s="37" t="s">
        <v>4</v>
      </c>
      <c r="B1298" s="37" t="s">
        <v>54</v>
      </c>
      <c r="C1298" s="38"/>
    </row>
    <row r="1299" spans="1:3" x14ac:dyDescent="0.3">
      <c r="A1299" s="37" t="s">
        <v>4</v>
      </c>
      <c r="B1299" s="37" t="s">
        <v>53</v>
      </c>
      <c r="C1299" s="38">
        <v>117500</v>
      </c>
    </row>
    <row r="1300" spans="1:3" x14ac:dyDescent="0.3">
      <c r="A1300" s="37" t="s">
        <v>4</v>
      </c>
      <c r="B1300" s="37" t="s">
        <v>81</v>
      </c>
      <c r="C1300" s="38">
        <v>131580</v>
      </c>
    </row>
    <row r="1301" spans="1:3" x14ac:dyDescent="0.3">
      <c r="A1301" s="37" t="s">
        <v>4</v>
      </c>
      <c r="B1301" s="37" t="s">
        <v>53</v>
      </c>
      <c r="C1301" s="38"/>
    </row>
    <row r="1302" spans="1:3" x14ac:dyDescent="0.3">
      <c r="A1302" s="37" t="s">
        <v>4</v>
      </c>
      <c r="B1302" s="37" t="s">
        <v>53</v>
      </c>
      <c r="C1302" s="38"/>
    </row>
    <row r="1303" spans="1:3" x14ac:dyDescent="0.3">
      <c r="A1303" s="37" t="s">
        <v>4</v>
      </c>
      <c r="B1303" s="37" t="s">
        <v>53</v>
      </c>
      <c r="C1303" s="38"/>
    </row>
    <row r="1304" spans="1:3" x14ac:dyDescent="0.3">
      <c r="A1304" s="37" t="s">
        <v>4</v>
      </c>
      <c r="B1304" s="37" t="s">
        <v>53</v>
      </c>
      <c r="C1304" s="38"/>
    </row>
    <row r="1305" spans="1:3" x14ac:dyDescent="0.3">
      <c r="A1305" s="37" t="s">
        <v>4</v>
      </c>
      <c r="B1305" s="37" t="s">
        <v>53</v>
      </c>
      <c r="C1305" s="38">
        <v>130000</v>
      </c>
    </row>
    <row r="1306" spans="1:3" x14ac:dyDescent="0.3">
      <c r="A1306" s="37" t="s">
        <v>4</v>
      </c>
      <c r="B1306" s="37" t="s">
        <v>53</v>
      </c>
      <c r="C1306" s="38">
        <v>127500</v>
      </c>
    </row>
    <row r="1307" spans="1:3" x14ac:dyDescent="0.3">
      <c r="A1307" s="37" t="s">
        <v>4</v>
      </c>
      <c r="B1307" s="37" t="s">
        <v>53</v>
      </c>
      <c r="C1307" s="38">
        <v>207500</v>
      </c>
    </row>
    <row r="1308" spans="1:3" x14ac:dyDescent="0.3">
      <c r="A1308" s="37" t="s">
        <v>4</v>
      </c>
      <c r="B1308" s="37" t="s">
        <v>74</v>
      </c>
      <c r="C1308" s="38">
        <v>45000</v>
      </c>
    </row>
    <row r="1309" spans="1:3" x14ac:dyDescent="0.3">
      <c r="A1309" s="37" t="s">
        <v>4</v>
      </c>
      <c r="B1309" s="37" t="s">
        <v>53</v>
      </c>
      <c r="C1309" s="38"/>
    </row>
    <row r="1310" spans="1:3" x14ac:dyDescent="0.3">
      <c r="A1310" s="37" t="s">
        <v>4</v>
      </c>
      <c r="B1310" s="37" t="s">
        <v>53</v>
      </c>
      <c r="C1310" s="38"/>
    </row>
    <row r="1311" spans="1:3" x14ac:dyDescent="0.3">
      <c r="A1311" s="37" t="s">
        <v>4</v>
      </c>
      <c r="B1311" s="37" t="s">
        <v>88</v>
      </c>
      <c r="C1311" s="38">
        <v>98301.5</v>
      </c>
    </row>
    <row r="1312" spans="1:3" x14ac:dyDescent="0.3">
      <c r="A1312" s="37" t="s">
        <v>4</v>
      </c>
      <c r="B1312" s="37" t="s">
        <v>53</v>
      </c>
      <c r="C1312" s="38"/>
    </row>
    <row r="1313" spans="1:3" x14ac:dyDescent="0.3">
      <c r="A1313" s="37" t="s">
        <v>4</v>
      </c>
      <c r="B1313" s="37" t="s">
        <v>53</v>
      </c>
      <c r="C1313" s="38">
        <v>135000</v>
      </c>
    </row>
    <row r="1314" spans="1:3" x14ac:dyDescent="0.3">
      <c r="A1314" s="37" t="s">
        <v>4</v>
      </c>
      <c r="B1314" s="37" t="s">
        <v>53</v>
      </c>
      <c r="C1314" s="38">
        <v>100000</v>
      </c>
    </row>
    <row r="1315" spans="1:3" x14ac:dyDescent="0.3">
      <c r="A1315" s="37" t="s">
        <v>4</v>
      </c>
      <c r="B1315" s="37" t="s">
        <v>53</v>
      </c>
      <c r="C1315" s="38"/>
    </row>
    <row r="1316" spans="1:3" x14ac:dyDescent="0.3">
      <c r="A1316" s="37" t="s">
        <v>4</v>
      </c>
      <c r="B1316" s="37" t="s">
        <v>53</v>
      </c>
      <c r="C1316" s="38">
        <v>125000</v>
      </c>
    </row>
    <row r="1317" spans="1:3" x14ac:dyDescent="0.3">
      <c r="A1317" s="37" t="s">
        <v>4</v>
      </c>
      <c r="B1317" s="37" t="s">
        <v>53</v>
      </c>
      <c r="C1317" s="38">
        <v>90000</v>
      </c>
    </row>
    <row r="1318" spans="1:3" x14ac:dyDescent="0.3">
      <c r="A1318" s="37" t="s">
        <v>4</v>
      </c>
      <c r="B1318" s="37" t="s">
        <v>53</v>
      </c>
      <c r="C1318" s="38">
        <v>99150</v>
      </c>
    </row>
    <row r="1319" spans="1:3" x14ac:dyDescent="0.3">
      <c r="A1319" s="37" t="s">
        <v>4</v>
      </c>
      <c r="B1319" s="37" t="s">
        <v>53</v>
      </c>
      <c r="C1319" s="38"/>
    </row>
    <row r="1320" spans="1:3" x14ac:dyDescent="0.3">
      <c r="A1320" s="37" t="s">
        <v>4</v>
      </c>
      <c r="B1320" s="37" t="s">
        <v>92</v>
      </c>
      <c r="C1320" s="38">
        <v>98301.5</v>
      </c>
    </row>
    <row r="1321" spans="1:3" x14ac:dyDescent="0.3">
      <c r="A1321" s="37" t="s">
        <v>4</v>
      </c>
      <c r="B1321" s="37" t="s">
        <v>63</v>
      </c>
      <c r="C1321" s="38">
        <v>98283</v>
      </c>
    </row>
    <row r="1322" spans="1:3" x14ac:dyDescent="0.3">
      <c r="A1322" s="37" t="s">
        <v>4</v>
      </c>
      <c r="B1322" s="37" t="s">
        <v>53</v>
      </c>
      <c r="C1322" s="38">
        <v>130000</v>
      </c>
    </row>
    <row r="1323" spans="1:3" x14ac:dyDescent="0.3">
      <c r="A1323" s="37" t="s">
        <v>4</v>
      </c>
      <c r="B1323" s="37" t="s">
        <v>53</v>
      </c>
      <c r="C1323" s="38">
        <v>123600</v>
      </c>
    </row>
    <row r="1324" spans="1:3" x14ac:dyDescent="0.3">
      <c r="A1324" s="37" t="s">
        <v>4</v>
      </c>
      <c r="B1324" s="37" t="s">
        <v>74</v>
      </c>
      <c r="C1324" s="38">
        <v>147500</v>
      </c>
    </row>
    <row r="1325" spans="1:3" x14ac:dyDescent="0.3">
      <c r="A1325" s="37" t="s">
        <v>4</v>
      </c>
      <c r="B1325" s="37" t="s">
        <v>69</v>
      </c>
      <c r="C1325" s="38">
        <v>200000</v>
      </c>
    </row>
    <row r="1326" spans="1:3" x14ac:dyDescent="0.3">
      <c r="A1326" s="37" t="s">
        <v>4</v>
      </c>
      <c r="B1326" s="37" t="s">
        <v>53</v>
      </c>
      <c r="C1326" s="38"/>
    </row>
    <row r="1327" spans="1:3" x14ac:dyDescent="0.3">
      <c r="A1327" s="37" t="s">
        <v>4</v>
      </c>
      <c r="B1327" s="37" t="s">
        <v>53</v>
      </c>
      <c r="C1327" s="38">
        <v>125000</v>
      </c>
    </row>
    <row r="1328" spans="1:3" x14ac:dyDescent="0.3">
      <c r="A1328" s="37" t="s">
        <v>4</v>
      </c>
      <c r="B1328" s="37" t="s">
        <v>70</v>
      </c>
      <c r="C1328" s="38">
        <v>45000</v>
      </c>
    </row>
    <row r="1329" spans="1:3" x14ac:dyDescent="0.3">
      <c r="A1329" s="37" t="s">
        <v>4</v>
      </c>
      <c r="B1329" s="37" t="s">
        <v>86</v>
      </c>
      <c r="C1329" s="38"/>
    </row>
    <row r="1330" spans="1:3" x14ac:dyDescent="0.3">
      <c r="A1330" s="37" t="s">
        <v>4</v>
      </c>
      <c r="B1330" s="37" t="s">
        <v>53</v>
      </c>
      <c r="C1330" s="38"/>
    </row>
    <row r="1331" spans="1:3" x14ac:dyDescent="0.3">
      <c r="A1331" s="37" t="s">
        <v>4</v>
      </c>
      <c r="B1331" s="37" t="s">
        <v>53</v>
      </c>
      <c r="C1331" s="38">
        <v>125000</v>
      </c>
    </row>
    <row r="1332" spans="1:3" x14ac:dyDescent="0.3">
      <c r="A1332" s="37" t="s">
        <v>4</v>
      </c>
      <c r="B1332" s="37" t="s">
        <v>53</v>
      </c>
      <c r="C1332" s="38">
        <v>122500</v>
      </c>
    </row>
    <row r="1333" spans="1:3" x14ac:dyDescent="0.3">
      <c r="A1333" s="37" t="s">
        <v>4</v>
      </c>
      <c r="B1333" s="37" t="s">
        <v>53</v>
      </c>
      <c r="C1333" s="38">
        <v>105000</v>
      </c>
    </row>
    <row r="1334" spans="1:3" x14ac:dyDescent="0.3">
      <c r="A1334" s="37" t="s">
        <v>4</v>
      </c>
      <c r="B1334" s="37" t="s">
        <v>99</v>
      </c>
      <c r="C1334" s="38">
        <v>147500</v>
      </c>
    </row>
    <row r="1335" spans="1:3" x14ac:dyDescent="0.3">
      <c r="A1335" s="37" t="s">
        <v>4</v>
      </c>
      <c r="B1335" s="37" t="s">
        <v>53</v>
      </c>
      <c r="C1335" s="38">
        <v>251000</v>
      </c>
    </row>
    <row r="1336" spans="1:3" x14ac:dyDescent="0.3">
      <c r="A1336" s="37" t="s">
        <v>4</v>
      </c>
      <c r="B1336" s="37" t="s">
        <v>53</v>
      </c>
      <c r="C1336" s="38">
        <v>109500</v>
      </c>
    </row>
    <row r="1337" spans="1:3" x14ac:dyDescent="0.3">
      <c r="A1337" s="37" t="s">
        <v>4</v>
      </c>
      <c r="B1337" s="37" t="s">
        <v>54</v>
      </c>
      <c r="C1337" s="38"/>
    </row>
    <row r="1338" spans="1:3" x14ac:dyDescent="0.3">
      <c r="A1338" s="37" t="s">
        <v>4</v>
      </c>
      <c r="B1338" s="37" t="s">
        <v>98</v>
      </c>
      <c r="C1338" s="38">
        <v>89100</v>
      </c>
    </row>
    <row r="1339" spans="1:3" x14ac:dyDescent="0.3">
      <c r="A1339" s="37" t="s">
        <v>4</v>
      </c>
      <c r="B1339" s="37" t="s">
        <v>53</v>
      </c>
      <c r="C1339" s="38">
        <v>185000</v>
      </c>
    </row>
    <row r="1340" spans="1:3" x14ac:dyDescent="0.3">
      <c r="A1340" s="37" t="s">
        <v>4</v>
      </c>
      <c r="B1340" s="37" t="s">
        <v>53</v>
      </c>
      <c r="C1340" s="38">
        <v>80000</v>
      </c>
    </row>
    <row r="1341" spans="1:3" x14ac:dyDescent="0.3">
      <c r="A1341" s="37" t="s">
        <v>4</v>
      </c>
      <c r="B1341" s="37" t="s">
        <v>53</v>
      </c>
      <c r="C1341" s="38"/>
    </row>
    <row r="1342" spans="1:3" x14ac:dyDescent="0.3">
      <c r="A1342" s="37" t="s">
        <v>4</v>
      </c>
      <c r="B1342" s="37" t="s">
        <v>53</v>
      </c>
      <c r="C1342" s="38">
        <v>230000</v>
      </c>
    </row>
    <row r="1343" spans="1:3" x14ac:dyDescent="0.3">
      <c r="A1343" s="37" t="s">
        <v>4</v>
      </c>
      <c r="B1343" s="37" t="s">
        <v>86</v>
      </c>
      <c r="C1343" s="38">
        <v>147500</v>
      </c>
    </row>
    <row r="1344" spans="1:3" x14ac:dyDescent="0.3">
      <c r="A1344" s="37" t="s">
        <v>4</v>
      </c>
      <c r="B1344" s="37" t="s">
        <v>54</v>
      </c>
      <c r="C1344" s="38"/>
    </row>
    <row r="1345" spans="1:3" x14ac:dyDescent="0.3">
      <c r="A1345" s="37" t="s">
        <v>4</v>
      </c>
      <c r="B1345" s="37" t="s">
        <v>98</v>
      </c>
      <c r="C1345" s="38">
        <v>96773</v>
      </c>
    </row>
    <row r="1346" spans="1:3" x14ac:dyDescent="0.3">
      <c r="A1346" s="37" t="s">
        <v>4</v>
      </c>
      <c r="B1346" s="37" t="s">
        <v>53</v>
      </c>
      <c r="C1346" s="38">
        <v>180000</v>
      </c>
    </row>
    <row r="1347" spans="1:3" x14ac:dyDescent="0.3">
      <c r="A1347" s="37" t="s">
        <v>4</v>
      </c>
      <c r="B1347" s="37" t="s">
        <v>54</v>
      </c>
      <c r="C1347" s="38">
        <v>165000</v>
      </c>
    </row>
    <row r="1348" spans="1:3" x14ac:dyDescent="0.3">
      <c r="A1348" s="37" t="s">
        <v>4</v>
      </c>
      <c r="B1348" s="37" t="s">
        <v>113</v>
      </c>
      <c r="C1348" s="38">
        <v>98283</v>
      </c>
    </row>
    <row r="1349" spans="1:3" x14ac:dyDescent="0.3">
      <c r="A1349" s="37" t="s">
        <v>4</v>
      </c>
      <c r="B1349" s="37" t="s">
        <v>53</v>
      </c>
      <c r="C1349" s="38">
        <v>114500</v>
      </c>
    </row>
    <row r="1350" spans="1:3" x14ac:dyDescent="0.3">
      <c r="A1350" s="37" t="s">
        <v>4</v>
      </c>
      <c r="B1350" s="37" t="s">
        <v>53</v>
      </c>
      <c r="C1350" s="38">
        <v>145000</v>
      </c>
    </row>
    <row r="1351" spans="1:3" x14ac:dyDescent="0.3">
      <c r="A1351" s="37" t="s">
        <v>4</v>
      </c>
      <c r="B1351" s="37" t="s">
        <v>81</v>
      </c>
      <c r="C1351" s="38">
        <v>90000</v>
      </c>
    </row>
    <row r="1352" spans="1:3" x14ac:dyDescent="0.3">
      <c r="A1352" s="37" t="s">
        <v>4</v>
      </c>
      <c r="B1352" s="37" t="s">
        <v>53</v>
      </c>
      <c r="C1352" s="38">
        <v>130000</v>
      </c>
    </row>
    <row r="1353" spans="1:3" x14ac:dyDescent="0.3">
      <c r="A1353" s="37" t="s">
        <v>4</v>
      </c>
      <c r="B1353" s="37" t="s">
        <v>53</v>
      </c>
      <c r="C1353" s="38"/>
    </row>
    <row r="1354" spans="1:3" x14ac:dyDescent="0.3">
      <c r="A1354" s="37" t="s">
        <v>4</v>
      </c>
      <c r="B1354" s="37" t="s">
        <v>53</v>
      </c>
      <c r="C1354" s="38">
        <v>215000</v>
      </c>
    </row>
    <row r="1355" spans="1:3" x14ac:dyDescent="0.3">
      <c r="A1355" s="37" t="s">
        <v>4</v>
      </c>
      <c r="B1355" s="37" t="s">
        <v>53</v>
      </c>
      <c r="C1355" s="38">
        <v>119523</v>
      </c>
    </row>
    <row r="1356" spans="1:3" x14ac:dyDescent="0.3">
      <c r="A1356" s="37" t="s">
        <v>4</v>
      </c>
      <c r="B1356" s="37" t="s">
        <v>54</v>
      </c>
      <c r="C1356" s="38">
        <v>133000</v>
      </c>
    </row>
    <row r="1357" spans="1:3" x14ac:dyDescent="0.3">
      <c r="A1357" s="37" t="s">
        <v>4</v>
      </c>
      <c r="B1357" s="37" t="s">
        <v>53</v>
      </c>
      <c r="C1357" s="38">
        <v>145000</v>
      </c>
    </row>
    <row r="1358" spans="1:3" x14ac:dyDescent="0.3">
      <c r="A1358" s="37" t="s">
        <v>4</v>
      </c>
      <c r="B1358" s="37" t="s">
        <v>53</v>
      </c>
      <c r="C1358" s="38">
        <v>110144.390625</v>
      </c>
    </row>
    <row r="1359" spans="1:3" x14ac:dyDescent="0.3">
      <c r="A1359" s="37" t="s">
        <v>4</v>
      </c>
      <c r="B1359" s="37" t="s">
        <v>97</v>
      </c>
      <c r="C1359" s="38">
        <v>98301.5</v>
      </c>
    </row>
    <row r="1360" spans="1:3" x14ac:dyDescent="0.3">
      <c r="A1360" s="37" t="s">
        <v>4</v>
      </c>
      <c r="B1360" s="37" t="s">
        <v>114</v>
      </c>
      <c r="C1360" s="38">
        <v>93600</v>
      </c>
    </row>
    <row r="1361" spans="1:3" x14ac:dyDescent="0.3">
      <c r="A1361" s="37" t="s">
        <v>4</v>
      </c>
      <c r="B1361" s="37" t="s">
        <v>53</v>
      </c>
      <c r="C1361" s="38">
        <v>192500</v>
      </c>
    </row>
    <row r="1362" spans="1:3" x14ac:dyDescent="0.3">
      <c r="A1362" s="37" t="s">
        <v>4</v>
      </c>
      <c r="B1362" s="37" t="s">
        <v>53</v>
      </c>
      <c r="C1362" s="38">
        <v>96500</v>
      </c>
    </row>
    <row r="1363" spans="1:3" x14ac:dyDescent="0.3">
      <c r="A1363" s="37" t="s">
        <v>4</v>
      </c>
      <c r="B1363" s="37" t="s">
        <v>53</v>
      </c>
      <c r="C1363" s="38">
        <v>110000</v>
      </c>
    </row>
    <row r="1364" spans="1:3" x14ac:dyDescent="0.3">
      <c r="A1364" s="37" t="s">
        <v>4</v>
      </c>
      <c r="B1364" s="37" t="s">
        <v>111</v>
      </c>
      <c r="C1364" s="38">
        <v>147500</v>
      </c>
    </row>
    <row r="1365" spans="1:3" x14ac:dyDescent="0.3">
      <c r="A1365" s="37" t="s">
        <v>4</v>
      </c>
      <c r="B1365" s="37" t="s">
        <v>53</v>
      </c>
      <c r="C1365" s="38"/>
    </row>
    <row r="1366" spans="1:3" x14ac:dyDescent="0.3">
      <c r="A1366" s="37" t="s">
        <v>4</v>
      </c>
      <c r="B1366" s="37" t="s">
        <v>86</v>
      </c>
      <c r="C1366" s="38">
        <v>98283</v>
      </c>
    </row>
    <row r="1367" spans="1:3" x14ac:dyDescent="0.3">
      <c r="A1367" s="37" t="s">
        <v>4</v>
      </c>
      <c r="B1367" s="37" t="s">
        <v>53</v>
      </c>
      <c r="C1367" s="38">
        <v>152500</v>
      </c>
    </row>
    <row r="1368" spans="1:3" x14ac:dyDescent="0.3">
      <c r="A1368" s="37" t="s">
        <v>4</v>
      </c>
      <c r="B1368" s="37" t="s">
        <v>53</v>
      </c>
      <c r="C1368" s="38"/>
    </row>
    <row r="1369" spans="1:3" x14ac:dyDescent="0.3">
      <c r="A1369" s="37" t="s">
        <v>4</v>
      </c>
      <c r="B1369" s="37" t="s">
        <v>53</v>
      </c>
      <c r="C1369" s="38">
        <v>190950</v>
      </c>
    </row>
    <row r="1370" spans="1:3" x14ac:dyDescent="0.3">
      <c r="A1370" s="37" t="s">
        <v>4</v>
      </c>
      <c r="B1370" s="37" t="s">
        <v>53</v>
      </c>
      <c r="C1370" s="38">
        <v>150000</v>
      </c>
    </row>
    <row r="1371" spans="1:3" x14ac:dyDescent="0.3">
      <c r="A1371" s="37" t="s">
        <v>4</v>
      </c>
      <c r="B1371" s="37" t="s">
        <v>115</v>
      </c>
      <c r="C1371" s="38">
        <v>50500</v>
      </c>
    </row>
    <row r="1372" spans="1:3" x14ac:dyDescent="0.3">
      <c r="A1372" s="37" t="s">
        <v>4</v>
      </c>
      <c r="B1372" s="37" t="s">
        <v>53</v>
      </c>
      <c r="C1372" s="38">
        <v>99150</v>
      </c>
    </row>
    <row r="1373" spans="1:3" x14ac:dyDescent="0.3">
      <c r="A1373" s="37" t="s">
        <v>4</v>
      </c>
      <c r="B1373" s="37" t="s">
        <v>98</v>
      </c>
      <c r="C1373" s="38">
        <v>96773</v>
      </c>
    </row>
    <row r="1374" spans="1:3" x14ac:dyDescent="0.3">
      <c r="A1374" s="37" t="s">
        <v>4</v>
      </c>
      <c r="B1374" s="37" t="s">
        <v>53</v>
      </c>
      <c r="C1374" s="38">
        <v>184500</v>
      </c>
    </row>
    <row r="1375" spans="1:3" x14ac:dyDescent="0.3">
      <c r="A1375" s="37" t="s">
        <v>4</v>
      </c>
      <c r="B1375" s="37" t="s">
        <v>97</v>
      </c>
      <c r="C1375" s="38">
        <v>131580</v>
      </c>
    </row>
    <row r="1376" spans="1:3" x14ac:dyDescent="0.3">
      <c r="A1376" s="37" t="s">
        <v>4</v>
      </c>
      <c r="B1376" s="37" t="s">
        <v>53</v>
      </c>
      <c r="C1376" s="38">
        <v>136125</v>
      </c>
    </row>
    <row r="1377" spans="1:3" x14ac:dyDescent="0.3">
      <c r="A1377" s="37" t="s">
        <v>4</v>
      </c>
      <c r="B1377" s="37" t="s">
        <v>53</v>
      </c>
      <c r="C1377" s="38">
        <v>172475.5</v>
      </c>
    </row>
    <row r="1378" spans="1:3" x14ac:dyDescent="0.3">
      <c r="A1378" s="37" t="s">
        <v>4</v>
      </c>
      <c r="B1378" s="37" t="s">
        <v>110</v>
      </c>
      <c r="C1378" s="38">
        <v>131580</v>
      </c>
    </row>
    <row r="1379" spans="1:3" x14ac:dyDescent="0.3">
      <c r="A1379" s="37" t="s">
        <v>4</v>
      </c>
      <c r="B1379" s="37" t="s">
        <v>53</v>
      </c>
      <c r="C1379" s="38"/>
    </row>
    <row r="1380" spans="1:3" x14ac:dyDescent="0.3">
      <c r="A1380" s="37" t="s">
        <v>4</v>
      </c>
      <c r="B1380" s="37" t="s">
        <v>53</v>
      </c>
      <c r="C1380" s="38">
        <v>140000</v>
      </c>
    </row>
    <row r="1381" spans="1:3" x14ac:dyDescent="0.3">
      <c r="A1381" s="37" t="s">
        <v>4</v>
      </c>
      <c r="B1381" s="37" t="s">
        <v>93</v>
      </c>
      <c r="C1381" s="38">
        <v>98283</v>
      </c>
    </row>
    <row r="1382" spans="1:3" x14ac:dyDescent="0.3">
      <c r="A1382" s="37" t="s">
        <v>4</v>
      </c>
      <c r="B1382" s="37" t="s">
        <v>91</v>
      </c>
      <c r="C1382" s="38">
        <v>147500</v>
      </c>
    </row>
    <row r="1383" spans="1:3" x14ac:dyDescent="0.3">
      <c r="A1383" s="37" t="s">
        <v>4</v>
      </c>
      <c r="B1383" s="37" t="s">
        <v>54</v>
      </c>
      <c r="C1383" s="38">
        <v>115000</v>
      </c>
    </row>
    <row r="1384" spans="1:3" x14ac:dyDescent="0.3">
      <c r="A1384" s="37" t="s">
        <v>4</v>
      </c>
      <c r="B1384" s="37" t="s">
        <v>53</v>
      </c>
      <c r="C1384" s="38"/>
    </row>
    <row r="1385" spans="1:3" x14ac:dyDescent="0.3">
      <c r="A1385" s="37" t="s">
        <v>4</v>
      </c>
      <c r="B1385" s="37" t="s">
        <v>53</v>
      </c>
      <c r="C1385" s="38">
        <v>135000</v>
      </c>
    </row>
    <row r="1386" spans="1:3" x14ac:dyDescent="0.3">
      <c r="A1386" s="37" t="s">
        <v>4</v>
      </c>
      <c r="B1386" s="37" t="s">
        <v>53</v>
      </c>
      <c r="C1386" s="38"/>
    </row>
    <row r="1387" spans="1:3" x14ac:dyDescent="0.3">
      <c r="A1387" s="37" t="s">
        <v>4</v>
      </c>
      <c r="B1387" s="37" t="s">
        <v>53</v>
      </c>
      <c r="C1387" s="38">
        <v>105000</v>
      </c>
    </row>
    <row r="1388" spans="1:3" x14ac:dyDescent="0.3">
      <c r="A1388" s="37" t="s">
        <v>4</v>
      </c>
      <c r="B1388" s="37" t="s">
        <v>54</v>
      </c>
      <c r="C1388" s="38">
        <v>177500</v>
      </c>
    </row>
    <row r="1389" spans="1:3" x14ac:dyDescent="0.3">
      <c r="A1389" s="37" t="s">
        <v>4</v>
      </c>
      <c r="B1389" s="37" t="s">
        <v>81</v>
      </c>
      <c r="C1389" s="38">
        <v>110000</v>
      </c>
    </row>
    <row r="1390" spans="1:3" x14ac:dyDescent="0.3">
      <c r="A1390" s="37" t="s">
        <v>4</v>
      </c>
      <c r="B1390" s="37" t="s">
        <v>70</v>
      </c>
      <c r="C1390" s="38">
        <v>98283</v>
      </c>
    </row>
    <row r="1391" spans="1:3" x14ac:dyDescent="0.3">
      <c r="A1391" s="37" t="s">
        <v>4</v>
      </c>
      <c r="B1391" s="37" t="s">
        <v>81</v>
      </c>
      <c r="C1391" s="38">
        <v>90000</v>
      </c>
    </row>
    <row r="1392" spans="1:3" x14ac:dyDescent="0.3">
      <c r="A1392" s="37" t="s">
        <v>4</v>
      </c>
      <c r="B1392" s="37" t="s">
        <v>72</v>
      </c>
      <c r="C1392" s="38">
        <v>131580</v>
      </c>
    </row>
    <row r="1393" spans="1:3" x14ac:dyDescent="0.3">
      <c r="A1393" s="37" t="s">
        <v>4</v>
      </c>
      <c r="B1393" s="37" t="s">
        <v>53</v>
      </c>
      <c r="C1393" s="38">
        <v>152650</v>
      </c>
    </row>
    <row r="1394" spans="1:3" x14ac:dyDescent="0.3">
      <c r="A1394" s="37" t="s">
        <v>4</v>
      </c>
      <c r="B1394" s="37" t="s">
        <v>53</v>
      </c>
      <c r="C1394" s="38"/>
    </row>
    <row r="1395" spans="1:3" x14ac:dyDescent="0.3">
      <c r="A1395" s="37" t="s">
        <v>4</v>
      </c>
      <c r="B1395" s="37" t="s">
        <v>53</v>
      </c>
      <c r="C1395" s="38"/>
    </row>
    <row r="1396" spans="1:3" x14ac:dyDescent="0.3">
      <c r="A1396" s="37" t="s">
        <v>4</v>
      </c>
      <c r="B1396" s="37" t="s">
        <v>53</v>
      </c>
      <c r="C1396" s="38">
        <v>140000</v>
      </c>
    </row>
    <row r="1397" spans="1:3" x14ac:dyDescent="0.3">
      <c r="A1397" s="37" t="s">
        <v>4</v>
      </c>
      <c r="B1397" s="37" t="s">
        <v>54</v>
      </c>
      <c r="C1397" s="38">
        <v>90000</v>
      </c>
    </row>
    <row r="1398" spans="1:3" x14ac:dyDescent="0.3">
      <c r="A1398" s="37" t="s">
        <v>4</v>
      </c>
      <c r="B1398" s="37" t="s">
        <v>53</v>
      </c>
      <c r="C1398" s="38"/>
    </row>
    <row r="1399" spans="1:3" x14ac:dyDescent="0.3">
      <c r="A1399" s="37" t="s">
        <v>4</v>
      </c>
      <c r="B1399" s="37" t="s">
        <v>53</v>
      </c>
      <c r="C1399" s="38"/>
    </row>
    <row r="1400" spans="1:3" x14ac:dyDescent="0.3">
      <c r="A1400" s="37" t="s">
        <v>4</v>
      </c>
      <c r="B1400" s="37" t="s">
        <v>53</v>
      </c>
      <c r="C1400" s="38">
        <v>125000</v>
      </c>
    </row>
    <row r="1401" spans="1:3" x14ac:dyDescent="0.3">
      <c r="A1401" s="37" t="s">
        <v>4</v>
      </c>
      <c r="B1401" s="37" t="s">
        <v>116</v>
      </c>
      <c r="C1401" s="38">
        <v>96760.5</v>
      </c>
    </row>
    <row r="1402" spans="1:3" x14ac:dyDescent="0.3">
      <c r="A1402" s="37" t="s">
        <v>4</v>
      </c>
      <c r="B1402" s="37" t="s">
        <v>53</v>
      </c>
      <c r="C1402" s="38"/>
    </row>
    <row r="1403" spans="1:3" x14ac:dyDescent="0.3">
      <c r="A1403" s="37" t="s">
        <v>4</v>
      </c>
      <c r="B1403" s="37" t="s">
        <v>81</v>
      </c>
      <c r="C1403" s="38">
        <v>90000</v>
      </c>
    </row>
    <row r="1404" spans="1:3" x14ac:dyDescent="0.3">
      <c r="A1404" s="37" t="s">
        <v>4</v>
      </c>
      <c r="B1404" s="37" t="s">
        <v>53</v>
      </c>
      <c r="C1404" s="38"/>
    </row>
    <row r="1405" spans="1:3" x14ac:dyDescent="0.3">
      <c r="A1405" s="37" t="s">
        <v>4</v>
      </c>
      <c r="B1405" s="37" t="s">
        <v>81</v>
      </c>
      <c r="C1405" s="38">
        <v>125000</v>
      </c>
    </row>
    <row r="1406" spans="1:3" x14ac:dyDescent="0.3">
      <c r="A1406" s="37" t="s">
        <v>4</v>
      </c>
      <c r="B1406" s="37" t="s">
        <v>53</v>
      </c>
      <c r="C1406" s="38">
        <v>208114</v>
      </c>
    </row>
    <row r="1407" spans="1:3" x14ac:dyDescent="0.3">
      <c r="A1407" s="37" t="s">
        <v>4</v>
      </c>
      <c r="B1407" s="37" t="s">
        <v>53</v>
      </c>
      <c r="C1407" s="38">
        <v>150000</v>
      </c>
    </row>
    <row r="1408" spans="1:3" x14ac:dyDescent="0.3">
      <c r="A1408" s="37" t="s">
        <v>4</v>
      </c>
      <c r="B1408" s="37" t="s">
        <v>68</v>
      </c>
      <c r="C1408" s="38"/>
    </row>
    <row r="1409" spans="1:3" x14ac:dyDescent="0.3">
      <c r="A1409" s="37" t="s">
        <v>4</v>
      </c>
      <c r="B1409" s="37" t="s">
        <v>69</v>
      </c>
      <c r="C1409" s="38">
        <v>98283</v>
      </c>
    </row>
    <row r="1410" spans="1:3" x14ac:dyDescent="0.3">
      <c r="A1410" s="37" t="s">
        <v>4</v>
      </c>
      <c r="B1410" s="37" t="s">
        <v>117</v>
      </c>
      <c r="C1410" s="38">
        <v>235000</v>
      </c>
    </row>
    <row r="1411" spans="1:3" x14ac:dyDescent="0.3">
      <c r="A1411" s="37" t="s">
        <v>4</v>
      </c>
      <c r="B1411" s="37" t="s">
        <v>81</v>
      </c>
      <c r="C1411" s="38">
        <v>90000</v>
      </c>
    </row>
    <row r="1412" spans="1:3" x14ac:dyDescent="0.3">
      <c r="A1412" s="37" t="s">
        <v>4</v>
      </c>
      <c r="B1412" s="37" t="s">
        <v>53</v>
      </c>
      <c r="C1412" s="38">
        <v>125000</v>
      </c>
    </row>
    <row r="1413" spans="1:3" x14ac:dyDescent="0.3">
      <c r="A1413" s="37" t="s">
        <v>4</v>
      </c>
      <c r="B1413" s="37" t="s">
        <v>53</v>
      </c>
      <c r="C1413" s="38">
        <v>115000</v>
      </c>
    </row>
    <row r="1414" spans="1:3" x14ac:dyDescent="0.3">
      <c r="A1414" s="37" t="s">
        <v>4</v>
      </c>
      <c r="B1414" s="37" t="s">
        <v>118</v>
      </c>
      <c r="C1414" s="38">
        <v>147500</v>
      </c>
    </row>
    <row r="1415" spans="1:3" x14ac:dyDescent="0.3">
      <c r="A1415" s="37" t="s">
        <v>4</v>
      </c>
      <c r="B1415" s="37" t="s">
        <v>116</v>
      </c>
      <c r="C1415" s="38">
        <v>133000</v>
      </c>
    </row>
    <row r="1416" spans="1:3" x14ac:dyDescent="0.3">
      <c r="A1416" s="37" t="s">
        <v>4</v>
      </c>
      <c r="B1416" s="37" t="s">
        <v>53</v>
      </c>
      <c r="C1416" s="38"/>
    </row>
    <row r="1417" spans="1:3" x14ac:dyDescent="0.3">
      <c r="A1417" s="37" t="s">
        <v>4</v>
      </c>
      <c r="B1417" s="37" t="s">
        <v>53</v>
      </c>
      <c r="C1417" s="38"/>
    </row>
    <row r="1418" spans="1:3" x14ac:dyDescent="0.3">
      <c r="A1418" s="37" t="s">
        <v>4</v>
      </c>
      <c r="B1418" s="37" t="s">
        <v>81</v>
      </c>
      <c r="C1418" s="38">
        <v>99150</v>
      </c>
    </row>
    <row r="1419" spans="1:3" x14ac:dyDescent="0.3">
      <c r="A1419" s="37" t="s">
        <v>4</v>
      </c>
      <c r="B1419" s="37" t="s">
        <v>53</v>
      </c>
      <c r="C1419" s="38">
        <v>150000</v>
      </c>
    </row>
    <row r="1420" spans="1:3" x14ac:dyDescent="0.3">
      <c r="A1420" s="37" t="s">
        <v>4</v>
      </c>
      <c r="B1420" s="37" t="s">
        <v>97</v>
      </c>
      <c r="C1420" s="38">
        <v>98301.5</v>
      </c>
    </row>
    <row r="1421" spans="1:3" x14ac:dyDescent="0.3">
      <c r="A1421" s="37" t="s">
        <v>4</v>
      </c>
      <c r="B1421" s="37" t="s">
        <v>53</v>
      </c>
      <c r="C1421" s="38">
        <v>147500</v>
      </c>
    </row>
    <row r="1422" spans="1:3" x14ac:dyDescent="0.3">
      <c r="A1422" s="37" t="s">
        <v>4</v>
      </c>
      <c r="B1422" s="37" t="s">
        <v>53</v>
      </c>
      <c r="C1422" s="38"/>
    </row>
    <row r="1423" spans="1:3" x14ac:dyDescent="0.3">
      <c r="A1423" s="37" t="s">
        <v>4</v>
      </c>
      <c r="B1423" s="37" t="s">
        <v>73</v>
      </c>
      <c r="C1423" s="38">
        <v>147500</v>
      </c>
    </row>
    <row r="1424" spans="1:3" x14ac:dyDescent="0.3">
      <c r="A1424" s="37" t="s">
        <v>4</v>
      </c>
      <c r="B1424" s="37" t="s">
        <v>73</v>
      </c>
      <c r="C1424" s="38">
        <v>133000</v>
      </c>
    </row>
    <row r="1425" spans="1:3" x14ac:dyDescent="0.3">
      <c r="A1425" s="37" t="s">
        <v>4</v>
      </c>
      <c r="B1425" s="37" t="s">
        <v>53</v>
      </c>
      <c r="C1425" s="38">
        <v>115000</v>
      </c>
    </row>
    <row r="1426" spans="1:3" x14ac:dyDescent="0.3">
      <c r="A1426" s="37" t="s">
        <v>4</v>
      </c>
      <c r="B1426" s="37" t="s">
        <v>53</v>
      </c>
      <c r="C1426" s="38">
        <v>90000</v>
      </c>
    </row>
    <row r="1427" spans="1:3" x14ac:dyDescent="0.3">
      <c r="A1427" s="37" t="s">
        <v>4</v>
      </c>
      <c r="B1427" s="37" t="s">
        <v>81</v>
      </c>
      <c r="C1427" s="38">
        <v>90000</v>
      </c>
    </row>
    <row r="1428" spans="1:3" x14ac:dyDescent="0.3">
      <c r="A1428" s="37" t="s">
        <v>4</v>
      </c>
      <c r="B1428" s="37" t="s">
        <v>113</v>
      </c>
      <c r="C1428" s="38">
        <v>131580</v>
      </c>
    </row>
    <row r="1429" spans="1:3" x14ac:dyDescent="0.3">
      <c r="A1429" s="37" t="s">
        <v>4</v>
      </c>
      <c r="B1429" s="37" t="s">
        <v>81</v>
      </c>
      <c r="C1429" s="38">
        <v>90000</v>
      </c>
    </row>
    <row r="1430" spans="1:3" x14ac:dyDescent="0.3">
      <c r="A1430" s="37" t="s">
        <v>4</v>
      </c>
      <c r="B1430" s="37" t="s">
        <v>53</v>
      </c>
      <c r="C1430" s="38">
        <v>175000</v>
      </c>
    </row>
    <row r="1431" spans="1:3" x14ac:dyDescent="0.3">
      <c r="A1431" s="37" t="s">
        <v>4</v>
      </c>
      <c r="B1431" s="37" t="s">
        <v>53</v>
      </c>
      <c r="C1431" s="38">
        <v>269500</v>
      </c>
    </row>
    <row r="1432" spans="1:3" x14ac:dyDescent="0.3">
      <c r="A1432" s="37" t="s">
        <v>4</v>
      </c>
      <c r="B1432" s="37" t="s">
        <v>53</v>
      </c>
      <c r="C1432" s="38"/>
    </row>
    <row r="1433" spans="1:3" x14ac:dyDescent="0.3">
      <c r="A1433" s="37" t="s">
        <v>4</v>
      </c>
      <c r="B1433" s="37" t="s">
        <v>69</v>
      </c>
      <c r="C1433" s="38">
        <v>98283</v>
      </c>
    </row>
    <row r="1434" spans="1:3" x14ac:dyDescent="0.3">
      <c r="A1434" s="37" t="s">
        <v>4</v>
      </c>
      <c r="B1434" s="37" t="s">
        <v>86</v>
      </c>
      <c r="C1434" s="38">
        <v>147500</v>
      </c>
    </row>
    <row r="1435" spans="1:3" x14ac:dyDescent="0.3">
      <c r="A1435" s="37" t="s">
        <v>4</v>
      </c>
      <c r="B1435" s="37" t="s">
        <v>53</v>
      </c>
      <c r="C1435" s="38"/>
    </row>
    <row r="1436" spans="1:3" x14ac:dyDescent="0.3">
      <c r="A1436" s="37" t="s">
        <v>4</v>
      </c>
      <c r="B1436" s="37" t="s">
        <v>97</v>
      </c>
      <c r="C1436" s="38">
        <v>89100</v>
      </c>
    </row>
    <row r="1437" spans="1:3" x14ac:dyDescent="0.3">
      <c r="A1437" s="37" t="s">
        <v>4</v>
      </c>
      <c r="B1437" s="37" t="s">
        <v>53</v>
      </c>
      <c r="C1437" s="38">
        <v>125000</v>
      </c>
    </row>
    <row r="1438" spans="1:3" x14ac:dyDescent="0.3">
      <c r="A1438" s="37" t="s">
        <v>4</v>
      </c>
      <c r="B1438" s="37" t="s">
        <v>53</v>
      </c>
      <c r="C1438" s="38"/>
    </row>
    <row r="1439" spans="1:3" x14ac:dyDescent="0.3">
      <c r="A1439" s="37" t="s">
        <v>4</v>
      </c>
      <c r="B1439" s="37" t="s">
        <v>54</v>
      </c>
      <c r="C1439" s="38">
        <v>175000</v>
      </c>
    </row>
    <row r="1440" spans="1:3" x14ac:dyDescent="0.3">
      <c r="A1440" s="37" t="s">
        <v>4</v>
      </c>
      <c r="B1440" s="37" t="s">
        <v>71</v>
      </c>
      <c r="C1440" s="38">
        <v>79200</v>
      </c>
    </row>
    <row r="1441" spans="1:3" x14ac:dyDescent="0.3">
      <c r="A1441" s="37" t="s">
        <v>4</v>
      </c>
      <c r="B1441" s="37" t="s">
        <v>119</v>
      </c>
      <c r="C1441" s="38">
        <v>147500</v>
      </c>
    </row>
    <row r="1442" spans="1:3" x14ac:dyDescent="0.3">
      <c r="A1442" s="37" t="s">
        <v>4</v>
      </c>
      <c r="B1442" s="37" t="s">
        <v>97</v>
      </c>
      <c r="C1442" s="38">
        <v>147500</v>
      </c>
    </row>
    <row r="1443" spans="1:3" x14ac:dyDescent="0.3">
      <c r="A1443" s="37" t="s">
        <v>4</v>
      </c>
      <c r="B1443" s="37" t="s">
        <v>53</v>
      </c>
      <c r="C1443" s="38">
        <v>325000</v>
      </c>
    </row>
    <row r="1444" spans="1:3" x14ac:dyDescent="0.3">
      <c r="A1444" s="37" t="s">
        <v>4</v>
      </c>
      <c r="B1444" s="37" t="s">
        <v>53</v>
      </c>
      <c r="C1444" s="38"/>
    </row>
    <row r="1445" spans="1:3" x14ac:dyDescent="0.3">
      <c r="A1445" s="37" t="s">
        <v>4</v>
      </c>
      <c r="B1445" s="37" t="s">
        <v>53</v>
      </c>
      <c r="C1445" s="38">
        <v>90000</v>
      </c>
    </row>
    <row r="1446" spans="1:3" x14ac:dyDescent="0.3">
      <c r="A1446" s="37" t="s">
        <v>4</v>
      </c>
      <c r="B1446" s="37" t="s">
        <v>53</v>
      </c>
      <c r="C1446" s="38">
        <v>125000</v>
      </c>
    </row>
    <row r="1447" spans="1:3" x14ac:dyDescent="0.3">
      <c r="A1447" s="37" t="s">
        <v>4</v>
      </c>
      <c r="B1447" s="37" t="s">
        <v>53</v>
      </c>
      <c r="C1447" s="38">
        <v>137610</v>
      </c>
    </row>
    <row r="1448" spans="1:3" x14ac:dyDescent="0.3">
      <c r="A1448" s="37" t="s">
        <v>4</v>
      </c>
      <c r="B1448" s="37" t="s">
        <v>56</v>
      </c>
      <c r="C1448" s="38">
        <v>98283</v>
      </c>
    </row>
    <row r="1449" spans="1:3" x14ac:dyDescent="0.3">
      <c r="A1449" s="37" t="s">
        <v>4</v>
      </c>
      <c r="B1449" s="37" t="s">
        <v>53</v>
      </c>
      <c r="C1449" s="38">
        <v>101001.5</v>
      </c>
    </row>
    <row r="1450" spans="1:3" x14ac:dyDescent="0.3">
      <c r="A1450" s="37" t="s">
        <v>4</v>
      </c>
      <c r="B1450" s="37" t="s">
        <v>53</v>
      </c>
      <c r="C1450" s="38"/>
    </row>
    <row r="1451" spans="1:3" x14ac:dyDescent="0.3">
      <c r="A1451" s="37" t="s">
        <v>4</v>
      </c>
      <c r="B1451" s="37" t="s">
        <v>53</v>
      </c>
      <c r="C1451" s="38">
        <v>209500</v>
      </c>
    </row>
    <row r="1452" spans="1:3" x14ac:dyDescent="0.3">
      <c r="A1452" s="37" t="s">
        <v>4</v>
      </c>
      <c r="B1452" s="37" t="s">
        <v>107</v>
      </c>
      <c r="C1452" s="38">
        <v>89100</v>
      </c>
    </row>
    <row r="1453" spans="1:3" x14ac:dyDescent="0.3">
      <c r="A1453" s="37" t="s">
        <v>4</v>
      </c>
      <c r="B1453" s="37" t="s">
        <v>53</v>
      </c>
      <c r="C1453" s="38">
        <v>105000</v>
      </c>
    </row>
    <row r="1454" spans="1:3" x14ac:dyDescent="0.3">
      <c r="A1454" s="37" t="s">
        <v>4</v>
      </c>
      <c r="B1454" s="37" t="s">
        <v>110</v>
      </c>
      <c r="C1454" s="38">
        <v>133000</v>
      </c>
    </row>
    <row r="1455" spans="1:3" x14ac:dyDescent="0.3">
      <c r="A1455" s="37" t="s">
        <v>4</v>
      </c>
      <c r="B1455" s="37" t="s">
        <v>53</v>
      </c>
      <c r="C1455" s="38">
        <v>165000</v>
      </c>
    </row>
    <row r="1456" spans="1:3" x14ac:dyDescent="0.3">
      <c r="A1456" s="37" t="s">
        <v>4</v>
      </c>
      <c r="B1456" s="37" t="s">
        <v>53</v>
      </c>
      <c r="C1456" s="38">
        <v>97500</v>
      </c>
    </row>
    <row r="1457" spans="1:3" x14ac:dyDescent="0.3">
      <c r="A1457" s="37" t="s">
        <v>4</v>
      </c>
      <c r="B1457" s="37" t="s">
        <v>54</v>
      </c>
      <c r="C1457" s="38">
        <v>112500</v>
      </c>
    </row>
    <row r="1458" spans="1:3" x14ac:dyDescent="0.3">
      <c r="A1458" s="37" t="s">
        <v>4</v>
      </c>
      <c r="B1458" s="37" t="s">
        <v>88</v>
      </c>
      <c r="C1458" s="38">
        <v>147500</v>
      </c>
    </row>
    <row r="1459" spans="1:3" x14ac:dyDescent="0.3">
      <c r="A1459" s="37" t="s">
        <v>4</v>
      </c>
      <c r="B1459" s="37" t="s">
        <v>53</v>
      </c>
      <c r="C1459" s="38">
        <v>135000</v>
      </c>
    </row>
    <row r="1460" spans="1:3" x14ac:dyDescent="0.3">
      <c r="A1460" s="37" t="s">
        <v>4</v>
      </c>
      <c r="B1460" s="37" t="s">
        <v>63</v>
      </c>
      <c r="C1460" s="38">
        <v>50400</v>
      </c>
    </row>
    <row r="1461" spans="1:3" x14ac:dyDescent="0.3">
      <c r="A1461" s="37" t="s">
        <v>4</v>
      </c>
      <c r="B1461" s="37" t="s">
        <v>53</v>
      </c>
      <c r="C1461" s="38"/>
    </row>
    <row r="1462" spans="1:3" x14ac:dyDescent="0.3">
      <c r="A1462" s="37" t="s">
        <v>4</v>
      </c>
      <c r="B1462" s="37" t="s">
        <v>53</v>
      </c>
      <c r="C1462" s="38">
        <v>300000</v>
      </c>
    </row>
    <row r="1463" spans="1:3" x14ac:dyDescent="0.3">
      <c r="A1463" s="37" t="s">
        <v>4</v>
      </c>
      <c r="B1463" s="37" t="s">
        <v>68</v>
      </c>
      <c r="C1463" s="38">
        <v>98301.5</v>
      </c>
    </row>
    <row r="1464" spans="1:3" x14ac:dyDescent="0.3">
      <c r="A1464" s="37" t="s">
        <v>4</v>
      </c>
      <c r="B1464" s="37" t="s">
        <v>88</v>
      </c>
      <c r="C1464" s="38">
        <v>147500</v>
      </c>
    </row>
    <row r="1465" spans="1:3" x14ac:dyDescent="0.3">
      <c r="A1465" s="37" t="s">
        <v>4</v>
      </c>
      <c r="B1465" s="37" t="s">
        <v>120</v>
      </c>
      <c r="C1465" s="38">
        <v>56700</v>
      </c>
    </row>
    <row r="1466" spans="1:3" x14ac:dyDescent="0.3">
      <c r="A1466" s="37" t="s">
        <v>4</v>
      </c>
      <c r="B1466" s="37" t="s">
        <v>53</v>
      </c>
      <c r="C1466" s="38">
        <v>99150</v>
      </c>
    </row>
    <row r="1467" spans="1:3" x14ac:dyDescent="0.3">
      <c r="A1467" s="37" t="s">
        <v>4</v>
      </c>
      <c r="B1467" s="37" t="s">
        <v>53</v>
      </c>
      <c r="C1467" s="38">
        <v>90000</v>
      </c>
    </row>
    <row r="1468" spans="1:3" x14ac:dyDescent="0.3">
      <c r="A1468" s="37" t="s">
        <v>4</v>
      </c>
      <c r="B1468" s="37" t="s">
        <v>53</v>
      </c>
      <c r="C1468" s="38">
        <v>87500</v>
      </c>
    </row>
    <row r="1469" spans="1:3" x14ac:dyDescent="0.3">
      <c r="A1469" s="37" t="s">
        <v>4</v>
      </c>
      <c r="B1469" s="37" t="s">
        <v>98</v>
      </c>
      <c r="C1469" s="38">
        <v>72900</v>
      </c>
    </row>
    <row r="1470" spans="1:3" x14ac:dyDescent="0.3">
      <c r="A1470" s="37" t="s">
        <v>4</v>
      </c>
      <c r="B1470" s="37" t="s">
        <v>97</v>
      </c>
      <c r="C1470" s="38">
        <v>147500</v>
      </c>
    </row>
    <row r="1471" spans="1:3" x14ac:dyDescent="0.3">
      <c r="A1471" s="37" t="s">
        <v>4</v>
      </c>
      <c r="B1471" s="37" t="s">
        <v>53</v>
      </c>
      <c r="C1471" s="38">
        <v>177500</v>
      </c>
    </row>
    <row r="1472" spans="1:3" x14ac:dyDescent="0.3">
      <c r="A1472" s="37" t="s">
        <v>4</v>
      </c>
      <c r="B1472" s="37" t="s">
        <v>97</v>
      </c>
      <c r="C1472" s="38">
        <v>98301.5</v>
      </c>
    </row>
    <row r="1473" spans="1:3" x14ac:dyDescent="0.3">
      <c r="A1473" s="37" t="s">
        <v>4</v>
      </c>
      <c r="B1473" s="37" t="s">
        <v>73</v>
      </c>
      <c r="C1473" s="38">
        <v>249000</v>
      </c>
    </row>
    <row r="1474" spans="1:3" x14ac:dyDescent="0.3">
      <c r="A1474" s="37" t="s">
        <v>4</v>
      </c>
      <c r="B1474" s="37" t="s">
        <v>54</v>
      </c>
      <c r="C1474" s="38">
        <v>80000</v>
      </c>
    </row>
    <row r="1475" spans="1:3" x14ac:dyDescent="0.3">
      <c r="A1475" s="37" t="s">
        <v>4</v>
      </c>
      <c r="B1475" s="37" t="s">
        <v>53</v>
      </c>
      <c r="C1475" s="38">
        <v>125000</v>
      </c>
    </row>
    <row r="1476" spans="1:3" x14ac:dyDescent="0.3">
      <c r="A1476" s="37" t="s">
        <v>4</v>
      </c>
      <c r="B1476" s="37" t="s">
        <v>88</v>
      </c>
      <c r="C1476" s="38">
        <v>147500</v>
      </c>
    </row>
    <row r="1477" spans="1:3" x14ac:dyDescent="0.3">
      <c r="A1477" s="37" t="s">
        <v>4</v>
      </c>
      <c r="B1477" s="37" t="s">
        <v>98</v>
      </c>
      <c r="C1477" s="38">
        <v>45000</v>
      </c>
    </row>
    <row r="1478" spans="1:3" x14ac:dyDescent="0.3">
      <c r="A1478" s="37" t="s">
        <v>4</v>
      </c>
      <c r="B1478" s="37" t="s">
        <v>81</v>
      </c>
      <c r="C1478" s="38">
        <v>125000</v>
      </c>
    </row>
    <row r="1479" spans="1:3" x14ac:dyDescent="0.3">
      <c r="A1479" s="37" t="s">
        <v>4</v>
      </c>
      <c r="B1479" s="37" t="s">
        <v>89</v>
      </c>
      <c r="C1479" s="38">
        <v>147500</v>
      </c>
    </row>
    <row r="1480" spans="1:3" x14ac:dyDescent="0.3">
      <c r="A1480" s="37" t="s">
        <v>4</v>
      </c>
      <c r="B1480" s="37" t="s">
        <v>81</v>
      </c>
      <c r="C1480" s="38">
        <v>90000</v>
      </c>
    </row>
    <row r="1481" spans="1:3" x14ac:dyDescent="0.3">
      <c r="A1481" s="37" t="s">
        <v>4</v>
      </c>
      <c r="B1481" s="37" t="s">
        <v>54</v>
      </c>
      <c r="C1481" s="38">
        <v>157000</v>
      </c>
    </row>
    <row r="1482" spans="1:3" x14ac:dyDescent="0.3">
      <c r="A1482" s="37" t="s">
        <v>4</v>
      </c>
      <c r="B1482" s="37" t="s">
        <v>86</v>
      </c>
      <c r="C1482" s="38">
        <v>147500</v>
      </c>
    </row>
    <row r="1483" spans="1:3" x14ac:dyDescent="0.3">
      <c r="A1483" s="37" t="s">
        <v>4</v>
      </c>
      <c r="B1483" s="37" t="s">
        <v>88</v>
      </c>
      <c r="C1483" s="38">
        <v>79200</v>
      </c>
    </row>
    <row r="1484" spans="1:3" x14ac:dyDescent="0.3">
      <c r="A1484" s="37" t="s">
        <v>4</v>
      </c>
      <c r="B1484" s="37" t="s">
        <v>88</v>
      </c>
      <c r="C1484" s="38">
        <v>79200</v>
      </c>
    </row>
    <row r="1485" spans="1:3" x14ac:dyDescent="0.3">
      <c r="A1485" s="37" t="s">
        <v>4</v>
      </c>
      <c r="B1485" s="37" t="s">
        <v>53</v>
      </c>
      <c r="C1485" s="38"/>
    </row>
    <row r="1486" spans="1:3" x14ac:dyDescent="0.3">
      <c r="A1486" s="37" t="s">
        <v>4</v>
      </c>
      <c r="B1486" s="37" t="s">
        <v>68</v>
      </c>
      <c r="C1486" s="38">
        <v>147500</v>
      </c>
    </row>
    <row r="1487" spans="1:3" x14ac:dyDescent="0.3">
      <c r="A1487" s="37" t="s">
        <v>4</v>
      </c>
      <c r="B1487" s="37" t="s">
        <v>53</v>
      </c>
      <c r="C1487" s="38">
        <v>110000</v>
      </c>
    </row>
    <row r="1488" spans="1:3" x14ac:dyDescent="0.3">
      <c r="A1488" s="37" t="s">
        <v>4</v>
      </c>
      <c r="B1488" s="37" t="s">
        <v>96</v>
      </c>
      <c r="C1488" s="38">
        <v>96773</v>
      </c>
    </row>
    <row r="1489" spans="1:3" x14ac:dyDescent="0.3">
      <c r="A1489" s="37" t="s">
        <v>4</v>
      </c>
      <c r="B1489" s="37" t="s">
        <v>76</v>
      </c>
      <c r="C1489" s="38">
        <v>133000</v>
      </c>
    </row>
    <row r="1490" spans="1:3" x14ac:dyDescent="0.3">
      <c r="A1490" s="37" t="s">
        <v>4</v>
      </c>
      <c r="B1490" s="37" t="s">
        <v>63</v>
      </c>
      <c r="C1490" s="38">
        <v>65000</v>
      </c>
    </row>
    <row r="1491" spans="1:3" x14ac:dyDescent="0.3">
      <c r="A1491" s="37" t="s">
        <v>4</v>
      </c>
      <c r="B1491" s="37" t="s">
        <v>53</v>
      </c>
      <c r="C1491" s="38">
        <v>125000</v>
      </c>
    </row>
    <row r="1492" spans="1:3" x14ac:dyDescent="0.3">
      <c r="A1492" s="37" t="s">
        <v>4</v>
      </c>
      <c r="B1492" s="37" t="s">
        <v>81</v>
      </c>
      <c r="C1492" s="38">
        <v>90000</v>
      </c>
    </row>
    <row r="1493" spans="1:3" x14ac:dyDescent="0.3">
      <c r="A1493" s="37" t="s">
        <v>4</v>
      </c>
      <c r="B1493" s="37" t="s">
        <v>81</v>
      </c>
      <c r="C1493" s="38">
        <v>190000</v>
      </c>
    </row>
    <row r="1494" spans="1:3" x14ac:dyDescent="0.3">
      <c r="A1494" s="37" t="s">
        <v>4</v>
      </c>
      <c r="B1494" s="37" t="s">
        <v>97</v>
      </c>
      <c r="C1494" s="38">
        <v>147500</v>
      </c>
    </row>
    <row r="1495" spans="1:3" x14ac:dyDescent="0.3">
      <c r="A1495" s="37" t="s">
        <v>4</v>
      </c>
      <c r="B1495" s="37" t="s">
        <v>103</v>
      </c>
      <c r="C1495" s="38">
        <v>147500</v>
      </c>
    </row>
    <row r="1496" spans="1:3" x14ac:dyDescent="0.3">
      <c r="A1496" s="37" t="s">
        <v>4</v>
      </c>
      <c r="B1496" s="37" t="s">
        <v>53</v>
      </c>
      <c r="C1496" s="38">
        <v>162500</v>
      </c>
    </row>
    <row r="1497" spans="1:3" x14ac:dyDescent="0.3">
      <c r="A1497" s="37" t="s">
        <v>4</v>
      </c>
      <c r="B1497" s="37" t="s">
        <v>53</v>
      </c>
      <c r="C1497" s="38">
        <v>208114</v>
      </c>
    </row>
    <row r="1498" spans="1:3" x14ac:dyDescent="0.3">
      <c r="A1498" s="37" t="s">
        <v>4</v>
      </c>
      <c r="B1498" s="37" t="s">
        <v>81</v>
      </c>
      <c r="C1498" s="38"/>
    </row>
    <row r="1499" spans="1:3" x14ac:dyDescent="0.3">
      <c r="A1499" s="37" t="s">
        <v>4</v>
      </c>
      <c r="B1499" s="37" t="s">
        <v>88</v>
      </c>
      <c r="C1499" s="38">
        <v>147500</v>
      </c>
    </row>
    <row r="1500" spans="1:3" x14ac:dyDescent="0.3">
      <c r="A1500" s="37" t="s">
        <v>4</v>
      </c>
      <c r="B1500" s="37" t="s">
        <v>53</v>
      </c>
      <c r="C1500" s="38"/>
    </row>
    <row r="1501" spans="1:3" x14ac:dyDescent="0.3">
      <c r="A1501" s="37" t="s">
        <v>4</v>
      </c>
      <c r="B1501" s="37" t="s">
        <v>65</v>
      </c>
      <c r="C1501" s="38">
        <v>147500</v>
      </c>
    </row>
    <row r="1502" spans="1:3" x14ac:dyDescent="0.3">
      <c r="A1502" s="37" t="s">
        <v>4</v>
      </c>
      <c r="B1502" s="37" t="s">
        <v>68</v>
      </c>
      <c r="C1502" s="38">
        <v>115000</v>
      </c>
    </row>
    <row r="1503" spans="1:3" x14ac:dyDescent="0.3">
      <c r="A1503" s="37" t="s">
        <v>4</v>
      </c>
      <c r="B1503" s="37" t="s">
        <v>53</v>
      </c>
      <c r="C1503" s="38"/>
    </row>
    <row r="1504" spans="1:3" x14ac:dyDescent="0.3">
      <c r="A1504" s="37" t="s">
        <v>4</v>
      </c>
      <c r="B1504" s="37" t="s">
        <v>81</v>
      </c>
      <c r="C1504" s="38"/>
    </row>
    <row r="1505" spans="1:3" x14ac:dyDescent="0.3">
      <c r="A1505" s="37" t="s">
        <v>4</v>
      </c>
      <c r="B1505" s="37" t="s">
        <v>53</v>
      </c>
      <c r="C1505" s="38">
        <v>205000</v>
      </c>
    </row>
    <row r="1506" spans="1:3" x14ac:dyDescent="0.3">
      <c r="A1506" s="37" t="s">
        <v>4</v>
      </c>
      <c r="B1506" s="37" t="s">
        <v>53</v>
      </c>
      <c r="C1506" s="38">
        <v>102500</v>
      </c>
    </row>
    <row r="1507" spans="1:3" x14ac:dyDescent="0.3">
      <c r="A1507" s="37" t="s">
        <v>4</v>
      </c>
      <c r="B1507" s="37" t="s">
        <v>83</v>
      </c>
      <c r="C1507" s="38">
        <v>147500</v>
      </c>
    </row>
    <row r="1508" spans="1:3" x14ac:dyDescent="0.3">
      <c r="A1508" s="37" t="s">
        <v>4</v>
      </c>
      <c r="B1508" s="37" t="s">
        <v>69</v>
      </c>
      <c r="C1508" s="38">
        <v>147500</v>
      </c>
    </row>
    <row r="1509" spans="1:3" x14ac:dyDescent="0.3">
      <c r="A1509" s="37" t="s">
        <v>4</v>
      </c>
      <c r="B1509" s="37" t="s">
        <v>81</v>
      </c>
      <c r="C1509" s="38">
        <v>147500</v>
      </c>
    </row>
    <row r="1510" spans="1:3" x14ac:dyDescent="0.3">
      <c r="A1510" s="37" t="s">
        <v>4</v>
      </c>
      <c r="B1510" s="37" t="s">
        <v>53</v>
      </c>
      <c r="C1510" s="38">
        <v>105000</v>
      </c>
    </row>
    <row r="1511" spans="1:3" x14ac:dyDescent="0.3">
      <c r="A1511" s="37" t="s">
        <v>4</v>
      </c>
      <c r="B1511" s="37" t="s">
        <v>54</v>
      </c>
      <c r="C1511" s="38">
        <v>91000</v>
      </c>
    </row>
    <row r="1512" spans="1:3" x14ac:dyDescent="0.3">
      <c r="A1512" s="37" t="s">
        <v>4</v>
      </c>
      <c r="B1512" s="37" t="s">
        <v>88</v>
      </c>
      <c r="C1512" s="38">
        <v>96760.5</v>
      </c>
    </row>
    <row r="1513" spans="1:3" x14ac:dyDescent="0.3">
      <c r="A1513" s="37" t="s">
        <v>4</v>
      </c>
      <c r="B1513" s="37" t="s">
        <v>53</v>
      </c>
      <c r="C1513" s="38">
        <v>106000</v>
      </c>
    </row>
    <row r="1514" spans="1:3" x14ac:dyDescent="0.3">
      <c r="A1514" s="37" t="s">
        <v>4</v>
      </c>
      <c r="B1514" s="37" t="s">
        <v>72</v>
      </c>
      <c r="C1514" s="38">
        <v>96760.5</v>
      </c>
    </row>
    <row r="1515" spans="1:3" x14ac:dyDescent="0.3">
      <c r="A1515" s="37" t="s">
        <v>4</v>
      </c>
      <c r="B1515" s="37" t="s">
        <v>58</v>
      </c>
      <c r="C1515" s="38"/>
    </row>
    <row r="1516" spans="1:3" x14ac:dyDescent="0.3">
      <c r="A1516" s="37" t="s">
        <v>4</v>
      </c>
      <c r="B1516" s="37" t="s">
        <v>54</v>
      </c>
      <c r="C1516" s="38">
        <v>120000</v>
      </c>
    </row>
    <row r="1517" spans="1:3" x14ac:dyDescent="0.3">
      <c r="A1517" s="37" t="s">
        <v>4</v>
      </c>
      <c r="B1517" s="37" t="s">
        <v>53</v>
      </c>
      <c r="C1517" s="38"/>
    </row>
    <row r="1518" spans="1:3" x14ac:dyDescent="0.3">
      <c r="A1518" s="37" t="s">
        <v>4</v>
      </c>
      <c r="B1518" s="37" t="s">
        <v>81</v>
      </c>
      <c r="C1518" s="38">
        <v>147500</v>
      </c>
    </row>
    <row r="1519" spans="1:3" x14ac:dyDescent="0.3">
      <c r="A1519" s="37" t="s">
        <v>4</v>
      </c>
      <c r="B1519" s="37" t="s">
        <v>53</v>
      </c>
      <c r="C1519" s="38">
        <v>138200</v>
      </c>
    </row>
    <row r="1520" spans="1:3" x14ac:dyDescent="0.3">
      <c r="A1520" s="37" t="s">
        <v>4</v>
      </c>
      <c r="B1520" s="37" t="s">
        <v>53</v>
      </c>
      <c r="C1520" s="38">
        <v>221000</v>
      </c>
    </row>
    <row r="1521" spans="1:3" x14ac:dyDescent="0.3">
      <c r="A1521" s="37" t="s">
        <v>4</v>
      </c>
      <c r="B1521" s="37" t="s">
        <v>53</v>
      </c>
      <c r="C1521" s="38">
        <v>98283</v>
      </c>
    </row>
    <row r="1522" spans="1:3" x14ac:dyDescent="0.3">
      <c r="A1522" s="37" t="s">
        <v>4</v>
      </c>
      <c r="B1522" s="37" t="s">
        <v>53</v>
      </c>
      <c r="C1522" s="38">
        <v>165000</v>
      </c>
    </row>
    <row r="1523" spans="1:3" x14ac:dyDescent="0.3">
      <c r="A1523" s="37" t="s">
        <v>4</v>
      </c>
      <c r="B1523" s="37" t="s">
        <v>80</v>
      </c>
      <c r="C1523" s="38">
        <v>96760.5</v>
      </c>
    </row>
    <row r="1524" spans="1:3" x14ac:dyDescent="0.3">
      <c r="A1524" s="37" t="s">
        <v>4</v>
      </c>
      <c r="B1524" s="37" t="s">
        <v>72</v>
      </c>
      <c r="C1524" s="38">
        <v>96773</v>
      </c>
    </row>
    <row r="1525" spans="1:3" x14ac:dyDescent="0.3">
      <c r="A1525" s="37" t="s">
        <v>4</v>
      </c>
      <c r="B1525" s="37" t="s">
        <v>81</v>
      </c>
      <c r="C1525" s="38">
        <v>90000</v>
      </c>
    </row>
    <row r="1526" spans="1:3" x14ac:dyDescent="0.3">
      <c r="A1526" s="37" t="s">
        <v>4</v>
      </c>
      <c r="B1526" s="37" t="s">
        <v>53</v>
      </c>
      <c r="C1526" s="38">
        <v>243000</v>
      </c>
    </row>
    <row r="1527" spans="1:3" x14ac:dyDescent="0.3">
      <c r="A1527" s="37" t="s">
        <v>4</v>
      </c>
      <c r="B1527" s="37" t="s">
        <v>68</v>
      </c>
      <c r="C1527" s="38"/>
    </row>
    <row r="1528" spans="1:3" x14ac:dyDescent="0.3">
      <c r="A1528" s="37" t="s">
        <v>4</v>
      </c>
      <c r="B1528" s="37" t="s">
        <v>105</v>
      </c>
      <c r="C1528" s="38">
        <v>96760.5</v>
      </c>
    </row>
    <row r="1529" spans="1:3" x14ac:dyDescent="0.3">
      <c r="A1529" s="37" t="s">
        <v>4</v>
      </c>
      <c r="B1529" s="37" t="s">
        <v>53</v>
      </c>
      <c r="C1529" s="38">
        <v>103000</v>
      </c>
    </row>
    <row r="1530" spans="1:3" x14ac:dyDescent="0.3">
      <c r="A1530" s="37" t="s">
        <v>4</v>
      </c>
      <c r="B1530" s="37" t="s">
        <v>110</v>
      </c>
      <c r="C1530" s="38">
        <v>96760.5</v>
      </c>
    </row>
    <row r="1531" spans="1:3" x14ac:dyDescent="0.3">
      <c r="A1531" s="37" t="s">
        <v>4</v>
      </c>
      <c r="B1531" s="37" t="s">
        <v>81</v>
      </c>
      <c r="C1531" s="38"/>
    </row>
    <row r="1532" spans="1:3" x14ac:dyDescent="0.3">
      <c r="A1532" s="37" t="s">
        <v>4</v>
      </c>
      <c r="B1532" s="37" t="s">
        <v>53</v>
      </c>
      <c r="C1532" s="38">
        <v>87500</v>
      </c>
    </row>
    <row r="1533" spans="1:3" x14ac:dyDescent="0.3">
      <c r="A1533" s="37" t="s">
        <v>4</v>
      </c>
      <c r="B1533" s="37" t="s">
        <v>81</v>
      </c>
      <c r="C1533" s="38">
        <v>147500</v>
      </c>
    </row>
    <row r="1534" spans="1:3" x14ac:dyDescent="0.3">
      <c r="A1534" s="37" t="s">
        <v>4</v>
      </c>
      <c r="B1534" s="37" t="s">
        <v>54</v>
      </c>
      <c r="C1534" s="38">
        <v>115000</v>
      </c>
    </row>
    <row r="1535" spans="1:3" x14ac:dyDescent="0.3">
      <c r="A1535" s="37" t="s">
        <v>4</v>
      </c>
      <c r="B1535" s="37" t="s">
        <v>53</v>
      </c>
      <c r="C1535" s="38">
        <v>90000</v>
      </c>
    </row>
    <row r="1536" spans="1:3" x14ac:dyDescent="0.3">
      <c r="A1536" s="37" t="s">
        <v>4</v>
      </c>
      <c r="B1536" s="37" t="s">
        <v>64</v>
      </c>
      <c r="C1536" s="38">
        <v>98301.5</v>
      </c>
    </row>
    <row r="1537" spans="1:3" x14ac:dyDescent="0.3">
      <c r="A1537" s="37" t="s">
        <v>4</v>
      </c>
      <c r="B1537" s="37" t="s">
        <v>68</v>
      </c>
      <c r="C1537" s="38"/>
    </row>
    <row r="1538" spans="1:3" x14ac:dyDescent="0.3">
      <c r="A1538" s="37" t="s">
        <v>4</v>
      </c>
      <c r="B1538" s="37" t="s">
        <v>81</v>
      </c>
      <c r="C1538" s="38">
        <v>90000</v>
      </c>
    </row>
    <row r="1539" spans="1:3" x14ac:dyDescent="0.3">
      <c r="A1539" s="37" t="s">
        <v>4</v>
      </c>
      <c r="B1539" s="37" t="s">
        <v>69</v>
      </c>
      <c r="C1539" s="38">
        <v>98301.5</v>
      </c>
    </row>
    <row r="1540" spans="1:3" x14ac:dyDescent="0.3">
      <c r="A1540" s="37" t="s">
        <v>4</v>
      </c>
      <c r="B1540" s="37" t="s">
        <v>53</v>
      </c>
      <c r="C1540" s="38"/>
    </row>
    <row r="1541" spans="1:3" x14ac:dyDescent="0.3">
      <c r="A1541" s="37" t="s">
        <v>4</v>
      </c>
      <c r="B1541" s="37" t="s">
        <v>53</v>
      </c>
      <c r="C1541" s="38">
        <v>130000</v>
      </c>
    </row>
    <row r="1542" spans="1:3" x14ac:dyDescent="0.3">
      <c r="A1542" s="37" t="s">
        <v>4</v>
      </c>
      <c r="B1542" s="37" t="s">
        <v>53</v>
      </c>
      <c r="C1542" s="38">
        <v>209000</v>
      </c>
    </row>
    <row r="1543" spans="1:3" x14ac:dyDescent="0.3">
      <c r="A1543" s="37" t="s">
        <v>4</v>
      </c>
      <c r="B1543" s="37" t="s">
        <v>72</v>
      </c>
      <c r="C1543" s="38">
        <v>50000</v>
      </c>
    </row>
    <row r="1544" spans="1:3" x14ac:dyDescent="0.3">
      <c r="A1544" s="37" t="s">
        <v>4</v>
      </c>
      <c r="B1544" s="37" t="s">
        <v>81</v>
      </c>
      <c r="C1544" s="38">
        <v>125000</v>
      </c>
    </row>
    <row r="1545" spans="1:3" x14ac:dyDescent="0.3">
      <c r="A1545" s="37" t="s">
        <v>4</v>
      </c>
      <c r="B1545" s="37" t="s">
        <v>88</v>
      </c>
      <c r="C1545" s="38">
        <v>45000</v>
      </c>
    </row>
    <row r="1546" spans="1:3" x14ac:dyDescent="0.3">
      <c r="A1546" s="37" t="s">
        <v>4</v>
      </c>
      <c r="B1546" s="37" t="s">
        <v>54</v>
      </c>
      <c r="C1546" s="38">
        <v>140000</v>
      </c>
    </row>
    <row r="1547" spans="1:3" x14ac:dyDescent="0.3">
      <c r="A1547" s="37" t="s">
        <v>4</v>
      </c>
      <c r="B1547" s="37" t="s">
        <v>53</v>
      </c>
      <c r="C1547" s="38">
        <v>125000</v>
      </c>
    </row>
    <row r="1548" spans="1:3" x14ac:dyDescent="0.3">
      <c r="A1548" s="37" t="s">
        <v>4</v>
      </c>
      <c r="B1548" s="37" t="s">
        <v>88</v>
      </c>
      <c r="C1548" s="38">
        <v>147500</v>
      </c>
    </row>
    <row r="1549" spans="1:3" x14ac:dyDescent="0.3">
      <c r="A1549" s="37" t="s">
        <v>4</v>
      </c>
      <c r="B1549" s="37" t="s">
        <v>81</v>
      </c>
      <c r="C1549" s="38">
        <v>125000</v>
      </c>
    </row>
    <row r="1550" spans="1:3" x14ac:dyDescent="0.3">
      <c r="A1550" s="37" t="s">
        <v>4</v>
      </c>
      <c r="B1550" s="37" t="s">
        <v>97</v>
      </c>
      <c r="C1550" s="38">
        <v>98283</v>
      </c>
    </row>
    <row r="1551" spans="1:3" x14ac:dyDescent="0.3">
      <c r="A1551" s="37" t="s">
        <v>4</v>
      </c>
      <c r="B1551" s="37" t="s">
        <v>53</v>
      </c>
      <c r="C1551" s="38">
        <v>208114</v>
      </c>
    </row>
    <row r="1552" spans="1:3" x14ac:dyDescent="0.3">
      <c r="A1552" s="37" t="s">
        <v>4</v>
      </c>
      <c r="B1552" s="37" t="s">
        <v>53</v>
      </c>
      <c r="C1552" s="38">
        <v>208114</v>
      </c>
    </row>
    <row r="1553" spans="1:3" x14ac:dyDescent="0.3">
      <c r="A1553" s="37" t="s">
        <v>4</v>
      </c>
      <c r="B1553" s="37" t="s">
        <v>69</v>
      </c>
      <c r="C1553" s="38">
        <v>147500</v>
      </c>
    </row>
    <row r="1554" spans="1:3" x14ac:dyDescent="0.3">
      <c r="A1554" s="37" t="s">
        <v>4</v>
      </c>
      <c r="B1554" s="37" t="s">
        <v>88</v>
      </c>
      <c r="C1554" s="38">
        <v>147500</v>
      </c>
    </row>
    <row r="1555" spans="1:3" x14ac:dyDescent="0.3">
      <c r="A1555" s="37" t="s">
        <v>0</v>
      </c>
      <c r="B1555" s="37" t="s">
        <v>53</v>
      </c>
      <c r="C1555" s="38">
        <v>224500</v>
      </c>
    </row>
    <row r="1556" spans="1:3" x14ac:dyDescent="0.3">
      <c r="A1556" s="37" t="s">
        <v>0</v>
      </c>
      <c r="B1556" s="37" t="s">
        <v>53</v>
      </c>
      <c r="C1556" s="38">
        <v>157500</v>
      </c>
    </row>
    <row r="1557" spans="1:3" x14ac:dyDescent="0.3">
      <c r="A1557" s="37" t="s">
        <v>0</v>
      </c>
      <c r="B1557" s="37" t="s">
        <v>97</v>
      </c>
      <c r="C1557" s="38">
        <v>88128</v>
      </c>
    </row>
    <row r="1558" spans="1:3" x14ac:dyDescent="0.3">
      <c r="A1558" s="37" t="s">
        <v>0</v>
      </c>
      <c r="B1558" s="37" t="s">
        <v>53</v>
      </c>
      <c r="C1558" s="38"/>
    </row>
    <row r="1559" spans="1:3" x14ac:dyDescent="0.3">
      <c r="A1559" s="37" t="s">
        <v>0</v>
      </c>
      <c r="B1559" s="37" t="s">
        <v>53</v>
      </c>
      <c r="C1559" s="38">
        <v>105800</v>
      </c>
    </row>
    <row r="1560" spans="1:3" x14ac:dyDescent="0.3">
      <c r="A1560" s="37" t="s">
        <v>0</v>
      </c>
      <c r="B1560" s="37" t="s">
        <v>53</v>
      </c>
      <c r="C1560" s="38">
        <v>115000</v>
      </c>
    </row>
    <row r="1561" spans="1:3" x14ac:dyDescent="0.3">
      <c r="A1561" s="37" t="s">
        <v>0</v>
      </c>
      <c r="B1561" s="37" t="s">
        <v>53</v>
      </c>
      <c r="C1561" s="38">
        <v>200000</v>
      </c>
    </row>
    <row r="1562" spans="1:3" x14ac:dyDescent="0.3">
      <c r="A1562" s="37" t="s">
        <v>0</v>
      </c>
      <c r="B1562" s="37" t="s">
        <v>53</v>
      </c>
      <c r="C1562" s="38">
        <v>57500</v>
      </c>
    </row>
    <row r="1563" spans="1:3" x14ac:dyDescent="0.3">
      <c r="A1563" s="37" t="s">
        <v>0</v>
      </c>
      <c r="B1563" s="37" t="s">
        <v>54</v>
      </c>
      <c r="C1563" s="38">
        <v>77500</v>
      </c>
    </row>
    <row r="1564" spans="1:3" x14ac:dyDescent="0.3">
      <c r="A1564" s="37" t="s">
        <v>0</v>
      </c>
      <c r="B1564" s="37" t="s">
        <v>53</v>
      </c>
      <c r="C1564" s="38"/>
    </row>
    <row r="1565" spans="1:3" x14ac:dyDescent="0.3">
      <c r="A1565" s="37" t="s">
        <v>0</v>
      </c>
      <c r="B1565" s="37" t="s">
        <v>53</v>
      </c>
      <c r="C1565" s="38"/>
    </row>
    <row r="1566" spans="1:3" x14ac:dyDescent="0.3">
      <c r="A1566" s="37" t="s">
        <v>0</v>
      </c>
      <c r="B1566" s="37" t="s">
        <v>54</v>
      </c>
      <c r="C1566" s="38">
        <v>110000</v>
      </c>
    </row>
    <row r="1567" spans="1:3" x14ac:dyDescent="0.3">
      <c r="A1567" s="37" t="s">
        <v>0</v>
      </c>
      <c r="B1567" s="37" t="s">
        <v>53</v>
      </c>
      <c r="C1567" s="38"/>
    </row>
    <row r="1568" spans="1:3" x14ac:dyDescent="0.3">
      <c r="A1568" s="37" t="s">
        <v>0</v>
      </c>
      <c r="B1568" s="37" t="s">
        <v>53</v>
      </c>
      <c r="C1568" s="38">
        <v>350000</v>
      </c>
    </row>
    <row r="1569" spans="1:3" x14ac:dyDescent="0.3">
      <c r="A1569" s="37" t="s">
        <v>0</v>
      </c>
      <c r="B1569" s="37" t="s">
        <v>53</v>
      </c>
      <c r="C1569" s="38">
        <v>202500</v>
      </c>
    </row>
    <row r="1570" spans="1:3" x14ac:dyDescent="0.3">
      <c r="A1570" s="37" t="s">
        <v>0</v>
      </c>
      <c r="B1570" s="37" t="s">
        <v>54</v>
      </c>
      <c r="C1570" s="38">
        <v>265500</v>
      </c>
    </row>
    <row r="1571" spans="1:3" x14ac:dyDescent="0.3">
      <c r="A1571" s="37" t="s">
        <v>0</v>
      </c>
      <c r="B1571" s="37" t="s">
        <v>53</v>
      </c>
      <c r="C1571" s="38">
        <v>135000</v>
      </c>
    </row>
    <row r="1572" spans="1:3" x14ac:dyDescent="0.3">
      <c r="A1572" s="37" t="s">
        <v>0</v>
      </c>
      <c r="B1572" s="37" t="s">
        <v>54</v>
      </c>
      <c r="C1572" s="38">
        <v>215000</v>
      </c>
    </row>
    <row r="1573" spans="1:3" x14ac:dyDescent="0.3">
      <c r="A1573" s="37" t="s">
        <v>0</v>
      </c>
      <c r="B1573" s="37" t="s">
        <v>53</v>
      </c>
      <c r="C1573" s="38">
        <v>160000</v>
      </c>
    </row>
    <row r="1574" spans="1:3" x14ac:dyDescent="0.3">
      <c r="A1574" s="37" t="s">
        <v>0</v>
      </c>
      <c r="B1574" s="37" t="s">
        <v>53</v>
      </c>
      <c r="C1574" s="38">
        <v>143910.5</v>
      </c>
    </row>
    <row r="1575" spans="1:3" x14ac:dyDescent="0.3">
      <c r="A1575" s="37" t="s">
        <v>0</v>
      </c>
      <c r="B1575" s="37" t="s">
        <v>53</v>
      </c>
      <c r="C1575" s="38">
        <v>75000</v>
      </c>
    </row>
    <row r="1576" spans="1:3" x14ac:dyDescent="0.3">
      <c r="A1576" s="37" t="s">
        <v>0</v>
      </c>
      <c r="B1576" s="37" t="s">
        <v>54</v>
      </c>
      <c r="C1576" s="38">
        <v>137110</v>
      </c>
    </row>
    <row r="1577" spans="1:3" x14ac:dyDescent="0.3">
      <c r="A1577" s="37" t="s">
        <v>0</v>
      </c>
      <c r="B1577" s="37" t="s">
        <v>84</v>
      </c>
      <c r="C1577" s="38">
        <v>56700</v>
      </c>
    </row>
    <row r="1578" spans="1:3" x14ac:dyDescent="0.3">
      <c r="A1578" s="37" t="s">
        <v>0</v>
      </c>
      <c r="B1578" s="37" t="s">
        <v>54</v>
      </c>
      <c r="C1578" s="38">
        <v>99790</v>
      </c>
    </row>
    <row r="1579" spans="1:3" x14ac:dyDescent="0.3">
      <c r="A1579" s="37" t="s">
        <v>0</v>
      </c>
      <c r="B1579" s="37" t="s">
        <v>53</v>
      </c>
      <c r="C1579" s="38">
        <v>128500</v>
      </c>
    </row>
    <row r="1580" spans="1:3" x14ac:dyDescent="0.3">
      <c r="A1580" s="37" t="s">
        <v>0</v>
      </c>
      <c r="B1580" s="37" t="s">
        <v>53</v>
      </c>
      <c r="C1580" s="38">
        <v>209955.5</v>
      </c>
    </row>
    <row r="1581" spans="1:3" x14ac:dyDescent="0.3">
      <c r="A1581" s="37" t="s">
        <v>0</v>
      </c>
      <c r="B1581" s="37" t="s">
        <v>86</v>
      </c>
      <c r="C1581" s="38">
        <v>105300</v>
      </c>
    </row>
    <row r="1582" spans="1:3" x14ac:dyDescent="0.3">
      <c r="A1582" s="37" t="s">
        <v>0</v>
      </c>
      <c r="B1582" s="37" t="s">
        <v>53</v>
      </c>
      <c r="C1582" s="38">
        <v>107500</v>
      </c>
    </row>
    <row r="1583" spans="1:3" x14ac:dyDescent="0.3">
      <c r="A1583" s="37" t="s">
        <v>0</v>
      </c>
      <c r="B1583" s="37" t="s">
        <v>53</v>
      </c>
      <c r="C1583" s="38"/>
    </row>
    <row r="1584" spans="1:3" x14ac:dyDescent="0.3">
      <c r="A1584" s="37" t="s">
        <v>0</v>
      </c>
      <c r="B1584" s="37" t="s">
        <v>53</v>
      </c>
      <c r="C1584" s="38">
        <v>120000.5</v>
      </c>
    </row>
    <row r="1585" spans="1:3" x14ac:dyDescent="0.3">
      <c r="A1585" s="37" t="s">
        <v>0</v>
      </c>
      <c r="B1585" s="37" t="s">
        <v>53</v>
      </c>
      <c r="C1585" s="38">
        <v>115000</v>
      </c>
    </row>
    <row r="1586" spans="1:3" x14ac:dyDescent="0.3">
      <c r="A1586" s="37" t="s">
        <v>0</v>
      </c>
      <c r="B1586" s="37" t="s">
        <v>53</v>
      </c>
      <c r="C1586" s="38">
        <v>115000</v>
      </c>
    </row>
    <row r="1587" spans="1:3" x14ac:dyDescent="0.3">
      <c r="A1587" s="37" t="s">
        <v>0</v>
      </c>
      <c r="B1587" s="37" t="s">
        <v>53</v>
      </c>
      <c r="C1587" s="38">
        <v>250000</v>
      </c>
    </row>
    <row r="1588" spans="1:3" x14ac:dyDescent="0.3">
      <c r="A1588" s="37" t="s">
        <v>0</v>
      </c>
      <c r="B1588" s="37" t="s">
        <v>54</v>
      </c>
      <c r="C1588" s="38"/>
    </row>
    <row r="1589" spans="1:3" x14ac:dyDescent="0.3">
      <c r="A1589" s="37" t="s">
        <v>0</v>
      </c>
      <c r="B1589" s="37" t="s">
        <v>53</v>
      </c>
      <c r="C1589" s="38">
        <v>175000</v>
      </c>
    </row>
    <row r="1590" spans="1:3" x14ac:dyDescent="0.3">
      <c r="A1590" s="37" t="s">
        <v>0</v>
      </c>
      <c r="B1590" s="37" t="s">
        <v>53</v>
      </c>
      <c r="C1590" s="38">
        <v>130000</v>
      </c>
    </row>
    <row r="1591" spans="1:3" x14ac:dyDescent="0.3">
      <c r="A1591" s="37" t="s">
        <v>0</v>
      </c>
      <c r="B1591" s="37" t="s">
        <v>53</v>
      </c>
      <c r="C1591" s="38"/>
    </row>
    <row r="1592" spans="1:3" x14ac:dyDescent="0.3">
      <c r="A1592" s="37" t="s">
        <v>0</v>
      </c>
      <c r="B1592" s="37" t="s">
        <v>53</v>
      </c>
      <c r="C1592" s="38"/>
    </row>
    <row r="1593" spans="1:3" x14ac:dyDescent="0.3">
      <c r="A1593" s="37" t="s">
        <v>0</v>
      </c>
      <c r="B1593" s="37" t="s">
        <v>53</v>
      </c>
      <c r="C1593" s="38"/>
    </row>
    <row r="1594" spans="1:3" x14ac:dyDescent="0.3">
      <c r="A1594" s="37" t="s">
        <v>0</v>
      </c>
      <c r="B1594" s="37" t="s">
        <v>53</v>
      </c>
      <c r="C1594" s="38">
        <v>150000</v>
      </c>
    </row>
    <row r="1595" spans="1:3" x14ac:dyDescent="0.3">
      <c r="A1595" s="37" t="s">
        <v>0</v>
      </c>
      <c r="B1595" s="37" t="s">
        <v>53</v>
      </c>
      <c r="C1595" s="38">
        <v>120000.5</v>
      </c>
    </row>
    <row r="1596" spans="1:3" x14ac:dyDescent="0.3">
      <c r="A1596" s="37" t="s">
        <v>0</v>
      </c>
      <c r="B1596" s="37" t="s">
        <v>53</v>
      </c>
      <c r="C1596" s="38">
        <v>105000</v>
      </c>
    </row>
    <row r="1597" spans="1:3" x14ac:dyDescent="0.3">
      <c r="A1597" s="37" t="s">
        <v>0</v>
      </c>
      <c r="B1597" s="37" t="s">
        <v>53</v>
      </c>
      <c r="C1597" s="38">
        <v>250000</v>
      </c>
    </row>
    <row r="1598" spans="1:3" x14ac:dyDescent="0.3">
      <c r="A1598" s="37" t="s">
        <v>0</v>
      </c>
      <c r="B1598" s="37" t="s">
        <v>53</v>
      </c>
      <c r="C1598" s="38"/>
    </row>
    <row r="1599" spans="1:3" x14ac:dyDescent="0.3">
      <c r="A1599" s="37" t="s">
        <v>0</v>
      </c>
      <c r="B1599" s="37" t="s">
        <v>53</v>
      </c>
      <c r="C1599" s="38">
        <v>100000</v>
      </c>
    </row>
    <row r="1600" spans="1:3" x14ac:dyDescent="0.3">
      <c r="A1600" s="37" t="s">
        <v>0</v>
      </c>
      <c r="B1600" s="37" t="s">
        <v>53</v>
      </c>
      <c r="C1600" s="38">
        <v>140000</v>
      </c>
    </row>
    <row r="1601" spans="1:3" x14ac:dyDescent="0.3">
      <c r="A1601" s="37" t="s">
        <v>0</v>
      </c>
      <c r="B1601" s="37" t="s">
        <v>53</v>
      </c>
      <c r="C1601" s="38">
        <v>160000</v>
      </c>
    </row>
    <row r="1602" spans="1:3" x14ac:dyDescent="0.3">
      <c r="A1602" s="37" t="s">
        <v>0</v>
      </c>
      <c r="B1602" s="37" t="s">
        <v>81</v>
      </c>
      <c r="C1602" s="38">
        <v>99150</v>
      </c>
    </row>
    <row r="1603" spans="1:3" x14ac:dyDescent="0.3">
      <c r="A1603" s="37" t="s">
        <v>0</v>
      </c>
      <c r="B1603" s="37" t="s">
        <v>53</v>
      </c>
      <c r="C1603" s="38"/>
    </row>
    <row r="1604" spans="1:3" x14ac:dyDescent="0.3">
      <c r="A1604" s="37" t="s">
        <v>0</v>
      </c>
      <c r="B1604" s="37" t="s">
        <v>53</v>
      </c>
      <c r="C1604" s="38">
        <v>125000</v>
      </c>
    </row>
    <row r="1605" spans="1:3" x14ac:dyDescent="0.3">
      <c r="A1605" s="37" t="s">
        <v>0</v>
      </c>
      <c r="B1605" s="37" t="s">
        <v>53</v>
      </c>
      <c r="C1605" s="38">
        <v>182000</v>
      </c>
    </row>
    <row r="1606" spans="1:3" x14ac:dyDescent="0.3">
      <c r="A1606" s="37" t="s">
        <v>0</v>
      </c>
      <c r="B1606" s="37" t="s">
        <v>53</v>
      </c>
      <c r="C1606" s="38"/>
    </row>
    <row r="1607" spans="1:3" x14ac:dyDescent="0.3">
      <c r="A1607" s="37" t="s">
        <v>0</v>
      </c>
      <c r="B1607" s="37" t="s">
        <v>53</v>
      </c>
      <c r="C1607" s="38">
        <v>190000</v>
      </c>
    </row>
    <row r="1608" spans="1:3" x14ac:dyDescent="0.3">
      <c r="A1608" s="37" t="s">
        <v>0</v>
      </c>
      <c r="B1608" s="37" t="s">
        <v>53</v>
      </c>
      <c r="C1608" s="38">
        <v>150000</v>
      </c>
    </row>
    <row r="1609" spans="1:3" x14ac:dyDescent="0.3">
      <c r="A1609" s="37" t="s">
        <v>0</v>
      </c>
      <c r="B1609" s="37" t="s">
        <v>53</v>
      </c>
      <c r="C1609" s="38">
        <v>212500</v>
      </c>
    </row>
    <row r="1610" spans="1:3" x14ac:dyDescent="0.3">
      <c r="A1610" s="37" t="s">
        <v>0</v>
      </c>
      <c r="B1610" s="37" t="s">
        <v>53</v>
      </c>
      <c r="C1610" s="38">
        <v>135000</v>
      </c>
    </row>
    <row r="1611" spans="1:3" x14ac:dyDescent="0.3">
      <c r="A1611" s="37" t="s">
        <v>0</v>
      </c>
      <c r="B1611" s="37" t="s">
        <v>53</v>
      </c>
      <c r="C1611" s="38"/>
    </row>
    <row r="1612" spans="1:3" x14ac:dyDescent="0.3">
      <c r="A1612" s="37" t="s">
        <v>0</v>
      </c>
      <c r="B1612" s="37" t="s">
        <v>54</v>
      </c>
      <c r="C1612" s="38">
        <v>146383</v>
      </c>
    </row>
    <row r="1613" spans="1:3" x14ac:dyDescent="0.3">
      <c r="A1613" s="37" t="s">
        <v>0</v>
      </c>
      <c r="B1613" s="37" t="s">
        <v>53</v>
      </c>
      <c r="C1613" s="38"/>
    </row>
    <row r="1614" spans="1:3" x14ac:dyDescent="0.3">
      <c r="A1614" s="37" t="s">
        <v>0</v>
      </c>
      <c r="B1614" s="37" t="s">
        <v>53</v>
      </c>
      <c r="C1614" s="38"/>
    </row>
    <row r="1615" spans="1:3" x14ac:dyDescent="0.3">
      <c r="A1615" s="37" t="s">
        <v>0</v>
      </c>
      <c r="B1615" s="37" t="s">
        <v>93</v>
      </c>
      <c r="C1615" s="38">
        <v>132500</v>
      </c>
    </row>
    <row r="1616" spans="1:3" x14ac:dyDescent="0.3">
      <c r="A1616" s="37" t="s">
        <v>0</v>
      </c>
      <c r="B1616" s="37" t="s">
        <v>53</v>
      </c>
      <c r="C1616" s="38">
        <v>134000</v>
      </c>
    </row>
    <row r="1617" spans="1:3" x14ac:dyDescent="0.3">
      <c r="A1617" s="37" t="s">
        <v>0</v>
      </c>
      <c r="B1617" s="37" t="s">
        <v>79</v>
      </c>
      <c r="C1617" s="38">
        <v>79200</v>
      </c>
    </row>
    <row r="1618" spans="1:3" x14ac:dyDescent="0.3">
      <c r="A1618" s="37" t="s">
        <v>0</v>
      </c>
      <c r="B1618" s="37" t="s">
        <v>53</v>
      </c>
      <c r="C1618" s="38">
        <v>120000</v>
      </c>
    </row>
    <row r="1619" spans="1:3" x14ac:dyDescent="0.3">
      <c r="A1619" s="37" t="s">
        <v>0</v>
      </c>
      <c r="B1619" s="37" t="s">
        <v>53</v>
      </c>
      <c r="C1619" s="38"/>
    </row>
    <row r="1620" spans="1:3" x14ac:dyDescent="0.3">
      <c r="A1620" s="37" t="s">
        <v>0</v>
      </c>
      <c r="B1620" s="37" t="s">
        <v>53</v>
      </c>
      <c r="C1620" s="38">
        <v>130000</v>
      </c>
    </row>
    <row r="1621" spans="1:3" x14ac:dyDescent="0.3">
      <c r="A1621" s="37" t="s">
        <v>0</v>
      </c>
      <c r="B1621" s="37" t="s">
        <v>53</v>
      </c>
      <c r="C1621" s="38">
        <v>145000</v>
      </c>
    </row>
    <row r="1622" spans="1:3" x14ac:dyDescent="0.3">
      <c r="A1622" s="37" t="s">
        <v>0</v>
      </c>
      <c r="B1622" s="37" t="s">
        <v>85</v>
      </c>
      <c r="C1622" s="38">
        <v>64821.5</v>
      </c>
    </row>
    <row r="1623" spans="1:3" x14ac:dyDescent="0.3">
      <c r="A1623" s="37" t="s">
        <v>0</v>
      </c>
      <c r="B1623" s="37" t="s">
        <v>53</v>
      </c>
      <c r="C1623" s="38">
        <v>90000</v>
      </c>
    </row>
    <row r="1624" spans="1:3" x14ac:dyDescent="0.3">
      <c r="A1624" s="37" t="s">
        <v>0</v>
      </c>
      <c r="B1624" s="37" t="s">
        <v>53</v>
      </c>
      <c r="C1624" s="38">
        <v>112500</v>
      </c>
    </row>
    <row r="1625" spans="1:3" x14ac:dyDescent="0.3">
      <c r="A1625" s="37" t="s">
        <v>0</v>
      </c>
      <c r="B1625" s="37" t="s">
        <v>53</v>
      </c>
      <c r="C1625" s="38">
        <v>155000</v>
      </c>
    </row>
    <row r="1626" spans="1:3" x14ac:dyDescent="0.3">
      <c r="A1626" s="37" t="s">
        <v>0</v>
      </c>
      <c r="B1626" s="37" t="s">
        <v>53</v>
      </c>
      <c r="C1626" s="38">
        <v>157500</v>
      </c>
    </row>
    <row r="1627" spans="1:3" x14ac:dyDescent="0.3">
      <c r="A1627" s="37" t="s">
        <v>0</v>
      </c>
      <c r="B1627" s="37" t="s">
        <v>53</v>
      </c>
      <c r="C1627" s="38"/>
    </row>
    <row r="1628" spans="1:3" x14ac:dyDescent="0.3">
      <c r="A1628" s="37" t="s">
        <v>0</v>
      </c>
      <c r="B1628" s="37" t="s">
        <v>53</v>
      </c>
      <c r="C1628" s="38"/>
    </row>
    <row r="1629" spans="1:3" x14ac:dyDescent="0.3">
      <c r="A1629" s="37" t="s">
        <v>0</v>
      </c>
      <c r="B1629" s="37" t="s">
        <v>53</v>
      </c>
      <c r="C1629" s="38"/>
    </row>
    <row r="1630" spans="1:3" x14ac:dyDescent="0.3">
      <c r="A1630" s="37" t="s">
        <v>0</v>
      </c>
      <c r="B1630" s="37" t="s">
        <v>53</v>
      </c>
      <c r="C1630" s="38">
        <v>115000</v>
      </c>
    </row>
    <row r="1631" spans="1:3" x14ac:dyDescent="0.3">
      <c r="A1631" s="37" t="s">
        <v>0</v>
      </c>
      <c r="B1631" s="37" t="s">
        <v>53</v>
      </c>
      <c r="C1631" s="38">
        <v>169500</v>
      </c>
    </row>
    <row r="1632" spans="1:3" x14ac:dyDescent="0.3">
      <c r="A1632" s="37" t="s">
        <v>0</v>
      </c>
      <c r="B1632" s="37" t="s">
        <v>53</v>
      </c>
      <c r="C1632" s="38">
        <v>72500</v>
      </c>
    </row>
    <row r="1633" spans="1:3" x14ac:dyDescent="0.3">
      <c r="A1633" s="37" t="s">
        <v>0</v>
      </c>
      <c r="B1633" s="37" t="s">
        <v>53</v>
      </c>
      <c r="C1633" s="38">
        <v>100000</v>
      </c>
    </row>
    <row r="1634" spans="1:3" x14ac:dyDescent="0.3">
      <c r="A1634" s="37" t="s">
        <v>0</v>
      </c>
      <c r="B1634" s="37" t="s">
        <v>53</v>
      </c>
      <c r="C1634" s="38">
        <v>90000</v>
      </c>
    </row>
    <row r="1635" spans="1:3" x14ac:dyDescent="0.3">
      <c r="A1635" s="37" t="s">
        <v>0</v>
      </c>
      <c r="B1635" s="37" t="s">
        <v>53</v>
      </c>
      <c r="C1635" s="38">
        <v>85050</v>
      </c>
    </row>
    <row r="1636" spans="1:3" x14ac:dyDescent="0.3">
      <c r="A1636" s="37" t="s">
        <v>0</v>
      </c>
      <c r="B1636" s="37" t="s">
        <v>53</v>
      </c>
      <c r="C1636" s="38">
        <v>225000</v>
      </c>
    </row>
    <row r="1637" spans="1:3" x14ac:dyDescent="0.3">
      <c r="A1637" s="37" t="s">
        <v>0</v>
      </c>
      <c r="B1637" s="37" t="s">
        <v>53</v>
      </c>
      <c r="C1637" s="38"/>
    </row>
    <row r="1638" spans="1:3" x14ac:dyDescent="0.3">
      <c r="A1638" s="37" t="s">
        <v>0</v>
      </c>
      <c r="B1638" s="37" t="s">
        <v>53</v>
      </c>
      <c r="C1638" s="38">
        <v>130000</v>
      </c>
    </row>
    <row r="1639" spans="1:3" x14ac:dyDescent="0.3">
      <c r="A1639" s="37" t="s">
        <v>0</v>
      </c>
      <c r="B1639" s="37" t="s">
        <v>53</v>
      </c>
      <c r="C1639" s="38">
        <v>150000</v>
      </c>
    </row>
    <row r="1640" spans="1:3" x14ac:dyDescent="0.3">
      <c r="A1640" s="37" t="s">
        <v>0</v>
      </c>
      <c r="B1640" s="37" t="s">
        <v>53</v>
      </c>
      <c r="C1640" s="38">
        <v>185000</v>
      </c>
    </row>
    <row r="1641" spans="1:3" x14ac:dyDescent="0.3">
      <c r="A1641" s="37" t="s">
        <v>0</v>
      </c>
      <c r="B1641" s="37" t="s">
        <v>53</v>
      </c>
      <c r="C1641" s="38">
        <v>168018.5</v>
      </c>
    </row>
    <row r="1642" spans="1:3" x14ac:dyDescent="0.3">
      <c r="A1642" s="37" t="s">
        <v>0</v>
      </c>
      <c r="B1642" s="37" t="s">
        <v>53</v>
      </c>
      <c r="C1642" s="38"/>
    </row>
    <row r="1643" spans="1:3" x14ac:dyDescent="0.3">
      <c r="A1643" s="37" t="s">
        <v>0</v>
      </c>
      <c r="B1643" s="37" t="s">
        <v>107</v>
      </c>
      <c r="C1643" s="38">
        <v>109500</v>
      </c>
    </row>
    <row r="1644" spans="1:3" x14ac:dyDescent="0.3">
      <c r="A1644" s="37" t="s">
        <v>0</v>
      </c>
      <c r="B1644" s="37" t="s">
        <v>53</v>
      </c>
      <c r="C1644" s="38">
        <v>150000</v>
      </c>
    </row>
    <row r="1645" spans="1:3" x14ac:dyDescent="0.3">
      <c r="A1645" s="37" t="s">
        <v>0</v>
      </c>
      <c r="B1645" s="37" t="s">
        <v>54</v>
      </c>
      <c r="C1645" s="38">
        <v>145000</v>
      </c>
    </row>
    <row r="1646" spans="1:3" x14ac:dyDescent="0.3">
      <c r="A1646" s="37" t="s">
        <v>0</v>
      </c>
      <c r="B1646" s="37" t="s">
        <v>53</v>
      </c>
      <c r="C1646" s="38">
        <v>250000</v>
      </c>
    </row>
    <row r="1647" spans="1:3" x14ac:dyDescent="0.3">
      <c r="A1647" s="37" t="s">
        <v>0</v>
      </c>
      <c r="B1647" s="37" t="s">
        <v>53</v>
      </c>
      <c r="C1647" s="38">
        <v>146383</v>
      </c>
    </row>
    <row r="1648" spans="1:3" x14ac:dyDescent="0.3">
      <c r="A1648" s="37" t="s">
        <v>0</v>
      </c>
      <c r="B1648" s="37" t="s">
        <v>54</v>
      </c>
      <c r="C1648" s="38">
        <v>200000</v>
      </c>
    </row>
    <row r="1649" spans="1:3" x14ac:dyDescent="0.3">
      <c r="A1649" s="37" t="s">
        <v>0</v>
      </c>
      <c r="B1649" s="37" t="s">
        <v>121</v>
      </c>
      <c r="C1649" s="38">
        <v>88128</v>
      </c>
    </row>
    <row r="1650" spans="1:3" x14ac:dyDescent="0.3">
      <c r="A1650" s="37" t="s">
        <v>0</v>
      </c>
      <c r="B1650" s="37" t="s">
        <v>53</v>
      </c>
      <c r="C1650" s="38">
        <v>224500</v>
      </c>
    </row>
    <row r="1651" spans="1:3" x14ac:dyDescent="0.3">
      <c r="A1651" s="37" t="s">
        <v>0</v>
      </c>
      <c r="B1651" s="37" t="s">
        <v>56</v>
      </c>
      <c r="C1651" s="38">
        <v>157500</v>
      </c>
    </row>
    <row r="1652" spans="1:3" x14ac:dyDescent="0.3">
      <c r="A1652" s="37" t="s">
        <v>0</v>
      </c>
      <c r="B1652" s="37" t="s">
        <v>54</v>
      </c>
      <c r="C1652" s="38">
        <v>100000</v>
      </c>
    </row>
    <row r="1653" spans="1:3" x14ac:dyDescent="0.3">
      <c r="A1653" s="37" t="s">
        <v>0</v>
      </c>
      <c r="B1653" s="37" t="s">
        <v>53</v>
      </c>
      <c r="C1653" s="38">
        <v>115000</v>
      </c>
    </row>
    <row r="1654" spans="1:3" x14ac:dyDescent="0.3">
      <c r="A1654" s="37" t="s">
        <v>0</v>
      </c>
      <c r="B1654" s="37" t="s">
        <v>53</v>
      </c>
      <c r="C1654" s="38">
        <v>140000</v>
      </c>
    </row>
    <row r="1655" spans="1:3" x14ac:dyDescent="0.3">
      <c r="A1655" s="37" t="s">
        <v>0</v>
      </c>
      <c r="B1655" s="37" t="s">
        <v>53</v>
      </c>
      <c r="C1655" s="38">
        <v>90000</v>
      </c>
    </row>
    <row r="1656" spans="1:3" x14ac:dyDescent="0.3">
      <c r="A1656" s="37" t="s">
        <v>0</v>
      </c>
      <c r="B1656" s="37" t="s">
        <v>58</v>
      </c>
      <c r="C1656" s="38"/>
    </row>
    <row r="1657" spans="1:3" x14ac:dyDescent="0.3">
      <c r="A1657" s="37" t="s">
        <v>0</v>
      </c>
      <c r="B1657" s="37" t="s">
        <v>53</v>
      </c>
      <c r="C1657" s="38">
        <v>165000</v>
      </c>
    </row>
    <row r="1658" spans="1:3" x14ac:dyDescent="0.3">
      <c r="A1658" s="37" t="s">
        <v>0</v>
      </c>
      <c r="B1658" s="37" t="s">
        <v>54</v>
      </c>
      <c r="C1658" s="38">
        <v>152700</v>
      </c>
    </row>
    <row r="1659" spans="1:3" x14ac:dyDescent="0.3">
      <c r="A1659" s="37" t="s">
        <v>0</v>
      </c>
      <c r="B1659" s="37" t="s">
        <v>53</v>
      </c>
      <c r="C1659" s="38">
        <v>125000</v>
      </c>
    </row>
    <row r="1660" spans="1:3" x14ac:dyDescent="0.3">
      <c r="A1660" s="37" t="s">
        <v>0</v>
      </c>
      <c r="B1660" s="37" t="s">
        <v>53</v>
      </c>
      <c r="C1660" s="38"/>
    </row>
    <row r="1661" spans="1:3" x14ac:dyDescent="0.3">
      <c r="A1661" s="37" t="s">
        <v>0</v>
      </c>
      <c r="B1661" s="37" t="s">
        <v>53</v>
      </c>
      <c r="C1661" s="38">
        <v>224500</v>
      </c>
    </row>
    <row r="1662" spans="1:3" x14ac:dyDescent="0.3">
      <c r="A1662" s="37" t="s">
        <v>0</v>
      </c>
      <c r="B1662" s="37" t="s">
        <v>53</v>
      </c>
      <c r="C1662" s="38">
        <v>165000</v>
      </c>
    </row>
    <row r="1663" spans="1:3" x14ac:dyDescent="0.3">
      <c r="A1663" s="37" t="s">
        <v>0</v>
      </c>
      <c r="B1663" s="37" t="s">
        <v>54</v>
      </c>
      <c r="C1663" s="38"/>
    </row>
    <row r="1664" spans="1:3" x14ac:dyDescent="0.3">
      <c r="A1664" s="37" t="s">
        <v>0</v>
      </c>
      <c r="B1664" s="37" t="s">
        <v>53</v>
      </c>
      <c r="C1664" s="38">
        <v>99150</v>
      </c>
    </row>
    <row r="1665" spans="1:3" x14ac:dyDescent="0.3">
      <c r="A1665" s="37" t="s">
        <v>0</v>
      </c>
      <c r="B1665" s="37" t="s">
        <v>54</v>
      </c>
      <c r="C1665" s="38">
        <v>237500</v>
      </c>
    </row>
    <row r="1666" spans="1:3" x14ac:dyDescent="0.3">
      <c r="A1666" s="37" t="s">
        <v>0</v>
      </c>
      <c r="B1666" s="37" t="s">
        <v>53</v>
      </c>
      <c r="C1666" s="38"/>
    </row>
    <row r="1667" spans="1:3" x14ac:dyDescent="0.3">
      <c r="A1667" s="37" t="s">
        <v>0</v>
      </c>
      <c r="B1667" s="37" t="s">
        <v>53</v>
      </c>
      <c r="C1667" s="38">
        <v>115000</v>
      </c>
    </row>
    <row r="1668" spans="1:3" x14ac:dyDescent="0.3">
      <c r="A1668" s="37" t="s">
        <v>0</v>
      </c>
      <c r="B1668" s="37" t="s">
        <v>53</v>
      </c>
      <c r="C1668" s="38"/>
    </row>
    <row r="1669" spans="1:3" x14ac:dyDescent="0.3">
      <c r="A1669" s="37" t="s">
        <v>0</v>
      </c>
      <c r="B1669" s="37" t="s">
        <v>53</v>
      </c>
      <c r="C1669" s="38">
        <v>167500</v>
      </c>
    </row>
    <row r="1670" spans="1:3" x14ac:dyDescent="0.3">
      <c r="A1670" s="37" t="s">
        <v>0</v>
      </c>
      <c r="B1670" s="37" t="s">
        <v>53</v>
      </c>
      <c r="C1670" s="38"/>
    </row>
    <row r="1671" spans="1:3" x14ac:dyDescent="0.3">
      <c r="A1671" s="37" t="s">
        <v>0</v>
      </c>
      <c r="B1671" s="37" t="s">
        <v>65</v>
      </c>
      <c r="C1671" s="38">
        <v>89100</v>
      </c>
    </row>
    <row r="1672" spans="1:3" x14ac:dyDescent="0.3">
      <c r="A1672" s="37" t="s">
        <v>0</v>
      </c>
      <c r="B1672" s="37" t="s">
        <v>64</v>
      </c>
      <c r="C1672" s="38">
        <v>157500</v>
      </c>
    </row>
    <row r="1673" spans="1:3" x14ac:dyDescent="0.3">
      <c r="A1673" s="37" t="s">
        <v>0</v>
      </c>
      <c r="B1673" s="37" t="s">
        <v>53</v>
      </c>
      <c r="C1673" s="38">
        <v>130000</v>
      </c>
    </row>
    <row r="1674" spans="1:3" x14ac:dyDescent="0.3">
      <c r="A1674" s="37" t="s">
        <v>0</v>
      </c>
      <c r="B1674" s="37" t="s">
        <v>53</v>
      </c>
      <c r="C1674" s="38">
        <v>105000</v>
      </c>
    </row>
    <row r="1675" spans="1:3" x14ac:dyDescent="0.3">
      <c r="A1675" s="37" t="s">
        <v>0</v>
      </c>
      <c r="B1675" s="37" t="s">
        <v>54</v>
      </c>
      <c r="C1675" s="38">
        <v>195500</v>
      </c>
    </row>
    <row r="1676" spans="1:3" x14ac:dyDescent="0.3">
      <c r="A1676" s="37" t="s">
        <v>0</v>
      </c>
      <c r="B1676" s="37" t="s">
        <v>54</v>
      </c>
      <c r="C1676" s="38"/>
    </row>
    <row r="1677" spans="1:3" x14ac:dyDescent="0.3">
      <c r="A1677" s="37" t="s">
        <v>0</v>
      </c>
      <c r="B1677" s="37" t="s">
        <v>53</v>
      </c>
      <c r="C1677" s="38"/>
    </row>
    <row r="1678" spans="1:3" x14ac:dyDescent="0.3">
      <c r="A1678" s="37" t="s">
        <v>0</v>
      </c>
      <c r="B1678" s="37" t="s">
        <v>53</v>
      </c>
      <c r="C1678" s="38">
        <v>90000</v>
      </c>
    </row>
    <row r="1679" spans="1:3" x14ac:dyDescent="0.3">
      <c r="A1679" s="37" t="s">
        <v>0</v>
      </c>
      <c r="B1679" s="37" t="s">
        <v>53</v>
      </c>
      <c r="C1679" s="38">
        <v>90000</v>
      </c>
    </row>
    <row r="1680" spans="1:3" x14ac:dyDescent="0.3">
      <c r="A1680" s="37" t="s">
        <v>0</v>
      </c>
      <c r="B1680" s="37" t="s">
        <v>53</v>
      </c>
      <c r="C1680" s="38">
        <v>90000</v>
      </c>
    </row>
    <row r="1681" spans="1:3" x14ac:dyDescent="0.3">
      <c r="A1681" s="37" t="s">
        <v>0</v>
      </c>
      <c r="B1681" s="37" t="s">
        <v>53</v>
      </c>
      <c r="C1681" s="38">
        <v>125000</v>
      </c>
    </row>
    <row r="1682" spans="1:3" x14ac:dyDescent="0.3">
      <c r="A1682" s="37" t="s">
        <v>0</v>
      </c>
      <c r="B1682" s="37" t="s">
        <v>53</v>
      </c>
      <c r="C1682" s="38">
        <v>135720</v>
      </c>
    </row>
    <row r="1683" spans="1:3" x14ac:dyDescent="0.3">
      <c r="A1683" s="37" t="s">
        <v>0</v>
      </c>
      <c r="B1683" s="37" t="s">
        <v>97</v>
      </c>
      <c r="C1683" s="38">
        <v>89100</v>
      </c>
    </row>
    <row r="1684" spans="1:3" x14ac:dyDescent="0.3">
      <c r="A1684" s="37" t="s">
        <v>0</v>
      </c>
      <c r="B1684" s="37" t="s">
        <v>53</v>
      </c>
      <c r="C1684" s="38">
        <v>225000</v>
      </c>
    </row>
    <row r="1685" spans="1:3" x14ac:dyDescent="0.3">
      <c r="A1685" s="37" t="s">
        <v>0</v>
      </c>
      <c r="B1685" s="37" t="s">
        <v>115</v>
      </c>
      <c r="C1685" s="38">
        <v>157500</v>
      </c>
    </row>
    <row r="1686" spans="1:3" x14ac:dyDescent="0.3">
      <c r="A1686" s="37" t="s">
        <v>0</v>
      </c>
      <c r="B1686" s="37" t="s">
        <v>53</v>
      </c>
      <c r="C1686" s="38">
        <v>109500</v>
      </c>
    </row>
    <row r="1687" spans="1:3" x14ac:dyDescent="0.3">
      <c r="A1687" s="37" t="s">
        <v>0</v>
      </c>
      <c r="B1687" s="37" t="s">
        <v>53</v>
      </c>
      <c r="C1687" s="38">
        <v>155000</v>
      </c>
    </row>
    <row r="1688" spans="1:3" x14ac:dyDescent="0.3">
      <c r="A1688" s="37" t="s">
        <v>0</v>
      </c>
      <c r="B1688" s="37" t="s">
        <v>53</v>
      </c>
      <c r="C1688" s="38">
        <v>84620</v>
      </c>
    </row>
    <row r="1689" spans="1:3" x14ac:dyDescent="0.3">
      <c r="A1689" s="37" t="s">
        <v>0</v>
      </c>
      <c r="B1689" s="37" t="s">
        <v>54</v>
      </c>
      <c r="C1689" s="38"/>
    </row>
    <row r="1690" spans="1:3" x14ac:dyDescent="0.3">
      <c r="A1690" s="37" t="s">
        <v>0</v>
      </c>
      <c r="B1690" s="37" t="s">
        <v>53</v>
      </c>
      <c r="C1690" s="38">
        <v>115000</v>
      </c>
    </row>
    <row r="1691" spans="1:3" x14ac:dyDescent="0.3">
      <c r="A1691" s="37" t="s">
        <v>0</v>
      </c>
      <c r="B1691" s="37" t="s">
        <v>53</v>
      </c>
      <c r="C1691" s="38">
        <v>115000</v>
      </c>
    </row>
    <row r="1692" spans="1:3" x14ac:dyDescent="0.3">
      <c r="A1692" s="37" t="s">
        <v>0</v>
      </c>
      <c r="B1692" s="37" t="s">
        <v>97</v>
      </c>
      <c r="C1692" s="38">
        <v>64821.5</v>
      </c>
    </row>
    <row r="1693" spans="1:3" x14ac:dyDescent="0.3">
      <c r="A1693" s="37" t="s">
        <v>0</v>
      </c>
      <c r="B1693" s="37" t="s">
        <v>88</v>
      </c>
      <c r="C1693" s="38">
        <v>81000</v>
      </c>
    </row>
    <row r="1694" spans="1:3" x14ac:dyDescent="0.3">
      <c r="A1694" s="37" t="s">
        <v>0</v>
      </c>
      <c r="B1694" s="37" t="s">
        <v>54</v>
      </c>
      <c r="C1694" s="38">
        <v>115000</v>
      </c>
    </row>
    <row r="1695" spans="1:3" x14ac:dyDescent="0.3">
      <c r="A1695" s="37" t="s">
        <v>0</v>
      </c>
      <c r="B1695" s="37" t="s">
        <v>54</v>
      </c>
      <c r="C1695" s="38">
        <v>105000</v>
      </c>
    </row>
    <row r="1696" spans="1:3" x14ac:dyDescent="0.3">
      <c r="A1696" s="37" t="s">
        <v>0</v>
      </c>
      <c r="B1696" s="37" t="s">
        <v>53</v>
      </c>
      <c r="C1696" s="38">
        <v>165000</v>
      </c>
    </row>
    <row r="1697" spans="1:3" x14ac:dyDescent="0.3">
      <c r="A1697" s="37" t="s">
        <v>0</v>
      </c>
      <c r="B1697" s="37" t="s">
        <v>53</v>
      </c>
      <c r="C1697" s="38">
        <v>105000</v>
      </c>
    </row>
    <row r="1698" spans="1:3" x14ac:dyDescent="0.3">
      <c r="A1698" s="37" t="s">
        <v>0</v>
      </c>
      <c r="B1698" s="37" t="s">
        <v>53</v>
      </c>
      <c r="C1698" s="38">
        <v>135000</v>
      </c>
    </row>
    <row r="1699" spans="1:3" x14ac:dyDescent="0.3">
      <c r="A1699" s="37" t="s">
        <v>0</v>
      </c>
      <c r="B1699" s="37" t="s">
        <v>53</v>
      </c>
      <c r="C1699" s="38">
        <v>115000</v>
      </c>
    </row>
    <row r="1700" spans="1:3" x14ac:dyDescent="0.3">
      <c r="A1700" s="37" t="s">
        <v>0</v>
      </c>
      <c r="B1700" s="37" t="s">
        <v>53</v>
      </c>
      <c r="C1700" s="38">
        <v>140000</v>
      </c>
    </row>
    <row r="1701" spans="1:3" x14ac:dyDescent="0.3">
      <c r="A1701" s="37" t="s">
        <v>0</v>
      </c>
      <c r="B1701" s="37" t="s">
        <v>54</v>
      </c>
      <c r="C1701" s="38">
        <v>113500</v>
      </c>
    </row>
    <row r="1702" spans="1:3" x14ac:dyDescent="0.3">
      <c r="A1702" s="37" t="s">
        <v>0</v>
      </c>
      <c r="B1702" s="37" t="s">
        <v>53</v>
      </c>
      <c r="C1702" s="38"/>
    </row>
    <row r="1703" spans="1:3" x14ac:dyDescent="0.3">
      <c r="A1703" s="37" t="s">
        <v>0</v>
      </c>
      <c r="B1703" s="37" t="s">
        <v>53</v>
      </c>
      <c r="C1703" s="38"/>
    </row>
    <row r="1704" spans="1:3" x14ac:dyDescent="0.3">
      <c r="A1704" s="37" t="s">
        <v>0</v>
      </c>
      <c r="B1704" s="37" t="s">
        <v>80</v>
      </c>
      <c r="C1704" s="38">
        <v>166941.5</v>
      </c>
    </row>
    <row r="1705" spans="1:3" x14ac:dyDescent="0.3">
      <c r="A1705" s="37" t="s">
        <v>0</v>
      </c>
      <c r="B1705" s="37" t="s">
        <v>53</v>
      </c>
      <c r="C1705" s="38">
        <v>130000</v>
      </c>
    </row>
    <row r="1706" spans="1:3" x14ac:dyDescent="0.3">
      <c r="A1706" s="37" t="s">
        <v>0</v>
      </c>
      <c r="B1706" s="37" t="s">
        <v>53</v>
      </c>
      <c r="C1706" s="38"/>
    </row>
    <row r="1707" spans="1:3" x14ac:dyDescent="0.3">
      <c r="A1707" s="37" t="s">
        <v>0</v>
      </c>
      <c r="B1707" s="37" t="s">
        <v>53</v>
      </c>
      <c r="C1707" s="38">
        <v>119550</v>
      </c>
    </row>
    <row r="1708" spans="1:3" x14ac:dyDescent="0.3">
      <c r="A1708" s="37" t="s">
        <v>0</v>
      </c>
      <c r="B1708" s="37" t="s">
        <v>53</v>
      </c>
      <c r="C1708" s="38">
        <v>152500</v>
      </c>
    </row>
    <row r="1709" spans="1:3" x14ac:dyDescent="0.3">
      <c r="A1709" s="37" t="s">
        <v>0</v>
      </c>
      <c r="B1709" s="37" t="s">
        <v>53</v>
      </c>
      <c r="C1709" s="38">
        <v>225000</v>
      </c>
    </row>
    <row r="1710" spans="1:3" x14ac:dyDescent="0.3">
      <c r="A1710" s="37" t="s">
        <v>0</v>
      </c>
      <c r="B1710" s="37" t="s">
        <v>53</v>
      </c>
      <c r="C1710" s="38">
        <v>90000</v>
      </c>
    </row>
    <row r="1711" spans="1:3" x14ac:dyDescent="0.3">
      <c r="A1711" s="37" t="s">
        <v>0</v>
      </c>
      <c r="B1711" s="37" t="s">
        <v>53</v>
      </c>
      <c r="C1711" s="38">
        <v>120000</v>
      </c>
    </row>
    <row r="1712" spans="1:3" x14ac:dyDescent="0.3">
      <c r="A1712" s="37" t="s">
        <v>0</v>
      </c>
      <c r="B1712" s="37" t="s">
        <v>53</v>
      </c>
      <c r="C1712" s="38"/>
    </row>
    <row r="1713" spans="1:3" x14ac:dyDescent="0.3">
      <c r="A1713" s="37" t="s">
        <v>0</v>
      </c>
      <c r="B1713" s="37" t="s">
        <v>54</v>
      </c>
      <c r="C1713" s="38"/>
    </row>
    <row r="1714" spans="1:3" x14ac:dyDescent="0.3">
      <c r="A1714" s="37" t="s">
        <v>0</v>
      </c>
      <c r="B1714" s="37" t="s">
        <v>53</v>
      </c>
      <c r="C1714" s="38"/>
    </row>
    <row r="1715" spans="1:3" x14ac:dyDescent="0.3">
      <c r="A1715" s="37" t="s">
        <v>0</v>
      </c>
      <c r="B1715" s="37" t="s">
        <v>53</v>
      </c>
      <c r="C1715" s="38">
        <v>152650</v>
      </c>
    </row>
    <row r="1716" spans="1:3" x14ac:dyDescent="0.3">
      <c r="A1716" s="37" t="s">
        <v>0</v>
      </c>
      <c r="B1716" s="37" t="s">
        <v>53</v>
      </c>
      <c r="C1716" s="38">
        <v>101950</v>
      </c>
    </row>
    <row r="1717" spans="1:3" x14ac:dyDescent="0.3">
      <c r="A1717" s="37" t="s">
        <v>0</v>
      </c>
      <c r="B1717" s="37" t="s">
        <v>53</v>
      </c>
      <c r="C1717" s="38">
        <v>130000</v>
      </c>
    </row>
    <row r="1718" spans="1:3" x14ac:dyDescent="0.3">
      <c r="A1718" s="37" t="s">
        <v>0</v>
      </c>
      <c r="B1718" s="37" t="s">
        <v>53</v>
      </c>
      <c r="C1718" s="38">
        <v>110000</v>
      </c>
    </row>
    <row r="1719" spans="1:3" x14ac:dyDescent="0.3">
      <c r="A1719" s="37" t="s">
        <v>0</v>
      </c>
      <c r="B1719" s="37" t="s">
        <v>53</v>
      </c>
      <c r="C1719" s="38">
        <v>127390</v>
      </c>
    </row>
    <row r="1720" spans="1:3" x14ac:dyDescent="0.3">
      <c r="A1720" s="37" t="s">
        <v>0</v>
      </c>
      <c r="B1720" s="37" t="s">
        <v>53</v>
      </c>
      <c r="C1720" s="38"/>
    </row>
    <row r="1721" spans="1:3" x14ac:dyDescent="0.3">
      <c r="A1721" s="37" t="s">
        <v>0</v>
      </c>
      <c r="B1721" s="37" t="s">
        <v>53</v>
      </c>
      <c r="C1721" s="38">
        <v>135233.34375</v>
      </c>
    </row>
    <row r="1722" spans="1:3" x14ac:dyDescent="0.3">
      <c r="A1722" s="37" t="s">
        <v>0</v>
      </c>
      <c r="B1722" s="37" t="s">
        <v>53</v>
      </c>
      <c r="C1722" s="38">
        <v>123500</v>
      </c>
    </row>
    <row r="1723" spans="1:3" x14ac:dyDescent="0.3">
      <c r="A1723" s="37" t="s">
        <v>0</v>
      </c>
      <c r="B1723" s="37" t="s">
        <v>53</v>
      </c>
      <c r="C1723" s="38">
        <v>90000</v>
      </c>
    </row>
    <row r="1724" spans="1:3" x14ac:dyDescent="0.3">
      <c r="A1724" s="37" t="s">
        <v>0</v>
      </c>
      <c r="B1724" s="37" t="s">
        <v>53</v>
      </c>
      <c r="C1724" s="38">
        <v>90000</v>
      </c>
    </row>
    <row r="1725" spans="1:3" x14ac:dyDescent="0.3">
      <c r="A1725" s="37" t="s">
        <v>0</v>
      </c>
      <c r="B1725" s="37" t="s">
        <v>80</v>
      </c>
      <c r="C1725" s="38">
        <v>64821.5</v>
      </c>
    </row>
    <row r="1726" spans="1:3" x14ac:dyDescent="0.3">
      <c r="A1726" s="37" t="s">
        <v>0</v>
      </c>
      <c r="B1726" s="37" t="s">
        <v>54</v>
      </c>
      <c r="C1726" s="38">
        <v>114500</v>
      </c>
    </row>
    <row r="1727" spans="1:3" x14ac:dyDescent="0.3">
      <c r="A1727" s="37" t="s">
        <v>0</v>
      </c>
      <c r="B1727" s="37" t="s">
        <v>53</v>
      </c>
      <c r="C1727" s="38"/>
    </row>
    <row r="1728" spans="1:3" x14ac:dyDescent="0.3">
      <c r="A1728" s="37" t="s">
        <v>0</v>
      </c>
      <c r="B1728" s="37" t="s">
        <v>53</v>
      </c>
      <c r="C1728" s="38"/>
    </row>
    <row r="1729" spans="1:3" x14ac:dyDescent="0.3">
      <c r="A1729" s="37" t="s">
        <v>0</v>
      </c>
      <c r="B1729" s="37" t="s">
        <v>53</v>
      </c>
      <c r="C1729" s="38"/>
    </row>
    <row r="1730" spans="1:3" x14ac:dyDescent="0.3">
      <c r="A1730" s="37" t="s">
        <v>0</v>
      </c>
      <c r="B1730" s="37" t="s">
        <v>53</v>
      </c>
      <c r="C1730" s="38">
        <v>63977</v>
      </c>
    </row>
    <row r="1731" spans="1:3" x14ac:dyDescent="0.3">
      <c r="A1731" s="37" t="s">
        <v>0</v>
      </c>
      <c r="B1731" s="37" t="s">
        <v>53</v>
      </c>
      <c r="C1731" s="38">
        <v>112500</v>
      </c>
    </row>
    <row r="1732" spans="1:3" x14ac:dyDescent="0.3">
      <c r="A1732" s="37" t="s">
        <v>0</v>
      </c>
      <c r="B1732" s="37" t="s">
        <v>53</v>
      </c>
      <c r="C1732" s="38"/>
    </row>
    <row r="1733" spans="1:3" x14ac:dyDescent="0.3">
      <c r="A1733" s="37" t="s">
        <v>0</v>
      </c>
      <c r="B1733" s="37" t="s">
        <v>53</v>
      </c>
      <c r="C1733" s="38">
        <v>186000</v>
      </c>
    </row>
    <row r="1734" spans="1:3" x14ac:dyDescent="0.3">
      <c r="A1734" s="37" t="s">
        <v>0</v>
      </c>
      <c r="B1734" s="37" t="s">
        <v>53</v>
      </c>
      <c r="C1734" s="38"/>
    </row>
    <row r="1735" spans="1:3" x14ac:dyDescent="0.3">
      <c r="A1735" s="37" t="s">
        <v>0</v>
      </c>
      <c r="B1735" s="37" t="s">
        <v>53</v>
      </c>
      <c r="C1735" s="38">
        <v>90000</v>
      </c>
    </row>
    <row r="1736" spans="1:3" x14ac:dyDescent="0.3">
      <c r="A1736" s="37" t="s">
        <v>0</v>
      </c>
      <c r="B1736" s="37" t="s">
        <v>53</v>
      </c>
      <c r="C1736" s="38"/>
    </row>
    <row r="1737" spans="1:3" x14ac:dyDescent="0.3">
      <c r="A1737" s="37" t="s">
        <v>0</v>
      </c>
      <c r="B1737" s="37" t="s">
        <v>53</v>
      </c>
      <c r="C1737" s="38">
        <v>109450</v>
      </c>
    </row>
    <row r="1738" spans="1:3" x14ac:dyDescent="0.3">
      <c r="A1738" s="37" t="s">
        <v>0</v>
      </c>
      <c r="B1738" s="37" t="s">
        <v>53</v>
      </c>
      <c r="C1738" s="38">
        <v>195500</v>
      </c>
    </row>
    <row r="1739" spans="1:3" x14ac:dyDescent="0.3">
      <c r="A1739" s="37" t="s">
        <v>0</v>
      </c>
      <c r="B1739" s="37" t="s">
        <v>53</v>
      </c>
      <c r="C1739" s="38"/>
    </row>
    <row r="1740" spans="1:3" x14ac:dyDescent="0.3">
      <c r="A1740" s="37" t="s">
        <v>0</v>
      </c>
      <c r="B1740" s="37" t="s">
        <v>80</v>
      </c>
      <c r="C1740" s="38">
        <v>79200</v>
      </c>
    </row>
    <row r="1741" spans="1:3" x14ac:dyDescent="0.3">
      <c r="A1741" s="37" t="s">
        <v>0</v>
      </c>
      <c r="B1741" s="37" t="s">
        <v>53</v>
      </c>
      <c r="C1741" s="38">
        <v>187000</v>
      </c>
    </row>
    <row r="1742" spans="1:3" x14ac:dyDescent="0.3">
      <c r="A1742" s="37" t="s">
        <v>0</v>
      </c>
      <c r="B1742" s="37" t="s">
        <v>53</v>
      </c>
      <c r="C1742" s="38">
        <v>115000</v>
      </c>
    </row>
    <row r="1743" spans="1:3" x14ac:dyDescent="0.3">
      <c r="A1743" s="37" t="s">
        <v>0</v>
      </c>
      <c r="B1743" s="37" t="s">
        <v>53</v>
      </c>
      <c r="C1743" s="38">
        <v>145000</v>
      </c>
    </row>
    <row r="1744" spans="1:3" x14ac:dyDescent="0.3">
      <c r="A1744" s="37" t="s">
        <v>0</v>
      </c>
      <c r="B1744" s="37" t="s">
        <v>53</v>
      </c>
      <c r="C1744" s="38">
        <v>115000</v>
      </c>
    </row>
    <row r="1745" spans="1:3" x14ac:dyDescent="0.3">
      <c r="A1745" s="37" t="s">
        <v>0</v>
      </c>
      <c r="B1745" s="37" t="s">
        <v>54</v>
      </c>
      <c r="C1745" s="38">
        <v>157000</v>
      </c>
    </row>
    <row r="1746" spans="1:3" x14ac:dyDescent="0.3">
      <c r="A1746" s="37" t="s">
        <v>0</v>
      </c>
      <c r="B1746" s="37" t="s">
        <v>54</v>
      </c>
      <c r="C1746" s="38">
        <v>59480</v>
      </c>
    </row>
    <row r="1747" spans="1:3" x14ac:dyDescent="0.3">
      <c r="A1747" s="37" t="s">
        <v>0</v>
      </c>
      <c r="B1747" s="37" t="s">
        <v>53</v>
      </c>
      <c r="C1747" s="38">
        <v>205000</v>
      </c>
    </row>
    <row r="1748" spans="1:3" x14ac:dyDescent="0.3">
      <c r="A1748" s="37" t="s">
        <v>0</v>
      </c>
      <c r="B1748" s="37" t="s">
        <v>53</v>
      </c>
      <c r="C1748" s="38">
        <v>158500</v>
      </c>
    </row>
    <row r="1749" spans="1:3" x14ac:dyDescent="0.3">
      <c r="A1749" s="37" t="s">
        <v>0</v>
      </c>
      <c r="B1749" s="37" t="s">
        <v>53</v>
      </c>
      <c r="C1749" s="38">
        <v>210000</v>
      </c>
    </row>
    <row r="1750" spans="1:3" x14ac:dyDescent="0.3">
      <c r="A1750" s="37" t="s">
        <v>0</v>
      </c>
      <c r="B1750" s="37" t="s">
        <v>122</v>
      </c>
      <c r="C1750" s="38">
        <v>157500</v>
      </c>
    </row>
    <row r="1751" spans="1:3" x14ac:dyDescent="0.3">
      <c r="A1751" s="37" t="s">
        <v>0</v>
      </c>
      <c r="B1751" s="37" t="s">
        <v>53</v>
      </c>
      <c r="C1751" s="38">
        <v>234500</v>
      </c>
    </row>
    <row r="1752" spans="1:3" x14ac:dyDescent="0.3">
      <c r="A1752" s="37" t="s">
        <v>0</v>
      </c>
      <c r="B1752" s="37" t="s">
        <v>53</v>
      </c>
      <c r="C1752" s="38"/>
    </row>
    <row r="1753" spans="1:3" x14ac:dyDescent="0.3">
      <c r="A1753" s="37" t="s">
        <v>0</v>
      </c>
      <c r="B1753" s="37" t="s">
        <v>53</v>
      </c>
      <c r="C1753" s="38">
        <v>157500</v>
      </c>
    </row>
    <row r="1754" spans="1:3" x14ac:dyDescent="0.3">
      <c r="A1754" s="37" t="s">
        <v>0</v>
      </c>
      <c r="B1754" s="37" t="s">
        <v>53</v>
      </c>
      <c r="C1754" s="38"/>
    </row>
    <row r="1755" spans="1:3" x14ac:dyDescent="0.3">
      <c r="A1755" s="37" t="s">
        <v>0</v>
      </c>
      <c r="B1755" s="37" t="s">
        <v>53</v>
      </c>
      <c r="C1755" s="38">
        <v>255000</v>
      </c>
    </row>
    <row r="1756" spans="1:3" x14ac:dyDescent="0.3">
      <c r="A1756" s="37" t="s">
        <v>0</v>
      </c>
      <c r="B1756" s="37" t="s">
        <v>72</v>
      </c>
      <c r="C1756" s="38">
        <v>89100</v>
      </c>
    </row>
    <row r="1757" spans="1:3" x14ac:dyDescent="0.3">
      <c r="A1757" s="37" t="s">
        <v>0</v>
      </c>
      <c r="B1757" s="37" t="s">
        <v>53</v>
      </c>
      <c r="C1757" s="38">
        <v>169500</v>
      </c>
    </row>
    <row r="1758" spans="1:3" x14ac:dyDescent="0.3">
      <c r="A1758" s="37" t="s">
        <v>0</v>
      </c>
      <c r="B1758" s="37" t="s">
        <v>53</v>
      </c>
      <c r="C1758" s="38">
        <v>200000</v>
      </c>
    </row>
    <row r="1759" spans="1:3" x14ac:dyDescent="0.3">
      <c r="A1759" s="37" t="s">
        <v>0</v>
      </c>
      <c r="B1759" s="37" t="s">
        <v>54</v>
      </c>
      <c r="C1759" s="38">
        <v>84692</v>
      </c>
    </row>
    <row r="1760" spans="1:3" x14ac:dyDescent="0.3">
      <c r="A1760" s="37" t="s">
        <v>0</v>
      </c>
      <c r="B1760" s="37" t="s">
        <v>53</v>
      </c>
      <c r="C1760" s="38"/>
    </row>
    <row r="1761" spans="1:3" x14ac:dyDescent="0.3">
      <c r="A1761" s="37" t="s">
        <v>0</v>
      </c>
      <c r="B1761" s="37" t="s">
        <v>53</v>
      </c>
      <c r="C1761" s="38">
        <v>90000</v>
      </c>
    </row>
    <row r="1762" spans="1:3" x14ac:dyDescent="0.3">
      <c r="A1762" s="37" t="s">
        <v>0</v>
      </c>
      <c r="B1762" s="37" t="s">
        <v>53</v>
      </c>
      <c r="C1762" s="38"/>
    </row>
    <row r="1763" spans="1:3" x14ac:dyDescent="0.3">
      <c r="A1763" s="37" t="s">
        <v>0</v>
      </c>
      <c r="B1763" s="37" t="s">
        <v>53</v>
      </c>
      <c r="C1763" s="38"/>
    </row>
    <row r="1764" spans="1:3" x14ac:dyDescent="0.3">
      <c r="A1764" s="37" t="s">
        <v>0</v>
      </c>
      <c r="B1764" s="37" t="s">
        <v>53</v>
      </c>
      <c r="C1764" s="38">
        <v>150000</v>
      </c>
    </row>
    <row r="1765" spans="1:3" x14ac:dyDescent="0.3">
      <c r="A1765" s="37" t="s">
        <v>0</v>
      </c>
      <c r="B1765" s="37" t="s">
        <v>53</v>
      </c>
      <c r="C1765" s="38">
        <v>205000</v>
      </c>
    </row>
    <row r="1766" spans="1:3" x14ac:dyDescent="0.3">
      <c r="A1766" s="37" t="s">
        <v>0</v>
      </c>
      <c r="B1766" s="37" t="s">
        <v>53</v>
      </c>
      <c r="C1766" s="38">
        <v>182500</v>
      </c>
    </row>
    <row r="1767" spans="1:3" x14ac:dyDescent="0.3">
      <c r="A1767" s="37" t="s">
        <v>0</v>
      </c>
      <c r="B1767" s="37" t="s">
        <v>53</v>
      </c>
      <c r="C1767" s="38">
        <v>160000</v>
      </c>
    </row>
    <row r="1768" spans="1:3" x14ac:dyDescent="0.3">
      <c r="A1768" s="37" t="s">
        <v>0</v>
      </c>
      <c r="B1768" s="37" t="s">
        <v>53</v>
      </c>
      <c r="C1768" s="38">
        <v>150000</v>
      </c>
    </row>
    <row r="1769" spans="1:3" x14ac:dyDescent="0.3">
      <c r="A1769" s="37" t="s">
        <v>0</v>
      </c>
      <c r="B1769" s="37" t="s">
        <v>53</v>
      </c>
      <c r="C1769" s="38"/>
    </row>
    <row r="1770" spans="1:3" x14ac:dyDescent="0.3">
      <c r="A1770" s="37" t="s">
        <v>0</v>
      </c>
      <c r="B1770" s="37" t="s">
        <v>54</v>
      </c>
      <c r="C1770" s="38">
        <v>180000</v>
      </c>
    </row>
    <row r="1771" spans="1:3" x14ac:dyDescent="0.3">
      <c r="A1771" s="37" t="s">
        <v>0</v>
      </c>
      <c r="B1771" s="37" t="s">
        <v>53</v>
      </c>
      <c r="C1771" s="38">
        <v>225000</v>
      </c>
    </row>
    <row r="1772" spans="1:3" x14ac:dyDescent="0.3">
      <c r="A1772" s="37" t="s">
        <v>0</v>
      </c>
      <c r="B1772" s="37" t="s">
        <v>54</v>
      </c>
      <c r="C1772" s="38"/>
    </row>
    <row r="1773" spans="1:3" x14ac:dyDescent="0.3">
      <c r="A1773" s="37" t="s">
        <v>0</v>
      </c>
      <c r="B1773" s="37" t="s">
        <v>58</v>
      </c>
      <c r="C1773" s="38"/>
    </row>
    <row r="1774" spans="1:3" x14ac:dyDescent="0.3">
      <c r="A1774" s="37" t="s">
        <v>0</v>
      </c>
      <c r="B1774" s="37" t="s">
        <v>54</v>
      </c>
      <c r="C1774" s="38">
        <v>132500</v>
      </c>
    </row>
    <row r="1775" spans="1:3" x14ac:dyDescent="0.3">
      <c r="A1775" s="37" t="s">
        <v>0</v>
      </c>
      <c r="B1775" s="37" t="s">
        <v>53</v>
      </c>
      <c r="C1775" s="38">
        <v>143500</v>
      </c>
    </row>
    <row r="1776" spans="1:3" x14ac:dyDescent="0.3">
      <c r="A1776" s="37" t="s">
        <v>0</v>
      </c>
      <c r="B1776" s="37" t="s">
        <v>53</v>
      </c>
      <c r="C1776" s="38"/>
    </row>
    <row r="1777" spans="1:3" x14ac:dyDescent="0.3">
      <c r="A1777" s="37" t="s">
        <v>0</v>
      </c>
      <c r="B1777" s="37" t="s">
        <v>73</v>
      </c>
      <c r="C1777" s="38">
        <v>157500</v>
      </c>
    </row>
    <row r="1778" spans="1:3" x14ac:dyDescent="0.3">
      <c r="A1778" s="37" t="s">
        <v>0</v>
      </c>
      <c r="B1778" s="37" t="s">
        <v>53</v>
      </c>
      <c r="C1778" s="38"/>
    </row>
    <row r="1779" spans="1:3" x14ac:dyDescent="0.3">
      <c r="A1779" s="37" t="s">
        <v>0</v>
      </c>
      <c r="B1779" s="37" t="s">
        <v>53</v>
      </c>
      <c r="C1779" s="38"/>
    </row>
    <row r="1780" spans="1:3" x14ac:dyDescent="0.3">
      <c r="A1780" s="37" t="s">
        <v>0</v>
      </c>
      <c r="B1780" s="37" t="s">
        <v>53</v>
      </c>
      <c r="C1780" s="38">
        <v>157375</v>
      </c>
    </row>
    <row r="1781" spans="1:3" x14ac:dyDescent="0.3">
      <c r="A1781" s="37" t="s">
        <v>0</v>
      </c>
      <c r="B1781" s="37" t="s">
        <v>53</v>
      </c>
      <c r="C1781" s="38">
        <v>220000</v>
      </c>
    </row>
    <row r="1782" spans="1:3" x14ac:dyDescent="0.3">
      <c r="A1782" s="37" t="s">
        <v>0</v>
      </c>
      <c r="B1782" s="37" t="s">
        <v>53</v>
      </c>
      <c r="C1782" s="38">
        <v>190000</v>
      </c>
    </row>
    <row r="1783" spans="1:3" x14ac:dyDescent="0.3">
      <c r="A1783" s="37" t="s">
        <v>0</v>
      </c>
      <c r="B1783" s="37" t="s">
        <v>53</v>
      </c>
      <c r="C1783" s="38">
        <v>125000</v>
      </c>
    </row>
    <row r="1784" spans="1:3" x14ac:dyDescent="0.3">
      <c r="A1784" s="37" t="s">
        <v>0</v>
      </c>
      <c r="B1784" s="37" t="s">
        <v>53</v>
      </c>
      <c r="C1784" s="38">
        <v>178500</v>
      </c>
    </row>
    <row r="1785" spans="1:3" x14ac:dyDescent="0.3">
      <c r="A1785" s="37" t="s">
        <v>0</v>
      </c>
      <c r="B1785" s="37" t="s">
        <v>53</v>
      </c>
      <c r="C1785" s="38">
        <v>106000</v>
      </c>
    </row>
    <row r="1786" spans="1:3" x14ac:dyDescent="0.3">
      <c r="A1786" s="37" t="s">
        <v>0</v>
      </c>
      <c r="B1786" s="37" t="s">
        <v>53</v>
      </c>
      <c r="C1786" s="38">
        <v>119550</v>
      </c>
    </row>
    <row r="1787" spans="1:3" x14ac:dyDescent="0.3">
      <c r="A1787" s="37" t="s">
        <v>0</v>
      </c>
      <c r="B1787" s="37" t="s">
        <v>53</v>
      </c>
      <c r="C1787" s="38">
        <v>120000</v>
      </c>
    </row>
    <row r="1788" spans="1:3" x14ac:dyDescent="0.3">
      <c r="A1788" s="37" t="s">
        <v>0</v>
      </c>
      <c r="B1788" s="37" t="s">
        <v>53</v>
      </c>
      <c r="C1788" s="38">
        <v>165000</v>
      </c>
    </row>
    <row r="1789" spans="1:3" x14ac:dyDescent="0.3">
      <c r="A1789" s="37" t="s">
        <v>0</v>
      </c>
      <c r="B1789" s="37" t="s">
        <v>75</v>
      </c>
      <c r="C1789" s="38">
        <v>56700</v>
      </c>
    </row>
    <row r="1790" spans="1:3" x14ac:dyDescent="0.3">
      <c r="A1790" s="37" t="s">
        <v>0</v>
      </c>
      <c r="B1790" s="37" t="s">
        <v>53</v>
      </c>
      <c r="C1790" s="38">
        <v>115000</v>
      </c>
    </row>
    <row r="1791" spans="1:3" x14ac:dyDescent="0.3">
      <c r="A1791" s="37" t="s">
        <v>0</v>
      </c>
      <c r="B1791" s="37" t="s">
        <v>53</v>
      </c>
      <c r="C1791" s="38"/>
    </row>
    <row r="1792" spans="1:3" x14ac:dyDescent="0.3">
      <c r="A1792" s="37" t="s">
        <v>0</v>
      </c>
      <c r="B1792" s="37" t="s">
        <v>53</v>
      </c>
      <c r="C1792" s="38">
        <v>79000</v>
      </c>
    </row>
    <row r="1793" spans="1:3" x14ac:dyDescent="0.3">
      <c r="A1793" s="37" t="s">
        <v>0</v>
      </c>
      <c r="B1793" s="37" t="s">
        <v>53</v>
      </c>
      <c r="C1793" s="38">
        <v>224500</v>
      </c>
    </row>
    <row r="1794" spans="1:3" x14ac:dyDescent="0.3">
      <c r="A1794" s="37" t="s">
        <v>0</v>
      </c>
      <c r="B1794" s="37" t="s">
        <v>71</v>
      </c>
      <c r="C1794" s="38">
        <v>157500</v>
      </c>
    </row>
    <row r="1795" spans="1:3" x14ac:dyDescent="0.3">
      <c r="A1795" s="37" t="s">
        <v>0</v>
      </c>
      <c r="B1795" s="37" t="s">
        <v>54</v>
      </c>
      <c r="C1795" s="38">
        <v>90000</v>
      </c>
    </row>
    <row r="1796" spans="1:3" x14ac:dyDescent="0.3">
      <c r="A1796" s="37" t="s">
        <v>0</v>
      </c>
      <c r="B1796" s="37" t="s">
        <v>72</v>
      </c>
      <c r="C1796" s="38">
        <v>64821.5</v>
      </c>
    </row>
    <row r="1797" spans="1:3" x14ac:dyDescent="0.3">
      <c r="A1797" s="37" t="s">
        <v>0</v>
      </c>
      <c r="B1797" s="37" t="s">
        <v>53</v>
      </c>
      <c r="C1797" s="38">
        <v>245000</v>
      </c>
    </row>
    <row r="1798" spans="1:3" x14ac:dyDescent="0.3">
      <c r="A1798" s="37" t="s">
        <v>0</v>
      </c>
      <c r="B1798" s="37" t="s">
        <v>53</v>
      </c>
      <c r="C1798" s="38">
        <v>207560</v>
      </c>
    </row>
    <row r="1799" spans="1:3" x14ac:dyDescent="0.3">
      <c r="A1799" s="37" t="s">
        <v>0</v>
      </c>
      <c r="B1799" s="37" t="s">
        <v>53</v>
      </c>
      <c r="C1799" s="38">
        <v>245000</v>
      </c>
    </row>
    <row r="1800" spans="1:3" x14ac:dyDescent="0.3">
      <c r="A1800" s="37" t="s">
        <v>0</v>
      </c>
      <c r="B1800" s="37" t="s">
        <v>53</v>
      </c>
      <c r="C1800" s="38"/>
    </row>
    <row r="1801" spans="1:3" x14ac:dyDescent="0.3">
      <c r="A1801" s="37" t="s">
        <v>0</v>
      </c>
      <c r="B1801" s="37" t="s">
        <v>54</v>
      </c>
      <c r="C1801" s="38"/>
    </row>
    <row r="1802" spans="1:3" x14ac:dyDescent="0.3">
      <c r="A1802" s="37" t="s">
        <v>0</v>
      </c>
      <c r="B1802" s="37" t="s">
        <v>53</v>
      </c>
      <c r="C1802" s="38">
        <v>74235</v>
      </c>
    </row>
    <row r="1803" spans="1:3" x14ac:dyDescent="0.3">
      <c r="A1803" s="37" t="s">
        <v>0</v>
      </c>
      <c r="B1803" s="37" t="s">
        <v>88</v>
      </c>
      <c r="C1803" s="38">
        <v>79200</v>
      </c>
    </row>
    <row r="1804" spans="1:3" x14ac:dyDescent="0.3">
      <c r="A1804" s="37" t="s">
        <v>0</v>
      </c>
      <c r="B1804" s="37" t="s">
        <v>54</v>
      </c>
      <c r="C1804" s="38">
        <v>104830</v>
      </c>
    </row>
    <row r="1805" spans="1:3" x14ac:dyDescent="0.3">
      <c r="A1805" s="37" t="s">
        <v>0</v>
      </c>
      <c r="B1805" s="37" t="s">
        <v>53</v>
      </c>
      <c r="C1805" s="38">
        <v>130000</v>
      </c>
    </row>
    <row r="1806" spans="1:3" x14ac:dyDescent="0.3">
      <c r="A1806" s="37" t="s">
        <v>0</v>
      </c>
      <c r="B1806" s="37" t="s">
        <v>53</v>
      </c>
      <c r="C1806" s="38"/>
    </row>
    <row r="1807" spans="1:3" x14ac:dyDescent="0.3">
      <c r="A1807" s="37" t="s">
        <v>0</v>
      </c>
      <c r="B1807" s="37" t="s">
        <v>53</v>
      </c>
      <c r="C1807" s="38">
        <v>190000</v>
      </c>
    </row>
    <row r="1808" spans="1:3" x14ac:dyDescent="0.3">
      <c r="A1808" s="37" t="s">
        <v>0</v>
      </c>
      <c r="B1808" s="37" t="s">
        <v>53</v>
      </c>
      <c r="C1808" s="38"/>
    </row>
    <row r="1809" spans="1:3" x14ac:dyDescent="0.3">
      <c r="A1809" s="37" t="s">
        <v>0</v>
      </c>
      <c r="B1809" s="37" t="s">
        <v>54</v>
      </c>
      <c r="C1809" s="38">
        <v>225000</v>
      </c>
    </row>
    <row r="1810" spans="1:3" x14ac:dyDescent="0.3">
      <c r="A1810" s="37" t="s">
        <v>0</v>
      </c>
      <c r="B1810" s="37" t="s">
        <v>53</v>
      </c>
      <c r="C1810" s="38"/>
    </row>
    <row r="1811" spans="1:3" x14ac:dyDescent="0.3">
      <c r="A1811" s="37" t="s">
        <v>0</v>
      </c>
      <c r="B1811" s="37" t="s">
        <v>53</v>
      </c>
      <c r="C1811" s="38">
        <v>115000</v>
      </c>
    </row>
    <row r="1812" spans="1:3" x14ac:dyDescent="0.3">
      <c r="A1812" s="37" t="s">
        <v>0</v>
      </c>
      <c r="B1812" s="37" t="s">
        <v>53</v>
      </c>
      <c r="C1812" s="38"/>
    </row>
    <row r="1813" spans="1:3" x14ac:dyDescent="0.3">
      <c r="A1813" s="37" t="s">
        <v>0</v>
      </c>
      <c r="B1813" s="37" t="s">
        <v>53</v>
      </c>
      <c r="C1813" s="38"/>
    </row>
    <row r="1814" spans="1:3" x14ac:dyDescent="0.3">
      <c r="A1814" s="37" t="s">
        <v>0</v>
      </c>
      <c r="B1814" s="37" t="s">
        <v>54</v>
      </c>
      <c r="C1814" s="38"/>
    </row>
    <row r="1815" spans="1:3" x14ac:dyDescent="0.3">
      <c r="A1815" s="37" t="s">
        <v>0</v>
      </c>
      <c r="B1815" s="37" t="s">
        <v>53</v>
      </c>
      <c r="C1815" s="38">
        <v>130000</v>
      </c>
    </row>
    <row r="1816" spans="1:3" x14ac:dyDescent="0.3">
      <c r="A1816" s="37" t="s">
        <v>0</v>
      </c>
      <c r="B1816" s="37" t="s">
        <v>54</v>
      </c>
      <c r="C1816" s="38"/>
    </row>
    <row r="1817" spans="1:3" x14ac:dyDescent="0.3">
      <c r="A1817" s="37" t="s">
        <v>0</v>
      </c>
      <c r="B1817" s="37" t="s">
        <v>53</v>
      </c>
      <c r="C1817" s="38"/>
    </row>
    <row r="1818" spans="1:3" x14ac:dyDescent="0.3">
      <c r="A1818" s="37" t="s">
        <v>0</v>
      </c>
      <c r="B1818" s="37" t="s">
        <v>53</v>
      </c>
      <c r="C1818" s="38"/>
    </row>
    <row r="1819" spans="1:3" x14ac:dyDescent="0.3">
      <c r="A1819" s="37" t="s">
        <v>0</v>
      </c>
      <c r="B1819" s="37" t="s">
        <v>70</v>
      </c>
      <c r="C1819" s="38">
        <v>89100</v>
      </c>
    </row>
    <row r="1820" spans="1:3" x14ac:dyDescent="0.3">
      <c r="A1820" s="37" t="s">
        <v>0</v>
      </c>
      <c r="B1820" s="37" t="s">
        <v>53</v>
      </c>
      <c r="C1820" s="38">
        <v>129500</v>
      </c>
    </row>
    <row r="1821" spans="1:3" x14ac:dyDescent="0.3">
      <c r="A1821" s="37" t="s">
        <v>0</v>
      </c>
      <c r="B1821" s="37" t="s">
        <v>123</v>
      </c>
      <c r="C1821" s="38">
        <v>55000</v>
      </c>
    </row>
    <row r="1822" spans="1:3" x14ac:dyDescent="0.3">
      <c r="A1822" s="37" t="s">
        <v>0</v>
      </c>
      <c r="B1822" s="37" t="s">
        <v>53</v>
      </c>
      <c r="C1822" s="38">
        <v>117500</v>
      </c>
    </row>
    <row r="1823" spans="1:3" x14ac:dyDescent="0.3">
      <c r="A1823" s="37" t="s">
        <v>0</v>
      </c>
      <c r="B1823" s="37" t="s">
        <v>72</v>
      </c>
      <c r="C1823" s="38">
        <v>157500</v>
      </c>
    </row>
    <row r="1824" spans="1:3" x14ac:dyDescent="0.3">
      <c r="A1824" s="37" t="s">
        <v>0</v>
      </c>
      <c r="B1824" s="37" t="s">
        <v>53</v>
      </c>
      <c r="C1824" s="38">
        <v>105000</v>
      </c>
    </row>
    <row r="1825" spans="1:3" x14ac:dyDescent="0.3">
      <c r="A1825" s="37" t="s">
        <v>0</v>
      </c>
      <c r="B1825" s="37" t="s">
        <v>53</v>
      </c>
      <c r="C1825" s="38"/>
    </row>
    <row r="1826" spans="1:3" x14ac:dyDescent="0.3">
      <c r="A1826" s="37" t="s">
        <v>0</v>
      </c>
      <c r="B1826" s="37" t="s">
        <v>54</v>
      </c>
      <c r="C1826" s="38"/>
    </row>
    <row r="1827" spans="1:3" x14ac:dyDescent="0.3">
      <c r="A1827" s="37" t="s">
        <v>0</v>
      </c>
      <c r="B1827" s="37" t="s">
        <v>53</v>
      </c>
      <c r="C1827" s="38">
        <v>136000</v>
      </c>
    </row>
    <row r="1828" spans="1:3" x14ac:dyDescent="0.3">
      <c r="A1828" s="37" t="s">
        <v>0</v>
      </c>
      <c r="B1828" s="37" t="s">
        <v>53</v>
      </c>
      <c r="C1828" s="38">
        <v>63000</v>
      </c>
    </row>
    <row r="1829" spans="1:3" x14ac:dyDescent="0.3">
      <c r="A1829" s="37" t="s">
        <v>0</v>
      </c>
      <c r="B1829" s="37" t="s">
        <v>53</v>
      </c>
      <c r="C1829" s="38">
        <v>224500</v>
      </c>
    </row>
    <row r="1830" spans="1:3" x14ac:dyDescent="0.3">
      <c r="A1830" s="37" t="s">
        <v>0</v>
      </c>
      <c r="B1830" s="37" t="s">
        <v>53</v>
      </c>
      <c r="C1830" s="38">
        <v>131867</v>
      </c>
    </row>
    <row r="1831" spans="1:3" x14ac:dyDescent="0.3">
      <c r="A1831" s="37" t="s">
        <v>0</v>
      </c>
      <c r="B1831" s="37" t="s">
        <v>74</v>
      </c>
      <c r="C1831" s="38">
        <v>139216</v>
      </c>
    </row>
    <row r="1832" spans="1:3" x14ac:dyDescent="0.3">
      <c r="A1832" s="37" t="s">
        <v>0</v>
      </c>
      <c r="B1832" s="37" t="s">
        <v>53</v>
      </c>
      <c r="C1832" s="38">
        <v>95303.5</v>
      </c>
    </row>
    <row r="1833" spans="1:3" x14ac:dyDescent="0.3">
      <c r="A1833" s="37" t="s">
        <v>0</v>
      </c>
      <c r="B1833" s="37" t="s">
        <v>53</v>
      </c>
      <c r="C1833" s="38">
        <v>133500</v>
      </c>
    </row>
    <row r="1834" spans="1:3" x14ac:dyDescent="0.3">
      <c r="A1834" s="37" t="s">
        <v>0</v>
      </c>
      <c r="B1834" s="37" t="s">
        <v>53</v>
      </c>
      <c r="C1834" s="38"/>
    </row>
    <row r="1835" spans="1:3" x14ac:dyDescent="0.3">
      <c r="A1835" s="37" t="s">
        <v>0</v>
      </c>
      <c r="B1835" s="37" t="s">
        <v>53</v>
      </c>
      <c r="C1835" s="38"/>
    </row>
    <row r="1836" spans="1:3" x14ac:dyDescent="0.3">
      <c r="A1836" s="37" t="s">
        <v>0</v>
      </c>
      <c r="B1836" s="37" t="s">
        <v>53</v>
      </c>
      <c r="C1836" s="38">
        <v>205000</v>
      </c>
    </row>
    <row r="1837" spans="1:3" x14ac:dyDescent="0.3">
      <c r="A1837" s="37" t="s">
        <v>0</v>
      </c>
      <c r="B1837" s="37" t="s">
        <v>53</v>
      </c>
      <c r="C1837" s="38"/>
    </row>
    <row r="1838" spans="1:3" x14ac:dyDescent="0.3">
      <c r="A1838" s="37" t="s">
        <v>0</v>
      </c>
      <c r="B1838" s="37" t="s">
        <v>54</v>
      </c>
      <c r="C1838" s="38">
        <v>162500</v>
      </c>
    </row>
    <row r="1839" spans="1:3" x14ac:dyDescent="0.3">
      <c r="A1839" s="37" t="s">
        <v>0</v>
      </c>
      <c r="B1839" s="37" t="s">
        <v>53</v>
      </c>
      <c r="C1839" s="38">
        <v>90000</v>
      </c>
    </row>
    <row r="1840" spans="1:3" x14ac:dyDescent="0.3">
      <c r="A1840" s="37" t="s">
        <v>0</v>
      </c>
      <c r="B1840" s="37" t="s">
        <v>81</v>
      </c>
      <c r="C1840" s="38">
        <v>90000</v>
      </c>
    </row>
    <row r="1841" spans="1:3" x14ac:dyDescent="0.3">
      <c r="A1841" s="37" t="s">
        <v>0</v>
      </c>
      <c r="B1841" s="37" t="s">
        <v>53</v>
      </c>
      <c r="C1841" s="38">
        <v>137500</v>
      </c>
    </row>
    <row r="1842" spans="1:3" x14ac:dyDescent="0.3">
      <c r="A1842" s="37" t="s">
        <v>0</v>
      </c>
      <c r="B1842" s="37" t="s">
        <v>53</v>
      </c>
      <c r="C1842" s="38">
        <v>162000</v>
      </c>
    </row>
    <row r="1843" spans="1:3" x14ac:dyDescent="0.3">
      <c r="A1843" s="37" t="s">
        <v>0</v>
      </c>
      <c r="B1843" s="37" t="s">
        <v>53</v>
      </c>
      <c r="C1843" s="38"/>
    </row>
    <row r="1844" spans="1:3" x14ac:dyDescent="0.3">
      <c r="A1844" s="37" t="s">
        <v>0</v>
      </c>
      <c r="B1844" s="37" t="s">
        <v>53</v>
      </c>
      <c r="C1844" s="38">
        <v>125000</v>
      </c>
    </row>
    <row r="1845" spans="1:3" x14ac:dyDescent="0.3">
      <c r="A1845" s="37" t="s">
        <v>0</v>
      </c>
      <c r="B1845" s="37" t="s">
        <v>53</v>
      </c>
      <c r="C1845" s="38">
        <v>195249.5</v>
      </c>
    </row>
    <row r="1846" spans="1:3" x14ac:dyDescent="0.3">
      <c r="A1846" s="37" t="s">
        <v>0</v>
      </c>
      <c r="B1846" s="37" t="s">
        <v>53</v>
      </c>
      <c r="C1846" s="38"/>
    </row>
    <row r="1847" spans="1:3" x14ac:dyDescent="0.3">
      <c r="A1847" s="37" t="s">
        <v>0</v>
      </c>
      <c r="B1847" s="37" t="s">
        <v>54</v>
      </c>
      <c r="C1847" s="38">
        <v>245000</v>
      </c>
    </row>
    <row r="1848" spans="1:3" x14ac:dyDescent="0.3">
      <c r="A1848" s="37" t="s">
        <v>0</v>
      </c>
      <c r="B1848" s="37" t="s">
        <v>53</v>
      </c>
      <c r="C1848" s="38">
        <v>110000</v>
      </c>
    </row>
    <row r="1849" spans="1:3" x14ac:dyDescent="0.3">
      <c r="A1849" s="37" t="s">
        <v>0</v>
      </c>
      <c r="B1849" s="37" t="s">
        <v>54</v>
      </c>
      <c r="C1849" s="38"/>
    </row>
    <row r="1850" spans="1:3" x14ac:dyDescent="0.3">
      <c r="A1850" s="37" t="s">
        <v>0</v>
      </c>
      <c r="B1850" s="37" t="s">
        <v>53</v>
      </c>
      <c r="C1850" s="38">
        <v>130000</v>
      </c>
    </row>
    <row r="1851" spans="1:3" x14ac:dyDescent="0.3">
      <c r="A1851" s="37" t="s">
        <v>0</v>
      </c>
      <c r="B1851" s="37" t="s">
        <v>54</v>
      </c>
      <c r="C1851" s="38">
        <v>165000</v>
      </c>
    </row>
    <row r="1852" spans="1:3" x14ac:dyDescent="0.3">
      <c r="A1852" s="37" t="s">
        <v>0</v>
      </c>
      <c r="B1852" s="37" t="s">
        <v>53</v>
      </c>
      <c r="C1852" s="38">
        <v>99876.2734375</v>
      </c>
    </row>
    <row r="1853" spans="1:3" x14ac:dyDescent="0.3">
      <c r="A1853" s="37" t="s">
        <v>0</v>
      </c>
      <c r="B1853" s="37" t="s">
        <v>53</v>
      </c>
      <c r="C1853" s="38">
        <v>196800</v>
      </c>
    </row>
    <row r="1854" spans="1:3" x14ac:dyDescent="0.3">
      <c r="A1854" s="37" t="s">
        <v>0</v>
      </c>
      <c r="B1854" s="37" t="s">
        <v>54</v>
      </c>
      <c r="C1854" s="38"/>
    </row>
    <row r="1855" spans="1:3" x14ac:dyDescent="0.3">
      <c r="A1855" s="37" t="s">
        <v>0</v>
      </c>
      <c r="B1855" s="37" t="s">
        <v>54</v>
      </c>
      <c r="C1855" s="38">
        <v>145000</v>
      </c>
    </row>
    <row r="1856" spans="1:3" x14ac:dyDescent="0.3">
      <c r="A1856" s="37" t="s">
        <v>0</v>
      </c>
      <c r="B1856" s="37" t="s">
        <v>53</v>
      </c>
      <c r="C1856" s="38">
        <v>125000</v>
      </c>
    </row>
    <row r="1857" spans="1:3" x14ac:dyDescent="0.3">
      <c r="A1857" s="37" t="s">
        <v>0</v>
      </c>
      <c r="B1857" s="37" t="s">
        <v>54</v>
      </c>
      <c r="C1857" s="38">
        <v>210000</v>
      </c>
    </row>
    <row r="1858" spans="1:3" x14ac:dyDescent="0.3">
      <c r="A1858" s="37" t="s">
        <v>0</v>
      </c>
      <c r="B1858" s="37" t="s">
        <v>53</v>
      </c>
      <c r="C1858" s="38">
        <v>192000</v>
      </c>
    </row>
    <row r="1859" spans="1:3" x14ac:dyDescent="0.3">
      <c r="A1859" s="37" t="s">
        <v>0</v>
      </c>
      <c r="B1859" s="37" t="s">
        <v>53</v>
      </c>
      <c r="C1859" s="38">
        <v>125000</v>
      </c>
    </row>
    <row r="1860" spans="1:3" x14ac:dyDescent="0.3">
      <c r="A1860" s="37" t="s">
        <v>0</v>
      </c>
      <c r="B1860" s="37" t="s">
        <v>53</v>
      </c>
      <c r="C1860" s="38">
        <v>190000</v>
      </c>
    </row>
    <row r="1861" spans="1:3" x14ac:dyDescent="0.3">
      <c r="A1861" s="37" t="s">
        <v>0</v>
      </c>
      <c r="B1861" s="37" t="s">
        <v>53</v>
      </c>
      <c r="C1861" s="38">
        <v>86000</v>
      </c>
    </row>
    <row r="1862" spans="1:3" x14ac:dyDescent="0.3">
      <c r="A1862" s="37" t="s">
        <v>0</v>
      </c>
      <c r="B1862" s="37" t="s">
        <v>53</v>
      </c>
      <c r="C1862" s="38">
        <v>110000</v>
      </c>
    </row>
    <row r="1863" spans="1:3" x14ac:dyDescent="0.3">
      <c r="A1863" s="37" t="s">
        <v>0</v>
      </c>
      <c r="B1863" s="37" t="s">
        <v>87</v>
      </c>
      <c r="C1863" s="38">
        <v>64821.5</v>
      </c>
    </row>
    <row r="1864" spans="1:3" x14ac:dyDescent="0.3">
      <c r="A1864" s="37" t="s">
        <v>0</v>
      </c>
      <c r="B1864" s="37" t="s">
        <v>53</v>
      </c>
      <c r="C1864" s="38"/>
    </row>
    <row r="1865" spans="1:3" x14ac:dyDescent="0.3">
      <c r="A1865" s="37" t="s">
        <v>0</v>
      </c>
      <c r="B1865" s="37" t="s">
        <v>53</v>
      </c>
      <c r="C1865" s="38">
        <v>120000</v>
      </c>
    </row>
    <row r="1866" spans="1:3" x14ac:dyDescent="0.3">
      <c r="A1866" s="37" t="s">
        <v>0</v>
      </c>
      <c r="B1866" s="37" t="s">
        <v>53</v>
      </c>
      <c r="C1866" s="38">
        <v>150000</v>
      </c>
    </row>
    <row r="1867" spans="1:3" x14ac:dyDescent="0.3">
      <c r="A1867" s="37" t="s">
        <v>0</v>
      </c>
      <c r="B1867" s="37" t="s">
        <v>54</v>
      </c>
      <c r="C1867" s="38">
        <v>110000</v>
      </c>
    </row>
    <row r="1868" spans="1:3" x14ac:dyDescent="0.3">
      <c r="A1868" s="37" t="s">
        <v>0</v>
      </c>
      <c r="B1868" s="37" t="s">
        <v>53</v>
      </c>
      <c r="C1868" s="38">
        <v>160000</v>
      </c>
    </row>
    <row r="1869" spans="1:3" x14ac:dyDescent="0.3">
      <c r="A1869" s="37" t="s">
        <v>0</v>
      </c>
      <c r="B1869" s="37" t="s">
        <v>53</v>
      </c>
      <c r="C1869" s="38">
        <v>225000</v>
      </c>
    </row>
    <row r="1870" spans="1:3" x14ac:dyDescent="0.3">
      <c r="A1870" s="37" t="s">
        <v>0</v>
      </c>
      <c r="B1870" s="37" t="s">
        <v>53</v>
      </c>
      <c r="C1870" s="38">
        <v>222500</v>
      </c>
    </row>
    <row r="1871" spans="1:3" x14ac:dyDescent="0.3">
      <c r="A1871" s="37" t="s">
        <v>0</v>
      </c>
      <c r="B1871" s="37" t="s">
        <v>53</v>
      </c>
      <c r="C1871" s="38">
        <v>103330</v>
      </c>
    </row>
    <row r="1872" spans="1:3" x14ac:dyDescent="0.3">
      <c r="A1872" s="37" t="s">
        <v>0</v>
      </c>
      <c r="B1872" s="37" t="s">
        <v>53</v>
      </c>
      <c r="C1872" s="38">
        <v>90000</v>
      </c>
    </row>
    <row r="1873" spans="1:3" x14ac:dyDescent="0.3">
      <c r="A1873" s="37" t="s">
        <v>0</v>
      </c>
      <c r="B1873" s="37" t="s">
        <v>53</v>
      </c>
      <c r="C1873" s="38">
        <v>140000</v>
      </c>
    </row>
    <row r="1874" spans="1:3" x14ac:dyDescent="0.3">
      <c r="A1874" s="37" t="s">
        <v>0</v>
      </c>
      <c r="B1874" s="37" t="s">
        <v>54</v>
      </c>
      <c r="C1874" s="38">
        <v>150000</v>
      </c>
    </row>
    <row r="1875" spans="1:3" x14ac:dyDescent="0.3">
      <c r="A1875" s="37" t="s">
        <v>0</v>
      </c>
      <c r="B1875" s="37" t="s">
        <v>53</v>
      </c>
      <c r="C1875" s="38"/>
    </row>
    <row r="1876" spans="1:3" x14ac:dyDescent="0.3">
      <c r="A1876" s="37" t="s">
        <v>0</v>
      </c>
      <c r="B1876" s="37" t="s">
        <v>53</v>
      </c>
      <c r="C1876" s="38">
        <v>145000</v>
      </c>
    </row>
    <row r="1877" spans="1:3" x14ac:dyDescent="0.3">
      <c r="A1877" s="37" t="s">
        <v>0</v>
      </c>
      <c r="B1877" s="37" t="s">
        <v>53</v>
      </c>
      <c r="C1877" s="38">
        <v>158857.5</v>
      </c>
    </row>
    <row r="1878" spans="1:3" x14ac:dyDescent="0.3">
      <c r="A1878" s="37" t="s">
        <v>0</v>
      </c>
      <c r="B1878" s="37" t="s">
        <v>53</v>
      </c>
      <c r="C1878" s="38">
        <v>96103</v>
      </c>
    </row>
    <row r="1879" spans="1:3" x14ac:dyDescent="0.3">
      <c r="A1879" s="37" t="s">
        <v>0</v>
      </c>
      <c r="B1879" s="37" t="s">
        <v>54</v>
      </c>
      <c r="C1879" s="38"/>
    </row>
    <row r="1880" spans="1:3" x14ac:dyDescent="0.3">
      <c r="A1880" s="37" t="s">
        <v>0</v>
      </c>
      <c r="B1880" s="37" t="s">
        <v>54</v>
      </c>
      <c r="C1880" s="38">
        <v>140000</v>
      </c>
    </row>
    <row r="1881" spans="1:3" x14ac:dyDescent="0.3">
      <c r="A1881" s="37" t="s">
        <v>0</v>
      </c>
      <c r="B1881" s="37" t="s">
        <v>53</v>
      </c>
      <c r="C1881" s="38">
        <v>157500</v>
      </c>
    </row>
    <row r="1882" spans="1:3" x14ac:dyDescent="0.3">
      <c r="A1882" s="37" t="s">
        <v>0</v>
      </c>
      <c r="B1882" s="37" t="s">
        <v>54</v>
      </c>
      <c r="C1882" s="38"/>
    </row>
    <row r="1883" spans="1:3" x14ac:dyDescent="0.3">
      <c r="A1883" s="37" t="s">
        <v>0</v>
      </c>
      <c r="B1883" s="37" t="s">
        <v>53</v>
      </c>
      <c r="C1883" s="38">
        <v>212500</v>
      </c>
    </row>
    <row r="1884" spans="1:3" x14ac:dyDescent="0.3">
      <c r="A1884" s="37" t="s">
        <v>0</v>
      </c>
      <c r="B1884" s="37" t="s">
        <v>54</v>
      </c>
      <c r="C1884" s="38">
        <v>110000</v>
      </c>
    </row>
    <row r="1885" spans="1:3" x14ac:dyDescent="0.3">
      <c r="A1885" s="37" t="s">
        <v>0</v>
      </c>
      <c r="B1885" s="37" t="s">
        <v>83</v>
      </c>
      <c r="C1885" s="38">
        <v>81900</v>
      </c>
    </row>
    <row r="1886" spans="1:3" x14ac:dyDescent="0.3">
      <c r="A1886" s="37" t="s">
        <v>0</v>
      </c>
      <c r="B1886" s="37" t="s">
        <v>54</v>
      </c>
      <c r="C1886" s="38">
        <v>250000</v>
      </c>
    </row>
    <row r="1887" spans="1:3" x14ac:dyDescent="0.3">
      <c r="A1887" s="37" t="s">
        <v>0</v>
      </c>
      <c r="B1887" s="37" t="s">
        <v>53</v>
      </c>
      <c r="C1887" s="38">
        <v>119550</v>
      </c>
    </row>
    <row r="1888" spans="1:3" x14ac:dyDescent="0.3">
      <c r="A1888" s="37" t="s">
        <v>0</v>
      </c>
      <c r="B1888" s="37" t="s">
        <v>97</v>
      </c>
      <c r="C1888" s="38">
        <v>56700</v>
      </c>
    </row>
    <row r="1889" spans="1:3" x14ac:dyDescent="0.3">
      <c r="A1889" s="37" t="s">
        <v>0</v>
      </c>
      <c r="B1889" s="37" t="s">
        <v>53</v>
      </c>
      <c r="C1889" s="38">
        <v>150000</v>
      </c>
    </row>
    <row r="1890" spans="1:3" x14ac:dyDescent="0.3">
      <c r="A1890" s="37" t="s">
        <v>0</v>
      </c>
      <c r="B1890" s="37" t="s">
        <v>53</v>
      </c>
      <c r="C1890" s="38">
        <v>150000</v>
      </c>
    </row>
    <row r="1891" spans="1:3" x14ac:dyDescent="0.3">
      <c r="A1891" s="37" t="s">
        <v>0</v>
      </c>
      <c r="B1891" s="37" t="s">
        <v>53</v>
      </c>
      <c r="C1891" s="38">
        <v>113000</v>
      </c>
    </row>
    <row r="1892" spans="1:3" x14ac:dyDescent="0.3">
      <c r="A1892" s="37" t="s">
        <v>0</v>
      </c>
      <c r="B1892" s="37" t="s">
        <v>53</v>
      </c>
      <c r="C1892" s="38">
        <v>132500</v>
      </c>
    </row>
    <row r="1893" spans="1:3" x14ac:dyDescent="0.3">
      <c r="A1893" s="37" t="s">
        <v>0</v>
      </c>
      <c r="B1893" s="37" t="s">
        <v>54</v>
      </c>
      <c r="C1893" s="38"/>
    </row>
    <row r="1894" spans="1:3" x14ac:dyDescent="0.3">
      <c r="A1894" s="37" t="s">
        <v>0</v>
      </c>
      <c r="B1894" s="37" t="s">
        <v>121</v>
      </c>
      <c r="C1894" s="38">
        <v>88128</v>
      </c>
    </row>
    <row r="1895" spans="1:3" x14ac:dyDescent="0.3">
      <c r="A1895" s="37" t="s">
        <v>0</v>
      </c>
      <c r="B1895" s="37" t="s">
        <v>104</v>
      </c>
      <c r="C1895" s="38">
        <v>157500</v>
      </c>
    </row>
    <row r="1896" spans="1:3" x14ac:dyDescent="0.3">
      <c r="A1896" s="37" t="s">
        <v>0</v>
      </c>
      <c r="B1896" s="37" t="s">
        <v>53</v>
      </c>
      <c r="C1896" s="38"/>
    </row>
    <row r="1897" spans="1:3" x14ac:dyDescent="0.3">
      <c r="A1897" s="37" t="s">
        <v>0</v>
      </c>
      <c r="B1897" s="37" t="s">
        <v>53</v>
      </c>
      <c r="C1897" s="38">
        <v>232500</v>
      </c>
    </row>
    <row r="1898" spans="1:3" x14ac:dyDescent="0.3">
      <c r="A1898" s="37" t="s">
        <v>0</v>
      </c>
      <c r="B1898" s="37" t="s">
        <v>53</v>
      </c>
      <c r="C1898" s="38"/>
    </row>
    <row r="1899" spans="1:3" x14ac:dyDescent="0.3">
      <c r="A1899" s="37" t="s">
        <v>0</v>
      </c>
      <c r="B1899" s="37" t="s">
        <v>53</v>
      </c>
      <c r="C1899" s="38"/>
    </row>
    <row r="1900" spans="1:3" x14ac:dyDescent="0.3">
      <c r="A1900" s="37" t="s">
        <v>0</v>
      </c>
      <c r="B1900" s="37" t="s">
        <v>53</v>
      </c>
      <c r="C1900" s="38">
        <v>115000</v>
      </c>
    </row>
    <row r="1901" spans="1:3" x14ac:dyDescent="0.3">
      <c r="A1901" s="37" t="s">
        <v>0</v>
      </c>
      <c r="B1901" s="37" t="s">
        <v>53</v>
      </c>
      <c r="C1901" s="38">
        <v>135359.34375</v>
      </c>
    </row>
    <row r="1902" spans="1:3" x14ac:dyDescent="0.3">
      <c r="A1902" s="37" t="s">
        <v>0</v>
      </c>
      <c r="B1902" s="37" t="s">
        <v>53</v>
      </c>
      <c r="C1902" s="38">
        <v>108281</v>
      </c>
    </row>
    <row r="1903" spans="1:3" x14ac:dyDescent="0.3">
      <c r="A1903" s="37" t="s">
        <v>0</v>
      </c>
      <c r="B1903" s="37" t="s">
        <v>53</v>
      </c>
      <c r="C1903" s="38"/>
    </row>
    <row r="1904" spans="1:3" x14ac:dyDescent="0.3">
      <c r="A1904" s="37" t="s">
        <v>0</v>
      </c>
      <c r="B1904" s="37" t="s">
        <v>54</v>
      </c>
      <c r="C1904" s="38"/>
    </row>
    <row r="1905" spans="1:3" x14ac:dyDescent="0.3">
      <c r="A1905" s="37" t="s">
        <v>0</v>
      </c>
      <c r="B1905" s="37" t="s">
        <v>54</v>
      </c>
      <c r="C1905" s="38">
        <v>97500</v>
      </c>
    </row>
    <row r="1906" spans="1:3" x14ac:dyDescent="0.3">
      <c r="A1906" s="37" t="s">
        <v>0</v>
      </c>
      <c r="B1906" s="37" t="s">
        <v>88</v>
      </c>
      <c r="C1906" s="38">
        <v>79200</v>
      </c>
    </row>
    <row r="1907" spans="1:3" x14ac:dyDescent="0.3">
      <c r="A1907" s="37" t="s">
        <v>0</v>
      </c>
      <c r="B1907" s="37" t="s">
        <v>53</v>
      </c>
      <c r="C1907" s="38"/>
    </row>
    <row r="1908" spans="1:3" x14ac:dyDescent="0.3">
      <c r="A1908" s="37" t="s">
        <v>0</v>
      </c>
      <c r="B1908" s="37" t="s">
        <v>54</v>
      </c>
      <c r="C1908" s="38">
        <v>110000</v>
      </c>
    </row>
    <row r="1909" spans="1:3" x14ac:dyDescent="0.3">
      <c r="A1909" s="37" t="s">
        <v>0</v>
      </c>
      <c r="B1909" s="37" t="s">
        <v>53</v>
      </c>
      <c r="C1909" s="38">
        <v>185000</v>
      </c>
    </row>
    <row r="1910" spans="1:3" x14ac:dyDescent="0.3">
      <c r="A1910" s="37" t="s">
        <v>0</v>
      </c>
      <c r="B1910" s="37" t="s">
        <v>53</v>
      </c>
      <c r="C1910" s="38">
        <v>115000</v>
      </c>
    </row>
    <row r="1911" spans="1:3" x14ac:dyDescent="0.3">
      <c r="A1911" s="37" t="s">
        <v>0</v>
      </c>
      <c r="B1911" s="37" t="s">
        <v>53</v>
      </c>
      <c r="C1911" s="38">
        <v>197500</v>
      </c>
    </row>
    <row r="1912" spans="1:3" x14ac:dyDescent="0.3">
      <c r="A1912" s="37" t="s">
        <v>0</v>
      </c>
      <c r="B1912" s="37" t="s">
        <v>54</v>
      </c>
      <c r="C1912" s="38">
        <v>200000</v>
      </c>
    </row>
    <row r="1913" spans="1:3" x14ac:dyDescent="0.3">
      <c r="A1913" s="37" t="s">
        <v>0</v>
      </c>
      <c r="B1913" s="37" t="s">
        <v>53</v>
      </c>
      <c r="C1913" s="38"/>
    </row>
    <row r="1914" spans="1:3" x14ac:dyDescent="0.3">
      <c r="A1914" s="37" t="s">
        <v>0</v>
      </c>
      <c r="B1914" s="37" t="s">
        <v>53</v>
      </c>
      <c r="C1914" s="38">
        <v>80000</v>
      </c>
    </row>
    <row r="1915" spans="1:3" x14ac:dyDescent="0.3">
      <c r="A1915" s="37" t="s">
        <v>0</v>
      </c>
      <c r="B1915" s="37" t="s">
        <v>53</v>
      </c>
      <c r="C1915" s="38"/>
    </row>
    <row r="1916" spans="1:3" x14ac:dyDescent="0.3">
      <c r="A1916" s="37" t="s">
        <v>0</v>
      </c>
      <c r="B1916" s="37" t="s">
        <v>54</v>
      </c>
      <c r="C1916" s="38"/>
    </row>
    <row r="1917" spans="1:3" x14ac:dyDescent="0.3">
      <c r="A1917" s="37" t="s">
        <v>0</v>
      </c>
      <c r="B1917" s="37" t="s">
        <v>53</v>
      </c>
      <c r="C1917" s="38">
        <v>247500</v>
      </c>
    </row>
    <row r="1918" spans="1:3" x14ac:dyDescent="0.3">
      <c r="A1918" s="37" t="s">
        <v>0</v>
      </c>
      <c r="B1918" s="37" t="s">
        <v>53</v>
      </c>
      <c r="C1918" s="38"/>
    </row>
    <row r="1919" spans="1:3" x14ac:dyDescent="0.3">
      <c r="A1919" s="37" t="s">
        <v>0</v>
      </c>
      <c r="B1919" s="37" t="s">
        <v>53</v>
      </c>
      <c r="C1919" s="38">
        <v>200000</v>
      </c>
    </row>
    <row r="1920" spans="1:3" x14ac:dyDescent="0.3">
      <c r="A1920" s="37" t="s">
        <v>0</v>
      </c>
      <c r="B1920" s="37" t="s">
        <v>54</v>
      </c>
      <c r="C1920" s="38">
        <v>135000</v>
      </c>
    </row>
    <row r="1921" spans="1:3" x14ac:dyDescent="0.3">
      <c r="A1921" s="37" t="s">
        <v>0</v>
      </c>
      <c r="B1921" s="37" t="s">
        <v>53</v>
      </c>
      <c r="C1921" s="38">
        <v>107665</v>
      </c>
    </row>
    <row r="1922" spans="1:3" x14ac:dyDescent="0.3">
      <c r="A1922" s="37" t="s">
        <v>0</v>
      </c>
      <c r="B1922" s="37" t="s">
        <v>53</v>
      </c>
      <c r="C1922" s="38"/>
    </row>
    <row r="1923" spans="1:3" x14ac:dyDescent="0.3">
      <c r="A1923" s="37" t="s">
        <v>0</v>
      </c>
      <c r="B1923" s="37" t="s">
        <v>53</v>
      </c>
      <c r="C1923" s="38">
        <v>167500</v>
      </c>
    </row>
    <row r="1924" spans="1:3" x14ac:dyDescent="0.3">
      <c r="A1924" s="37" t="s">
        <v>0</v>
      </c>
      <c r="B1924" s="37" t="s">
        <v>53</v>
      </c>
      <c r="C1924" s="38">
        <v>119550</v>
      </c>
    </row>
    <row r="1925" spans="1:3" x14ac:dyDescent="0.3">
      <c r="A1925" s="37" t="s">
        <v>0</v>
      </c>
      <c r="B1925" s="37" t="s">
        <v>53</v>
      </c>
      <c r="C1925" s="38">
        <v>125000</v>
      </c>
    </row>
    <row r="1926" spans="1:3" x14ac:dyDescent="0.3">
      <c r="A1926" s="37" t="s">
        <v>0</v>
      </c>
      <c r="B1926" s="37" t="s">
        <v>53</v>
      </c>
      <c r="C1926" s="38">
        <v>111030</v>
      </c>
    </row>
    <row r="1927" spans="1:3" x14ac:dyDescent="0.3">
      <c r="A1927" s="37" t="s">
        <v>0</v>
      </c>
      <c r="B1927" s="37" t="s">
        <v>97</v>
      </c>
      <c r="C1927" s="38">
        <v>80850</v>
      </c>
    </row>
    <row r="1928" spans="1:3" x14ac:dyDescent="0.3">
      <c r="A1928" s="37" t="s">
        <v>0</v>
      </c>
      <c r="B1928" s="37" t="s">
        <v>79</v>
      </c>
      <c r="C1928" s="38">
        <v>50400</v>
      </c>
    </row>
    <row r="1929" spans="1:3" x14ac:dyDescent="0.3">
      <c r="A1929" s="37" t="s">
        <v>0</v>
      </c>
      <c r="B1929" s="37" t="s">
        <v>63</v>
      </c>
      <c r="C1929" s="38">
        <v>64821.5</v>
      </c>
    </row>
    <row r="1930" spans="1:3" x14ac:dyDescent="0.3">
      <c r="A1930" s="37" t="s">
        <v>0</v>
      </c>
      <c r="B1930" s="37" t="s">
        <v>53</v>
      </c>
      <c r="C1930" s="38">
        <v>300000</v>
      </c>
    </row>
    <row r="1931" spans="1:3" x14ac:dyDescent="0.3">
      <c r="A1931" s="37" t="s">
        <v>0</v>
      </c>
      <c r="B1931" s="37" t="s">
        <v>53</v>
      </c>
      <c r="C1931" s="38"/>
    </row>
    <row r="1932" spans="1:3" x14ac:dyDescent="0.3">
      <c r="A1932" s="37" t="s">
        <v>0</v>
      </c>
      <c r="B1932" s="37" t="s">
        <v>53</v>
      </c>
      <c r="C1932" s="38"/>
    </row>
    <row r="1933" spans="1:3" x14ac:dyDescent="0.3">
      <c r="A1933" s="37" t="s">
        <v>0</v>
      </c>
      <c r="B1933" s="37" t="s">
        <v>53</v>
      </c>
      <c r="C1933" s="38">
        <v>133340</v>
      </c>
    </row>
    <row r="1934" spans="1:3" x14ac:dyDescent="0.3">
      <c r="A1934" s="37" t="s">
        <v>0</v>
      </c>
      <c r="B1934" s="37" t="s">
        <v>87</v>
      </c>
      <c r="C1934" s="38">
        <v>131867</v>
      </c>
    </row>
    <row r="1935" spans="1:3" x14ac:dyDescent="0.3">
      <c r="A1935" s="37" t="s">
        <v>0</v>
      </c>
      <c r="B1935" s="37" t="s">
        <v>53</v>
      </c>
      <c r="C1935" s="38"/>
    </row>
    <row r="1936" spans="1:3" x14ac:dyDescent="0.3">
      <c r="A1936" s="37" t="s">
        <v>0</v>
      </c>
      <c r="B1936" s="37" t="s">
        <v>54</v>
      </c>
      <c r="C1936" s="38"/>
    </row>
    <row r="1937" spans="1:3" x14ac:dyDescent="0.3">
      <c r="A1937" s="37" t="s">
        <v>0</v>
      </c>
      <c r="B1937" s="37" t="s">
        <v>53</v>
      </c>
      <c r="C1937" s="38">
        <v>155000</v>
      </c>
    </row>
    <row r="1938" spans="1:3" x14ac:dyDescent="0.3">
      <c r="A1938" s="37" t="s">
        <v>0</v>
      </c>
      <c r="B1938" s="37" t="s">
        <v>53</v>
      </c>
      <c r="C1938" s="38">
        <v>136400</v>
      </c>
    </row>
    <row r="1939" spans="1:3" x14ac:dyDescent="0.3">
      <c r="A1939" s="37" t="s">
        <v>0</v>
      </c>
      <c r="B1939" s="37" t="s">
        <v>53</v>
      </c>
      <c r="C1939" s="38">
        <v>197000</v>
      </c>
    </row>
    <row r="1940" spans="1:3" x14ac:dyDescent="0.3">
      <c r="A1940" s="37" t="s">
        <v>0</v>
      </c>
      <c r="B1940" s="37" t="s">
        <v>54</v>
      </c>
      <c r="C1940" s="38"/>
    </row>
    <row r="1941" spans="1:3" x14ac:dyDescent="0.3">
      <c r="A1941" s="37" t="s">
        <v>0</v>
      </c>
      <c r="B1941" s="37" t="s">
        <v>53</v>
      </c>
      <c r="C1941" s="38">
        <v>130000</v>
      </c>
    </row>
    <row r="1942" spans="1:3" x14ac:dyDescent="0.3">
      <c r="A1942" s="37" t="s">
        <v>0</v>
      </c>
      <c r="B1942" s="37" t="s">
        <v>54</v>
      </c>
      <c r="C1942" s="38">
        <v>130000</v>
      </c>
    </row>
    <row r="1943" spans="1:3" x14ac:dyDescent="0.3">
      <c r="A1943" s="37" t="s">
        <v>0</v>
      </c>
      <c r="B1943" s="37" t="s">
        <v>54</v>
      </c>
      <c r="C1943" s="38">
        <v>132500</v>
      </c>
    </row>
    <row r="1944" spans="1:3" x14ac:dyDescent="0.3">
      <c r="A1944" s="37" t="s">
        <v>0</v>
      </c>
      <c r="B1944" s="37" t="s">
        <v>53</v>
      </c>
      <c r="C1944" s="38"/>
    </row>
    <row r="1945" spans="1:3" x14ac:dyDescent="0.3">
      <c r="A1945" s="37" t="s">
        <v>0</v>
      </c>
      <c r="B1945" s="37" t="s">
        <v>72</v>
      </c>
      <c r="C1945" s="38">
        <v>88128</v>
      </c>
    </row>
    <row r="1946" spans="1:3" x14ac:dyDescent="0.3">
      <c r="A1946" s="37" t="s">
        <v>0</v>
      </c>
      <c r="B1946" s="37" t="s">
        <v>53</v>
      </c>
      <c r="C1946" s="38">
        <v>90000</v>
      </c>
    </row>
    <row r="1947" spans="1:3" x14ac:dyDescent="0.3">
      <c r="A1947" s="37" t="s">
        <v>0</v>
      </c>
      <c r="B1947" s="37" t="s">
        <v>53</v>
      </c>
      <c r="C1947" s="38"/>
    </row>
    <row r="1948" spans="1:3" x14ac:dyDescent="0.3">
      <c r="A1948" s="37" t="s">
        <v>0</v>
      </c>
      <c r="B1948" s="37" t="s">
        <v>53</v>
      </c>
      <c r="C1948" s="38">
        <v>160000</v>
      </c>
    </row>
    <row r="1949" spans="1:3" x14ac:dyDescent="0.3">
      <c r="A1949" s="37" t="s">
        <v>0</v>
      </c>
      <c r="B1949" s="37" t="s">
        <v>53</v>
      </c>
      <c r="C1949" s="38">
        <v>117500</v>
      </c>
    </row>
    <row r="1950" spans="1:3" x14ac:dyDescent="0.3">
      <c r="A1950" s="37" t="s">
        <v>0</v>
      </c>
      <c r="B1950" s="37" t="s">
        <v>53</v>
      </c>
      <c r="C1950" s="38"/>
    </row>
    <row r="1951" spans="1:3" x14ac:dyDescent="0.3">
      <c r="A1951" s="37" t="s">
        <v>0</v>
      </c>
      <c r="B1951" s="37" t="s">
        <v>53</v>
      </c>
      <c r="C1951" s="38">
        <v>150500</v>
      </c>
    </row>
    <row r="1952" spans="1:3" x14ac:dyDescent="0.3">
      <c r="A1952" s="37" t="s">
        <v>0</v>
      </c>
      <c r="B1952" s="37" t="s">
        <v>53</v>
      </c>
      <c r="C1952" s="38">
        <v>106759</v>
      </c>
    </row>
    <row r="1953" spans="1:3" x14ac:dyDescent="0.3">
      <c r="A1953" s="37" t="s">
        <v>0</v>
      </c>
      <c r="B1953" s="37" t="s">
        <v>53</v>
      </c>
      <c r="C1953" s="38"/>
    </row>
    <row r="1954" spans="1:3" x14ac:dyDescent="0.3">
      <c r="A1954" s="37" t="s">
        <v>0</v>
      </c>
      <c r="B1954" s="37" t="s">
        <v>53</v>
      </c>
      <c r="C1954" s="38"/>
    </row>
    <row r="1955" spans="1:3" x14ac:dyDescent="0.3">
      <c r="A1955" s="37" t="s">
        <v>0</v>
      </c>
      <c r="B1955" s="37" t="s">
        <v>53</v>
      </c>
      <c r="C1955" s="38"/>
    </row>
    <row r="1956" spans="1:3" x14ac:dyDescent="0.3">
      <c r="A1956" s="37" t="s">
        <v>0</v>
      </c>
      <c r="B1956" s="37" t="s">
        <v>54</v>
      </c>
      <c r="C1956" s="38">
        <v>171000</v>
      </c>
    </row>
    <row r="1957" spans="1:3" x14ac:dyDescent="0.3">
      <c r="A1957" s="37" t="s">
        <v>0</v>
      </c>
      <c r="B1957" s="37" t="s">
        <v>53</v>
      </c>
      <c r="C1957" s="38">
        <v>90000</v>
      </c>
    </row>
    <row r="1958" spans="1:3" x14ac:dyDescent="0.3">
      <c r="A1958" s="37" t="s">
        <v>0</v>
      </c>
      <c r="B1958" s="37" t="s">
        <v>53</v>
      </c>
      <c r="C1958" s="38">
        <v>155000</v>
      </c>
    </row>
    <row r="1959" spans="1:3" x14ac:dyDescent="0.3">
      <c r="A1959" s="37" t="s">
        <v>0</v>
      </c>
      <c r="B1959" s="37" t="s">
        <v>53</v>
      </c>
      <c r="C1959" s="38">
        <v>157000</v>
      </c>
    </row>
    <row r="1960" spans="1:3" x14ac:dyDescent="0.3">
      <c r="A1960" s="37" t="s">
        <v>0</v>
      </c>
      <c r="B1960" s="37" t="s">
        <v>53</v>
      </c>
      <c r="C1960" s="38">
        <v>74235</v>
      </c>
    </row>
    <row r="1961" spans="1:3" x14ac:dyDescent="0.3">
      <c r="A1961" s="37" t="s">
        <v>0</v>
      </c>
      <c r="B1961" s="37" t="s">
        <v>53</v>
      </c>
      <c r="C1961" s="38">
        <v>100750</v>
      </c>
    </row>
    <row r="1962" spans="1:3" x14ac:dyDescent="0.3">
      <c r="A1962" s="37" t="s">
        <v>0</v>
      </c>
      <c r="B1962" s="37" t="s">
        <v>53</v>
      </c>
      <c r="C1962" s="38"/>
    </row>
    <row r="1963" spans="1:3" x14ac:dyDescent="0.3">
      <c r="A1963" s="37" t="s">
        <v>0</v>
      </c>
      <c r="B1963" s="37" t="s">
        <v>53</v>
      </c>
      <c r="C1963" s="38">
        <v>115000</v>
      </c>
    </row>
    <row r="1964" spans="1:3" x14ac:dyDescent="0.3">
      <c r="A1964" s="37" t="s">
        <v>0</v>
      </c>
      <c r="B1964" s="37" t="s">
        <v>54</v>
      </c>
      <c r="C1964" s="38"/>
    </row>
    <row r="1965" spans="1:3" x14ac:dyDescent="0.3">
      <c r="A1965" s="37" t="s">
        <v>0</v>
      </c>
      <c r="B1965" s="37" t="s">
        <v>53</v>
      </c>
      <c r="C1965" s="38"/>
    </row>
    <row r="1966" spans="1:3" x14ac:dyDescent="0.3">
      <c r="A1966" s="37" t="s">
        <v>0</v>
      </c>
      <c r="B1966" s="37" t="s">
        <v>53</v>
      </c>
      <c r="C1966" s="38">
        <v>122500</v>
      </c>
    </row>
    <row r="1967" spans="1:3" x14ac:dyDescent="0.3">
      <c r="A1967" s="37" t="s">
        <v>0</v>
      </c>
      <c r="B1967" s="37" t="s">
        <v>53</v>
      </c>
      <c r="C1967" s="38">
        <v>102500</v>
      </c>
    </row>
    <row r="1968" spans="1:3" x14ac:dyDescent="0.3">
      <c r="A1968" s="37" t="s">
        <v>0</v>
      </c>
      <c r="B1968" s="37" t="s">
        <v>53</v>
      </c>
      <c r="C1968" s="38">
        <v>199000</v>
      </c>
    </row>
    <row r="1969" spans="1:3" x14ac:dyDescent="0.3">
      <c r="A1969" s="37" t="s">
        <v>0</v>
      </c>
      <c r="B1969" s="37" t="s">
        <v>54</v>
      </c>
      <c r="C1969" s="38">
        <v>94157</v>
      </c>
    </row>
    <row r="1970" spans="1:3" x14ac:dyDescent="0.3">
      <c r="A1970" s="37" t="s">
        <v>0</v>
      </c>
      <c r="B1970" s="37" t="s">
        <v>53</v>
      </c>
      <c r="C1970" s="38">
        <v>70000</v>
      </c>
    </row>
    <row r="1971" spans="1:3" x14ac:dyDescent="0.3">
      <c r="A1971" s="37" t="s">
        <v>0</v>
      </c>
      <c r="B1971" s="37" t="s">
        <v>95</v>
      </c>
      <c r="C1971" s="38">
        <v>157500</v>
      </c>
    </row>
    <row r="1972" spans="1:3" x14ac:dyDescent="0.3">
      <c r="A1972" s="37" t="s">
        <v>0</v>
      </c>
      <c r="B1972" s="37" t="s">
        <v>53</v>
      </c>
      <c r="C1972" s="38"/>
    </row>
    <row r="1973" spans="1:3" x14ac:dyDescent="0.3">
      <c r="A1973" s="37" t="s">
        <v>0</v>
      </c>
      <c r="B1973" s="37" t="s">
        <v>53</v>
      </c>
      <c r="C1973" s="38">
        <v>92671.25</v>
      </c>
    </row>
    <row r="1974" spans="1:3" x14ac:dyDescent="0.3">
      <c r="A1974" s="37" t="s">
        <v>0</v>
      </c>
      <c r="B1974" s="37" t="s">
        <v>53</v>
      </c>
      <c r="C1974" s="38">
        <v>125000</v>
      </c>
    </row>
    <row r="1975" spans="1:3" x14ac:dyDescent="0.3">
      <c r="A1975" s="37" t="s">
        <v>0</v>
      </c>
      <c r="B1975" s="37" t="s">
        <v>53</v>
      </c>
      <c r="C1975" s="38">
        <v>132662</v>
      </c>
    </row>
    <row r="1976" spans="1:3" x14ac:dyDescent="0.3">
      <c r="A1976" s="37" t="s">
        <v>0</v>
      </c>
      <c r="B1976" s="37" t="s">
        <v>64</v>
      </c>
      <c r="C1976" s="38">
        <v>157500</v>
      </c>
    </row>
    <row r="1977" spans="1:3" x14ac:dyDescent="0.3">
      <c r="A1977" s="37" t="s">
        <v>0</v>
      </c>
      <c r="B1977" s="37" t="s">
        <v>53</v>
      </c>
      <c r="C1977" s="38">
        <v>154000</v>
      </c>
    </row>
    <row r="1978" spans="1:3" x14ac:dyDescent="0.3">
      <c r="A1978" s="37" t="s">
        <v>0</v>
      </c>
      <c r="B1978" s="37" t="s">
        <v>53</v>
      </c>
      <c r="C1978" s="38">
        <v>106500</v>
      </c>
    </row>
    <row r="1979" spans="1:3" x14ac:dyDescent="0.3">
      <c r="A1979" s="37" t="s">
        <v>0</v>
      </c>
      <c r="B1979" s="37" t="s">
        <v>53</v>
      </c>
      <c r="C1979" s="38">
        <v>143500</v>
      </c>
    </row>
    <row r="1980" spans="1:3" x14ac:dyDescent="0.3">
      <c r="A1980" s="37" t="s">
        <v>0</v>
      </c>
      <c r="B1980" s="37" t="s">
        <v>53</v>
      </c>
      <c r="C1980" s="38">
        <v>205000</v>
      </c>
    </row>
    <row r="1981" spans="1:3" x14ac:dyDescent="0.3">
      <c r="A1981" s="37" t="s">
        <v>0</v>
      </c>
      <c r="B1981" s="37" t="s">
        <v>80</v>
      </c>
      <c r="C1981" s="38">
        <v>157500</v>
      </c>
    </row>
    <row r="1982" spans="1:3" x14ac:dyDescent="0.3">
      <c r="A1982" s="37" t="s">
        <v>0</v>
      </c>
      <c r="B1982" s="37" t="s">
        <v>54</v>
      </c>
      <c r="C1982" s="38">
        <v>125000</v>
      </c>
    </row>
    <row r="1983" spans="1:3" x14ac:dyDescent="0.3">
      <c r="A1983" s="37" t="s">
        <v>0</v>
      </c>
      <c r="B1983" s="37" t="s">
        <v>53</v>
      </c>
      <c r="C1983" s="38"/>
    </row>
    <row r="1984" spans="1:3" x14ac:dyDescent="0.3">
      <c r="A1984" s="37" t="s">
        <v>0</v>
      </c>
      <c r="B1984" s="37" t="s">
        <v>53</v>
      </c>
      <c r="C1984" s="38">
        <v>101840</v>
      </c>
    </row>
    <row r="1985" spans="1:3" x14ac:dyDescent="0.3">
      <c r="A1985" s="37" t="s">
        <v>0</v>
      </c>
      <c r="B1985" s="37" t="s">
        <v>53</v>
      </c>
      <c r="C1985" s="38">
        <v>107330</v>
      </c>
    </row>
    <row r="1986" spans="1:3" x14ac:dyDescent="0.3">
      <c r="A1986" s="37" t="s">
        <v>0</v>
      </c>
      <c r="B1986" s="37" t="s">
        <v>58</v>
      </c>
      <c r="C1986" s="38"/>
    </row>
    <row r="1987" spans="1:3" x14ac:dyDescent="0.3">
      <c r="A1987" s="37" t="s">
        <v>0</v>
      </c>
      <c r="B1987" s="37" t="s">
        <v>53</v>
      </c>
      <c r="C1987" s="38"/>
    </row>
    <row r="1988" spans="1:3" x14ac:dyDescent="0.3">
      <c r="A1988" s="37" t="s">
        <v>0</v>
      </c>
      <c r="B1988" s="37" t="s">
        <v>53</v>
      </c>
      <c r="C1988" s="38">
        <v>265000</v>
      </c>
    </row>
    <row r="1989" spans="1:3" x14ac:dyDescent="0.3">
      <c r="A1989" s="37" t="s">
        <v>0</v>
      </c>
      <c r="B1989" s="37" t="s">
        <v>81</v>
      </c>
      <c r="C1989" s="38">
        <v>90000</v>
      </c>
    </row>
    <row r="1990" spans="1:3" x14ac:dyDescent="0.3">
      <c r="A1990" s="37" t="s">
        <v>0</v>
      </c>
      <c r="B1990" s="37" t="s">
        <v>53</v>
      </c>
      <c r="C1990" s="38">
        <v>130000</v>
      </c>
    </row>
    <row r="1991" spans="1:3" x14ac:dyDescent="0.3">
      <c r="A1991" s="37" t="s">
        <v>0</v>
      </c>
      <c r="B1991" s="37" t="s">
        <v>54</v>
      </c>
      <c r="C1991" s="38">
        <v>240000</v>
      </c>
    </row>
    <row r="1992" spans="1:3" x14ac:dyDescent="0.3">
      <c r="A1992" s="37" t="s">
        <v>0</v>
      </c>
      <c r="B1992" s="37" t="s">
        <v>53</v>
      </c>
      <c r="C1992" s="38">
        <v>230000</v>
      </c>
    </row>
    <row r="1993" spans="1:3" x14ac:dyDescent="0.3">
      <c r="A1993" s="37" t="s">
        <v>0</v>
      </c>
      <c r="B1993" s="37" t="s">
        <v>53</v>
      </c>
      <c r="C1993" s="38">
        <v>175000</v>
      </c>
    </row>
    <row r="1994" spans="1:3" x14ac:dyDescent="0.3">
      <c r="A1994" s="37" t="s">
        <v>0</v>
      </c>
      <c r="B1994" s="37" t="s">
        <v>53</v>
      </c>
      <c r="C1994" s="38">
        <v>110000</v>
      </c>
    </row>
    <row r="1995" spans="1:3" x14ac:dyDescent="0.3">
      <c r="A1995" s="37" t="s">
        <v>0</v>
      </c>
      <c r="B1995" s="37" t="s">
        <v>53</v>
      </c>
      <c r="C1995" s="38">
        <v>82500</v>
      </c>
    </row>
    <row r="1996" spans="1:3" x14ac:dyDescent="0.3">
      <c r="A1996" s="37" t="s">
        <v>0</v>
      </c>
      <c r="B1996" s="37" t="s">
        <v>53</v>
      </c>
      <c r="C1996" s="38">
        <v>136500</v>
      </c>
    </row>
    <row r="1997" spans="1:3" x14ac:dyDescent="0.3">
      <c r="A1997" s="37" t="s">
        <v>0</v>
      </c>
      <c r="B1997" s="37" t="s">
        <v>72</v>
      </c>
      <c r="C1997" s="38">
        <v>89100</v>
      </c>
    </row>
    <row r="1998" spans="1:3" x14ac:dyDescent="0.3">
      <c r="A1998" s="37" t="s">
        <v>0</v>
      </c>
      <c r="B1998" s="37" t="s">
        <v>53</v>
      </c>
      <c r="C1998" s="38">
        <v>65000</v>
      </c>
    </row>
    <row r="1999" spans="1:3" x14ac:dyDescent="0.3">
      <c r="A1999" s="37" t="s">
        <v>0</v>
      </c>
      <c r="B1999" s="37" t="s">
        <v>97</v>
      </c>
      <c r="C1999" s="38">
        <v>157500</v>
      </c>
    </row>
    <row r="2000" spans="1:3" x14ac:dyDescent="0.3">
      <c r="A2000" s="37" t="s">
        <v>0</v>
      </c>
      <c r="B2000" s="37" t="s">
        <v>53</v>
      </c>
      <c r="C2000" s="38">
        <v>99876.2734375</v>
      </c>
    </row>
    <row r="2001" spans="1:3" x14ac:dyDescent="0.3">
      <c r="A2001" s="37" t="s">
        <v>0</v>
      </c>
      <c r="B2001" s="37" t="s">
        <v>53</v>
      </c>
      <c r="C2001" s="38">
        <v>130000</v>
      </c>
    </row>
    <row r="2002" spans="1:3" x14ac:dyDescent="0.3">
      <c r="A2002" s="37" t="s">
        <v>0</v>
      </c>
      <c r="B2002" s="37" t="s">
        <v>53</v>
      </c>
      <c r="C2002" s="38">
        <v>55000</v>
      </c>
    </row>
    <row r="2003" spans="1:3" x14ac:dyDescent="0.3">
      <c r="A2003" s="37" t="s">
        <v>0</v>
      </c>
      <c r="B2003" s="37" t="s">
        <v>72</v>
      </c>
      <c r="C2003" s="38">
        <v>88128</v>
      </c>
    </row>
    <row r="2004" spans="1:3" x14ac:dyDescent="0.3">
      <c r="A2004" s="37" t="s">
        <v>0</v>
      </c>
      <c r="B2004" s="37" t="s">
        <v>53</v>
      </c>
      <c r="C2004" s="38"/>
    </row>
    <row r="2005" spans="1:3" x14ac:dyDescent="0.3">
      <c r="A2005" s="37" t="s">
        <v>0</v>
      </c>
      <c r="B2005" s="37" t="s">
        <v>53</v>
      </c>
      <c r="C2005" s="38"/>
    </row>
    <row r="2006" spans="1:3" x14ac:dyDescent="0.3">
      <c r="A2006" s="37" t="s">
        <v>0</v>
      </c>
      <c r="B2006" s="37" t="s">
        <v>53</v>
      </c>
      <c r="C2006" s="38">
        <v>149750</v>
      </c>
    </row>
    <row r="2007" spans="1:3" x14ac:dyDescent="0.3">
      <c r="A2007" s="37" t="s">
        <v>0</v>
      </c>
      <c r="B2007" s="37" t="s">
        <v>53</v>
      </c>
      <c r="C2007" s="38">
        <v>115000</v>
      </c>
    </row>
    <row r="2008" spans="1:3" x14ac:dyDescent="0.3">
      <c r="A2008" s="37" t="s">
        <v>0</v>
      </c>
      <c r="B2008" s="37" t="s">
        <v>54</v>
      </c>
      <c r="C2008" s="38"/>
    </row>
    <row r="2009" spans="1:3" x14ac:dyDescent="0.3">
      <c r="A2009" s="37" t="s">
        <v>0</v>
      </c>
      <c r="B2009" s="37" t="s">
        <v>53</v>
      </c>
      <c r="C2009" s="38">
        <v>141500</v>
      </c>
    </row>
    <row r="2010" spans="1:3" x14ac:dyDescent="0.3">
      <c r="A2010" s="37" t="s">
        <v>0</v>
      </c>
      <c r="B2010" s="37" t="s">
        <v>70</v>
      </c>
      <c r="C2010" s="38">
        <v>157500</v>
      </c>
    </row>
    <row r="2011" spans="1:3" x14ac:dyDescent="0.3">
      <c r="A2011" s="37" t="s">
        <v>0</v>
      </c>
      <c r="B2011" s="37" t="s">
        <v>86</v>
      </c>
      <c r="C2011" s="38">
        <v>157500</v>
      </c>
    </row>
    <row r="2012" spans="1:3" x14ac:dyDescent="0.3">
      <c r="A2012" s="37" t="s">
        <v>0</v>
      </c>
      <c r="B2012" s="37" t="s">
        <v>53</v>
      </c>
      <c r="C2012" s="38">
        <v>170500</v>
      </c>
    </row>
    <row r="2013" spans="1:3" x14ac:dyDescent="0.3">
      <c r="A2013" s="37" t="s">
        <v>0</v>
      </c>
      <c r="B2013" s="37" t="s">
        <v>53</v>
      </c>
      <c r="C2013" s="38">
        <v>90000</v>
      </c>
    </row>
    <row r="2014" spans="1:3" x14ac:dyDescent="0.3">
      <c r="A2014" s="37" t="s">
        <v>0</v>
      </c>
      <c r="B2014" s="37" t="s">
        <v>54</v>
      </c>
      <c r="C2014" s="38">
        <v>100000</v>
      </c>
    </row>
    <row r="2015" spans="1:3" x14ac:dyDescent="0.3">
      <c r="A2015" s="37" t="s">
        <v>0</v>
      </c>
      <c r="B2015" s="37" t="s">
        <v>110</v>
      </c>
      <c r="C2015" s="38">
        <v>87307.5</v>
      </c>
    </row>
    <row r="2016" spans="1:3" x14ac:dyDescent="0.3">
      <c r="A2016" s="37" t="s">
        <v>0</v>
      </c>
      <c r="B2016" s="37" t="s">
        <v>69</v>
      </c>
      <c r="C2016" s="38">
        <v>105650</v>
      </c>
    </row>
    <row r="2017" spans="1:3" x14ac:dyDescent="0.3">
      <c r="A2017" s="37" t="s">
        <v>0</v>
      </c>
      <c r="B2017" s="37" t="s">
        <v>53</v>
      </c>
      <c r="C2017" s="38">
        <v>175000</v>
      </c>
    </row>
    <row r="2018" spans="1:3" x14ac:dyDescent="0.3">
      <c r="A2018" s="37" t="s">
        <v>0</v>
      </c>
      <c r="B2018" s="37" t="s">
        <v>53</v>
      </c>
      <c r="C2018" s="38"/>
    </row>
    <row r="2019" spans="1:3" x14ac:dyDescent="0.3">
      <c r="A2019" s="37" t="s">
        <v>0</v>
      </c>
      <c r="B2019" s="37" t="s">
        <v>53</v>
      </c>
      <c r="C2019" s="38">
        <v>223000</v>
      </c>
    </row>
    <row r="2020" spans="1:3" x14ac:dyDescent="0.3">
      <c r="A2020" s="37" t="s">
        <v>0</v>
      </c>
      <c r="B2020" s="37" t="s">
        <v>53</v>
      </c>
      <c r="C2020" s="38">
        <v>90000</v>
      </c>
    </row>
    <row r="2021" spans="1:3" x14ac:dyDescent="0.3">
      <c r="A2021" s="37" t="s">
        <v>0</v>
      </c>
      <c r="B2021" s="37" t="s">
        <v>54</v>
      </c>
      <c r="C2021" s="38">
        <v>105138</v>
      </c>
    </row>
    <row r="2022" spans="1:3" x14ac:dyDescent="0.3">
      <c r="A2022" s="37" t="s">
        <v>0</v>
      </c>
      <c r="B2022" s="37" t="s">
        <v>53</v>
      </c>
      <c r="C2022" s="38"/>
    </row>
    <row r="2023" spans="1:3" x14ac:dyDescent="0.3">
      <c r="A2023" s="37" t="s">
        <v>0</v>
      </c>
      <c r="B2023" s="37" t="s">
        <v>53</v>
      </c>
      <c r="C2023" s="38">
        <v>92500</v>
      </c>
    </row>
    <row r="2024" spans="1:3" x14ac:dyDescent="0.3">
      <c r="A2024" s="37" t="s">
        <v>0</v>
      </c>
      <c r="B2024" s="37" t="s">
        <v>53</v>
      </c>
      <c r="C2024" s="38">
        <v>145000</v>
      </c>
    </row>
    <row r="2025" spans="1:3" x14ac:dyDescent="0.3">
      <c r="A2025" s="37" t="s">
        <v>0</v>
      </c>
      <c r="B2025" s="37" t="s">
        <v>53</v>
      </c>
      <c r="C2025" s="38">
        <v>140000</v>
      </c>
    </row>
    <row r="2026" spans="1:3" x14ac:dyDescent="0.3">
      <c r="A2026" s="37" t="s">
        <v>0</v>
      </c>
      <c r="B2026" s="37" t="s">
        <v>72</v>
      </c>
      <c r="C2026" s="38">
        <v>132500</v>
      </c>
    </row>
    <row r="2027" spans="1:3" x14ac:dyDescent="0.3">
      <c r="A2027" s="37" t="s">
        <v>0</v>
      </c>
      <c r="B2027" s="37" t="s">
        <v>72</v>
      </c>
      <c r="C2027" s="38">
        <v>88128</v>
      </c>
    </row>
    <row r="2028" spans="1:3" x14ac:dyDescent="0.3">
      <c r="A2028" s="37" t="s">
        <v>0</v>
      </c>
      <c r="B2028" s="37" t="s">
        <v>53</v>
      </c>
      <c r="C2028" s="38">
        <v>110000</v>
      </c>
    </row>
    <row r="2029" spans="1:3" x14ac:dyDescent="0.3">
      <c r="A2029" s="37" t="s">
        <v>0</v>
      </c>
      <c r="B2029" s="37" t="s">
        <v>53</v>
      </c>
      <c r="C2029" s="38">
        <v>92500</v>
      </c>
    </row>
    <row r="2030" spans="1:3" x14ac:dyDescent="0.3">
      <c r="A2030" s="37" t="s">
        <v>0</v>
      </c>
      <c r="B2030" s="37" t="s">
        <v>97</v>
      </c>
      <c r="C2030" s="38">
        <v>63321.5</v>
      </c>
    </row>
    <row r="2031" spans="1:3" x14ac:dyDescent="0.3">
      <c r="A2031" s="37" t="s">
        <v>0</v>
      </c>
      <c r="B2031" s="37" t="s">
        <v>88</v>
      </c>
      <c r="C2031" s="38">
        <v>157500</v>
      </c>
    </row>
    <row r="2032" spans="1:3" x14ac:dyDescent="0.3">
      <c r="A2032" s="37" t="s">
        <v>0</v>
      </c>
      <c r="B2032" s="37" t="s">
        <v>54</v>
      </c>
      <c r="C2032" s="38"/>
    </row>
    <row r="2033" spans="1:3" x14ac:dyDescent="0.3">
      <c r="A2033" s="37" t="s">
        <v>0</v>
      </c>
      <c r="B2033" s="37" t="s">
        <v>54</v>
      </c>
      <c r="C2033" s="38">
        <v>65000</v>
      </c>
    </row>
    <row r="2034" spans="1:3" x14ac:dyDescent="0.3">
      <c r="A2034" s="37" t="s">
        <v>0</v>
      </c>
      <c r="B2034" s="37" t="s">
        <v>54</v>
      </c>
      <c r="C2034" s="38">
        <v>155000</v>
      </c>
    </row>
    <row r="2035" spans="1:3" x14ac:dyDescent="0.3">
      <c r="A2035" s="37" t="s">
        <v>0</v>
      </c>
      <c r="B2035" s="37" t="s">
        <v>53</v>
      </c>
      <c r="C2035" s="38">
        <v>125000</v>
      </c>
    </row>
    <row r="2036" spans="1:3" x14ac:dyDescent="0.3">
      <c r="A2036" s="37" t="s">
        <v>0</v>
      </c>
      <c r="B2036" s="37" t="s">
        <v>53</v>
      </c>
      <c r="C2036" s="38">
        <v>202000</v>
      </c>
    </row>
    <row r="2037" spans="1:3" x14ac:dyDescent="0.3">
      <c r="A2037" s="37" t="s">
        <v>0</v>
      </c>
      <c r="B2037" s="37" t="s">
        <v>88</v>
      </c>
      <c r="C2037" s="38">
        <v>157500</v>
      </c>
    </row>
    <row r="2038" spans="1:3" x14ac:dyDescent="0.3">
      <c r="A2038" s="37" t="s">
        <v>0</v>
      </c>
      <c r="B2038" s="37" t="s">
        <v>53</v>
      </c>
      <c r="C2038" s="38"/>
    </row>
    <row r="2039" spans="1:3" x14ac:dyDescent="0.3">
      <c r="A2039" s="37" t="s">
        <v>0</v>
      </c>
      <c r="B2039" s="37" t="s">
        <v>53</v>
      </c>
      <c r="C2039" s="38">
        <v>115000</v>
      </c>
    </row>
    <row r="2040" spans="1:3" x14ac:dyDescent="0.3">
      <c r="A2040" s="37" t="s">
        <v>0</v>
      </c>
      <c r="B2040" s="37" t="s">
        <v>53</v>
      </c>
      <c r="C2040" s="38">
        <v>143500</v>
      </c>
    </row>
    <row r="2041" spans="1:3" x14ac:dyDescent="0.3">
      <c r="A2041" s="37" t="s">
        <v>0</v>
      </c>
      <c r="B2041" s="37" t="s">
        <v>54</v>
      </c>
      <c r="C2041" s="38">
        <v>175000</v>
      </c>
    </row>
    <row r="2042" spans="1:3" x14ac:dyDescent="0.3">
      <c r="A2042" s="37" t="s">
        <v>0</v>
      </c>
      <c r="B2042" s="37" t="s">
        <v>53</v>
      </c>
      <c r="C2042" s="38">
        <v>120000.5</v>
      </c>
    </row>
    <row r="2043" spans="1:3" x14ac:dyDescent="0.3">
      <c r="A2043" s="37" t="s">
        <v>0</v>
      </c>
      <c r="B2043" s="37" t="s">
        <v>113</v>
      </c>
      <c r="C2043" s="38">
        <v>64821.5</v>
      </c>
    </row>
    <row r="2044" spans="1:3" x14ac:dyDescent="0.3">
      <c r="A2044" s="37" t="s">
        <v>0</v>
      </c>
      <c r="B2044" s="37" t="s">
        <v>98</v>
      </c>
      <c r="C2044" s="38">
        <v>64821.5</v>
      </c>
    </row>
    <row r="2045" spans="1:3" x14ac:dyDescent="0.3">
      <c r="A2045" s="37" t="s">
        <v>0</v>
      </c>
      <c r="B2045" s="37" t="s">
        <v>53</v>
      </c>
      <c r="C2045" s="38">
        <v>75000</v>
      </c>
    </row>
    <row r="2046" spans="1:3" x14ac:dyDescent="0.3">
      <c r="A2046" s="37" t="s">
        <v>0</v>
      </c>
      <c r="B2046" s="37" t="s">
        <v>95</v>
      </c>
      <c r="C2046" s="38">
        <v>53416.5</v>
      </c>
    </row>
    <row r="2047" spans="1:3" x14ac:dyDescent="0.3">
      <c r="A2047" s="37" t="s">
        <v>0</v>
      </c>
      <c r="B2047" s="37" t="s">
        <v>53</v>
      </c>
      <c r="C2047" s="38">
        <v>234000</v>
      </c>
    </row>
    <row r="2048" spans="1:3" x14ac:dyDescent="0.3">
      <c r="A2048" s="37" t="s">
        <v>0</v>
      </c>
      <c r="B2048" s="37" t="s">
        <v>98</v>
      </c>
      <c r="C2048" s="38">
        <v>89100</v>
      </c>
    </row>
    <row r="2049" spans="1:3" x14ac:dyDescent="0.3">
      <c r="A2049" s="37" t="s">
        <v>0</v>
      </c>
      <c r="B2049" s="37" t="s">
        <v>53</v>
      </c>
      <c r="C2049" s="38"/>
    </row>
    <row r="2050" spans="1:3" x14ac:dyDescent="0.3">
      <c r="A2050" s="37" t="s">
        <v>0</v>
      </c>
      <c r="B2050" s="37" t="s">
        <v>53</v>
      </c>
      <c r="C2050" s="38"/>
    </row>
    <row r="2051" spans="1:3" x14ac:dyDescent="0.3">
      <c r="A2051" s="37" t="s">
        <v>0</v>
      </c>
      <c r="B2051" s="37" t="s">
        <v>54</v>
      </c>
      <c r="C2051" s="38"/>
    </row>
    <row r="2052" spans="1:3" x14ac:dyDescent="0.3">
      <c r="A2052" s="37" t="s">
        <v>0</v>
      </c>
      <c r="B2052" s="37" t="s">
        <v>53</v>
      </c>
      <c r="C2052" s="38">
        <v>150000</v>
      </c>
    </row>
    <row r="2053" spans="1:3" x14ac:dyDescent="0.3">
      <c r="A2053" s="37" t="s">
        <v>0</v>
      </c>
      <c r="B2053" s="37" t="s">
        <v>53</v>
      </c>
      <c r="C2053" s="38"/>
    </row>
    <row r="2054" spans="1:3" x14ac:dyDescent="0.3">
      <c r="A2054" s="37" t="s">
        <v>0</v>
      </c>
      <c r="B2054" s="37" t="s">
        <v>53</v>
      </c>
      <c r="C2054" s="38">
        <v>107030</v>
      </c>
    </row>
    <row r="2055" spans="1:3" x14ac:dyDescent="0.3">
      <c r="A2055" s="37" t="s">
        <v>0</v>
      </c>
      <c r="B2055" s="37" t="s">
        <v>97</v>
      </c>
      <c r="C2055" s="38">
        <v>56700</v>
      </c>
    </row>
    <row r="2056" spans="1:3" x14ac:dyDescent="0.3">
      <c r="A2056" s="37" t="s">
        <v>0</v>
      </c>
      <c r="B2056" s="37" t="s">
        <v>69</v>
      </c>
      <c r="C2056" s="38">
        <v>89100</v>
      </c>
    </row>
    <row r="2057" spans="1:3" x14ac:dyDescent="0.3">
      <c r="A2057" s="37" t="s">
        <v>0</v>
      </c>
      <c r="B2057" s="37" t="s">
        <v>53</v>
      </c>
      <c r="C2057" s="38">
        <v>130000</v>
      </c>
    </row>
    <row r="2058" spans="1:3" x14ac:dyDescent="0.3">
      <c r="A2058" s="37" t="s">
        <v>0</v>
      </c>
      <c r="B2058" s="37" t="s">
        <v>53</v>
      </c>
      <c r="C2058" s="38">
        <v>120000.5</v>
      </c>
    </row>
    <row r="2059" spans="1:3" x14ac:dyDescent="0.3">
      <c r="A2059" s="37" t="s">
        <v>0</v>
      </c>
      <c r="B2059" s="37" t="s">
        <v>53</v>
      </c>
      <c r="C2059" s="38">
        <v>35000</v>
      </c>
    </row>
    <row r="2060" spans="1:3" x14ac:dyDescent="0.3">
      <c r="A2060" s="37" t="s">
        <v>0</v>
      </c>
      <c r="B2060" s="37" t="s">
        <v>54</v>
      </c>
      <c r="C2060" s="38">
        <v>100000</v>
      </c>
    </row>
    <row r="2061" spans="1:3" x14ac:dyDescent="0.3">
      <c r="A2061" s="37" t="s">
        <v>0</v>
      </c>
      <c r="B2061" s="37" t="s">
        <v>54</v>
      </c>
      <c r="C2061" s="38">
        <v>135000</v>
      </c>
    </row>
    <row r="2062" spans="1:3" x14ac:dyDescent="0.3">
      <c r="A2062" s="37" t="s">
        <v>0</v>
      </c>
      <c r="B2062" s="37" t="s">
        <v>72</v>
      </c>
      <c r="C2062" s="38">
        <v>89100</v>
      </c>
    </row>
    <row r="2063" spans="1:3" x14ac:dyDescent="0.3">
      <c r="A2063" s="37" t="s">
        <v>0</v>
      </c>
      <c r="B2063" s="37" t="s">
        <v>53</v>
      </c>
      <c r="C2063" s="38">
        <v>225000</v>
      </c>
    </row>
    <row r="2064" spans="1:3" x14ac:dyDescent="0.3">
      <c r="A2064" s="37" t="s">
        <v>0</v>
      </c>
      <c r="B2064" s="37" t="s">
        <v>53</v>
      </c>
      <c r="C2064" s="38"/>
    </row>
    <row r="2065" spans="1:3" x14ac:dyDescent="0.3">
      <c r="A2065" s="37" t="s">
        <v>0</v>
      </c>
      <c r="B2065" s="37" t="s">
        <v>53</v>
      </c>
      <c r="C2065" s="38">
        <v>162500</v>
      </c>
    </row>
    <row r="2066" spans="1:3" x14ac:dyDescent="0.3">
      <c r="A2066" s="37" t="s">
        <v>0</v>
      </c>
      <c r="B2066" s="37" t="s">
        <v>53</v>
      </c>
      <c r="C2066" s="38">
        <v>175000</v>
      </c>
    </row>
    <row r="2067" spans="1:3" x14ac:dyDescent="0.3">
      <c r="A2067" s="37" t="s">
        <v>0</v>
      </c>
      <c r="B2067" s="37" t="s">
        <v>54</v>
      </c>
      <c r="C2067" s="38">
        <v>155000</v>
      </c>
    </row>
    <row r="2068" spans="1:3" x14ac:dyDescent="0.3">
      <c r="A2068" s="37" t="s">
        <v>0</v>
      </c>
      <c r="B2068" s="37" t="s">
        <v>53</v>
      </c>
      <c r="C2068" s="38">
        <v>183310</v>
      </c>
    </row>
    <row r="2069" spans="1:3" x14ac:dyDescent="0.3">
      <c r="A2069" s="37" t="s">
        <v>0</v>
      </c>
      <c r="B2069" s="37" t="s">
        <v>73</v>
      </c>
      <c r="C2069" s="38">
        <v>99150</v>
      </c>
    </row>
    <row r="2070" spans="1:3" x14ac:dyDescent="0.3">
      <c r="A2070" s="37" t="s">
        <v>0</v>
      </c>
      <c r="B2070" s="37" t="s">
        <v>53</v>
      </c>
      <c r="C2070" s="38">
        <v>187500</v>
      </c>
    </row>
    <row r="2071" spans="1:3" x14ac:dyDescent="0.3">
      <c r="A2071" s="37" t="s">
        <v>0</v>
      </c>
      <c r="B2071" s="37" t="s">
        <v>56</v>
      </c>
      <c r="C2071" s="38">
        <v>157500</v>
      </c>
    </row>
    <row r="2072" spans="1:3" x14ac:dyDescent="0.3">
      <c r="A2072" s="37" t="s">
        <v>0</v>
      </c>
      <c r="B2072" s="37" t="s">
        <v>53</v>
      </c>
      <c r="C2072" s="38">
        <v>137500</v>
      </c>
    </row>
    <row r="2073" spans="1:3" x14ac:dyDescent="0.3">
      <c r="A2073" s="37" t="s">
        <v>0</v>
      </c>
      <c r="B2073" s="37" t="s">
        <v>53</v>
      </c>
      <c r="C2073" s="38"/>
    </row>
    <row r="2074" spans="1:3" x14ac:dyDescent="0.3">
      <c r="A2074" s="37" t="s">
        <v>0</v>
      </c>
      <c r="B2074" s="37" t="s">
        <v>53</v>
      </c>
      <c r="C2074" s="38">
        <v>130000</v>
      </c>
    </row>
    <row r="2075" spans="1:3" x14ac:dyDescent="0.3">
      <c r="A2075" s="37" t="s">
        <v>0</v>
      </c>
      <c r="B2075" s="37" t="s">
        <v>53</v>
      </c>
      <c r="C2075" s="38">
        <v>150000</v>
      </c>
    </row>
    <row r="2076" spans="1:3" x14ac:dyDescent="0.3">
      <c r="A2076" s="37" t="s">
        <v>0</v>
      </c>
      <c r="B2076" s="37" t="s">
        <v>54</v>
      </c>
      <c r="C2076" s="38">
        <v>190000</v>
      </c>
    </row>
    <row r="2077" spans="1:3" x14ac:dyDescent="0.3">
      <c r="A2077" s="37" t="s">
        <v>0</v>
      </c>
      <c r="B2077" s="37" t="s">
        <v>53</v>
      </c>
      <c r="C2077" s="38">
        <v>113500</v>
      </c>
    </row>
    <row r="2078" spans="1:3" x14ac:dyDescent="0.3">
      <c r="A2078" s="37" t="s">
        <v>0</v>
      </c>
      <c r="B2078" s="37" t="s">
        <v>105</v>
      </c>
      <c r="C2078" s="38">
        <v>157500</v>
      </c>
    </row>
    <row r="2079" spans="1:3" x14ac:dyDescent="0.3">
      <c r="A2079" s="37" t="s">
        <v>0</v>
      </c>
      <c r="B2079" s="37" t="s">
        <v>53</v>
      </c>
      <c r="C2079" s="38">
        <v>224500</v>
      </c>
    </row>
    <row r="2080" spans="1:3" x14ac:dyDescent="0.3">
      <c r="A2080" s="37" t="s">
        <v>0</v>
      </c>
      <c r="B2080" s="37" t="s">
        <v>53</v>
      </c>
      <c r="C2080" s="38">
        <v>135000</v>
      </c>
    </row>
    <row r="2081" spans="1:3" x14ac:dyDescent="0.3">
      <c r="A2081" s="37" t="s">
        <v>0</v>
      </c>
      <c r="B2081" s="37" t="s">
        <v>53</v>
      </c>
      <c r="C2081" s="38">
        <v>101603</v>
      </c>
    </row>
    <row r="2082" spans="1:3" x14ac:dyDescent="0.3">
      <c r="A2082" s="37" t="s">
        <v>0</v>
      </c>
      <c r="B2082" s="37" t="s">
        <v>53</v>
      </c>
      <c r="C2082" s="38">
        <v>95700</v>
      </c>
    </row>
    <row r="2083" spans="1:3" x14ac:dyDescent="0.3">
      <c r="A2083" s="37" t="s">
        <v>0</v>
      </c>
      <c r="B2083" s="37" t="s">
        <v>53</v>
      </c>
      <c r="C2083" s="38">
        <v>135000</v>
      </c>
    </row>
    <row r="2084" spans="1:3" x14ac:dyDescent="0.3">
      <c r="A2084" s="37" t="s">
        <v>0</v>
      </c>
      <c r="B2084" s="37" t="s">
        <v>124</v>
      </c>
      <c r="C2084" s="38">
        <v>50400</v>
      </c>
    </row>
    <row r="2085" spans="1:3" x14ac:dyDescent="0.3">
      <c r="A2085" s="37" t="s">
        <v>0</v>
      </c>
      <c r="B2085" s="37" t="s">
        <v>53</v>
      </c>
      <c r="C2085" s="38">
        <v>350000</v>
      </c>
    </row>
    <row r="2086" spans="1:3" x14ac:dyDescent="0.3">
      <c r="A2086" s="37" t="s">
        <v>0</v>
      </c>
      <c r="B2086" s="37" t="s">
        <v>53</v>
      </c>
      <c r="C2086" s="38"/>
    </row>
    <row r="2087" spans="1:3" x14ac:dyDescent="0.3">
      <c r="A2087" s="37" t="s">
        <v>0</v>
      </c>
      <c r="B2087" s="37" t="s">
        <v>54</v>
      </c>
      <c r="C2087" s="38">
        <v>135000</v>
      </c>
    </row>
    <row r="2088" spans="1:3" x14ac:dyDescent="0.3">
      <c r="A2088" s="37" t="s">
        <v>0</v>
      </c>
      <c r="B2088" s="37" t="s">
        <v>53</v>
      </c>
      <c r="C2088" s="38"/>
    </row>
    <row r="2089" spans="1:3" x14ac:dyDescent="0.3">
      <c r="A2089" s="37" t="s">
        <v>0</v>
      </c>
      <c r="B2089" s="37" t="s">
        <v>53</v>
      </c>
      <c r="C2089" s="38">
        <v>209955.5</v>
      </c>
    </row>
    <row r="2090" spans="1:3" x14ac:dyDescent="0.3">
      <c r="A2090" s="37" t="s">
        <v>0</v>
      </c>
      <c r="B2090" s="37" t="s">
        <v>54</v>
      </c>
      <c r="C2090" s="38">
        <v>67500</v>
      </c>
    </row>
    <row r="2091" spans="1:3" x14ac:dyDescent="0.3">
      <c r="A2091" s="37" t="s">
        <v>0</v>
      </c>
      <c r="B2091" s="37" t="s">
        <v>54</v>
      </c>
      <c r="C2091" s="38"/>
    </row>
    <row r="2092" spans="1:3" x14ac:dyDescent="0.3">
      <c r="A2092" s="37" t="s">
        <v>0</v>
      </c>
      <c r="B2092" s="37" t="s">
        <v>53</v>
      </c>
      <c r="C2092" s="38">
        <v>115000</v>
      </c>
    </row>
    <row r="2093" spans="1:3" x14ac:dyDescent="0.3">
      <c r="A2093" s="37" t="s">
        <v>0</v>
      </c>
      <c r="B2093" s="37" t="s">
        <v>54</v>
      </c>
      <c r="C2093" s="38">
        <v>136950</v>
      </c>
    </row>
    <row r="2094" spans="1:3" x14ac:dyDescent="0.3">
      <c r="A2094" s="37" t="s">
        <v>0</v>
      </c>
      <c r="B2094" s="37" t="s">
        <v>53</v>
      </c>
      <c r="C2094" s="38"/>
    </row>
    <row r="2095" spans="1:3" x14ac:dyDescent="0.3">
      <c r="A2095" s="37" t="s">
        <v>0</v>
      </c>
      <c r="B2095" s="37" t="s">
        <v>53</v>
      </c>
      <c r="C2095" s="38">
        <v>138000</v>
      </c>
    </row>
    <row r="2096" spans="1:3" x14ac:dyDescent="0.3">
      <c r="A2096" s="37" t="s">
        <v>0</v>
      </c>
      <c r="B2096" s="37" t="s">
        <v>54</v>
      </c>
      <c r="C2096" s="38">
        <v>140000</v>
      </c>
    </row>
    <row r="2097" spans="1:3" x14ac:dyDescent="0.3">
      <c r="A2097" s="37" t="s">
        <v>0</v>
      </c>
      <c r="B2097" s="37" t="s">
        <v>80</v>
      </c>
      <c r="C2097" s="38">
        <v>109500</v>
      </c>
    </row>
    <row r="2098" spans="1:3" x14ac:dyDescent="0.3">
      <c r="A2098" s="37" t="s">
        <v>0</v>
      </c>
      <c r="B2098" s="37" t="s">
        <v>53</v>
      </c>
      <c r="C2098" s="38"/>
    </row>
    <row r="2099" spans="1:3" x14ac:dyDescent="0.3">
      <c r="A2099" s="37" t="s">
        <v>0</v>
      </c>
      <c r="B2099" s="37" t="s">
        <v>53</v>
      </c>
      <c r="C2099" s="38">
        <v>185000</v>
      </c>
    </row>
    <row r="2100" spans="1:3" x14ac:dyDescent="0.3">
      <c r="A2100" s="37" t="s">
        <v>0</v>
      </c>
      <c r="B2100" s="37" t="s">
        <v>53</v>
      </c>
      <c r="C2100" s="38">
        <v>155000</v>
      </c>
    </row>
    <row r="2101" spans="1:3" x14ac:dyDescent="0.3">
      <c r="A2101" s="37" t="s">
        <v>0</v>
      </c>
      <c r="B2101" s="37" t="s">
        <v>53</v>
      </c>
      <c r="C2101" s="38"/>
    </row>
    <row r="2102" spans="1:3" x14ac:dyDescent="0.3">
      <c r="A2102" s="37" t="s">
        <v>0</v>
      </c>
      <c r="B2102" s="37" t="s">
        <v>53</v>
      </c>
      <c r="C2102" s="38">
        <v>115000</v>
      </c>
    </row>
    <row r="2103" spans="1:3" x14ac:dyDescent="0.3">
      <c r="A2103" s="37" t="s">
        <v>0</v>
      </c>
      <c r="B2103" s="37" t="s">
        <v>53</v>
      </c>
      <c r="C2103" s="38">
        <v>129326</v>
      </c>
    </row>
    <row r="2104" spans="1:3" x14ac:dyDescent="0.3">
      <c r="A2104" s="37" t="s">
        <v>0</v>
      </c>
      <c r="B2104" s="37" t="s">
        <v>53</v>
      </c>
      <c r="C2104" s="38">
        <v>107789.5</v>
      </c>
    </row>
    <row r="2105" spans="1:3" x14ac:dyDescent="0.3">
      <c r="A2105" s="37" t="s">
        <v>0</v>
      </c>
      <c r="B2105" s="37" t="s">
        <v>53</v>
      </c>
      <c r="C2105" s="38"/>
    </row>
    <row r="2106" spans="1:3" x14ac:dyDescent="0.3">
      <c r="A2106" s="37" t="s">
        <v>0</v>
      </c>
      <c r="B2106" s="37" t="s">
        <v>53</v>
      </c>
      <c r="C2106" s="38"/>
    </row>
    <row r="2107" spans="1:3" x14ac:dyDescent="0.3">
      <c r="A2107" s="37" t="s">
        <v>0</v>
      </c>
      <c r="B2107" s="37" t="s">
        <v>53</v>
      </c>
      <c r="C2107" s="38"/>
    </row>
    <row r="2108" spans="1:3" x14ac:dyDescent="0.3">
      <c r="A2108" s="37" t="s">
        <v>0</v>
      </c>
      <c r="B2108" s="37" t="s">
        <v>53</v>
      </c>
      <c r="C2108" s="38">
        <v>115000</v>
      </c>
    </row>
    <row r="2109" spans="1:3" x14ac:dyDescent="0.3">
      <c r="A2109" s="37" t="s">
        <v>0</v>
      </c>
      <c r="B2109" s="37" t="s">
        <v>53</v>
      </c>
      <c r="C2109" s="38"/>
    </row>
    <row r="2110" spans="1:3" x14ac:dyDescent="0.3">
      <c r="A2110" s="37" t="s">
        <v>0</v>
      </c>
      <c r="B2110" s="37" t="s">
        <v>108</v>
      </c>
      <c r="C2110" s="38">
        <v>64821.5</v>
      </c>
    </row>
    <row r="2111" spans="1:3" x14ac:dyDescent="0.3">
      <c r="A2111" s="37" t="s">
        <v>0</v>
      </c>
      <c r="B2111" s="37" t="s">
        <v>53</v>
      </c>
      <c r="C2111" s="38">
        <v>161955.5</v>
      </c>
    </row>
    <row r="2112" spans="1:3" x14ac:dyDescent="0.3">
      <c r="A2112" s="37" t="s">
        <v>0</v>
      </c>
      <c r="B2112" s="37" t="s">
        <v>53</v>
      </c>
      <c r="C2112" s="38">
        <v>117500</v>
      </c>
    </row>
    <row r="2113" spans="1:3" x14ac:dyDescent="0.3">
      <c r="A2113" s="37" t="s">
        <v>0</v>
      </c>
      <c r="B2113" s="37" t="s">
        <v>88</v>
      </c>
      <c r="C2113" s="38">
        <v>157500</v>
      </c>
    </row>
    <row r="2114" spans="1:3" x14ac:dyDescent="0.3">
      <c r="A2114" s="37" t="s">
        <v>0</v>
      </c>
      <c r="B2114" s="37" t="s">
        <v>53</v>
      </c>
      <c r="C2114" s="38">
        <v>200000</v>
      </c>
    </row>
    <row r="2115" spans="1:3" x14ac:dyDescent="0.3">
      <c r="A2115" s="37" t="s">
        <v>0</v>
      </c>
      <c r="B2115" s="37" t="s">
        <v>53</v>
      </c>
      <c r="C2115" s="38">
        <v>202500</v>
      </c>
    </row>
    <row r="2116" spans="1:3" x14ac:dyDescent="0.3">
      <c r="A2116" s="37" t="s">
        <v>0</v>
      </c>
      <c r="B2116" s="37" t="s">
        <v>53</v>
      </c>
      <c r="C2116" s="38">
        <v>94000</v>
      </c>
    </row>
    <row r="2117" spans="1:3" x14ac:dyDescent="0.3">
      <c r="A2117" s="37" t="s">
        <v>0</v>
      </c>
      <c r="B2117" s="37" t="s">
        <v>88</v>
      </c>
      <c r="C2117" s="38">
        <v>157500</v>
      </c>
    </row>
    <row r="2118" spans="1:3" x14ac:dyDescent="0.3">
      <c r="A2118" s="37" t="s">
        <v>0</v>
      </c>
      <c r="B2118" s="37" t="s">
        <v>53</v>
      </c>
      <c r="C2118" s="38">
        <v>182500</v>
      </c>
    </row>
    <row r="2119" spans="1:3" x14ac:dyDescent="0.3">
      <c r="A2119" s="37" t="s">
        <v>0</v>
      </c>
      <c r="B2119" s="37" t="s">
        <v>88</v>
      </c>
      <c r="C2119" s="38">
        <v>147500</v>
      </c>
    </row>
    <row r="2120" spans="1:3" x14ac:dyDescent="0.3">
      <c r="A2120" s="37" t="s">
        <v>0</v>
      </c>
      <c r="B2120" s="37" t="s">
        <v>53</v>
      </c>
      <c r="C2120" s="38">
        <v>105130</v>
      </c>
    </row>
    <row r="2121" spans="1:3" x14ac:dyDescent="0.3">
      <c r="A2121" s="37" t="s">
        <v>0</v>
      </c>
      <c r="B2121" s="37" t="s">
        <v>53</v>
      </c>
      <c r="C2121" s="38">
        <v>110000</v>
      </c>
    </row>
    <row r="2122" spans="1:3" x14ac:dyDescent="0.3">
      <c r="A2122" s="37" t="s">
        <v>0</v>
      </c>
      <c r="B2122" s="37" t="s">
        <v>53</v>
      </c>
      <c r="C2122" s="38">
        <v>190000</v>
      </c>
    </row>
    <row r="2123" spans="1:3" x14ac:dyDescent="0.3">
      <c r="A2123" s="37" t="s">
        <v>0</v>
      </c>
      <c r="B2123" s="37" t="s">
        <v>53</v>
      </c>
      <c r="C2123" s="38"/>
    </row>
    <row r="2124" spans="1:3" x14ac:dyDescent="0.3">
      <c r="A2124" s="37" t="s">
        <v>0</v>
      </c>
      <c r="B2124" s="37" t="s">
        <v>53</v>
      </c>
      <c r="C2124" s="38">
        <v>136656</v>
      </c>
    </row>
    <row r="2125" spans="1:3" x14ac:dyDescent="0.3">
      <c r="A2125" s="37" t="s">
        <v>0</v>
      </c>
      <c r="B2125" s="37" t="s">
        <v>53</v>
      </c>
      <c r="C2125" s="38">
        <v>195000</v>
      </c>
    </row>
    <row r="2126" spans="1:3" x14ac:dyDescent="0.3">
      <c r="A2126" s="37" t="s">
        <v>0</v>
      </c>
      <c r="B2126" s="37" t="s">
        <v>53</v>
      </c>
      <c r="C2126" s="38">
        <v>150000</v>
      </c>
    </row>
    <row r="2127" spans="1:3" x14ac:dyDescent="0.3">
      <c r="A2127" s="37" t="s">
        <v>0</v>
      </c>
      <c r="B2127" s="37" t="s">
        <v>72</v>
      </c>
      <c r="C2127" s="38">
        <v>192000</v>
      </c>
    </row>
    <row r="2128" spans="1:3" x14ac:dyDescent="0.3">
      <c r="A2128" s="37" t="s">
        <v>0</v>
      </c>
      <c r="B2128" s="37" t="s">
        <v>53</v>
      </c>
      <c r="C2128" s="38">
        <v>190877</v>
      </c>
    </row>
    <row r="2129" spans="1:3" x14ac:dyDescent="0.3">
      <c r="A2129" s="37" t="s">
        <v>0</v>
      </c>
      <c r="B2129" s="37" t="s">
        <v>53</v>
      </c>
      <c r="C2129" s="38">
        <v>151500</v>
      </c>
    </row>
    <row r="2130" spans="1:3" x14ac:dyDescent="0.3">
      <c r="A2130" s="37" t="s">
        <v>0</v>
      </c>
      <c r="B2130" s="37" t="s">
        <v>53</v>
      </c>
      <c r="C2130" s="38">
        <v>61022</v>
      </c>
    </row>
    <row r="2131" spans="1:3" x14ac:dyDescent="0.3">
      <c r="A2131" s="37" t="s">
        <v>0</v>
      </c>
      <c r="B2131" s="37" t="s">
        <v>53</v>
      </c>
      <c r="C2131" s="38"/>
    </row>
    <row r="2132" spans="1:3" x14ac:dyDescent="0.3">
      <c r="A2132" s="37" t="s">
        <v>0</v>
      </c>
      <c r="B2132" s="37" t="s">
        <v>54</v>
      </c>
      <c r="C2132" s="38"/>
    </row>
    <row r="2133" spans="1:3" x14ac:dyDescent="0.3">
      <c r="A2133" s="37" t="s">
        <v>0</v>
      </c>
      <c r="B2133" s="37" t="s">
        <v>88</v>
      </c>
      <c r="C2133" s="38">
        <v>157500</v>
      </c>
    </row>
    <row r="2134" spans="1:3" x14ac:dyDescent="0.3">
      <c r="A2134" s="37" t="s">
        <v>0</v>
      </c>
      <c r="B2134" s="37" t="s">
        <v>53</v>
      </c>
      <c r="C2134" s="38"/>
    </row>
    <row r="2135" spans="1:3" x14ac:dyDescent="0.3">
      <c r="A2135" s="37" t="s">
        <v>0</v>
      </c>
      <c r="B2135" s="37" t="s">
        <v>53</v>
      </c>
      <c r="C2135" s="38">
        <v>145000</v>
      </c>
    </row>
    <row r="2136" spans="1:3" x14ac:dyDescent="0.3">
      <c r="A2136" s="37" t="s">
        <v>0</v>
      </c>
      <c r="B2136" s="37" t="s">
        <v>53</v>
      </c>
      <c r="C2136" s="38">
        <v>115000</v>
      </c>
    </row>
    <row r="2137" spans="1:3" x14ac:dyDescent="0.3">
      <c r="A2137" s="37" t="s">
        <v>0</v>
      </c>
      <c r="B2137" s="37" t="s">
        <v>53</v>
      </c>
      <c r="C2137" s="38">
        <v>190600</v>
      </c>
    </row>
    <row r="2138" spans="1:3" x14ac:dyDescent="0.3">
      <c r="A2138" s="37" t="s">
        <v>0</v>
      </c>
      <c r="B2138" s="37" t="s">
        <v>105</v>
      </c>
      <c r="C2138" s="38">
        <v>192000</v>
      </c>
    </row>
    <row r="2139" spans="1:3" x14ac:dyDescent="0.3">
      <c r="A2139" s="37" t="s">
        <v>0</v>
      </c>
      <c r="B2139" s="37" t="s">
        <v>53</v>
      </c>
      <c r="C2139" s="38"/>
    </row>
    <row r="2140" spans="1:3" x14ac:dyDescent="0.3">
      <c r="A2140" s="37" t="s">
        <v>0</v>
      </c>
      <c r="B2140" s="37" t="s">
        <v>53</v>
      </c>
      <c r="C2140" s="38"/>
    </row>
    <row r="2141" spans="1:3" x14ac:dyDescent="0.3">
      <c r="A2141" s="37" t="s">
        <v>0</v>
      </c>
      <c r="B2141" s="37" t="s">
        <v>72</v>
      </c>
      <c r="C2141" s="38">
        <v>152625</v>
      </c>
    </row>
    <row r="2142" spans="1:3" x14ac:dyDescent="0.3">
      <c r="A2142" s="37" t="s">
        <v>0</v>
      </c>
      <c r="B2142" s="37" t="s">
        <v>53</v>
      </c>
      <c r="C2142" s="38">
        <v>118500</v>
      </c>
    </row>
    <row r="2143" spans="1:3" x14ac:dyDescent="0.3">
      <c r="A2143" s="37" t="s">
        <v>0</v>
      </c>
      <c r="B2143" s="37" t="s">
        <v>54</v>
      </c>
      <c r="C2143" s="38">
        <v>95326</v>
      </c>
    </row>
    <row r="2144" spans="1:3" x14ac:dyDescent="0.3">
      <c r="A2144" s="37" t="s">
        <v>0</v>
      </c>
      <c r="B2144" s="37" t="s">
        <v>53</v>
      </c>
      <c r="C2144" s="38">
        <v>147500</v>
      </c>
    </row>
    <row r="2145" spans="1:3" x14ac:dyDescent="0.3">
      <c r="A2145" s="37" t="s">
        <v>0</v>
      </c>
      <c r="B2145" s="37" t="s">
        <v>53</v>
      </c>
      <c r="C2145" s="38">
        <v>107800</v>
      </c>
    </row>
    <row r="2146" spans="1:3" x14ac:dyDescent="0.3">
      <c r="A2146" s="37" t="s">
        <v>0</v>
      </c>
      <c r="B2146" s="37" t="s">
        <v>53</v>
      </c>
      <c r="C2146" s="38">
        <v>90000</v>
      </c>
    </row>
    <row r="2147" spans="1:3" x14ac:dyDescent="0.3">
      <c r="A2147" s="37" t="s">
        <v>0</v>
      </c>
      <c r="B2147" s="37" t="s">
        <v>53</v>
      </c>
      <c r="C2147" s="38">
        <v>150000</v>
      </c>
    </row>
    <row r="2148" spans="1:3" x14ac:dyDescent="0.3">
      <c r="A2148" s="37" t="s">
        <v>0</v>
      </c>
      <c r="B2148" s="37" t="s">
        <v>53</v>
      </c>
      <c r="C2148" s="38">
        <v>114500</v>
      </c>
    </row>
    <row r="2149" spans="1:3" x14ac:dyDescent="0.3">
      <c r="A2149" s="37" t="s">
        <v>0</v>
      </c>
      <c r="B2149" s="37" t="s">
        <v>53</v>
      </c>
      <c r="C2149" s="38">
        <v>126650</v>
      </c>
    </row>
    <row r="2150" spans="1:3" x14ac:dyDescent="0.3">
      <c r="A2150" s="37" t="s">
        <v>0</v>
      </c>
      <c r="B2150" s="37" t="s">
        <v>53</v>
      </c>
      <c r="C2150" s="38">
        <v>157500</v>
      </c>
    </row>
    <row r="2151" spans="1:3" x14ac:dyDescent="0.3">
      <c r="A2151" s="37" t="s">
        <v>0</v>
      </c>
      <c r="B2151" s="37" t="s">
        <v>88</v>
      </c>
      <c r="C2151" s="38">
        <v>93600</v>
      </c>
    </row>
    <row r="2152" spans="1:3" x14ac:dyDescent="0.3">
      <c r="A2152" s="37" t="s">
        <v>0</v>
      </c>
      <c r="B2152" s="37" t="s">
        <v>53</v>
      </c>
      <c r="C2152" s="38"/>
    </row>
    <row r="2153" spans="1:3" x14ac:dyDescent="0.3">
      <c r="A2153" s="37" t="s">
        <v>0</v>
      </c>
      <c r="B2153" s="37" t="s">
        <v>53</v>
      </c>
      <c r="C2153" s="38">
        <v>78300</v>
      </c>
    </row>
    <row r="2154" spans="1:3" x14ac:dyDescent="0.3">
      <c r="A2154" s="37" t="s">
        <v>0</v>
      </c>
      <c r="B2154" s="37" t="s">
        <v>53</v>
      </c>
      <c r="C2154" s="38"/>
    </row>
    <row r="2155" spans="1:3" x14ac:dyDescent="0.3">
      <c r="A2155" s="37" t="s">
        <v>0</v>
      </c>
      <c r="B2155" s="37" t="s">
        <v>53</v>
      </c>
      <c r="C2155" s="38">
        <v>99150</v>
      </c>
    </row>
    <row r="2156" spans="1:3" x14ac:dyDescent="0.3">
      <c r="A2156" s="37" t="s">
        <v>0</v>
      </c>
      <c r="B2156" s="37" t="s">
        <v>53</v>
      </c>
      <c r="C2156" s="38">
        <v>157500</v>
      </c>
    </row>
    <row r="2157" spans="1:3" x14ac:dyDescent="0.3">
      <c r="A2157" s="37" t="s">
        <v>0</v>
      </c>
      <c r="B2157" s="37" t="s">
        <v>53</v>
      </c>
      <c r="C2157" s="38"/>
    </row>
    <row r="2158" spans="1:3" x14ac:dyDescent="0.3">
      <c r="A2158" s="37" t="s">
        <v>0</v>
      </c>
      <c r="B2158" s="37" t="s">
        <v>53</v>
      </c>
      <c r="C2158" s="38"/>
    </row>
    <row r="2159" spans="1:3" x14ac:dyDescent="0.3">
      <c r="A2159" s="37" t="s">
        <v>0</v>
      </c>
      <c r="B2159" s="37" t="s">
        <v>97</v>
      </c>
      <c r="C2159" s="38">
        <v>72900</v>
      </c>
    </row>
    <row r="2160" spans="1:3" x14ac:dyDescent="0.3">
      <c r="A2160" s="37" t="s">
        <v>0</v>
      </c>
      <c r="B2160" s="37" t="s">
        <v>53</v>
      </c>
      <c r="C2160" s="38">
        <v>92470</v>
      </c>
    </row>
    <row r="2161" spans="1:3" x14ac:dyDescent="0.3">
      <c r="A2161" s="37" t="s">
        <v>0</v>
      </c>
      <c r="B2161" s="37" t="s">
        <v>53</v>
      </c>
      <c r="C2161" s="38">
        <v>150500</v>
      </c>
    </row>
    <row r="2162" spans="1:3" x14ac:dyDescent="0.3">
      <c r="A2162" s="37" t="s">
        <v>0</v>
      </c>
      <c r="B2162" s="37" t="s">
        <v>53</v>
      </c>
      <c r="C2162" s="38">
        <v>110000</v>
      </c>
    </row>
    <row r="2163" spans="1:3" x14ac:dyDescent="0.3">
      <c r="A2163" s="37" t="s">
        <v>0</v>
      </c>
      <c r="B2163" s="37" t="s">
        <v>73</v>
      </c>
      <c r="C2163" s="38">
        <v>100000</v>
      </c>
    </row>
    <row r="2164" spans="1:3" x14ac:dyDescent="0.3">
      <c r="A2164" s="37" t="s">
        <v>0</v>
      </c>
      <c r="B2164" s="37" t="s">
        <v>53</v>
      </c>
      <c r="C2164" s="38">
        <v>158857.5</v>
      </c>
    </row>
    <row r="2165" spans="1:3" x14ac:dyDescent="0.3">
      <c r="A2165" s="37" t="s">
        <v>0</v>
      </c>
      <c r="B2165" s="37" t="s">
        <v>64</v>
      </c>
      <c r="C2165" s="38">
        <v>157500</v>
      </c>
    </row>
    <row r="2166" spans="1:3" x14ac:dyDescent="0.3">
      <c r="A2166" s="37" t="s">
        <v>0</v>
      </c>
      <c r="B2166" s="37" t="s">
        <v>54</v>
      </c>
      <c r="C2166" s="38">
        <v>105000</v>
      </c>
    </row>
    <row r="2167" spans="1:3" x14ac:dyDescent="0.3">
      <c r="A2167" s="37" t="s">
        <v>0</v>
      </c>
      <c r="B2167" s="37" t="s">
        <v>53</v>
      </c>
      <c r="C2167" s="38">
        <v>88393.5</v>
      </c>
    </row>
    <row r="2168" spans="1:3" x14ac:dyDescent="0.3">
      <c r="A2168" s="37" t="s">
        <v>0</v>
      </c>
      <c r="B2168" s="37" t="s">
        <v>53</v>
      </c>
      <c r="C2168" s="38">
        <v>250000</v>
      </c>
    </row>
    <row r="2169" spans="1:3" x14ac:dyDescent="0.3">
      <c r="A2169" s="37" t="s">
        <v>0</v>
      </c>
      <c r="B2169" s="37" t="s">
        <v>53</v>
      </c>
      <c r="C2169" s="38">
        <v>172500</v>
      </c>
    </row>
    <row r="2170" spans="1:3" x14ac:dyDescent="0.3">
      <c r="A2170" s="37" t="s">
        <v>0</v>
      </c>
      <c r="B2170" s="37" t="s">
        <v>53</v>
      </c>
      <c r="C2170" s="38"/>
    </row>
    <row r="2171" spans="1:3" x14ac:dyDescent="0.3">
      <c r="A2171" s="37" t="s">
        <v>0</v>
      </c>
      <c r="B2171" s="37" t="s">
        <v>53</v>
      </c>
      <c r="C2171" s="38"/>
    </row>
    <row r="2172" spans="1:3" x14ac:dyDescent="0.3">
      <c r="A2172" s="37" t="s">
        <v>0</v>
      </c>
      <c r="B2172" s="37" t="s">
        <v>53</v>
      </c>
      <c r="C2172" s="38">
        <v>131867</v>
      </c>
    </row>
    <row r="2173" spans="1:3" x14ac:dyDescent="0.3">
      <c r="A2173" s="37" t="s">
        <v>0</v>
      </c>
      <c r="B2173" s="37" t="s">
        <v>53</v>
      </c>
      <c r="C2173" s="38"/>
    </row>
    <row r="2174" spans="1:3" x14ac:dyDescent="0.3">
      <c r="A2174" s="37" t="s">
        <v>0</v>
      </c>
      <c r="B2174" s="37" t="s">
        <v>53</v>
      </c>
      <c r="C2174" s="38">
        <v>182000</v>
      </c>
    </row>
    <row r="2175" spans="1:3" x14ac:dyDescent="0.3">
      <c r="A2175" s="37" t="s">
        <v>0</v>
      </c>
      <c r="B2175" s="37" t="s">
        <v>88</v>
      </c>
      <c r="C2175" s="38">
        <v>157500</v>
      </c>
    </row>
    <row r="2176" spans="1:3" x14ac:dyDescent="0.3">
      <c r="A2176" s="37" t="s">
        <v>0</v>
      </c>
      <c r="B2176" s="37" t="s">
        <v>53</v>
      </c>
      <c r="C2176" s="38">
        <v>80850</v>
      </c>
    </row>
    <row r="2177" spans="1:3" x14ac:dyDescent="0.3">
      <c r="A2177" s="37" t="s">
        <v>0</v>
      </c>
      <c r="B2177" s="37" t="s">
        <v>53</v>
      </c>
      <c r="C2177" s="38">
        <v>150000</v>
      </c>
    </row>
    <row r="2178" spans="1:3" x14ac:dyDescent="0.3">
      <c r="A2178" s="37" t="s">
        <v>0</v>
      </c>
      <c r="B2178" s="37" t="s">
        <v>53</v>
      </c>
      <c r="C2178" s="38">
        <v>157500</v>
      </c>
    </row>
    <row r="2179" spans="1:3" x14ac:dyDescent="0.3">
      <c r="A2179" s="37" t="s">
        <v>0</v>
      </c>
      <c r="B2179" s="37" t="s">
        <v>53</v>
      </c>
      <c r="C2179" s="38">
        <v>120000</v>
      </c>
    </row>
    <row r="2180" spans="1:3" x14ac:dyDescent="0.3">
      <c r="A2180" s="37" t="s">
        <v>0</v>
      </c>
      <c r="B2180" s="37" t="s">
        <v>53</v>
      </c>
      <c r="C2180" s="38"/>
    </row>
    <row r="2181" spans="1:3" x14ac:dyDescent="0.3">
      <c r="A2181" s="37" t="s">
        <v>0</v>
      </c>
      <c r="B2181" s="37" t="s">
        <v>53</v>
      </c>
      <c r="C2181" s="38">
        <v>145000</v>
      </c>
    </row>
    <row r="2182" spans="1:3" x14ac:dyDescent="0.3">
      <c r="A2182" s="37" t="s">
        <v>0</v>
      </c>
      <c r="B2182" s="37" t="s">
        <v>53</v>
      </c>
      <c r="C2182" s="38"/>
    </row>
    <row r="2183" spans="1:3" x14ac:dyDescent="0.3">
      <c r="A2183" s="37" t="s">
        <v>0</v>
      </c>
      <c r="B2183" s="37" t="s">
        <v>53</v>
      </c>
      <c r="C2183" s="38"/>
    </row>
    <row r="2184" spans="1:3" x14ac:dyDescent="0.3">
      <c r="A2184" s="37" t="s">
        <v>0</v>
      </c>
      <c r="B2184" s="37" t="s">
        <v>53</v>
      </c>
      <c r="C2184" s="38"/>
    </row>
    <row r="2185" spans="1:3" x14ac:dyDescent="0.3">
      <c r="A2185" s="37" t="s">
        <v>0</v>
      </c>
      <c r="B2185" s="37" t="s">
        <v>97</v>
      </c>
      <c r="C2185" s="38">
        <v>56700</v>
      </c>
    </row>
    <row r="2186" spans="1:3" x14ac:dyDescent="0.3">
      <c r="A2186" s="37" t="s">
        <v>0</v>
      </c>
      <c r="B2186" s="37" t="s">
        <v>54</v>
      </c>
      <c r="C2186" s="38">
        <v>160000</v>
      </c>
    </row>
    <row r="2187" spans="1:3" x14ac:dyDescent="0.3">
      <c r="A2187" s="37" t="s">
        <v>0</v>
      </c>
      <c r="B2187" s="37" t="s">
        <v>72</v>
      </c>
      <c r="C2187" s="38">
        <v>157500</v>
      </c>
    </row>
    <row r="2188" spans="1:3" x14ac:dyDescent="0.3">
      <c r="A2188" s="37" t="s">
        <v>0</v>
      </c>
      <c r="B2188" s="37" t="s">
        <v>53</v>
      </c>
      <c r="C2188" s="38">
        <v>150000</v>
      </c>
    </row>
    <row r="2189" spans="1:3" x14ac:dyDescent="0.3">
      <c r="A2189" s="37" t="s">
        <v>0</v>
      </c>
      <c r="B2189" s="37" t="s">
        <v>53</v>
      </c>
      <c r="C2189" s="38">
        <v>135720</v>
      </c>
    </row>
    <row r="2190" spans="1:3" x14ac:dyDescent="0.3">
      <c r="A2190" s="37" t="s">
        <v>0</v>
      </c>
      <c r="B2190" s="37" t="s">
        <v>53</v>
      </c>
      <c r="C2190" s="38"/>
    </row>
    <row r="2191" spans="1:3" x14ac:dyDescent="0.3">
      <c r="A2191" s="37" t="s">
        <v>0</v>
      </c>
      <c r="B2191" s="37" t="s">
        <v>81</v>
      </c>
      <c r="C2191" s="38">
        <v>205000</v>
      </c>
    </row>
    <row r="2192" spans="1:3" x14ac:dyDescent="0.3">
      <c r="A2192" s="37" t="s">
        <v>0</v>
      </c>
      <c r="B2192" s="37" t="s">
        <v>53</v>
      </c>
      <c r="C2192" s="38"/>
    </row>
    <row r="2193" spans="1:3" x14ac:dyDescent="0.3">
      <c r="A2193" s="37" t="s">
        <v>0</v>
      </c>
      <c r="B2193" s="37" t="s">
        <v>53</v>
      </c>
      <c r="C2193" s="38"/>
    </row>
    <row r="2194" spans="1:3" x14ac:dyDescent="0.3">
      <c r="A2194" s="37" t="s">
        <v>0</v>
      </c>
      <c r="B2194" s="37" t="s">
        <v>53</v>
      </c>
      <c r="C2194" s="38"/>
    </row>
    <row r="2195" spans="1:3" x14ac:dyDescent="0.3">
      <c r="A2195" s="37" t="s">
        <v>0</v>
      </c>
      <c r="B2195" s="37" t="s">
        <v>54</v>
      </c>
      <c r="C2195" s="38">
        <v>171430</v>
      </c>
    </row>
    <row r="2196" spans="1:3" x14ac:dyDescent="0.3">
      <c r="A2196" s="37" t="s">
        <v>0</v>
      </c>
      <c r="B2196" s="37" t="s">
        <v>53</v>
      </c>
      <c r="C2196" s="38">
        <v>126650</v>
      </c>
    </row>
    <row r="2197" spans="1:3" x14ac:dyDescent="0.3">
      <c r="A2197" s="37" t="s">
        <v>0</v>
      </c>
      <c r="B2197" s="37" t="s">
        <v>53</v>
      </c>
      <c r="C2197" s="38">
        <v>157500</v>
      </c>
    </row>
    <row r="2198" spans="1:3" x14ac:dyDescent="0.3">
      <c r="A2198" s="37" t="s">
        <v>0</v>
      </c>
      <c r="B2198" s="37" t="s">
        <v>53</v>
      </c>
      <c r="C2198" s="38"/>
    </row>
    <row r="2199" spans="1:3" x14ac:dyDescent="0.3">
      <c r="A2199" s="37" t="s">
        <v>0</v>
      </c>
      <c r="B2199" s="37" t="s">
        <v>53</v>
      </c>
      <c r="C2199" s="38">
        <v>105000</v>
      </c>
    </row>
    <row r="2200" spans="1:3" x14ac:dyDescent="0.3">
      <c r="A2200" s="37" t="s">
        <v>0</v>
      </c>
      <c r="B2200" s="37" t="s">
        <v>53</v>
      </c>
      <c r="C2200" s="38">
        <v>120000.5</v>
      </c>
    </row>
    <row r="2201" spans="1:3" x14ac:dyDescent="0.3">
      <c r="A2201" s="37" t="s">
        <v>0</v>
      </c>
      <c r="B2201" s="37" t="s">
        <v>53</v>
      </c>
      <c r="C2201" s="38">
        <v>70000</v>
      </c>
    </row>
    <row r="2202" spans="1:3" x14ac:dyDescent="0.3">
      <c r="A2202" s="37" t="s">
        <v>0</v>
      </c>
      <c r="B2202" s="37" t="s">
        <v>54</v>
      </c>
      <c r="C2202" s="38"/>
    </row>
    <row r="2203" spans="1:3" x14ac:dyDescent="0.3">
      <c r="A2203" s="37" t="s">
        <v>0</v>
      </c>
      <c r="B2203" s="37" t="s">
        <v>53</v>
      </c>
      <c r="C2203" s="38"/>
    </row>
    <row r="2204" spans="1:3" x14ac:dyDescent="0.3">
      <c r="A2204" s="37" t="s">
        <v>0</v>
      </c>
      <c r="B2204" s="37" t="s">
        <v>53</v>
      </c>
      <c r="C2204" s="38">
        <v>125000</v>
      </c>
    </row>
    <row r="2205" spans="1:3" x14ac:dyDescent="0.3">
      <c r="A2205" s="37" t="s">
        <v>0</v>
      </c>
      <c r="B2205" s="37" t="s">
        <v>53</v>
      </c>
      <c r="C2205" s="38">
        <v>150000</v>
      </c>
    </row>
    <row r="2206" spans="1:3" x14ac:dyDescent="0.3">
      <c r="A2206" s="37" t="s">
        <v>0</v>
      </c>
      <c r="B2206" s="37" t="s">
        <v>53</v>
      </c>
      <c r="C2206" s="38">
        <v>210000</v>
      </c>
    </row>
    <row r="2207" spans="1:3" x14ac:dyDescent="0.3">
      <c r="A2207" s="37" t="s">
        <v>0</v>
      </c>
      <c r="B2207" s="37" t="s">
        <v>53</v>
      </c>
      <c r="C2207" s="38">
        <v>173550</v>
      </c>
    </row>
    <row r="2208" spans="1:3" x14ac:dyDescent="0.3">
      <c r="A2208" s="37" t="s">
        <v>0</v>
      </c>
      <c r="B2208" s="37" t="s">
        <v>53</v>
      </c>
      <c r="C2208" s="38">
        <v>130000</v>
      </c>
    </row>
    <row r="2209" spans="1:3" x14ac:dyDescent="0.3">
      <c r="A2209" s="37" t="s">
        <v>0</v>
      </c>
      <c r="B2209" s="37" t="s">
        <v>53</v>
      </c>
      <c r="C2209" s="38">
        <v>207500</v>
      </c>
    </row>
    <row r="2210" spans="1:3" x14ac:dyDescent="0.3">
      <c r="A2210" s="37" t="s">
        <v>0</v>
      </c>
      <c r="B2210" s="37" t="s">
        <v>53</v>
      </c>
      <c r="C2210" s="38">
        <v>110000</v>
      </c>
    </row>
    <row r="2211" spans="1:3" x14ac:dyDescent="0.3">
      <c r="A2211" s="37" t="s">
        <v>0</v>
      </c>
      <c r="B2211" s="37" t="s">
        <v>53</v>
      </c>
      <c r="C2211" s="38"/>
    </row>
    <row r="2212" spans="1:3" x14ac:dyDescent="0.3">
      <c r="A2212" s="37" t="s">
        <v>0</v>
      </c>
      <c r="B2212" s="37" t="s">
        <v>53</v>
      </c>
      <c r="C2212" s="38">
        <v>191000</v>
      </c>
    </row>
    <row r="2213" spans="1:3" x14ac:dyDescent="0.3">
      <c r="A2213" s="37" t="s">
        <v>0</v>
      </c>
      <c r="B2213" s="37" t="s">
        <v>53</v>
      </c>
      <c r="C2213" s="38"/>
    </row>
    <row r="2214" spans="1:3" x14ac:dyDescent="0.3">
      <c r="A2214" s="37" t="s">
        <v>0</v>
      </c>
      <c r="B2214" s="37" t="s">
        <v>53</v>
      </c>
      <c r="C2214" s="38">
        <v>157000</v>
      </c>
    </row>
    <row r="2215" spans="1:3" x14ac:dyDescent="0.3">
      <c r="A2215" s="37" t="s">
        <v>0</v>
      </c>
      <c r="B2215" s="37" t="s">
        <v>58</v>
      </c>
      <c r="C2215" s="38">
        <v>157500</v>
      </c>
    </row>
    <row r="2216" spans="1:3" x14ac:dyDescent="0.3">
      <c r="A2216" s="37" t="s">
        <v>0</v>
      </c>
      <c r="B2216" s="37" t="s">
        <v>54</v>
      </c>
      <c r="C2216" s="38">
        <v>129982</v>
      </c>
    </row>
    <row r="2217" spans="1:3" x14ac:dyDescent="0.3">
      <c r="A2217" s="37" t="s">
        <v>0</v>
      </c>
      <c r="B2217" s="37" t="s">
        <v>54</v>
      </c>
      <c r="C2217" s="38">
        <v>140000</v>
      </c>
    </row>
    <row r="2218" spans="1:3" x14ac:dyDescent="0.3">
      <c r="A2218" s="37" t="s">
        <v>0</v>
      </c>
      <c r="B2218" s="37" t="s">
        <v>53</v>
      </c>
      <c r="C2218" s="38">
        <v>150000</v>
      </c>
    </row>
    <row r="2219" spans="1:3" x14ac:dyDescent="0.3">
      <c r="A2219" s="37" t="s">
        <v>0</v>
      </c>
      <c r="B2219" s="37" t="s">
        <v>53</v>
      </c>
      <c r="C2219" s="38">
        <v>165000</v>
      </c>
    </row>
    <row r="2220" spans="1:3" x14ac:dyDescent="0.3">
      <c r="A2220" s="37" t="s">
        <v>0</v>
      </c>
      <c r="B2220" s="37" t="s">
        <v>53</v>
      </c>
      <c r="C2220" s="38">
        <v>122500</v>
      </c>
    </row>
    <row r="2221" spans="1:3" x14ac:dyDescent="0.3">
      <c r="A2221" s="37" t="s">
        <v>0</v>
      </c>
      <c r="B2221" s="37" t="s">
        <v>53</v>
      </c>
      <c r="C2221" s="38">
        <v>112500</v>
      </c>
    </row>
    <row r="2222" spans="1:3" x14ac:dyDescent="0.3">
      <c r="A2222" s="37" t="s">
        <v>0</v>
      </c>
      <c r="B2222" s="37" t="s">
        <v>53</v>
      </c>
      <c r="C2222" s="38"/>
    </row>
    <row r="2223" spans="1:3" x14ac:dyDescent="0.3">
      <c r="A2223" s="37" t="s">
        <v>0</v>
      </c>
      <c r="B2223" s="37" t="s">
        <v>53</v>
      </c>
      <c r="C2223" s="38">
        <v>190000</v>
      </c>
    </row>
    <row r="2224" spans="1:3" x14ac:dyDescent="0.3">
      <c r="A2224" s="37" t="s">
        <v>0</v>
      </c>
      <c r="B2224" s="37" t="s">
        <v>53</v>
      </c>
      <c r="C2224" s="38"/>
    </row>
    <row r="2225" spans="1:3" x14ac:dyDescent="0.3">
      <c r="A2225" s="37" t="s">
        <v>0</v>
      </c>
      <c r="B2225" s="37" t="s">
        <v>53</v>
      </c>
      <c r="C2225" s="38">
        <v>88393.5</v>
      </c>
    </row>
    <row r="2226" spans="1:3" x14ac:dyDescent="0.3">
      <c r="A2226" s="37" t="s">
        <v>0</v>
      </c>
      <c r="B2226" s="37" t="s">
        <v>53</v>
      </c>
      <c r="C2226" s="38">
        <v>110000</v>
      </c>
    </row>
    <row r="2227" spans="1:3" x14ac:dyDescent="0.3">
      <c r="A2227" s="37" t="s">
        <v>0</v>
      </c>
      <c r="B2227" s="37" t="s">
        <v>53</v>
      </c>
      <c r="C2227" s="38"/>
    </row>
    <row r="2228" spans="1:3" x14ac:dyDescent="0.3">
      <c r="A2228" s="37" t="s">
        <v>0</v>
      </c>
      <c r="B2228" s="37" t="s">
        <v>53</v>
      </c>
      <c r="C2228" s="38">
        <v>85132.5</v>
      </c>
    </row>
    <row r="2229" spans="1:3" x14ac:dyDescent="0.3">
      <c r="A2229" s="37" t="s">
        <v>0</v>
      </c>
      <c r="B2229" s="37" t="s">
        <v>54</v>
      </c>
      <c r="C2229" s="38">
        <v>142052</v>
      </c>
    </row>
    <row r="2230" spans="1:3" x14ac:dyDescent="0.3">
      <c r="A2230" s="37" t="s">
        <v>0</v>
      </c>
      <c r="B2230" s="37" t="s">
        <v>80</v>
      </c>
      <c r="C2230" s="38">
        <v>157500</v>
      </c>
    </row>
    <row r="2231" spans="1:3" x14ac:dyDescent="0.3">
      <c r="A2231" s="37" t="s">
        <v>0</v>
      </c>
      <c r="B2231" s="37" t="s">
        <v>72</v>
      </c>
      <c r="C2231" s="38">
        <v>64821.5</v>
      </c>
    </row>
    <row r="2232" spans="1:3" x14ac:dyDescent="0.3">
      <c r="A2232" s="37" t="s">
        <v>0</v>
      </c>
      <c r="B2232" s="37" t="s">
        <v>53</v>
      </c>
      <c r="C2232" s="38">
        <v>145000</v>
      </c>
    </row>
    <row r="2233" spans="1:3" x14ac:dyDescent="0.3">
      <c r="A2233" s="37" t="s">
        <v>0</v>
      </c>
      <c r="B2233" s="37" t="s">
        <v>53</v>
      </c>
      <c r="C2233" s="38"/>
    </row>
    <row r="2234" spans="1:3" x14ac:dyDescent="0.3">
      <c r="A2234" s="37" t="s">
        <v>0</v>
      </c>
      <c r="B2234" s="37" t="s">
        <v>53</v>
      </c>
      <c r="C2234" s="38"/>
    </row>
    <row r="2235" spans="1:3" x14ac:dyDescent="0.3">
      <c r="A2235" s="37" t="s">
        <v>0</v>
      </c>
      <c r="B2235" s="37" t="s">
        <v>53</v>
      </c>
      <c r="C2235" s="38">
        <v>195000</v>
      </c>
    </row>
    <row r="2236" spans="1:3" x14ac:dyDescent="0.3">
      <c r="A2236" s="37" t="s">
        <v>0</v>
      </c>
      <c r="B2236" s="37" t="s">
        <v>54</v>
      </c>
      <c r="C2236" s="38">
        <v>225000</v>
      </c>
    </row>
    <row r="2237" spans="1:3" x14ac:dyDescent="0.3">
      <c r="A2237" s="37" t="s">
        <v>0</v>
      </c>
      <c r="B2237" s="37" t="s">
        <v>53</v>
      </c>
      <c r="C2237" s="38">
        <v>120000</v>
      </c>
    </row>
    <row r="2238" spans="1:3" x14ac:dyDescent="0.3">
      <c r="A2238" s="37" t="s">
        <v>0</v>
      </c>
      <c r="B2238" s="37" t="s">
        <v>53</v>
      </c>
      <c r="C2238" s="38">
        <v>145000</v>
      </c>
    </row>
    <row r="2239" spans="1:3" x14ac:dyDescent="0.3">
      <c r="A2239" s="37" t="s">
        <v>0</v>
      </c>
      <c r="B2239" s="37" t="s">
        <v>53</v>
      </c>
      <c r="C2239" s="38"/>
    </row>
    <row r="2240" spans="1:3" x14ac:dyDescent="0.3">
      <c r="A2240" s="37" t="s">
        <v>0</v>
      </c>
      <c r="B2240" s="37" t="s">
        <v>53</v>
      </c>
      <c r="C2240" s="38"/>
    </row>
    <row r="2241" spans="1:3" x14ac:dyDescent="0.3">
      <c r="A2241" s="37" t="s">
        <v>0</v>
      </c>
      <c r="B2241" s="37" t="s">
        <v>53</v>
      </c>
      <c r="C2241" s="38"/>
    </row>
    <row r="2242" spans="1:3" x14ac:dyDescent="0.3">
      <c r="A2242" s="37" t="s">
        <v>0</v>
      </c>
      <c r="B2242" s="37" t="s">
        <v>53</v>
      </c>
      <c r="C2242" s="38">
        <v>90000</v>
      </c>
    </row>
    <row r="2243" spans="1:3" x14ac:dyDescent="0.3">
      <c r="A2243" s="37" t="s">
        <v>0</v>
      </c>
      <c r="B2243" s="37" t="s">
        <v>53</v>
      </c>
      <c r="C2243" s="38">
        <v>235375</v>
      </c>
    </row>
    <row r="2244" spans="1:3" x14ac:dyDescent="0.3">
      <c r="A2244" s="37" t="s">
        <v>0</v>
      </c>
      <c r="B2244" s="37" t="s">
        <v>53</v>
      </c>
      <c r="C2244" s="38">
        <v>110000</v>
      </c>
    </row>
    <row r="2245" spans="1:3" x14ac:dyDescent="0.3">
      <c r="A2245" s="37" t="s">
        <v>0</v>
      </c>
      <c r="B2245" s="37" t="s">
        <v>53</v>
      </c>
      <c r="C2245" s="38">
        <v>114500</v>
      </c>
    </row>
    <row r="2246" spans="1:3" x14ac:dyDescent="0.3">
      <c r="A2246" s="37" t="s">
        <v>0</v>
      </c>
      <c r="B2246" s="37" t="s">
        <v>53</v>
      </c>
      <c r="C2246" s="38">
        <v>195000</v>
      </c>
    </row>
    <row r="2247" spans="1:3" x14ac:dyDescent="0.3">
      <c r="A2247" s="37" t="s">
        <v>0</v>
      </c>
      <c r="B2247" s="37" t="s">
        <v>53</v>
      </c>
      <c r="C2247" s="38">
        <v>157500</v>
      </c>
    </row>
    <row r="2248" spans="1:3" x14ac:dyDescent="0.3">
      <c r="A2248" s="37" t="s">
        <v>0</v>
      </c>
      <c r="B2248" s="37" t="s">
        <v>53</v>
      </c>
      <c r="C2248" s="38">
        <v>124400</v>
      </c>
    </row>
    <row r="2249" spans="1:3" x14ac:dyDescent="0.3">
      <c r="A2249" s="37" t="s">
        <v>0</v>
      </c>
      <c r="B2249" s="37" t="s">
        <v>53</v>
      </c>
      <c r="C2249" s="38">
        <v>110000</v>
      </c>
    </row>
    <row r="2250" spans="1:3" x14ac:dyDescent="0.3">
      <c r="A2250" s="37" t="s">
        <v>0</v>
      </c>
      <c r="B2250" s="37" t="s">
        <v>53</v>
      </c>
      <c r="C2250" s="38">
        <v>185000</v>
      </c>
    </row>
    <row r="2251" spans="1:3" x14ac:dyDescent="0.3">
      <c r="A2251" s="37" t="s">
        <v>0</v>
      </c>
      <c r="B2251" s="37" t="s">
        <v>97</v>
      </c>
      <c r="C2251" s="38">
        <v>56700</v>
      </c>
    </row>
    <row r="2252" spans="1:3" x14ac:dyDescent="0.3">
      <c r="A2252" s="37" t="s">
        <v>0</v>
      </c>
      <c r="B2252" s="37" t="s">
        <v>53</v>
      </c>
      <c r="C2252" s="38">
        <v>147500</v>
      </c>
    </row>
    <row r="2253" spans="1:3" x14ac:dyDescent="0.3">
      <c r="A2253" s="37" t="s">
        <v>0</v>
      </c>
      <c r="B2253" s="37" t="s">
        <v>53</v>
      </c>
      <c r="C2253" s="38">
        <v>157500</v>
      </c>
    </row>
    <row r="2254" spans="1:3" x14ac:dyDescent="0.3">
      <c r="A2254" s="37" t="s">
        <v>0</v>
      </c>
      <c r="B2254" s="37" t="s">
        <v>53</v>
      </c>
      <c r="C2254" s="38"/>
    </row>
    <row r="2255" spans="1:3" x14ac:dyDescent="0.3">
      <c r="A2255" s="37" t="s">
        <v>0</v>
      </c>
      <c r="B2255" s="37" t="s">
        <v>53</v>
      </c>
      <c r="C2255" s="38">
        <v>125000</v>
      </c>
    </row>
    <row r="2256" spans="1:3" x14ac:dyDescent="0.3">
      <c r="A2256" s="37" t="s">
        <v>0</v>
      </c>
      <c r="B2256" s="37" t="s">
        <v>53</v>
      </c>
      <c r="C2256" s="38">
        <v>272500</v>
      </c>
    </row>
    <row r="2257" spans="1:3" x14ac:dyDescent="0.3">
      <c r="A2257" s="37" t="s">
        <v>0</v>
      </c>
      <c r="B2257" s="37" t="s">
        <v>54</v>
      </c>
      <c r="C2257" s="38">
        <v>77200</v>
      </c>
    </row>
    <row r="2258" spans="1:3" x14ac:dyDescent="0.3">
      <c r="A2258" s="37" t="s">
        <v>0</v>
      </c>
      <c r="B2258" s="37" t="s">
        <v>53</v>
      </c>
      <c r="C2258" s="38">
        <v>90000</v>
      </c>
    </row>
    <row r="2259" spans="1:3" x14ac:dyDescent="0.3">
      <c r="A2259" s="37" t="s">
        <v>0</v>
      </c>
      <c r="B2259" s="37" t="s">
        <v>53</v>
      </c>
      <c r="C2259" s="38">
        <v>155000</v>
      </c>
    </row>
    <row r="2260" spans="1:3" x14ac:dyDescent="0.3">
      <c r="A2260" s="37" t="s">
        <v>0</v>
      </c>
      <c r="B2260" s="37" t="s">
        <v>53</v>
      </c>
      <c r="C2260" s="38">
        <v>100900</v>
      </c>
    </row>
    <row r="2261" spans="1:3" x14ac:dyDescent="0.3">
      <c r="A2261" s="37" t="s">
        <v>0</v>
      </c>
      <c r="B2261" s="37" t="s">
        <v>53</v>
      </c>
      <c r="C2261" s="38">
        <v>150000</v>
      </c>
    </row>
    <row r="2262" spans="1:3" x14ac:dyDescent="0.3">
      <c r="A2262" s="37" t="s">
        <v>0</v>
      </c>
      <c r="B2262" s="37" t="s">
        <v>53</v>
      </c>
      <c r="C2262" s="38">
        <v>120000</v>
      </c>
    </row>
    <row r="2263" spans="1:3" x14ac:dyDescent="0.3">
      <c r="A2263" s="37" t="s">
        <v>0</v>
      </c>
      <c r="B2263" s="37" t="s">
        <v>53</v>
      </c>
      <c r="C2263" s="38">
        <v>224500</v>
      </c>
    </row>
    <row r="2264" spans="1:3" x14ac:dyDescent="0.3">
      <c r="A2264" s="37" t="s">
        <v>0</v>
      </c>
      <c r="B2264" s="37" t="s">
        <v>53</v>
      </c>
      <c r="C2264" s="38">
        <v>150000</v>
      </c>
    </row>
    <row r="2265" spans="1:3" x14ac:dyDescent="0.3">
      <c r="A2265" s="37" t="s">
        <v>0</v>
      </c>
      <c r="B2265" s="37" t="s">
        <v>53</v>
      </c>
      <c r="C2265" s="38">
        <v>110000</v>
      </c>
    </row>
    <row r="2266" spans="1:3" x14ac:dyDescent="0.3">
      <c r="A2266" s="37" t="s">
        <v>0</v>
      </c>
      <c r="B2266" s="37" t="s">
        <v>53</v>
      </c>
      <c r="C2266" s="38"/>
    </row>
    <row r="2267" spans="1:3" x14ac:dyDescent="0.3">
      <c r="A2267" s="37" t="s">
        <v>0</v>
      </c>
      <c r="B2267" s="37" t="s">
        <v>53</v>
      </c>
      <c r="C2267" s="38">
        <v>128816</v>
      </c>
    </row>
    <row r="2268" spans="1:3" x14ac:dyDescent="0.3">
      <c r="A2268" s="37" t="s">
        <v>0</v>
      </c>
      <c r="B2268" s="37" t="s">
        <v>99</v>
      </c>
      <c r="C2268" s="38">
        <v>64821.5</v>
      </c>
    </row>
    <row r="2269" spans="1:3" x14ac:dyDescent="0.3">
      <c r="A2269" s="37" t="s">
        <v>0</v>
      </c>
      <c r="B2269" s="37" t="s">
        <v>83</v>
      </c>
      <c r="C2269" s="38">
        <v>44100</v>
      </c>
    </row>
    <row r="2270" spans="1:3" x14ac:dyDescent="0.3">
      <c r="A2270" s="37" t="s">
        <v>0</v>
      </c>
      <c r="B2270" s="37" t="s">
        <v>53</v>
      </c>
      <c r="C2270" s="38">
        <v>180560</v>
      </c>
    </row>
    <row r="2271" spans="1:3" x14ac:dyDescent="0.3">
      <c r="A2271" s="37" t="s">
        <v>0</v>
      </c>
      <c r="B2271" s="37" t="s">
        <v>53</v>
      </c>
      <c r="C2271" s="38">
        <v>175000</v>
      </c>
    </row>
    <row r="2272" spans="1:3" x14ac:dyDescent="0.3">
      <c r="A2272" s="37" t="s">
        <v>0</v>
      </c>
      <c r="B2272" s="37" t="s">
        <v>53</v>
      </c>
      <c r="C2272" s="38">
        <v>90000</v>
      </c>
    </row>
    <row r="2273" spans="1:3" x14ac:dyDescent="0.3">
      <c r="A2273" s="37" t="s">
        <v>0</v>
      </c>
      <c r="B2273" s="37" t="s">
        <v>72</v>
      </c>
      <c r="C2273" s="38">
        <v>87307.5</v>
      </c>
    </row>
    <row r="2274" spans="1:3" x14ac:dyDescent="0.3">
      <c r="A2274" s="37" t="s">
        <v>0</v>
      </c>
      <c r="B2274" s="37" t="s">
        <v>53</v>
      </c>
      <c r="C2274" s="38">
        <v>72272</v>
      </c>
    </row>
    <row r="2275" spans="1:3" x14ac:dyDescent="0.3">
      <c r="A2275" s="37" t="s">
        <v>0</v>
      </c>
      <c r="B2275" s="37" t="s">
        <v>53</v>
      </c>
      <c r="C2275" s="38"/>
    </row>
    <row r="2276" spans="1:3" x14ac:dyDescent="0.3">
      <c r="A2276" s="37" t="s">
        <v>0</v>
      </c>
      <c r="B2276" s="37" t="s">
        <v>53</v>
      </c>
      <c r="C2276" s="38"/>
    </row>
    <row r="2277" spans="1:3" x14ac:dyDescent="0.3">
      <c r="A2277" s="37" t="s">
        <v>0</v>
      </c>
      <c r="B2277" s="37" t="s">
        <v>53</v>
      </c>
      <c r="C2277" s="38">
        <v>135000</v>
      </c>
    </row>
    <row r="2278" spans="1:3" x14ac:dyDescent="0.3">
      <c r="A2278" s="37" t="s">
        <v>0</v>
      </c>
      <c r="B2278" s="37" t="s">
        <v>53</v>
      </c>
      <c r="C2278" s="38">
        <v>139000</v>
      </c>
    </row>
    <row r="2279" spans="1:3" x14ac:dyDescent="0.3">
      <c r="A2279" s="37" t="s">
        <v>0</v>
      </c>
      <c r="B2279" s="37" t="s">
        <v>53</v>
      </c>
      <c r="C2279" s="38">
        <v>136400</v>
      </c>
    </row>
    <row r="2280" spans="1:3" x14ac:dyDescent="0.3">
      <c r="A2280" s="37" t="s">
        <v>0</v>
      </c>
      <c r="B2280" s="37" t="s">
        <v>53</v>
      </c>
      <c r="C2280" s="38">
        <v>200000</v>
      </c>
    </row>
    <row r="2281" spans="1:3" x14ac:dyDescent="0.3">
      <c r="A2281" s="37" t="s">
        <v>0</v>
      </c>
      <c r="B2281" s="37" t="s">
        <v>53</v>
      </c>
      <c r="C2281" s="38">
        <v>158697</v>
      </c>
    </row>
    <row r="2282" spans="1:3" x14ac:dyDescent="0.3">
      <c r="A2282" s="37" t="s">
        <v>0</v>
      </c>
      <c r="B2282" s="37" t="s">
        <v>53</v>
      </c>
      <c r="C2282" s="38"/>
    </row>
    <row r="2283" spans="1:3" x14ac:dyDescent="0.3">
      <c r="A2283" s="37" t="s">
        <v>0</v>
      </c>
      <c r="B2283" s="37" t="s">
        <v>53</v>
      </c>
      <c r="C2283" s="38"/>
    </row>
    <row r="2284" spans="1:3" x14ac:dyDescent="0.3">
      <c r="A2284" s="37" t="s">
        <v>0</v>
      </c>
      <c r="B2284" s="37" t="s">
        <v>53</v>
      </c>
      <c r="C2284" s="38"/>
    </row>
    <row r="2285" spans="1:3" x14ac:dyDescent="0.3">
      <c r="A2285" s="37" t="s">
        <v>0</v>
      </c>
      <c r="B2285" s="37" t="s">
        <v>53</v>
      </c>
      <c r="C2285" s="38">
        <v>122500</v>
      </c>
    </row>
    <row r="2286" spans="1:3" x14ac:dyDescent="0.3">
      <c r="A2286" s="37" t="s">
        <v>0</v>
      </c>
      <c r="B2286" s="37" t="s">
        <v>53</v>
      </c>
      <c r="C2286" s="38">
        <v>126000</v>
      </c>
    </row>
    <row r="2287" spans="1:3" x14ac:dyDescent="0.3">
      <c r="A2287" s="37" t="s">
        <v>0</v>
      </c>
      <c r="B2287" s="37" t="s">
        <v>53</v>
      </c>
      <c r="C2287" s="38">
        <v>82500</v>
      </c>
    </row>
    <row r="2288" spans="1:3" x14ac:dyDescent="0.3">
      <c r="A2288" s="37" t="s">
        <v>0</v>
      </c>
      <c r="B2288" s="37" t="s">
        <v>53</v>
      </c>
      <c r="C2288" s="38"/>
    </row>
    <row r="2289" spans="1:3" x14ac:dyDescent="0.3">
      <c r="A2289" s="37" t="s">
        <v>0</v>
      </c>
      <c r="B2289" s="37" t="s">
        <v>53</v>
      </c>
      <c r="C2289" s="38"/>
    </row>
    <row r="2290" spans="1:3" x14ac:dyDescent="0.3">
      <c r="A2290" s="37" t="s">
        <v>0</v>
      </c>
      <c r="B2290" s="37" t="s">
        <v>53</v>
      </c>
      <c r="C2290" s="38">
        <v>74781</v>
      </c>
    </row>
    <row r="2291" spans="1:3" x14ac:dyDescent="0.3">
      <c r="A2291" s="37" t="s">
        <v>0</v>
      </c>
      <c r="B2291" s="37" t="s">
        <v>53</v>
      </c>
      <c r="C2291" s="38">
        <v>161955.5</v>
      </c>
    </row>
    <row r="2292" spans="1:3" x14ac:dyDescent="0.3">
      <c r="A2292" s="37" t="s">
        <v>0</v>
      </c>
      <c r="B2292" s="37" t="s">
        <v>53</v>
      </c>
      <c r="C2292" s="38">
        <v>375000</v>
      </c>
    </row>
    <row r="2293" spans="1:3" x14ac:dyDescent="0.3">
      <c r="A2293" s="37" t="s">
        <v>0</v>
      </c>
      <c r="B2293" s="37" t="s">
        <v>53</v>
      </c>
      <c r="C2293" s="38">
        <v>150000</v>
      </c>
    </row>
    <row r="2294" spans="1:3" x14ac:dyDescent="0.3">
      <c r="A2294" s="37" t="s">
        <v>0</v>
      </c>
      <c r="B2294" s="37" t="s">
        <v>54</v>
      </c>
      <c r="C2294" s="38"/>
    </row>
    <row r="2295" spans="1:3" x14ac:dyDescent="0.3">
      <c r="A2295" s="37" t="s">
        <v>0</v>
      </c>
      <c r="B2295" s="37" t="s">
        <v>106</v>
      </c>
      <c r="C2295" s="38">
        <v>99150</v>
      </c>
    </row>
    <row r="2296" spans="1:3" x14ac:dyDescent="0.3">
      <c r="A2296" s="37" t="s">
        <v>0</v>
      </c>
      <c r="B2296" s="37" t="s">
        <v>53</v>
      </c>
      <c r="C2296" s="38">
        <v>115000</v>
      </c>
    </row>
    <row r="2297" spans="1:3" x14ac:dyDescent="0.3">
      <c r="A2297" s="37" t="s">
        <v>0</v>
      </c>
      <c r="B2297" s="37" t="s">
        <v>53</v>
      </c>
      <c r="C2297" s="38"/>
    </row>
    <row r="2298" spans="1:3" x14ac:dyDescent="0.3">
      <c r="A2298" s="37" t="s">
        <v>0</v>
      </c>
      <c r="B2298" s="37" t="s">
        <v>53</v>
      </c>
      <c r="C2298" s="38">
        <v>250000</v>
      </c>
    </row>
    <row r="2299" spans="1:3" x14ac:dyDescent="0.3">
      <c r="A2299" s="37" t="s">
        <v>0</v>
      </c>
      <c r="B2299" s="37" t="s">
        <v>53</v>
      </c>
      <c r="C2299" s="38"/>
    </row>
    <row r="2300" spans="1:3" x14ac:dyDescent="0.3">
      <c r="A2300" s="37" t="s">
        <v>0</v>
      </c>
      <c r="B2300" s="37" t="s">
        <v>53</v>
      </c>
      <c r="C2300" s="38">
        <v>184500</v>
      </c>
    </row>
    <row r="2301" spans="1:3" x14ac:dyDescent="0.3">
      <c r="A2301" s="37" t="s">
        <v>0</v>
      </c>
      <c r="B2301" s="37" t="s">
        <v>53</v>
      </c>
      <c r="C2301" s="38">
        <v>90000</v>
      </c>
    </row>
    <row r="2302" spans="1:3" x14ac:dyDescent="0.3">
      <c r="A2302" s="37" t="s">
        <v>0</v>
      </c>
      <c r="B2302" s="37" t="s">
        <v>53</v>
      </c>
      <c r="C2302" s="38"/>
    </row>
    <row r="2303" spans="1:3" x14ac:dyDescent="0.3">
      <c r="A2303" s="37" t="s">
        <v>0</v>
      </c>
      <c r="B2303" s="37" t="s">
        <v>53</v>
      </c>
      <c r="C2303" s="38">
        <v>106150</v>
      </c>
    </row>
    <row r="2304" spans="1:3" x14ac:dyDescent="0.3">
      <c r="A2304" s="37" t="s">
        <v>0</v>
      </c>
      <c r="B2304" s="37" t="s">
        <v>53</v>
      </c>
      <c r="C2304" s="38">
        <v>152580</v>
      </c>
    </row>
    <row r="2305" spans="1:3" x14ac:dyDescent="0.3">
      <c r="A2305" s="37" t="s">
        <v>0</v>
      </c>
      <c r="B2305" s="37" t="s">
        <v>53</v>
      </c>
      <c r="C2305" s="38">
        <v>125000</v>
      </c>
    </row>
    <row r="2306" spans="1:3" x14ac:dyDescent="0.3">
      <c r="A2306" s="37" t="s">
        <v>0</v>
      </c>
      <c r="B2306" s="37" t="s">
        <v>53</v>
      </c>
      <c r="C2306" s="38">
        <v>172500</v>
      </c>
    </row>
    <row r="2307" spans="1:3" x14ac:dyDescent="0.3">
      <c r="A2307" s="37" t="s">
        <v>0</v>
      </c>
      <c r="B2307" s="37" t="s">
        <v>83</v>
      </c>
      <c r="C2307" s="38">
        <v>69300</v>
      </c>
    </row>
    <row r="2308" spans="1:3" x14ac:dyDescent="0.3">
      <c r="A2308" s="37" t="s">
        <v>0</v>
      </c>
      <c r="B2308" s="37" t="s">
        <v>53</v>
      </c>
      <c r="C2308" s="38">
        <v>147000</v>
      </c>
    </row>
    <row r="2309" spans="1:3" x14ac:dyDescent="0.3">
      <c r="A2309" s="37" t="s">
        <v>0</v>
      </c>
      <c r="B2309" s="37" t="s">
        <v>53</v>
      </c>
      <c r="C2309" s="38"/>
    </row>
    <row r="2310" spans="1:3" x14ac:dyDescent="0.3">
      <c r="A2310" s="37" t="s">
        <v>0</v>
      </c>
      <c r="B2310" s="37" t="s">
        <v>54</v>
      </c>
      <c r="C2310" s="38">
        <v>95000</v>
      </c>
    </row>
    <row r="2311" spans="1:3" x14ac:dyDescent="0.3">
      <c r="A2311" s="37" t="s">
        <v>0</v>
      </c>
      <c r="B2311" s="37" t="s">
        <v>53</v>
      </c>
      <c r="C2311" s="38">
        <v>63000</v>
      </c>
    </row>
    <row r="2312" spans="1:3" x14ac:dyDescent="0.3">
      <c r="A2312" s="37" t="s">
        <v>0</v>
      </c>
      <c r="B2312" s="37" t="s">
        <v>53</v>
      </c>
      <c r="C2312" s="38"/>
    </row>
    <row r="2313" spans="1:3" x14ac:dyDescent="0.3">
      <c r="A2313" s="37" t="s">
        <v>0</v>
      </c>
      <c r="B2313" s="37" t="s">
        <v>53</v>
      </c>
      <c r="C2313" s="38">
        <v>93045</v>
      </c>
    </row>
    <row r="2314" spans="1:3" x14ac:dyDescent="0.3">
      <c r="A2314" s="37" t="s">
        <v>0</v>
      </c>
      <c r="B2314" s="37" t="s">
        <v>53</v>
      </c>
      <c r="C2314" s="38">
        <v>71100</v>
      </c>
    </row>
    <row r="2315" spans="1:3" x14ac:dyDescent="0.3">
      <c r="A2315" s="37" t="s">
        <v>0</v>
      </c>
      <c r="B2315" s="37" t="s">
        <v>53</v>
      </c>
      <c r="C2315" s="38">
        <v>207500</v>
      </c>
    </row>
    <row r="2316" spans="1:3" x14ac:dyDescent="0.3">
      <c r="A2316" s="37" t="s">
        <v>0</v>
      </c>
      <c r="B2316" s="37" t="s">
        <v>53</v>
      </c>
      <c r="C2316" s="38">
        <v>125000</v>
      </c>
    </row>
    <row r="2317" spans="1:3" x14ac:dyDescent="0.3">
      <c r="A2317" s="37" t="s">
        <v>0</v>
      </c>
      <c r="B2317" s="37" t="s">
        <v>53</v>
      </c>
      <c r="C2317" s="38"/>
    </row>
    <row r="2318" spans="1:3" x14ac:dyDescent="0.3">
      <c r="A2318" s="37" t="s">
        <v>0</v>
      </c>
      <c r="B2318" s="37" t="s">
        <v>54</v>
      </c>
      <c r="C2318" s="38"/>
    </row>
    <row r="2319" spans="1:3" x14ac:dyDescent="0.3">
      <c r="A2319" s="37" t="s">
        <v>0</v>
      </c>
      <c r="B2319" s="37" t="s">
        <v>53</v>
      </c>
      <c r="C2319" s="38"/>
    </row>
    <row r="2320" spans="1:3" x14ac:dyDescent="0.3">
      <c r="A2320" s="37" t="s">
        <v>0</v>
      </c>
      <c r="B2320" s="37" t="s">
        <v>53</v>
      </c>
      <c r="C2320" s="38">
        <v>123225</v>
      </c>
    </row>
    <row r="2321" spans="1:3" x14ac:dyDescent="0.3">
      <c r="A2321" s="37" t="s">
        <v>0</v>
      </c>
      <c r="B2321" s="37" t="s">
        <v>53</v>
      </c>
      <c r="C2321" s="38">
        <v>190000</v>
      </c>
    </row>
    <row r="2322" spans="1:3" x14ac:dyDescent="0.3">
      <c r="A2322" s="37" t="s">
        <v>0</v>
      </c>
      <c r="B2322" s="37" t="s">
        <v>53</v>
      </c>
      <c r="C2322" s="38">
        <v>270000</v>
      </c>
    </row>
    <row r="2323" spans="1:3" x14ac:dyDescent="0.3">
      <c r="A2323" s="37" t="s">
        <v>0</v>
      </c>
      <c r="B2323" s="37" t="s">
        <v>53</v>
      </c>
      <c r="C2323" s="38">
        <v>125000</v>
      </c>
    </row>
    <row r="2324" spans="1:3" x14ac:dyDescent="0.3">
      <c r="A2324" s="37" t="s">
        <v>0</v>
      </c>
      <c r="B2324" s="37" t="s">
        <v>53</v>
      </c>
      <c r="C2324" s="38">
        <v>196800</v>
      </c>
    </row>
    <row r="2325" spans="1:3" x14ac:dyDescent="0.3">
      <c r="A2325" s="37" t="s">
        <v>0</v>
      </c>
      <c r="B2325" s="37" t="s">
        <v>53</v>
      </c>
      <c r="C2325" s="38"/>
    </row>
    <row r="2326" spans="1:3" x14ac:dyDescent="0.3">
      <c r="A2326" s="37" t="s">
        <v>0</v>
      </c>
      <c r="B2326" s="37" t="s">
        <v>53</v>
      </c>
      <c r="C2326" s="38">
        <v>37107.19921875</v>
      </c>
    </row>
    <row r="2327" spans="1:3" x14ac:dyDescent="0.3">
      <c r="A2327" s="37" t="s">
        <v>0</v>
      </c>
      <c r="B2327" s="37" t="s">
        <v>53</v>
      </c>
      <c r="C2327" s="38">
        <v>103529</v>
      </c>
    </row>
    <row r="2328" spans="1:3" x14ac:dyDescent="0.3">
      <c r="A2328" s="37" t="s">
        <v>0</v>
      </c>
      <c r="B2328" s="37" t="s">
        <v>53</v>
      </c>
      <c r="C2328" s="38">
        <v>52000</v>
      </c>
    </row>
    <row r="2329" spans="1:3" x14ac:dyDescent="0.3">
      <c r="A2329" s="37" t="s">
        <v>0</v>
      </c>
      <c r="B2329" s="37" t="s">
        <v>53</v>
      </c>
      <c r="C2329" s="38"/>
    </row>
    <row r="2330" spans="1:3" x14ac:dyDescent="0.3">
      <c r="A2330" s="37" t="s">
        <v>0</v>
      </c>
      <c r="B2330" s="37" t="s">
        <v>53</v>
      </c>
      <c r="C2330" s="38"/>
    </row>
    <row r="2331" spans="1:3" x14ac:dyDescent="0.3">
      <c r="A2331" s="37" t="s">
        <v>0</v>
      </c>
      <c r="B2331" s="37" t="s">
        <v>53</v>
      </c>
      <c r="C2331" s="38">
        <v>115000</v>
      </c>
    </row>
    <row r="2332" spans="1:3" x14ac:dyDescent="0.3">
      <c r="A2332" s="37" t="s">
        <v>0</v>
      </c>
      <c r="B2332" s="37" t="s">
        <v>54</v>
      </c>
      <c r="C2332" s="38"/>
    </row>
    <row r="2333" spans="1:3" x14ac:dyDescent="0.3">
      <c r="A2333" s="37" t="s">
        <v>0</v>
      </c>
      <c r="B2333" s="37" t="s">
        <v>53</v>
      </c>
      <c r="C2333" s="38">
        <v>155000</v>
      </c>
    </row>
    <row r="2334" spans="1:3" x14ac:dyDescent="0.3">
      <c r="A2334" s="37" t="s">
        <v>0</v>
      </c>
      <c r="B2334" s="37" t="s">
        <v>53</v>
      </c>
      <c r="C2334" s="38">
        <v>90000</v>
      </c>
    </row>
    <row r="2335" spans="1:3" x14ac:dyDescent="0.3">
      <c r="A2335" s="37" t="s">
        <v>0</v>
      </c>
      <c r="B2335" s="37" t="s">
        <v>53</v>
      </c>
      <c r="C2335" s="38">
        <v>78369</v>
      </c>
    </row>
    <row r="2336" spans="1:3" x14ac:dyDescent="0.3">
      <c r="A2336" s="37" t="s">
        <v>0</v>
      </c>
      <c r="B2336" s="37" t="s">
        <v>53</v>
      </c>
      <c r="C2336" s="38">
        <v>90000</v>
      </c>
    </row>
    <row r="2337" spans="1:3" x14ac:dyDescent="0.3">
      <c r="A2337" s="37" t="s">
        <v>0</v>
      </c>
      <c r="B2337" s="37" t="s">
        <v>53</v>
      </c>
      <c r="C2337" s="38">
        <v>90000</v>
      </c>
    </row>
    <row r="2338" spans="1:3" x14ac:dyDescent="0.3">
      <c r="A2338" s="37" t="s">
        <v>0</v>
      </c>
      <c r="B2338" s="37" t="s">
        <v>54</v>
      </c>
      <c r="C2338" s="38"/>
    </row>
    <row r="2339" spans="1:3" x14ac:dyDescent="0.3">
      <c r="A2339" s="37" t="s">
        <v>0</v>
      </c>
      <c r="B2339" s="37" t="s">
        <v>53</v>
      </c>
      <c r="C2339" s="38">
        <v>125000</v>
      </c>
    </row>
    <row r="2340" spans="1:3" x14ac:dyDescent="0.3">
      <c r="A2340" s="37" t="s">
        <v>0</v>
      </c>
      <c r="B2340" s="37" t="s">
        <v>68</v>
      </c>
      <c r="C2340" s="38"/>
    </row>
    <row r="2341" spans="1:3" x14ac:dyDescent="0.3">
      <c r="A2341" s="37" t="s">
        <v>0</v>
      </c>
      <c r="B2341" s="37" t="s">
        <v>53</v>
      </c>
      <c r="C2341" s="38">
        <v>80000</v>
      </c>
    </row>
    <row r="2342" spans="1:3" x14ac:dyDescent="0.3">
      <c r="A2342" s="37" t="s">
        <v>0</v>
      </c>
      <c r="B2342" s="37" t="s">
        <v>53</v>
      </c>
      <c r="C2342" s="38">
        <v>90000</v>
      </c>
    </row>
    <row r="2343" spans="1:3" x14ac:dyDescent="0.3">
      <c r="A2343" s="37" t="s">
        <v>0</v>
      </c>
      <c r="B2343" s="37" t="s">
        <v>72</v>
      </c>
      <c r="C2343" s="38">
        <v>51068</v>
      </c>
    </row>
    <row r="2344" spans="1:3" x14ac:dyDescent="0.3">
      <c r="A2344" s="37" t="s">
        <v>0</v>
      </c>
      <c r="B2344" s="37" t="s">
        <v>53</v>
      </c>
      <c r="C2344" s="38">
        <v>135000</v>
      </c>
    </row>
    <row r="2345" spans="1:3" x14ac:dyDescent="0.3">
      <c r="A2345" s="37" t="s">
        <v>0</v>
      </c>
      <c r="B2345" s="37" t="s">
        <v>53</v>
      </c>
      <c r="C2345" s="38">
        <v>110290</v>
      </c>
    </row>
    <row r="2346" spans="1:3" x14ac:dyDescent="0.3">
      <c r="A2346" s="37" t="s">
        <v>0</v>
      </c>
      <c r="B2346" s="37" t="s">
        <v>53</v>
      </c>
      <c r="C2346" s="38"/>
    </row>
    <row r="2347" spans="1:3" x14ac:dyDescent="0.3">
      <c r="A2347" s="37" t="s">
        <v>0</v>
      </c>
      <c r="B2347" s="37" t="s">
        <v>53</v>
      </c>
      <c r="C2347" s="38">
        <v>125000</v>
      </c>
    </row>
    <row r="2348" spans="1:3" x14ac:dyDescent="0.3">
      <c r="A2348" s="37" t="s">
        <v>0</v>
      </c>
      <c r="B2348" s="37" t="s">
        <v>53</v>
      </c>
      <c r="C2348" s="38">
        <v>125000</v>
      </c>
    </row>
    <row r="2349" spans="1:3" x14ac:dyDescent="0.3">
      <c r="A2349" s="37" t="s">
        <v>0</v>
      </c>
      <c r="B2349" s="37" t="s">
        <v>53</v>
      </c>
      <c r="C2349" s="38">
        <v>160000</v>
      </c>
    </row>
    <row r="2350" spans="1:3" x14ac:dyDescent="0.3">
      <c r="A2350" s="37" t="s">
        <v>0</v>
      </c>
      <c r="B2350" s="37" t="s">
        <v>53</v>
      </c>
      <c r="C2350" s="38">
        <v>122500</v>
      </c>
    </row>
    <row r="2351" spans="1:3" x14ac:dyDescent="0.3">
      <c r="A2351" s="37" t="s">
        <v>0</v>
      </c>
      <c r="B2351" s="37" t="s">
        <v>88</v>
      </c>
      <c r="C2351" s="38">
        <v>87307.5</v>
      </c>
    </row>
    <row r="2352" spans="1:3" x14ac:dyDescent="0.3">
      <c r="A2352" s="37" t="s">
        <v>0</v>
      </c>
      <c r="B2352" s="37" t="s">
        <v>53</v>
      </c>
      <c r="C2352" s="38"/>
    </row>
    <row r="2353" spans="1:3" x14ac:dyDescent="0.3">
      <c r="A2353" s="37" t="s">
        <v>0</v>
      </c>
      <c r="B2353" s="37" t="s">
        <v>53</v>
      </c>
      <c r="C2353" s="38">
        <v>164500</v>
      </c>
    </row>
    <row r="2354" spans="1:3" x14ac:dyDescent="0.3">
      <c r="A2354" s="37" t="s">
        <v>0</v>
      </c>
      <c r="B2354" s="37" t="s">
        <v>53</v>
      </c>
      <c r="C2354" s="38">
        <v>152625</v>
      </c>
    </row>
    <row r="2355" spans="1:3" x14ac:dyDescent="0.3">
      <c r="A2355" s="37" t="s">
        <v>0</v>
      </c>
      <c r="B2355" s="37" t="s">
        <v>53</v>
      </c>
      <c r="C2355" s="38">
        <v>204500</v>
      </c>
    </row>
    <row r="2356" spans="1:3" x14ac:dyDescent="0.3">
      <c r="A2356" s="37" t="s">
        <v>0</v>
      </c>
      <c r="B2356" s="37" t="s">
        <v>53</v>
      </c>
      <c r="C2356" s="38"/>
    </row>
    <row r="2357" spans="1:3" x14ac:dyDescent="0.3">
      <c r="A2357" s="37" t="s">
        <v>0</v>
      </c>
      <c r="B2357" s="37" t="s">
        <v>53</v>
      </c>
      <c r="C2357" s="38"/>
    </row>
    <row r="2358" spans="1:3" x14ac:dyDescent="0.3">
      <c r="A2358" s="37" t="s">
        <v>0</v>
      </c>
      <c r="B2358" s="37" t="s">
        <v>53</v>
      </c>
      <c r="C2358" s="38">
        <v>115000</v>
      </c>
    </row>
    <row r="2359" spans="1:3" x14ac:dyDescent="0.3">
      <c r="A2359" s="37" t="s">
        <v>0</v>
      </c>
      <c r="B2359" s="37" t="s">
        <v>53</v>
      </c>
      <c r="C2359" s="38">
        <v>119550</v>
      </c>
    </row>
    <row r="2360" spans="1:3" x14ac:dyDescent="0.3">
      <c r="A2360" s="37" t="s">
        <v>0</v>
      </c>
      <c r="B2360" s="37" t="s">
        <v>53</v>
      </c>
      <c r="C2360" s="38">
        <v>101950</v>
      </c>
    </row>
    <row r="2361" spans="1:3" x14ac:dyDescent="0.3">
      <c r="A2361" s="37" t="s">
        <v>0</v>
      </c>
      <c r="B2361" s="37" t="s">
        <v>53</v>
      </c>
      <c r="C2361" s="38">
        <v>110000</v>
      </c>
    </row>
    <row r="2362" spans="1:3" x14ac:dyDescent="0.3">
      <c r="A2362" s="37" t="s">
        <v>0</v>
      </c>
      <c r="B2362" s="37" t="s">
        <v>53</v>
      </c>
      <c r="C2362" s="38">
        <v>125000</v>
      </c>
    </row>
    <row r="2363" spans="1:3" x14ac:dyDescent="0.3">
      <c r="A2363" s="37" t="s">
        <v>0</v>
      </c>
      <c r="B2363" s="37" t="s">
        <v>53</v>
      </c>
      <c r="C2363" s="38"/>
    </row>
    <row r="2364" spans="1:3" x14ac:dyDescent="0.3">
      <c r="A2364" s="37" t="s">
        <v>0</v>
      </c>
      <c r="B2364" s="37" t="s">
        <v>53</v>
      </c>
      <c r="C2364" s="38"/>
    </row>
    <row r="2365" spans="1:3" x14ac:dyDescent="0.3">
      <c r="A2365" s="37" t="s">
        <v>0</v>
      </c>
      <c r="B2365" s="37" t="s">
        <v>53</v>
      </c>
      <c r="C2365" s="38"/>
    </row>
    <row r="2366" spans="1:3" x14ac:dyDescent="0.3">
      <c r="A2366" s="37" t="s">
        <v>0</v>
      </c>
      <c r="B2366" s="37" t="s">
        <v>53</v>
      </c>
      <c r="C2366" s="38">
        <v>100000</v>
      </c>
    </row>
    <row r="2367" spans="1:3" x14ac:dyDescent="0.3">
      <c r="A2367" s="37" t="s">
        <v>0</v>
      </c>
      <c r="B2367" s="37" t="s">
        <v>53</v>
      </c>
      <c r="C2367" s="38"/>
    </row>
    <row r="2368" spans="1:3" x14ac:dyDescent="0.3">
      <c r="A2368" s="37" t="s">
        <v>0</v>
      </c>
      <c r="B2368" s="37" t="s">
        <v>53</v>
      </c>
      <c r="C2368" s="38">
        <v>175000</v>
      </c>
    </row>
    <row r="2369" spans="1:3" x14ac:dyDescent="0.3">
      <c r="A2369" s="37" t="s">
        <v>0</v>
      </c>
      <c r="B2369" s="37" t="s">
        <v>53</v>
      </c>
      <c r="C2369" s="38">
        <v>125000</v>
      </c>
    </row>
    <row r="2370" spans="1:3" x14ac:dyDescent="0.3">
      <c r="A2370" s="37" t="s">
        <v>0</v>
      </c>
      <c r="B2370" s="37" t="s">
        <v>53</v>
      </c>
      <c r="C2370" s="38">
        <v>119500</v>
      </c>
    </row>
    <row r="2371" spans="1:3" x14ac:dyDescent="0.3">
      <c r="A2371" s="37" t="s">
        <v>0</v>
      </c>
      <c r="B2371" s="37" t="s">
        <v>53</v>
      </c>
      <c r="C2371" s="38">
        <v>90000</v>
      </c>
    </row>
    <row r="2372" spans="1:3" x14ac:dyDescent="0.3">
      <c r="A2372" s="37" t="s">
        <v>0</v>
      </c>
      <c r="B2372" s="37" t="s">
        <v>53</v>
      </c>
      <c r="C2372" s="38">
        <v>151650</v>
      </c>
    </row>
    <row r="2373" spans="1:3" x14ac:dyDescent="0.3">
      <c r="A2373" s="37" t="s">
        <v>0</v>
      </c>
      <c r="B2373" s="37" t="s">
        <v>53</v>
      </c>
      <c r="C2373" s="38">
        <v>125000</v>
      </c>
    </row>
    <row r="2374" spans="1:3" x14ac:dyDescent="0.3">
      <c r="A2374" s="37" t="s">
        <v>0</v>
      </c>
      <c r="B2374" s="37" t="s">
        <v>88</v>
      </c>
      <c r="C2374" s="38">
        <v>88128</v>
      </c>
    </row>
    <row r="2375" spans="1:3" x14ac:dyDescent="0.3">
      <c r="A2375" s="37" t="s">
        <v>0</v>
      </c>
      <c r="B2375" s="37" t="s">
        <v>53</v>
      </c>
      <c r="C2375" s="38">
        <v>137000</v>
      </c>
    </row>
    <row r="2376" spans="1:3" x14ac:dyDescent="0.3">
      <c r="A2376" s="37" t="s">
        <v>0</v>
      </c>
      <c r="B2376" s="37" t="s">
        <v>53</v>
      </c>
      <c r="C2376" s="38"/>
    </row>
    <row r="2377" spans="1:3" x14ac:dyDescent="0.3">
      <c r="A2377" s="37" t="s">
        <v>0</v>
      </c>
      <c r="B2377" s="37" t="s">
        <v>53</v>
      </c>
      <c r="C2377" s="38">
        <v>145000</v>
      </c>
    </row>
    <row r="2378" spans="1:3" x14ac:dyDescent="0.3">
      <c r="A2378" s="37" t="s">
        <v>0</v>
      </c>
      <c r="B2378" s="37" t="s">
        <v>53</v>
      </c>
      <c r="C2378" s="38">
        <v>308500</v>
      </c>
    </row>
    <row r="2379" spans="1:3" x14ac:dyDescent="0.3">
      <c r="A2379" s="37" t="s">
        <v>0</v>
      </c>
      <c r="B2379" s="37" t="s">
        <v>53</v>
      </c>
      <c r="C2379" s="38"/>
    </row>
    <row r="2380" spans="1:3" x14ac:dyDescent="0.3">
      <c r="A2380" s="37" t="s">
        <v>0</v>
      </c>
      <c r="B2380" s="37" t="s">
        <v>54</v>
      </c>
      <c r="C2380" s="38">
        <v>87307.5</v>
      </c>
    </row>
    <row r="2381" spans="1:3" x14ac:dyDescent="0.3">
      <c r="A2381" s="37" t="s">
        <v>0</v>
      </c>
      <c r="B2381" s="37" t="s">
        <v>53</v>
      </c>
      <c r="C2381" s="38">
        <v>112996</v>
      </c>
    </row>
    <row r="2382" spans="1:3" x14ac:dyDescent="0.3">
      <c r="A2382" s="37" t="s">
        <v>0</v>
      </c>
      <c r="B2382" s="37" t="s">
        <v>53</v>
      </c>
      <c r="C2382" s="38">
        <v>90000</v>
      </c>
    </row>
    <row r="2383" spans="1:3" x14ac:dyDescent="0.3">
      <c r="A2383" s="37" t="s">
        <v>0</v>
      </c>
      <c r="B2383" s="37" t="s">
        <v>53</v>
      </c>
      <c r="C2383" s="38"/>
    </row>
    <row r="2384" spans="1:3" x14ac:dyDescent="0.3">
      <c r="A2384" s="37" t="s">
        <v>0</v>
      </c>
      <c r="B2384" s="37" t="s">
        <v>53</v>
      </c>
      <c r="C2384" s="38">
        <v>150000</v>
      </c>
    </row>
    <row r="2385" spans="1:3" x14ac:dyDescent="0.3">
      <c r="A2385" s="37" t="s">
        <v>0</v>
      </c>
      <c r="B2385" s="37" t="s">
        <v>53</v>
      </c>
      <c r="C2385" s="38">
        <v>180000</v>
      </c>
    </row>
    <row r="2386" spans="1:3" x14ac:dyDescent="0.3">
      <c r="A2386" s="37" t="s">
        <v>0</v>
      </c>
      <c r="B2386" s="37" t="s">
        <v>53</v>
      </c>
      <c r="C2386" s="38">
        <v>73079</v>
      </c>
    </row>
    <row r="2387" spans="1:3" x14ac:dyDescent="0.3">
      <c r="A2387" s="37" t="s">
        <v>0</v>
      </c>
      <c r="B2387" s="37" t="s">
        <v>72</v>
      </c>
      <c r="C2387" s="38">
        <v>88128</v>
      </c>
    </row>
    <row r="2388" spans="1:3" x14ac:dyDescent="0.3">
      <c r="A2388" s="37" t="s">
        <v>0</v>
      </c>
      <c r="B2388" s="37" t="s">
        <v>53</v>
      </c>
      <c r="C2388" s="38">
        <v>157500</v>
      </c>
    </row>
    <row r="2389" spans="1:3" x14ac:dyDescent="0.3">
      <c r="A2389" s="37" t="s">
        <v>0</v>
      </c>
      <c r="B2389" s="37" t="s">
        <v>88</v>
      </c>
      <c r="C2389" s="38">
        <v>93600</v>
      </c>
    </row>
    <row r="2390" spans="1:3" x14ac:dyDescent="0.3">
      <c r="A2390" s="37" t="s">
        <v>0</v>
      </c>
      <c r="B2390" s="37" t="s">
        <v>54</v>
      </c>
      <c r="C2390" s="38">
        <v>90000</v>
      </c>
    </row>
    <row r="2391" spans="1:3" x14ac:dyDescent="0.3">
      <c r="A2391" s="37" t="s">
        <v>0</v>
      </c>
      <c r="B2391" s="37" t="s">
        <v>53</v>
      </c>
      <c r="C2391" s="38">
        <v>90000</v>
      </c>
    </row>
    <row r="2392" spans="1:3" x14ac:dyDescent="0.3">
      <c r="A2392" s="37" t="s">
        <v>0</v>
      </c>
      <c r="B2392" s="37" t="s">
        <v>53</v>
      </c>
      <c r="C2392" s="38"/>
    </row>
    <row r="2393" spans="1:3" x14ac:dyDescent="0.3">
      <c r="A2393" s="37" t="s">
        <v>0</v>
      </c>
      <c r="B2393" s="37" t="s">
        <v>53</v>
      </c>
      <c r="C2393" s="38">
        <v>95700</v>
      </c>
    </row>
    <row r="2394" spans="1:3" x14ac:dyDescent="0.3">
      <c r="A2394" s="37" t="s">
        <v>0</v>
      </c>
      <c r="B2394" s="37" t="s">
        <v>53</v>
      </c>
      <c r="C2394" s="38">
        <v>162500</v>
      </c>
    </row>
    <row r="2395" spans="1:3" x14ac:dyDescent="0.3">
      <c r="A2395" s="37" t="s">
        <v>0</v>
      </c>
      <c r="B2395" s="37" t="s">
        <v>53</v>
      </c>
      <c r="C2395" s="38"/>
    </row>
    <row r="2396" spans="1:3" x14ac:dyDescent="0.3">
      <c r="A2396" s="37" t="s">
        <v>0</v>
      </c>
      <c r="B2396" s="37" t="s">
        <v>53</v>
      </c>
      <c r="C2396" s="38"/>
    </row>
    <row r="2397" spans="1:3" x14ac:dyDescent="0.3">
      <c r="A2397" s="37" t="s">
        <v>0</v>
      </c>
      <c r="B2397" s="37" t="s">
        <v>53</v>
      </c>
      <c r="C2397" s="38">
        <v>149946.5</v>
      </c>
    </row>
    <row r="2398" spans="1:3" x14ac:dyDescent="0.3">
      <c r="A2398" s="37" t="s">
        <v>0</v>
      </c>
      <c r="B2398" s="37" t="s">
        <v>53</v>
      </c>
      <c r="C2398" s="38">
        <v>150000</v>
      </c>
    </row>
    <row r="2399" spans="1:3" x14ac:dyDescent="0.3">
      <c r="A2399" s="37" t="s">
        <v>0</v>
      </c>
      <c r="B2399" s="37" t="s">
        <v>53</v>
      </c>
      <c r="C2399" s="38">
        <v>125000</v>
      </c>
    </row>
    <row r="2400" spans="1:3" x14ac:dyDescent="0.3">
      <c r="A2400" s="37" t="s">
        <v>0</v>
      </c>
      <c r="B2400" s="37" t="s">
        <v>53</v>
      </c>
      <c r="C2400" s="38">
        <v>150000</v>
      </c>
    </row>
    <row r="2401" spans="1:3" x14ac:dyDescent="0.3">
      <c r="A2401" s="37" t="s">
        <v>0</v>
      </c>
      <c r="B2401" s="37" t="s">
        <v>53</v>
      </c>
      <c r="C2401" s="38"/>
    </row>
    <row r="2402" spans="1:3" x14ac:dyDescent="0.3">
      <c r="A2402" s="37" t="s">
        <v>0</v>
      </c>
      <c r="B2402" s="37" t="s">
        <v>70</v>
      </c>
      <c r="C2402" s="38">
        <v>157500</v>
      </c>
    </row>
    <row r="2403" spans="1:3" x14ac:dyDescent="0.3">
      <c r="A2403" s="37" t="s">
        <v>0</v>
      </c>
      <c r="B2403" s="37" t="s">
        <v>53</v>
      </c>
      <c r="C2403" s="38">
        <v>150000</v>
      </c>
    </row>
    <row r="2404" spans="1:3" x14ac:dyDescent="0.3">
      <c r="A2404" s="37" t="s">
        <v>0</v>
      </c>
      <c r="B2404" s="37" t="s">
        <v>53</v>
      </c>
      <c r="C2404" s="38">
        <v>277500</v>
      </c>
    </row>
    <row r="2405" spans="1:3" x14ac:dyDescent="0.3">
      <c r="A2405" s="37" t="s">
        <v>0</v>
      </c>
      <c r="B2405" s="37" t="s">
        <v>53</v>
      </c>
      <c r="C2405" s="38">
        <v>120531</v>
      </c>
    </row>
    <row r="2406" spans="1:3" x14ac:dyDescent="0.3">
      <c r="A2406" s="37" t="s">
        <v>0</v>
      </c>
      <c r="B2406" s="37" t="s">
        <v>53</v>
      </c>
      <c r="C2406" s="38">
        <v>92058</v>
      </c>
    </row>
    <row r="2407" spans="1:3" x14ac:dyDescent="0.3">
      <c r="A2407" s="37" t="s">
        <v>0</v>
      </c>
      <c r="B2407" s="37" t="s">
        <v>53</v>
      </c>
      <c r="C2407" s="38">
        <v>110000</v>
      </c>
    </row>
    <row r="2408" spans="1:3" x14ac:dyDescent="0.3">
      <c r="A2408" s="37" t="s">
        <v>0</v>
      </c>
      <c r="B2408" s="37" t="s">
        <v>54</v>
      </c>
      <c r="C2408" s="38"/>
    </row>
    <row r="2409" spans="1:3" x14ac:dyDescent="0.3">
      <c r="A2409" s="37" t="s">
        <v>0</v>
      </c>
      <c r="B2409" s="37" t="s">
        <v>88</v>
      </c>
      <c r="C2409" s="38">
        <v>79200</v>
      </c>
    </row>
    <row r="2410" spans="1:3" x14ac:dyDescent="0.3">
      <c r="A2410" s="37" t="s">
        <v>0</v>
      </c>
      <c r="B2410" s="37" t="s">
        <v>53</v>
      </c>
      <c r="C2410" s="38"/>
    </row>
    <row r="2411" spans="1:3" x14ac:dyDescent="0.3">
      <c r="A2411" s="37" t="s">
        <v>0</v>
      </c>
      <c r="B2411" s="37" t="s">
        <v>53</v>
      </c>
      <c r="C2411" s="38"/>
    </row>
    <row r="2412" spans="1:3" x14ac:dyDescent="0.3">
      <c r="A2412" s="37" t="s">
        <v>0</v>
      </c>
      <c r="B2412" s="37" t="s">
        <v>53</v>
      </c>
      <c r="C2412" s="38"/>
    </row>
    <row r="2413" spans="1:3" x14ac:dyDescent="0.3">
      <c r="A2413" s="37" t="s">
        <v>0</v>
      </c>
      <c r="B2413" s="37" t="s">
        <v>83</v>
      </c>
      <c r="C2413" s="38">
        <v>69300</v>
      </c>
    </row>
    <row r="2414" spans="1:3" x14ac:dyDescent="0.3">
      <c r="A2414" s="37" t="s">
        <v>0</v>
      </c>
      <c r="B2414" s="37" t="s">
        <v>53</v>
      </c>
      <c r="C2414" s="38">
        <v>150000</v>
      </c>
    </row>
    <row r="2415" spans="1:3" x14ac:dyDescent="0.3">
      <c r="A2415" s="37" t="s">
        <v>0</v>
      </c>
      <c r="B2415" s="37" t="s">
        <v>53</v>
      </c>
      <c r="C2415" s="38">
        <v>142500</v>
      </c>
    </row>
    <row r="2416" spans="1:3" x14ac:dyDescent="0.3">
      <c r="A2416" s="37" t="s">
        <v>0</v>
      </c>
      <c r="B2416" s="37" t="s">
        <v>53</v>
      </c>
      <c r="C2416" s="38">
        <v>183310</v>
      </c>
    </row>
    <row r="2417" spans="1:3" x14ac:dyDescent="0.3">
      <c r="A2417" s="37" t="s">
        <v>0</v>
      </c>
      <c r="B2417" s="37" t="s">
        <v>53</v>
      </c>
      <c r="C2417" s="38">
        <v>110000</v>
      </c>
    </row>
    <row r="2418" spans="1:3" x14ac:dyDescent="0.3">
      <c r="A2418" s="37" t="s">
        <v>0</v>
      </c>
      <c r="B2418" s="37" t="s">
        <v>53</v>
      </c>
      <c r="C2418" s="38"/>
    </row>
    <row r="2419" spans="1:3" x14ac:dyDescent="0.3">
      <c r="A2419" s="37" t="s">
        <v>0</v>
      </c>
      <c r="B2419" s="37" t="s">
        <v>53</v>
      </c>
      <c r="C2419" s="38">
        <v>110000</v>
      </c>
    </row>
    <row r="2420" spans="1:3" x14ac:dyDescent="0.3">
      <c r="A2420" s="37" t="s">
        <v>0</v>
      </c>
      <c r="B2420" s="37" t="s">
        <v>54</v>
      </c>
      <c r="C2420" s="38">
        <v>150000</v>
      </c>
    </row>
    <row r="2421" spans="1:3" x14ac:dyDescent="0.3">
      <c r="A2421" s="37" t="s">
        <v>0</v>
      </c>
      <c r="B2421" s="37" t="s">
        <v>53</v>
      </c>
      <c r="C2421" s="38">
        <v>90000</v>
      </c>
    </row>
    <row r="2422" spans="1:3" x14ac:dyDescent="0.3">
      <c r="A2422" s="37" t="s">
        <v>0</v>
      </c>
      <c r="B2422" s="37" t="s">
        <v>88</v>
      </c>
      <c r="C2422" s="38">
        <v>79200</v>
      </c>
    </row>
    <row r="2423" spans="1:3" x14ac:dyDescent="0.3">
      <c r="A2423" s="37" t="s">
        <v>0</v>
      </c>
      <c r="B2423" s="37" t="s">
        <v>53</v>
      </c>
      <c r="C2423" s="38"/>
    </row>
    <row r="2424" spans="1:3" x14ac:dyDescent="0.3">
      <c r="A2424" s="37" t="s">
        <v>1</v>
      </c>
      <c r="B2424" s="37" t="s">
        <v>115</v>
      </c>
      <c r="C2424" s="38">
        <v>104668</v>
      </c>
    </row>
    <row r="2425" spans="1:3" x14ac:dyDescent="0.3">
      <c r="A2425" s="37" t="s">
        <v>1</v>
      </c>
      <c r="B2425" s="37" t="s">
        <v>65</v>
      </c>
      <c r="C2425" s="38">
        <v>94342.5</v>
      </c>
    </row>
    <row r="2426" spans="1:3" x14ac:dyDescent="0.3">
      <c r="A2426" s="37" t="s">
        <v>1</v>
      </c>
      <c r="B2426" s="37" t="s">
        <v>110</v>
      </c>
      <c r="C2426" s="38">
        <v>104668</v>
      </c>
    </row>
    <row r="2427" spans="1:3" x14ac:dyDescent="0.3">
      <c r="A2427" s="37" t="s">
        <v>1</v>
      </c>
      <c r="B2427" s="37" t="s">
        <v>54</v>
      </c>
      <c r="C2427" s="38">
        <v>166000</v>
      </c>
    </row>
    <row r="2428" spans="1:3" x14ac:dyDescent="0.3">
      <c r="A2428" s="37" t="s">
        <v>1</v>
      </c>
      <c r="B2428" s="37" t="s">
        <v>56</v>
      </c>
      <c r="C2428" s="38">
        <v>166000</v>
      </c>
    </row>
    <row r="2429" spans="1:3" x14ac:dyDescent="0.3">
      <c r="A2429" s="37" t="s">
        <v>1</v>
      </c>
      <c r="B2429" s="37" t="s">
        <v>70</v>
      </c>
      <c r="C2429" s="38">
        <v>89100</v>
      </c>
    </row>
    <row r="2430" spans="1:3" x14ac:dyDescent="0.3">
      <c r="A2430" s="37" t="s">
        <v>1</v>
      </c>
      <c r="B2430" s="37" t="s">
        <v>90</v>
      </c>
      <c r="C2430" s="38">
        <v>166000</v>
      </c>
    </row>
    <row r="2431" spans="1:3" x14ac:dyDescent="0.3">
      <c r="A2431" s="37" t="s">
        <v>1</v>
      </c>
      <c r="B2431" s="37" t="s">
        <v>97</v>
      </c>
      <c r="C2431" s="38">
        <v>106830</v>
      </c>
    </row>
    <row r="2432" spans="1:3" x14ac:dyDescent="0.3">
      <c r="A2432" s="37" t="s">
        <v>1</v>
      </c>
      <c r="B2432" s="37" t="s">
        <v>53</v>
      </c>
      <c r="C2432" s="38">
        <v>150000</v>
      </c>
    </row>
    <row r="2433" spans="1:3" x14ac:dyDescent="0.3">
      <c r="A2433" s="37" t="s">
        <v>1</v>
      </c>
      <c r="B2433" s="37" t="s">
        <v>56</v>
      </c>
      <c r="C2433" s="38">
        <v>166000</v>
      </c>
    </row>
    <row r="2434" spans="1:3" x14ac:dyDescent="0.3">
      <c r="A2434" s="37" t="s">
        <v>1</v>
      </c>
      <c r="B2434" s="37" t="s">
        <v>81</v>
      </c>
      <c r="C2434" s="38">
        <v>99150</v>
      </c>
    </row>
    <row r="2435" spans="1:3" x14ac:dyDescent="0.3">
      <c r="A2435" s="37" t="s">
        <v>1</v>
      </c>
      <c r="B2435" s="37" t="s">
        <v>79</v>
      </c>
      <c r="C2435" s="38">
        <v>166000</v>
      </c>
    </row>
    <row r="2436" spans="1:3" x14ac:dyDescent="0.3">
      <c r="A2436" s="37" t="s">
        <v>1</v>
      </c>
      <c r="B2436" s="37" t="s">
        <v>69</v>
      </c>
      <c r="C2436" s="38">
        <v>89100</v>
      </c>
    </row>
    <row r="2437" spans="1:3" x14ac:dyDescent="0.3">
      <c r="A2437" s="37" t="s">
        <v>1</v>
      </c>
      <c r="B2437" s="37" t="s">
        <v>54</v>
      </c>
      <c r="C2437" s="38"/>
    </row>
    <row r="2438" spans="1:3" x14ac:dyDescent="0.3">
      <c r="A2438" s="37" t="s">
        <v>1</v>
      </c>
      <c r="B2438" s="37" t="s">
        <v>124</v>
      </c>
      <c r="C2438" s="38">
        <v>50400</v>
      </c>
    </row>
    <row r="2439" spans="1:3" x14ac:dyDescent="0.3">
      <c r="A2439" s="37" t="s">
        <v>1</v>
      </c>
      <c r="B2439" s="37" t="s">
        <v>67</v>
      </c>
      <c r="C2439" s="38">
        <v>166000</v>
      </c>
    </row>
    <row r="2440" spans="1:3" x14ac:dyDescent="0.3">
      <c r="A2440" s="37" t="s">
        <v>1</v>
      </c>
      <c r="B2440" s="37" t="s">
        <v>98</v>
      </c>
      <c r="C2440" s="38">
        <v>72900</v>
      </c>
    </row>
    <row r="2441" spans="1:3" x14ac:dyDescent="0.3">
      <c r="A2441" s="37" t="s">
        <v>1</v>
      </c>
      <c r="B2441" s="37" t="s">
        <v>81</v>
      </c>
      <c r="C2441" s="38">
        <v>250000</v>
      </c>
    </row>
    <row r="2442" spans="1:3" x14ac:dyDescent="0.3">
      <c r="A2442" s="37" t="s">
        <v>1</v>
      </c>
      <c r="B2442" s="37" t="s">
        <v>83</v>
      </c>
      <c r="C2442" s="38">
        <v>44100</v>
      </c>
    </row>
    <row r="2443" spans="1:3" x14ac:dyDescent="0.3">
      <c r="A2443" s="37" t="s">
        <v>1</v>
      </c>
      <c r="B2443" s="37" t="s">
        <v>80</v>
      </c>
      <c r="C2443" s="38">
        <v>166000</v>
      </c>
    </row>
    <row r="2444" spans="1:3" x14ac:dyDescent="0.3">
      <c r="A2444" s="37" t="s">
        <v>1</v>
      </c>
      <c r="B2444" s="37" t="s">
        <v>88</v>
      </c>
      <c r="C2444" s="38">
        <v>93600</v>
      </c>
    </row>
    <row r="2445" spans="1:3" x14ac:dyDescent="0.3">
      <c r="A2445" s="37" t="s">
        <v>1</v>
      </c>
      <c r="B2445" s="37" t="s">
        <v>53</v>
      </c>
      <c r="C2445" s="38">
        <v>99150</v>
      </c>
    </row>
    <row r="2446" spans="1:3" x14ac:dyDescent="0.3">
      <c r="A2446" s="37" t="s">
        <v>1</v>
      </c>
      <c r="B2446" s="37" t="s">
        <v>53</v>
      </c>
      <c r="C2446" s="38">
        <v>89100</v>
      </c>
    </row>
    <row r="2447" spans="1:3" x14ac:dyDescent="0.3">
      <c r="A2447" s="37" t="s">
        <v>1</v>
      </c>
      <c r="B2447" s="37" t="s">
        <v>81</v>
      </c>
      <c r="C2447" s="38">
        <v>166000</v>
      </c>
    </row>
    <row r="2448" spans="1:3" x14ac:dyDescent="0.3">
      <c r="A2448" s="37" t="s">
        <v>1</v>
      </c>
      <c r="B2448" s="37" t="s">
        <v>53</v>
      </c>
      <c r="C2448" s="38">
        <v>285000</v>
      </c>
    </row>
    <row r="2449" spans="1:3" x14ac:dyDescent="0.3">
      <c r="A2449" s="37" t="s">
        <v>1</v>
      </c>
      <c r="B2449" s="37" t="s">
        <v>123</v>
      </c>
      <c r="C2449" s="38">
        <v>89100</v>
      </c>
    </row>
    <row r="2450" spans="1:3" x14ac:dyDescent="0.3">
      <c r="A2450" s="37" t="s">
        <v>1</v>
      </c>
      <c r="B2450" s="37" t="s">
        <v>53</v>
      </c>
      <c r="C2450" s="38"/>
    </row>
    <row r="2451" spans="1:3" x14ac:dyDescent="0.3">
      <c r="A2451" s="37" t="s">
        <v>1</v>
      </c>
      <c r="B2451" s="37" t="s">
        <v>53</v>
      </c>
      <c r="C2451" s="38"/>
    </row>
    <row r="2452" spans="1:3" x14ac:dyDescent="0.3">
      <c r="A2452" s="37" t="s">
        <v>1</v>
      </c>
      <c r="B2452" s="37" t="s">
        <v>97</v>
      </c>
      <c r="C2452" s="38">
        <v>89100</v>
      </c>
    </row>
    <row r="2453" spans="1:3" x14ac:dyDescent="0.3">
      <c r="A2453" s="37" t="s">
        <v>1</v>
      </c>
      <c r="B2453" s="37" t="s">
        <v>69</v>
      </c>
      <c r="C2453" s="38">
        <v>166000</v>
      </c>
    </row>
    <row r="2454" spans="1:3" x14ac:dyDescent="0.3">
      <c r="A2454" s="37" t="s">
        <v>1</v>
      </c>
      <c r="B2454" s="37" t="s">
        <v>69</v>
      </c>
      <c r="C2454" s="38">
        <v>185500</v>
      </c>
    </row>
    <row r="2455" spans="1:3" x14ac:dyDescent="0.3">
      <c r="A2455" s="37" t="s">
        <v>1</v>
      </c>
      <c r="B2455" s="37" t="s">
        <v>88</v>
      </c>
      <c r="C2455" s="38">
        <v>79200</v>
      </c>
    </row>
    <row r="2456" spans="1:3" x14ac:dyDescent="0.3">
      <c r="A2456" s="37" t="s">
        <v>1</v>
      </c>
      <c r="B2456" s="37" t="s">
        <v>56</v>
      </c>
      <c r="C2456" s="38">
        <v>69000</v>
      </c>
    </row>
    <row r="2457" spans="1:3" x14ac:dyDescent="0.3">
      <c r="A2457" s="37" t="s">
        <v>1</v>
      </c>
      <c r="B2457" s="37" t="s">
        <v>53</v>
      </c>
      <c r="C2457" s="38">
        <v>99150</v>
      </c>
    </row>
    <row r="2458" spans="1:3" x14ac:dyDescent="0.3">
      <c r="A2458" s="37" t="s">
        <v>1</v>
      </c>
      <c r="B2458" s="37" t="s">
        <v>97</v>
      </c>
      <c r="C2458" s="38">
        <v>166000</v>
      </c>
    </row>
    <row r="2459" spans="1:3" x14ac:dyDescent="0.3">
      <c r="A2459" s="37" t="s">
        <v>1</v>
      </c>
      <c r="B2459" s="37" t="s">
        <v>53</v>
      </c>
      <c r="C2459" s="38">
        <v>166000</v>
      </c>
    </row>
    <row r="2460" spans="1:3" x14ac:dyDescent="0.3">
      <c r="A2460" s="37" t="s">
        <v>1</v>
      </c>
      <c r="B2460" s="37" t="s">
        <v>81</v>
      </c>
      <c r="C2460" s="38">
        <v>166000</v>
      </c>
    </row>
    <row r="2461" spans="1:3" x14ac:dyDescent="0.3">
      <c r="A2461" s="37" t="s">
        <v>1</v>
      </c>
      <c r="B2461" s="37" t="s">
        <v>107</v>
      </c>
      <c r="C2461" s="38">
        <v>89100</v>
      </c>
    </row>
    <row r="2462" spans="1:3" x14ac:dyDescent="0.3">
      <c r="A2462" s="37" t="s">
        <v>1</v>
      </c>
      <c r="B2462" s="37" t="s">
        <v>53</v>
      </c>
      <c r="C2462" s="38">
        <v>165000</v>
      </c>
    </row>
    <row r="2463" spans="1:3" x14ac:dyDescent="0.3">
      <c r="A2463" s="37" t="s">
        <v>1</v>
      </c>
      <c r="B2463" s="37" t="s">
        <v>53</v>
      </c>
      <c r="C2463" s="38">
        <v>130000</v>
      </c>
    </row>
    <row r="2464" spans="1:3" x14ac:dyDescent="0.3">
      <c r="A2464" s="37" t="s">
        <v>1</v>
      </c>
      <c r="B2464" s="37" t="s">
        <v>53</v>
      </c>
      <c r="C2464" s="38">
        <v>228000</v>
      </c>
    </row>
    <row r="2465" spans="1:3" x14ac:dyDescent="0.3">
      <c r="A2465" s="37" t="s">
        <v>1</v>
      </c>
      <c r="B2465" s="37" t="s">
        <v>54</v>
      </c>
      <c r="C2465" s="38">
        <v>151950</v>
      </c>
    </row>
    <row r="2466" spans="1:3" x14ac:dyDescent="0.3">
      <c r="A2466" s="37" t="s">
        <v>1</v>
      </c>
      <c r="B2466" s="37" t="s">
        <v>70</v>
      </c>
      <c r="C2466" s="38">
        <v>185500</v>
      </c>
    </row>
    <row r="2467" spans="1:3" x14ac:dyDescent="0.3">
      <c r="A2467" s="37" t="s">
        <v>1</v>
      </c>
      <c r="B2467" s="37" t="s">
        <v>86</v>
      </c>
      <c r="C2467" s="38">
        <v>185500</v>
      </c>
    </row>
    <row r="2468" spans="1:3" x14ac:dyDescent="0.3">
      <c r="A2468" s="37" t="s">
        <v>1</v>
      </c>
      <c r="B2468" s="37" t="s">
        <v>69</v>
      </c>
      <c r="C2468" s="38">
        <v>44418.5</v>
      </c>
    </row>
    <row r="2469" spans="1:3" x14ac:dyDescent="0.3">
      <c r="A2469" s="37" t="s">
        <v>1</v>
      </c>
      <c r="B2469" s="37" t="s">
        <v>53</v>
      </c>
      <c r="C2469" s="38">
        <v>44408.5</v>
      </c>
    </row>
    <row r="2470" spans="1:3" x14ac:dyDescent="0.3">
      <c r="A2470" s="37" t="s">
        <v>1</v>
      </c>
      <c r="B2470" s="37" t="s">
        <v>69</v>
      </c>
      <c r="C2470" s="38">
        <v>89100</v>
      </c>
    </row>
    <row r="2471" spans="1:3" x14ac:dyDescent="0.3">
      <c r="A2471" s="37" t="s">
        <v>1</v>
      </c>
      <c r="B2471" s="37" t="s">
        <v>88</v>
      </c>
      <c r="C2471" s="38">
        <v>166000</v>
      </c>
    </row>
    <row r="2472" spans="1:3" x14ac:dyDescent="0.3">
      <c r="A2472" s="37" t="s">
        <v>1</v>
      </c>
      <c r="B2472" s="37" t="s">
        <v>53</v>
      </c>
      <c r="C2472" s="38">
        <v>172500</v>
      </c>
    </row>
    <row r="2473" spans="1:3" x14ac:dyDescent="0.3">
      <c r="A2473" s="37" t="s">
        <v>1</v>
      </c>
      <c r="B2473" s="37" t="s">
        <v>53</v>
      </c>
      <c r="C2473" s="38">
        <v>80850</v>
      </c>
    </row>
    <row r="2474" spans="1:3" x14ac:dyDescent="0.3">
      <c r="A2474" s="37" t="s">
        <v>1</v>
      </c>
      <c r="B2474" s="37" t="s">
        <v>64</v>
      </c>
      <c r="C2474" s="38">
        <v>79200</v>
      </c>
    </row>
    <row r="2475" spans="1:3" x14ac:dyDescent="0.3">
      <c r="A2475" s="37" t="s">
        <v>1</v>
      </c>
      <c r="B2475" s="37" t="s">
        <v>95</v>
      </c>
      <c r="C2475" s="38">
        <v>166000</v>
      </c>
    </row>
    <row r="2476" spans="1:3" x14ac:dyDescent="0.3">
      <c r="A2476" s="37" t="s">
        <v>1</v>
      </c>
      <c r="B2476" s="37" t="s">
        <v>69</v>
      </c>
      <c r="C2476" s="38">
        <v>89100</v>
      </c>
    </row>
    <row r="2477" spans="1:3" x14ac:dyDescent="0.3">
      <c r="A2477" s="37" t="s">
        <v>1</v>
      </c>
      <c r="B2477" s="37" t="s">
        <v>97</v>
      </c>
      <c r="C2477" s="38">
        <v>56700</v>
      </c>
    </row>
    <row r="2478" spans="1:3" x14ac:dyDescent="0.3">
      <c r="A2478" s="37" t="s">
        <v>1</v>
      </c>
      <c r="B2478" s="37" t="s">
        <v>88</v>
      </c>
      <c r="C2478" s="38">
        <v>79200</v>
      </c>
    </row>
    <row r="2479" spans="1:3" x14ac:dyDescent="0.3">
      <c r="A2479" s="37" t="s">
        <v>1</v>
      </c>
      <c r="B2479" s="37" t="s">
        <v>56</v>
      </c>
      <c r="C2479" s="38">
        <v>156500</v>
      </c>
    </row>
    <row r="2480" spans="1:3" x14ac:dyDescent="0.3">
      <c r="A2480" s="37" t="s">
        <v>1</v>
      </c>
      <c r="B2480" s="37" t="s">
        <v>98</v>
      </c>
      <c r="C2480" s="38">
        <v>166000</v>
      </c>
    </row>
    <row r="2481" spans="1:3" x14ac:dyDescent="0.3">
      <c r="A2481" s="37" t="s">
        <v>1</v>
      </c>
      <c r="B2481" s="37" t="s">
        <v>88</v>
      </c>
      <c r="C2481" s="38">
        <v>72000</v>
      </c>
    </row>
    <row r="2482" spans="1:3" x14ac:dyDescent="0.3">
      <c r="A2482" s="37" t="s">
        <v>1</v>
      </c>
      <c r="B2482" s="37" t="s">
        <v>110</v>
      </c>
      <c r="C2482" s="38">
        <v>56700</v>
      </c>
    </row>
    <row r="2483" spans="1:3" x14ac:dyDescent="0.3">
      <c r="A2483" s="37" t="s">
        <v>1</v>
      </c>
      <c r="B2483" s="37" t="s">
        <v>70</v>
      </c>
      <c r="C2483" s="38">
        <v>166000</v>
      </c>
    </row>
    <row r="2484" spans="1:3" x14ac:dyDescent="0.3">
      <c r="A2484" s="37" t="s">
        <v>1</v>
      </c>
      <c r="B2484" s="37" t="s">
        <v>88</v>
      </c>
      <c r="C2484" s="38">
        <v>79200</v>
      </c>
    </row>
    <row r="2485" spans="1:3" x14ac:dyDescent="0.3">
      <c r="A2485" s="37" t="s">
        <v>1</v>
      </c>
      <c r="B2485" s="37" t="s">
        <v>88</v>
      </c>
      <c r="C2485" s="38">
        <v>185500</v>
      </c>
    </row>
    <row r="2486" spans="1:3" x14ac:dyDescent="0.3">
      <c r="A2486" s="37" t="s">
        <v>1</v>
      </c>
      <c r="B2486" s="37" t="s">
        <v>53</v>
      </c>
      <c r="C2486" s="38">
        <v>99150</v>
      </c>
    </row>
    <row r="2487" spans="1:3" x14ac:dyDescent="0.3">
      <c r="A2487" s="37" t="s">
        <v>1</v>
      </c>
      <c r="B2487" s="37" t="s">
        <v>69</v>
      </c>
      <c r="C2487" s="38">
        <v>185500</v>
      </c>
    </row>
    <row r="2488" spans="1:3" x14ac:dyDescent="0.3">
      <c r="A2488" s="37" t="s">
        <v>1</v>
      </c>
      <c r="B2488" s="37" t="s">
        <v>97</v>
      </c>
      <c r="C2488" s="38">
        <v>95000</v>
      </c>
    </row>
    <row r="2489" spans="1:3" x14ac:dyDescent="0.3">
      <c r="A2489" s="37" t="s">
        <v>1</v>
      </c>
      <c r="B2489" s="37" t="s">
        <v>88</v>
      </c>
      <c r="C2489" s="38">
        <v>79200</v>
      </c>
    </row>
    <row r="2490" spans="1:3" x14ac:dyDescent="0.3">
      <c r="A2490" s="37" t="s">
        <v>1</v>
      </c>
      <c r="B2490" s="37" t="s">
        <v>83</v>
      </c>
      <c r="C2490" s="38">
        <v>65000</v>
      </c>
    </row>
    <row r="2491" spans="1:3" x14ac:dyDescent="0.3">
      <c r="A2491" s="37" t="s">
        <v>1</v>
      </c>
      <c r="B2491" s="37" t="s">
        <v>88</v>
      </c>
      <c r="C2491" s="38">
        <v>104668</v>
      </c>
    </row>
    <row r="2492" spans="1:3" x14ac:dyDescent="0.3">
      <c r="A2492" s="37" t="s">
        <v>1</v>
      </c>
      <c r="B2492" s="37" t="s">
        <v>53</v>
      </c>
      <c r="C2492" s="38">
        <v>166000</v>
      </c>
    </row>
    <row r="2493" spans="1:3" x14ac:dyDescent="0.3">
      <c r="A2493" s="37" t="s">
        <v>1</v>
      </c>
      <c r="B2493" s="37" t="s">
        <v>98</v>
      </c>
      <c r="C2493" s="38">
        <v>89100</v>
      </c>
    </row>
    <row r="2494" spans="1:3" x14ac:dyDescent="0.3">
      <c r="A2494" s="37" t="s">
        <v>1</v>
      </c>
      <c r="B2494" s="37" t="s">
        <v>70</v>
      </c>
      <c r="C2494" s="38">
        <v>89100</v>
      </c>
    </row>
    <row r="2495" spans="1:3" x14ac:dyDescent="0.3">
      <c r="A2495" s="37" t="s">
        <v>1</v>
      </c>
      <c r="B2495" s="37" t="s">
        <v>53</v>
      </c>
      <c r="C2495" s="38">
        <v>116950</v>
      </c>
    </row>
    <row r="2496" spans="1:3" x14ac:dyDescent="0.3">
      <c r="A2496" s="37" t="s">
        <v>1</v>
      </c>
      <c r="B2496" s="37" t="s">
        <v>68</v>
      </c>
      <c r="C2496" s="38">
        <v>166000</v>
      </c>
    </row>
    <row r="2497" spans="1:3" x14ac:dyDescent="0.3">
      <c r="A2497" s="37" t="s">
        <v>1</v>
      </c>
      <c r="B2497" s="37" t="s">
        <v>69</v>
      </c>
      <c r="C2497" s="38">
        <v>69000</v>
      </c>
    </row>
    <row r="2498" spans="1:3" x14ac:dyDescent="0.3">
      <c r="A2498" s="37" t="s">
        <v>125</v>
      </c>
      <c r="B2498" s="37" t="s">
        <v>53</v>
      </c>
      <c r="C2498" s="38">
        <v>96500</v>
      </c>
    </row>
    <row r="2499" spans="1:3" x14ac:dyDescent="0.3">
      <c r="A2499" s="37" t="s">
        <v>125</v>
      </c>
      <c r="B2499" s="37" t="s">
        <v>53</v>
      </c>
      <c r="C2499" s="38"/>
    </row>
    <row r="2500" spans="1:3" x14ac:dyDescent="0.3">
      <c r="A2500" s="37" t="s">
        <v>125</v>
      </c>
      <c r="B2500" s="37" t="s">
        <v>53</v>
      </c>
      <c r="C2500" s="38">
        <v>96500</v>
      </c>
    </row>
    <row r="2501" spans="1:3" x14ac:dyDescent="0.3">
      <c r="A2501" s="37" t="s">
        <v>125</v>
      </c>
      <c r="B2501" s="37" t="s">
        <v>53</v>
      </c>
      <c r="C2501" s="38">
        <v>96500</v>
      </c>
    </row>
    <row r="2502" spans="1:3" x14ac:dyDescent="0.3">
      <c r="A2502" s="37" t="s">
        <v>125</v>
      </c>
      <c r="B2502" s="37" t="s">
        <v>53</v>
      </c>
      <c r="C2502" s="38">
        <v>170000</v>
      </c>
    </row>
    <row r="2503" spans="1:3" x14ac:dyDescent="0.3">
      <c r="A2503" s="37" t="s">
        <v>125</v>
      </c>
      <c r="B2503" s="37" t="s">
        <v>97</v>
      </c>
      <c r="C2503" s="38">
        <v>111175</v>
      </c>
    </row>
    <row r="2504" spans="1:3" x14ac:dyDescent="0.3">
      <c r="A2504" s="37" t="s">
        <v>125</v>
      </c>
      <c r="B2504" s="37" t="s">
        <v>53</v>
      </c>
      <c r="C2504" s="38">
        <v>90000</v>
      </c>
    </row>
    <row r="2505" spans="1:3" x14ac:dyDescent="0.3">
      <c r="A2505" s="37" t="s">
        <v>125</v>
      </c>
      <c r="B2505" s="37" t="s">
        <v>53</v>
      </c>
      <c r="C2505" s="38">
        <v>146500</v>
      </c>
    </row>
    <row r="2506" spans="1:3" x14ac:dyDescent="0.3">
      <c r="A2506" s="37" t="s">
        <v>125</v>
      </c>
      <c r="B2506" s="37" t="s">
        <v>53</v>
      </c>
      <c r="C2506" s="38">
        <v>90000</v>
      </c>
    </row>
    <row r="2507" spans="1:3" x14ac:dyDescent="0.3">
      <c r="A2507" s="37" t="s">
        <v>125</v>
      </c>
      <c r="B2507" s="37" t="s">
        <v>53</v>
      </c>
      <c r="C2507" s="38"/>
    </row>
    <row r="2508" spans="1:3" x14ac:dyDescent="0.3">
      <c r="A2508" s="37" t="s">
        <v>125</v>
      </c>
      <c r="B2508" s="37" t="s">
        <v>53</v>
      </c>
      <c r="C2508" s="38">
        <v>188675</v>
      </c>
    </row>
    <row r="2509" spans="1:3" x14ac:dyDescent="0.3">
      <c r="A2509" s="37" t="s">
        <v>125</v>
      </c>
      <c r="B2509" s="37" t="s">
        <v>53</v>
      </c>
      <c r="C2509" s="38">
        <v>98450</v>
      </c>
    </row>
    <row r="2510" spans="1:3" x14ac:dyDescent="0.3">
      <c r="A2510" s="37" t="s">
        <v>125</v>
      </c>
      <c r="B2510" s="37" t="s">
        <v>53</v>
      </c>
      <c r="C2510" s="38">
        <v>93661.5</v>
      </c>
    </row>
    <row r="2511" spans="1:3" x14ac:dyDescent="0.3">
      <c r="A2511" s="37" t="s">
        <v>125</v>
      </c>
      <c r="B2511" s="37" t="s">
        <v>53</v>
      </c>
      <c r="C2511" s="38">
        <v>90000</v>
      </c>
    </row>
    <row r="2512" spans="1:3" x14ac:dyDescent="0.3">
      <c r="A2512" s="37" t="s">
        <v>125</v>
      </c>
      <c r="B2512" s="37" t="s">
        <v>53</v>
      </c>
      <c r="C2512" s="38"/>
    </row>
    <row r="2513" spans="1:3" x14ac:dyDescent="0.3">
      <c r="A2513" s="37" t="s">
        <v>125</v>
      </c>
      <c r="B2513" s="37" t="s">
        <v>53</v>
      </c>
      <c r="C2513" s="38">
        <v>112025</v>
      </c>
    </row>
    <row r="2514" spans="1:3" x14ac:dyDescent="0.3">
      <c r="A2514" s="37" t="s">
        <v>125</v>
      </c>
      <c r="B2514" s="37" t="s">
        <v>53</v>
      </c>
      <c r="C2514" s="38">
        <v>155000</v>
      </c>
    </row>
    <row r="2515" spans="1:3" x14ac:dyDescent="0.3">
      <c r="A2515" s="37" t="s">
        <v>125</v>
      </c>
      <c r="B2515" s="37" t="s">
        <v>53</v>
      </c>
      <c r="C2515" s="38">
        <v>115000</v>
      </c>
    </row>
    <row r="2516" spans="1:3" x14ac:dyDescent="0.3">
      <c r="A2516" s="37" t="s">
        <v>125</v>
      </c>
      <c r="B2516" s="37" t="s">
        <v>53</v>
      </c>
      <c r="C2516" s="38">
        <v>100379.765625</v>
      </c>
    </row>
    <row r="2517" spans="1:3" x14ac:dyDescent="0.3">
      <c r="A2517" s="37" t="s">
        <v>125</v>
      </c>
      <c r="B2517" s="37" t="s">
        <v>53</v>
      </c>
      <c r="C2517" s="38">
        <v>145000</v>
      </c>
    </row>
    <row r="2518" spans="1:3" x14ac:dyDescent="0.3">
      <c r="A2518" s="37" t="s">
        <v>125</v>
      </c>
      <c r="B2518" s="37" t="s">
        <v>53</v>
      </c>
      <c r="C2518" s="38">
        <v>102500</v>
      </c>
    </row>
    <row r="2519" spans="1:3" x14ac:dyDescent="0.3">
      <c r="A2519" s="37" t="s">
        <v>125</v>
      </c>
      <c r="B2519" s="37" t="s">
        <v>53</v>
      </c>
      <c r="C2519" s="38"/>
    </row>
    <row r="2520" spans="1:3" x14ac:dyDescent="0.3">
      <c r="A2520" s="37" t="s">
        <v>125</v>
      </c>
      <c r="B2520" s="37" t="s">
        <v>53</v>
      </c>
      <c r="C2520" s="38">
        <v>115000</v>
      </c>
    </row>
    <row r="2521" spans="1:3" x14ac:dyDescent="0.3">
      <c r="A2521" s="37" t="s">
        <v>125</v>
      </c>
      <c r="B2521" s="37" t="s">
        <v>53</v>
      </c>
      <c r="C2521" s="38">
        <v>146500</v>
      </c>
    </row>
    <row r="2522" spans="1:3" x14ac:dyDescent="0.3">
      <c r="A2522" s="37" t="s">
        <v>125</v>
      </c>
      <c r="B2522" s="37" t="s">
        <v>53</v>
      </c>
      <c r="C2522" s="38">
        <v>115000</v>
      </c>
    </row>
    <row r="2523" spans="1:3" x14ac:dyDescent="0.3">
      <c r="A2523" s="37" t="s">
        <v>125</v>
      </c>
      <c r="B2523" s="37" t="s">
        <v>53</v>
      </c>
      <c r="C2523" s="38">
        <v>112500</v>
      </c>
    </row>
    <row r="2524" spans="1:3" x14ac:dyDescent="0.3">
      <c r="A2524" s="37" t="s">
        <v>125</v>
      </c>
      <c r="B2524" s="37" t="s">
        <v>53</v>
      </c>
      <c r="C2524" s="38"/>
    </row>
    <row r="2525" spans="1:3" x14ac:dyDescent="0.3">
      <c r="A2525" s="37" t="s">
        <v>125</v>
      </c>
      <c r="B2525" s="37" t="s">
        <v>84</v>
      </c>
      <c r="C2525" s="38">
        <v>111175</v>
      </c>
    </row>
    <row r="2526" spans="1:3" x14ac:dyDescent="0.3">
      <c r="A2526" s="37" t="s">
        <v>125</v>
      </c>
      <c r="B2526" s="37" t="s">
        <v>53</v>
      </c>
      <c r="C2526" s="38"/>
    </row>
    <row r="2527" spans="1:3" x14ac:dyDescent="0.3">
      <c r="A2527" s="37" t="s">
        <v>125</v>
      </c>
      <c r="B2527" s="37" t="s">
        <v>53</v>
      </c>
      <c r="C2527" s="38">
        <v>79450</v>
      </c>
    </row>
    <row r="2528" spans="1:3" x14ac:dyDescent="0.3">
      <c r="A2528" s="37" t="s">
        <v>125</v>
      </c>
      <c r="B2528" s="37" t="s">
        <v>53</v>
      </c>
      <c r="C2528" s="38">
        <v>115000</v>
      </c>
    </row>
    <row r="2529" spans="1:3" x14ac:dyDescent="0.3">
      <c r="A2529" s="37" t="s">
        <v>125</v>
      </c>
      <c r="B2529" s="37" t="s">
        <v>53</v>
      </c>
      <c r="C2529" s="38"/>
    </row>
    <row r="2530" spans="1:3" x14ac:dyDescent="0.3">
      <c r="A2530" s="37" t="s">
        <v>125</v>
      </c>
      <c r="B2530" s="37" t="s">
        <v>97</v>
      </c>
      <c r="C2530" s="38">
        <v>111175</v>
      </c>
    </row>
    <row r="2531" spans="1:3" x14ac:dyDescent="0.3">
      <c r="A2531" s="37" t="s">
        <v>125</v>
      </c>
      <c r="B2531" s="37" t="s">
        <v>53</v>
      </c>
      <c r="C2531" s="38"/>
    </row>
    <row r="2532" spans="1:3" x14ac:dyDescent="0.3">
      <c r="A2532" s="37" t="s">
        <v>125</v>
      </c>
      <c r="B2532" s="37" t="s">
        <v>69</v>
      </c>
      <c r="C2532" s="38">
        <v>89100</v>
      </c>
    </row>
    <row r="2533" spans="1:3" x14ac:dyDescent="0.3">
      <c r="A2533" s="37" t="s">
        <v>125</v>
      </c>
      <c r="B2533" s="37" t="s">
        <v>53</v>
      </c>
      <c r="C2533" s="38">
        <v>126000</v>
      </c>
    </row>
    <row r="2534" spans="1:3" x14ac:dyDescent="0.3">
      <c r="A2534" s="37" t="s">
        <v>125</v>
      </c>
      <c r="B2534" s="37" t="s">
        <v>53</v>
      </c>
      <c r="C2534" s="38">
        <v>145000</v>
      </c>
    </row>
    <row r="2535" spans="1:3" x14ac:dyDescent="0.3">
      <c r="A2535" s="37" t="s">
        <v>125</v>
      </c>
      <c r="B2535" s="37" t="s">
        <v>90</v>
      </c>
      <c r="C2535" s="38">
        <v>111175</v>
      </c>
    </row>
    <row r="2536" spans="1:3" x14ac:dyDescent="0.3">
      <c r="A2536" s="37" t="s">
        <v>125</v>
      </c>
      <c r="B2536" s="37" t="s">
        <v>53</v>
      </c>
      <c r="C2536" s="38">
        <v>111202</v>
      </c>
    </row>
    <row r="2537" spans="1:3" x14ac:dyDescent="0.3">
      <c r="A2537" s="37" t="s">
        <v>125</v>
      </c>
      <c r="B2537" s="37" t="s">
        <v>53</v>
      </c>
      <c r="C2537" s="38">
        <v>92500</v>
      </c>
    </row>
    <row r="2538" spans="1:3" x14ac:dyDescent="0.3">
      <c r="A2538" s="37" t="s">
        <v>125</v>
      </c>
      <c r="B2538" s="37" t="s">
        <v>53</v>
      </c>
      <c r="C2538" s="38">
        <v>126250</v>
      </c>
    </row>
    <row r="2539" spans="1:3" x14ac:dyDescent="0.3">
      <c r="A2539" s="37" t="s">
        <v>125</v>
      </c>
      <c r="B2539" s="37" t="s">
        <v>53</v>
      </c>
      <c r="C2539" s="38"/>
    </row>
    <row r="2540" spans="1:3" x14ac:dyDescent="0.3">
      <c r="A2540" s="37" t="s">
        <v>125</v>
      </c>
      <c r="B2540" s="37" t="s">
        <v>53</v>
      </c>
      <c r="C2540" s="38">
        <v>165000</v>
      </c>
    </row>
    <row r="2541" spans="1:3" x14ac:dyDescent="0.3">
      <c r="A2541" s="37" t="s">
        <v>125</v>
      </c>
      <c r="B2541" s="37" t="s">
        <v>53</v>
      </c>
      <c r="C2541" s="38">
        <v>172500</v>
      </c>
    </row>
    <row r="2542" spans="1:3" x14ac:dyDescent="0.3">
      <c r="A2542" s="37" t="s">
        <v>125</v>
      </c>
      <c r="B2542" s="37" t="s">
        <v>53</v>
      </c>
      <c r="C2542" s="38"/>
    </row>
    <row r="2543" spans="1:3" x14ac:dyDescent="0.3">
      <c r="A2543" s="37" t="s">
        <v>125</v>
      </c>
      <c r="B2543" s="37" t="s">
        <v>53</v>
      </c>
      <c r="C2543" s="38">
        <v>113050</v>
      </c>
    </row>
    <row r="2544" spans="1:3" x14ac:dyDescent="0.3">
      <c r="A2544" s="37" t="s">
        <v>125</v>
      </c>
      <c r="B2544" s="37" t="s">
        <v>53</v>
      </c>
      <c r="C2544" s="38">
        <v>115000</v>
      </c>
    </row>
    <row r="2545" spans="1:3" x14ac:dyDescent="0.3">
      <c r="A2545" s="37" t="s">
        <v>125</v>
      </c>
      <c r="B2545" s="37" t="s">
        <v>54</v>
      </c>
      <c r="C2545" s="38">
        <v>116600</v>
      </c>
    </row>
    <row r="2546" spans="1:3" x14ac:dyDescent="0.3">
      <c r="A2546" s="37" t="s">
        <v>125</v>
      </c>
      <c r="B2546" s="37" t="s">
        <v>53</v>
      </c>
      <c r="C2546" s="38"/>
    </row>
    <row r="2547" spans="1:3" x14ac:dyDescent="0.3">
      <c r="A2547" s="37" t="s">
        <v>125</v>
      </c>
      <c r="B2547" s="37" t="s">
        <v>54</v>
      </c>
      <c r="C2547" s="38">
        <v>126815</v>
      </c>
    </row>
    <row r="2548" spans="1:3" x14ac:dyDescent="0.3">
      <c r="A2548" s="37" t="s">
        <v>125</v>
      </c>
      <c r="B2548" s="37" t="s">
        <v>105</v>
      </c>
      <c r="C2548" s="38">
        <v>111175</v>
      </c>
    </row>
    <row r="2549" spans="1:3" x14ac:dyDescent="0.3">
      <c r="A2549" s="37" t="s">
        <v>125</v>
      </c>
      <c r="B2549" s="37" t="s">
        <v>53</v>
      </c>
      <c r="C2549" s="38">
        <v>94473.5</v>
      </c>
    </row>
    <row r="2550" spans="1:3" x14ac:dyDescent="0.3">
      <c r="A2550" s="37" t="s">
        <v>125</v>
      </c>
      <c r="B2550" s="37" t="s">
        <v>53</v>
      </c>
      <c r="C2550" s="38">
        <v>85000</v>
      </c>
    </row>
    <row r="2551" spans="1:3" x14ac:dyDescent="0.3">
      <c r="A2551" s="37" t="s">
        <v>125</v>
      </c>
      <c r="B2551" s="37" t="s">
        <v>53</v>
      </c>
      <c r="C2551" s="38">
        <v>88513.5546875</v>
      </c>
    </row>
    <row r="2552" spans="1:3" x14ac:dyDescent="0.3">
      <c r="A2552" s="37" t="s">
        <v>125</v>
      </c>
      <c r="B2552" s="37" t="s">
        <v>53</v>
      </c>
      <c r="C2552" s="38"/>
    </row>
    <row r="2553" spans="1:3" x14ac:dyDescent="0.3">
      <c r="A2553" s="37" t="s">
        <v>125</v>
      </c>
      <c r="B2553" s="37" t="s">
        <v>53</v>
      </c>
      <c r="C2553" s="38"/>
    </row>
    <row r="2554" spans="1:3" x14ac:dyDescent="0.3">
      <c r="A2554" s="37" t="s">
        <v>125</v>
      </c>
      <c r="B2554" s="37" t="s">
        <v>53</v>
      </c>
      <c r="C2554" s="38"/>
    </row>
    <row r="2555" spans="1:3" x14ac:dyDescent="0.3">
      <c r="A2555" s="37" t="s">
        <v>125</v>
      </c>
      <c r="B2555" s="37" t="s">
        <v>53</v>
      </c>
      <c r="C2555" s="38">
        <v>125000</v>
      </c>
    </row>
    <row r="2556" spans="1:3" x14ac:dyDescent="0.3">
      <c r="A2556" s="37" t="s">
        <v>125</v>
      </c>
      <c r="B2556" s="37" t="s">
        <v>53</v>
      </c>
      <c r="C2556" s="38"/>
    </row>
    <row r="2557" spans="1:3" x14ac:dyDescent="0.3">
      <c r="A2557" s="37" t="s">
        <v>125</v>
      </c>
      <c r="B2557" s="37" t="s">
        <v>53</v>
      </c>
      <c r="C2557" s="38"/>
    </row>
    <row r="2558" spans="1:3" x14ac:dyDescent="0.3">
      <c r="A2558" s="37" t="s">
        <v>125</v>
      </c>
      <c r="B2558" s="37" t="s">
        <v>53</v>
      </c>
      <c r="C2558" s="38">
        <v>130000</v>
      </c>
    </row>
    <row r="2559" spans="1:3" x14ac:dyDescent="0.3">
      <c r="A2559" s="37" t="s">
        <v>125</v>
      </c>
      <c r="B2559" s="37" t="s">
        <v>53</v>
      </c>
      <c r="C2559" s="38">
        <v>115000</v>
      </c>
    </row>
    <row r="2560" spans="1:3" x14ac:dyDescent="0.3">
      <c r="A2560" s="37" t="s">
        <v>125</v>
      </c>
      <c r="B2560" s="37" t="s">
        <v>53</v>
      </c>
      <c r="C2560" s="38">
        <v>96000</v>
      </c>
    </row>
    <row r="2561" spans="1:3" x14ac:dyDescent="0.3">
      <c r="A2561" s="37" t="s">
        <v>125</v>
      </c>
      <c r="B2561" s="37" t="s">
        <v>53</v>
      </c>
      <c r="C2561" s="38">
        <v>92500</v>
      </c>
    </row>
    <row r="2562" spans="1:3" x14ac:dyDescent="0.3">
      <c r="A2562" s="37" t="s">
        <v>125</v>
      </c>
      <c r="B2562" s="37" t="s">
        <v>53</v>
      </c>
      <c r="C2562" s="38">
        <v>167000</v>
      </c>
    </row>
    <row r="2563" spans="1:3" x14ac:dyDescent="0.3">
      <c r="A2563" s="37" t="s">
        <v>125</v>
      </c>
      <c r="B2563" s="37" t="s">
        <v>53</v>
      </c>
      <c r="C2563" s="38">
        <v>82500</v>
      </c>
    </row>
    <row r="2564" spans="1:3" x14ac:dyDescent="0.3">
      <c r="A2564" s="37" t="s">
        <v>125</v>
      </c>
      <c r="B2564" s="37" t="s">
        <v>88</v>
      </c>
      <c r="C2564" s="38">
        <v>149637.5</v>
      </c>
    </row>
    <row r="2565" spans="1:3" x14ac:dyDescent="0.3">
      <c r="A2565" s="37" t="s">
        <v>125</v>
      </c>
      <c r="B2565" s="37" t="s">
        <v>53</v>
      </c>
      <c r="C2565" s="38"/>
    </row>
    <row r="2566" spans="1:3" x14ac:dyDescent="0.3">
      <c r="A2566" s="37" t="s">
        <v>125</v>
      </c>
      <c r="B2566" s="37" t="s">
        <v>90</v>
      </c>
      <c r="C2566" s="38">
        <v>111175</v>
      </c>
    </row>
    <row r="2567" spans="1:3" x14ac:dyDescent="0.3">
      <c r="A2567" s="37" t="s">
        <v>125</v>
      </c>
      <c r="B2567" s="37" t="s">
        <v>53</v>
      </c>
      <c r="C2567" s="38">
        <v>110000</v>
      </c>
    </row>
    <row r="2568" spans="1:3" x14ac:dyDescent="0.3">
      <c r="A2568" s="37" t="s">
        <v>125</v>
      </c>
      <c r="B2568" s="37" t="s">
        <v>53</v>
      </c>
      <c r="C2568" s="38">
        <v>120000</v>
      </c>
    </row>
    <row r="2569" spans="1:3" x14ac:dyDescent="0.3">
      <c r="A2569" s="37" t="s">
        <v>125</v>
      </c>
      <c r="B2569" s="37" t="s">
        <v>53</v>
      </c>
      <c r="C2569" s="38"/>
    </row>
    <row r="2570" spans="1:3" x14ac:dyDescent="0.3">
      <c r="A2570" s="37" t="s">
        <v>125</v>
      </c>
      <c r="B2570" s="37" t="s">
        <v>53</v>
      </c>
      <c r="C2570" s="38">
        <v>130000</v>
      </c>
    </row>
    <row r="2571" spans="1:3" x14ac:dyDescent="0.3">
      <c r="A2571" s="37" t="s">
        <v>125</v>
      </c>
      <c r="B2571" s="37" t="s">
        <v>53</v>
      </c>
      <c r="C2571" s="38">
        <v>149000</v>
      </c>
    </row>
    <row r="2572" spans="1:3" x14ac:dyDescent="0.3">
      <c r="A2572" s="37" t="s">
        <v>125</v>
      </c>
      <c r="B2572" s="37" t="s">
        <v>54</v>
      </c>
      <c r="C2572" s="38">
        <v>111175</v>
      </c>
    </row>
    <row r="2573" spans="1:3" x14ac:dyDescent="0.3">
      <c r="A2573" s="37" t="s">
        <v>125</v>
      </c>
      <c r="B2573" s="37" t="s">
        <v>53</v>
      </c>
      <c r="C2573" s="38">
        <v>90000</v>
      </c>
    </row>
    <row r="2574" spans="1:3" x14ac:dyDescent="0.3">
      <c r="A2574" s="37" t="s">
        <v>125</v>
      </c>
      <c r="B2574" s="37" t="s">
        <v>53</v>
      </c>
      <c r="C2574" s="38">
        <v>90000</v>
      </c>
    </row>
    <row r="2575" spans="1:3" x14ac:dyDescent="0.3">
      <c r="A2575" s="37" t="s">
        <v>125</v>
      </c>
      <c r="B2575" s="37" t="s">
        <v>53</v>
      </c>
      <c r="C2575" s="38"/>
    </row>
    <row r="2576" spans="1:3" x14ac:dyDescent="0.3">
      <c r="A2576" s="37" t="s">
        <v>125</v>
      </c>
      <c r="B2576" s="37" t="s">
        <v>53</v>
      </c>
      <c r="C2576" s="38">
        <v>75907</v>
      </c>
    </row>
    <row r="2577" spans="1:3" x14ac:dyDescent="0.3">
      <c r="A2577" s="37" t="s">
        <v>125</v>
      </c>
      <c r="B2577" s="37" t="s">
        <v>53</v>
      </c>
      <c r="C2577" s="38">
        <v>150500</v>
      </c>
    </row>
    <row r="2578" spans="1:3" x14ac:dyDescent="0.3">
      <c r="A2578" s="37" t="s">
        <v>125</v>
      </c>
      <c r="B2578" s="37" t="s">
        <v>53</v>
      </c>
      <c r="C2578" s="38"/>
    </row>
    <row r="2579" spans="1:3" x14ac:dyDescent="0.3">
      <c r="A2579" s="37" t="s">
        <v>125</v>
      </c>
      <c r="B2579" s="37" t="s">
        <v>53</v>
      </c>
      <c r="C2579" s="38">
        <v>145000</v>
      </c>
    </row>
    <row r="2580" spans="1:3" x14ac:dyDescent="0.3">
      <c r="A2580" s="37" t="s">
        <v>125</v>
      </c>
      <c r="B2580" s="37" t="s">
        <v>53</v>
      </c>
      <c r="C2580" s="38">
        <v>92500</v>
      </c>
    </row>
    <row r="2581" spans="1:3" x14ac:dyDescent="0.3">
      <c r="A2581" s="37" t="s">
        <v>125</v>
      </c>
      <c r="B2581" s="37" t="s">
        <v>53</v>
      </c>
      <c r="C2581" s="38"/>
    </row>
    <row r="2582" spans="1:3" x14ac:dyDescent="0.3">
      <c r="A2582" s="37" t="s">
        <v>125</v>
      </c>
      <c r="B2582" s="37" t="s">
        <v>53</v>
      </c>
      <c r="C2582" s="38">
        <v>114950</v>
      </c>
    </row>
    <row r="2583" spans="1:3" x14ac:dyDescent="0.3">
      <c r="A2583" s="37" t="s">
        <v>125</v>
      </c>
      <c r="B2583" s="37" t="s">
        <v>53</v>
      </c>
      <c r="C2583" s="38"/>
    </row>
    <row r="2584" spans="1:3" x14ac:dyDescent="0.3">
      <c r="A2584" s="37" t="s">
        <v>125</v>
      </c>
      <c r="B2584" s="37" t="s">
        <v>53</v>
      </c>
      <c r="C2584" s="38">
        <v>110000</v>
      </c>
    </row>
    <row r="2585" spans="1:3" x14ac:dyDescent="0.3">
      <c r="A2585" s="37" t="s">
        <v>125</v>
      </c>
      <c r="B2585" s="37" t="s">
        <v>53</v>
      </c>
      <c r="C2585" s="38"/>
    </row>
    <row r="2586" spans="1:3" x14ac:dyDescent="0.3">
      <c r="A2586" s="37" t="s">
        <v>125</v>
      </c>
      <c r="B2586" s="37" t="s">
        <v>92</v>
      </c>
      <c r="C2586" s="38">
        <v>111202</v>
      </c>
    </row>
    <row r="2587" spans="1:3" x14ac:dyDescent="0.3">
      <c r="A2587" s="37" t="s">
        <v>125</v>
      </c>
      <c r="B2587" s="37" t="s">
        <v>53</v>
      </c>
      <c r="C2587" s="38"/>
    </row>
    <row r="2588" spans="1:3" x14ac:dyDescent="0.3">
      <c r="A2588" s="37" t="s">
        <v>125</v>
      </c>
      <c r="B2588" s="37" t="s">
        <v>53</v>
      </c>
      <c r="C2588" s="38">
        <v>146500</v>
      </c>
    </row>
    <row r="2589" spans="1:3" x14ac:dyDescent="0.3">
      <c r="A2589" s="37" t="s">
        <v>125</v>
      </c>
      <c r="B2589" s="37" t="s">
        <v>53</v>
      </c>
      <c r="C2589" s="38">
        <v>98500</v>
      </c>
    </row>
    <row r="2590" spans="1:3" x14ac:dyDescent="0.3">
      <c r="A2590" s="37" t="s">
        <v>125</v>
      </c>
      <c r="B2590" s="37" t="s">
        <v>53</v>
      </c>
      <c r="C2590" s="38"/>
    </row>
    <row r="2591" spans="1:3" x14ac:dyDescent="0.3">
      <c r="A2591" s="37" t="s">
        <v>125</v>
      </c>
      <c r="B2591" s="37" t="s">
        <v>53</v>
      </c>
      <c r="C2591" s="38"/>
    </row>
    <row r="2592" spans="1:3" x14ac:dyDescent="0.3">
      <c r="A2592" s="37" t="s">
        <v>125</v>
      </c>
      <c r="B2592" s="37" t="s">
        <v>53</v>
      </c>
      <c r="C2592" s="38">
        <v>93000</v>
      </c>
    </row>
    <row r="2593" spans="1:3" x14ac:dyDescent="0.3">
      <c r="A2593" s="37" t="s">
        <v>125</v>
      </c>
      <c r="B2593" s="37" t="s">
        <v>88</v>
      </c>
      <c r="C2593" s="38">
        <v>111202</v>
      </c>
    </row>
    <row r="2594" spans="1:3" x14ac:dyDescent="0.3">
      <c r="A2594" s="37" t="s">
        <v>125</v>
      </c>
      <c r="B2594" s="37" t="s">
        <v>53</v>
      </c>
      <c r="C2594" s="38">
        <v>105000</v>
      </c>
    </row>
    <row r="2595" spans="1:3" x14ac:dyDescent="0.3">
      <c r="A2595" s="37" t="s">
        <v>125</v>
      </c>
      <c r="B2595" s="37" t="s">
        <v>53</v>
      </c>
      <c r="C2595" s="38">
        <v>111202</v>
      </c>
    </row>
    <row r="2596" spans="1:3" x14ac:dyDescent="0.3">
      <c r="A2596" s="37" t="s">
        <v>125</v>
      </c>
      <c r="B2596" s="37" t="s">
        <v>53</v>
      </c>
      <c r="C2596" s="38">
        <v>90000</v>
      </c>
    </row>
    <row r="2597" spans="1:3" x14ac:dyDescent="0.3">
      <c r="A2597" s="37" t="s">
        <v>125</v>
      </c>
      <c r="B2597" s="37" t="s">
        <v>53</v>
      </c>
      <c r="C2597" s="38">
        <v>90000</v>
      </c>
    </row>
    <row r="2598" spans="1:3" x14ac:dyDescent="0.3">
      <c r="A2598" s="37" t="s">
        <v>125</v>
      </c>
      <c r="B2598" s="37" t="s">
        <v>53</v>
      </c>
      <c r="C2598" s="38">
        <v>120000</v>
      </c>
    </row>
    <row r="2599" spans="1:3" x14ac:dyDescent="0.3">
      <c r="A2599" s="37" t="s">
        <v>125</v>
      </c>
      <c r="B2599" s="37" t="s">
        <v>53</v>
      </c>
      <c r="C2599" s="38">
        <v>149000</v>
      </c>
    </row>
    <row r="2600" spans="1:3" x14ac:dyDescent="0.3">
      <c r="A2600" s="37" t="s">
        <v>125</v>
      </c>
      <c r="B2600" s="37" t="s">
        <v>81</v>
      </c>
      <c r="C2600" s="38">
        <v>175000</v>
      </c>
    </row>
    <row r="2601" spans="1:3" x14ac:dyDescent="0.3">
      <c r="A2601" s="37" t="s">
        <v>125</v>
      </c>
      <c r="B2601" s="37" t="s">
        <v>53</v>
      </c>
      <c r="C2601" s="38"/>
    </row>
    <row r="2602" spans="1:3" x14ac:dyDescent="0.3">
      <c r="A2602" s="37" t="s">
        <v>125</v>
      </c>
      <c r="B2602" s="37" t="s">
        <v>53</v>
      </c>
      <c r="C2602" s="38">
        <v>200000</v>
      </c>
    </row>
    <row r="2603" spans="1:3" x14ac:dyDescent="0.3">
      <c r="A2603" s="37" t="s">
        <v>125</v>
      </c>
      <c r="B2603" s="37" t="s">
        <v>53</v>
      </c>
      <c r="C2603" s="38">
        <v>110000</v>
      </c>
    </row>
    <row r="2604" spans="1:3" x14ac:dyDescent="0.3">
      <c r="A2604" s="37" t="s">
        <v>125</v>
      </c>
      <c r="B2604" s="37" t="s">
        <v>53</v>
      </c>
      <c r="C2604" s="38">
        <v>43031</v>
      </c>
    </row>
    <row r="2605" spans="1:3" x14ac:dyDescent="0.3">
      <c r="A2605" s="37" t="s">
        <v>125</v>
      </c>
      <c r="B2605" s="37" t="s">
        <v>53</v>
      </c>
      <c r="C2605" s="38"/>
    </row>
    <row r="2606" spans="1:3" x14ac:dyDescent="0.3">
      <c r="A2606" s="37" t="s">
        <v>125</v>
      </c>
      <c r="B2606" s="37" t="s">
        <v>53</v>
      </c>
      <c r="C2606" s="38">
        <v>115000</v>
      </c>
    </row>
    <row r="2607" spans="1:3" x14ac:dyDescent="0.3">
      <c r="A2607" s="37" t="s">
        <v>125</v>
      </c>
      <c r="B2607" s="37" t="s">
        <v>53</v>
      </c>
      <c r="C2607" s="38">
        <v>85000</v>
      </c>
    </row>
    <row r="2608" spans="1:3" x14ac:dyDescent="0.3">
      <c r="A2608" s="37" t="s">
        <v>125</v>
      </c>
      <c r="B2608" s="37" t="s">
        <v>53</v>
      </c>
      <c r="C2608" s="38">
        <v>95000</v>
      </c>
    </row>
    <row r="2609" spans="1:3" x14ac:dyDescent="0.3">
      <c r="A2609" s="37" t="s">
        <v>125</v>
      </c>
      <c r="B2609" s="37" t="s">
        <v>53</v>
      </c>
      <c r="C2609" s="38"/>
    </row>
    <row r="2610" spans="1:3" x14ac:dyDescent="0.3">
      <c r="A2610" s="37" t="s">
        <v>125</v>
      </c>
      <c r="B2610" s="37" t="s">
        <v>53</v>
      </c>
      <c r="C2610" s="38"/>
    </row>
    <row r="2611" spans="1:3" x14ac:dyDescent="0.3">
      <c r="A2611" s="37" t="s">
        <v>125</v>
      </c>
      <c r="B2611" s="37" t="s">
        <v>53</v>
      </c>
      <c r="C2611" s="38"/>
    </row>
    <row r="2612" spans="1:3" x14ac:dyDescent="0.3">
      <c r="A2612" s="37" t="s">
        <v>125</v>
      </c>
      <c r="B2612" s="37" t="s">
        <v>53</v>
      </c>
      <c r="C2612" s="38">
        <v>125654.5</v>
      </c>
    </row>
    <row r="2613" spans="1:3" x14ac:dyDescent="0.3">
      <c r="A2613" s="37" t="s">
        <v>125</v>
      </c>
      <c r="B2613" s="37" t="s">
        <v>53</v>
      </c>
      <c r="C2613" s="38"/>
    </row>
    <row r="2614" spans="1:3" x14ac:dyDescent="0.3">
      <c r="A2614" s="37" t="s">
        <v>125</v>
      </c>
      <c r="B2614" s="37" t="s">
        <v>106</v>
      </c>
      <c r="C2614" s="38">
        <v>51014</v>
      </c>
    </row>
    <row r="2615" spans="1:3" x14ac:dyDescent="0.3">
      <c r="A2615" s="37" t="s">
        <v>125</v>
      </c>
      <c r="B2615" s="37" t="s">
        <v>53</v>
      </c>
      <c r="C2615" s="38"/>
    </row>
    <row r="2616" spans="1:3" x14ac:dyDescent="0.3">
      <c r="A2616" s="37" t="s">
        <v>125</v>
      </c>
      <c r="B2616" s="37" t="s">
        <v>53</v>
      </c>
      <c r="C2616" s="38">
        <v>90000</v>
      </c>
    </row>
    <row r="2617" spans="1:3" x14ac:dyDescent="0.3">
      <c r="A2617" s="37" t="s">
        <v>125</v>
      </c>
      <c r="B2617" s="37" t="s">
        <v>53</v>
      </c>
      <c r="C2617" s="38">
        <v>104000</v>
      </c>
    </row>
    <row r="2618" spans="1:3" x14ac:dyDescent="0.3">
      <c r="A2618" s="37" t="s">
        <v>125</v>
      </c>
      <c r="B2618" s="37" t="s">
        <v>53</v>
      </c>
      <c r="C2618" s="38">
        <v>80000</v>
      </c>
    </row>
    <row r="2619" spans="1:3" x14ac:dyDescent="0.3">
      <c r="A2619" s="37" t="s">
        <v>125</v>
      </c>
      <c r="B2619" s="37" t="s">
        <v>53</v>
      </c>
      <c r="C2619" s="38">
        <v>85000</v>
      </c>
    </row>
    <row r="2620" spans="1:3" x14ac:dyDescent="0.3">
      <c r="A2620" s="37" t="s">
        <v>125</v>
      </c>
      <c r="B2620" s="37" t="s">
        <v>104</v>
      </c>
      <c r="C2620" s="38">
        <v>49566.5</v>
      </c>
    </row>
    <row r="2621" spans="1:3" x14ac:dyDescent="0.3">
      <c r="A2621" s="37" t="s">
        <v>125</v>
      </c>
      <c r="B2621" s="37" t="s">
        <v>53</v>
      </c>
      <c r="C2621" s="38">
        <v>200000</v>
      </c>
    </row>
    <row r="2622" spans="1:3" x14ac:dyDescent="0.3">
      <c r="A2622" s="37" t="s">
        <v>125</v>
      </c>
      <c r="B2622" s="37" t="s">
        <v>53</v>
      </c>
      <c r="C2622" s="38"/>
    </row>
    <row r="2623" spans="1:3" x14ac:dyDescent="0.3">
      <c r="A2623" s="37" t="s">
        <v>125</v>
      </c>
      <c r="B2623" s="37" t="s">
        <v>102</v>
      </c>
      <c r="C2623" s="38">
        <v>82500</v>
      </c>
    </row>
    <row r="2624" spans="1:3" x14ac:dyDescent="0.3">
      <c r="A2624" s="37" t="s">
        <v>125</v>
      </c>
      <c r="B2624" s="37" t="s">
        <v>53</v>
      </c>
      <c r="C2624" s="38">
        <v>122500</v>
      </c>
    </row>
    <row r="2625" spans="1:3" x14ac:dyDescent="0.3">
      <c r="A2625" s="37" t="s">
        <v>125</v>
      </c>
      <c r="B2625" s="37" t="s">
        <v>69</v>
      </c>
      <c r="C2625" s="38">
        <v>111202</v>
      </c>
    </row>
    <row r="2626" spans="1:3" x14ac:dyDescent="0.3">
      <c r="A2626" s="37" t="s">
        <v>125</v>
      </c>
      <c r="B2626" s="37" t="s">
        <v>53</v>
      </c>
      <c r="C2626" s="38">
        <v>115000</v>
      </c>
    </row>
    <row r="2627" spans="1:3" x14ac:dyDescent="0.3">
      <c r="A2627" s="37" t="s">
        <v>125</v>
      </c>
      <c r="B2627" s="37" t="s">
        <v>53</v>
      </c>
      <c r="C2627" s="38"/>
    </row>
    <row r="2628" spans="1:3" x14ac:dyDescent="0.3">
      <c r="A2628" s="37" t="s">
        <v>125</v>
      </c>
      <c r="B2628" s="37" t="s">
        <v>53</v>
      </c>
      <c r="C2628" s="38"/>
    </row>
    <row r="2629" spans="1:3" x14ac:dyDescent="0.3">
      <c r="A2629" s="37" t="s">
        <v>125</v>
      </c>
      <c r="B2629" s="37" t="s">
        <v>53</v>
      </c>
      <c r="C2629" s="38">
        <v>105000</v>
      </c>
    </row>
    <row r="2630" spans="1:3" x14ac:dyDescent="0.3">
      <c r="A2630" s="37" t="s">
        <v>125</v>
      </c>
      <c r="B2630" s="37" t="s">
        <v>65</v>
      </c>
      <c r="C2630" s="38">
        <v>111175</v>
      </c>
    </row>
    <row r="2631" spans="1:3" x14ac:dyDescent="0.3">
      <c r="A2631" s="37" t="s">
        <v>125</v>
      </c>
      <c r="B2631" s="37" t="s">
        <v>53</v>
      </c>
      <c r="C2631" s="38">
        <v>90000</v>
      </c>
    </row>
    <row r="2632" spans="1:3" x14ac:dyDescent="0.3">
      <c r="A2632" s="37" t="s">
        <v>125</v>
      </c>
      <c r="B2632" s="37" t="s">
        <v>69</v>
      </c>
      <c r="C2632" s="38">
        <v>111175</v>
      </c>
    </row>
    <row r="2633" spans="1:3" x14ac:dyDescent="0.3">
      <c r="A2633" s="37" t="s">
        <v>125</v>
      </c>
      <c r="B2633" s="37" t="s">
        <v>53</v>
      </c>
      <c r="C2633" s="38">
        <v>83298</v>
      </c>
    </row>
    <row r="2634" spans="1:3" x14ac:dyDescent="0.3">
      <c r="A2634" s="37" t="s">
        <v>125</v>
      </c>
      <c r="B2634" s="37" t="s">
        <v>65</v>
      </c>
      <c r="C2634" s="38">
        <v>111202</v>
      </c>
    </row>
    <row r="2635" spans="1:3" x14ac:dyDescent="0.3">
      <c r="A2635" s="37" t="s">
        <v>125</v>
      </c>
      <c r="B2635" s="37" t="s">
        <v>53</v>
      </c>
      <c r="C2635" s="38">
        <v>130000</v>
      </c>
    </row>
    <row r="2636" spans="1:3" x14ac:dyDescent="0.3">
      <c r="A2636" s="37" t="s">
        <v>125</v>
      </c>
      <c r="B2636" s="37" t="s">
        <v>80</v>
      </c>
      <c r="C2636" s="38">
        <v>111175</v>
      </c>
    </row>
    <row r="2637" spans="1:3" x14ac:dyDescent="0.3">
      <c r="A2637" s="37" t="s">
        <v>125</v>
      </c>
      <c r="B2637" s="37" t="s">
        <v>53</v>
      </c>
      <c r="C2637" s="38">
        <v>110000</v>
      </c>
    </row>
    <row r="2638" spans="1:3" x14ac:dyDescent="0.3">
      <c r="A2638" s="37" t="s">
        <v>125</v>
      </c>
      <c r="B2638" s="37" t="s">
        <v>53</v>
      </c>
      <c r="C2638" s="38"/>
    </row>
    <row r="2639" spans="1:3" x14ac:dyDescent="0.3">
      <c r="A2639" s="37" t="s">
        <v>125</v>
      </c>
      <c r="B2639" s="37" t="s">
        <v>64</v>
      </c>
      <c r="C2639" s="38">
        <v>100500</v>
      </c>
    </row>
    <row r="2640" spans="1:3" x14ac:dyDescent="0.3">
      <c r="A2640" s="37" t="s">
        <v>125</v>
      </c>
      <c r="B2640" s="37" t="s">
        <v>53</v>
      </c>
      <c r="C2640" s="38"/>
    </row>
    <row r="2641" spans="1:3" x14ac:dyDescent="0.3">
      <c r="A2641" s="37" t="s">
        <v>125</v>
      </c>
      <c r="B2641" s="37" t="s">
        <v>53</v>
      </c>
      <c r="C2641" s="38"/>
    </row>
    <row r="2642" spans="1:3" x14ac:dyDescent="0.3">
      <c r="A2642" s="37" t="s">
        <v>125</v>
      </c>
      <c r="B2642" s="37" t="s">
        <v>53</v>
      </c>
      <c r="C2642" s="38">
        <v>148290</v>
      </c>
    </row>
    <row r="2643" spans="1:3" x14ac:dyDescent="0.3">
      <c r="A2643" s="37" t="s">
        <v>125</v>
      </c>
      <c r="B2643" s="37" t="s">
        <v>53</v>
      </c>
      <c r="C2643" s="38">
        <v>80000</v>
      </c>
    </row>
    <row r="2644" spans="1:3" x14ac:dyDescent="0.3">
      <c r="A2644" s="37" t="s">
        <v>125</v>
      </c>
      <c r="B2644" s="37" t="s">
        <v>53</v>
      </c>
      <c r="C2644" s="38">
        <v>111202</v>
      </c>
    </row>
    <row r="2645" spans="1:3" x14ac:dyDescent="0.3">
      <c r="A2645" s="37" t="s">
        <v>125</v>
      </c>
      <c r="B2645" s="37" t="s">
        <v>53</v>
      </c>
      <c r="C2645" s="38">
        <v>145000</v>
      </c>
    </row>
    <row r="2646" spans="1:3" x14ac:dyDescent="0.3">
      <c r="A2646" s="37" t="s">
        <v>125</v>
      </c>
      <c r="B2646" s="37" t="s">
        <v>53</v>
      </c>
      <c r="C2646" s="38">
        <v>130000</v>
      </c>
    </row>
    <row r="2647" spans="1:3" x14ac:dyDescent="0.3">
      <c r="A2647" s="37" t="s">
        <v>125</v>
      </c>
      <c r="B2647" s="37" t="s">
        <v>53</v>
      </c>
      <c r="C2647" s="38">
        <v>175000</v>
      </c>
    </row>
    <row r="2648" spans="1:3" x14ac:dyDescent="0.3">
      <c r="A2648" s="37" t="s">
        <v>125</v>
      </c>
      <c r="B2648" s="37" t="s">
        <v>97</v>
      </c>
      <c r="C2648" s="38">
        <v>111175</v>
      </c>
    </row>
    <row r="2649" spans="1:3" x14ac:dyDescent="0.3">
      <c r="A2649" s="37" t="s">
        <v>125</v>
      </c>
      <c r="B2649" s="37" t="s">
        <v>85</v>
      </c>
      <c r="C2649" s="38">
        <v>89100</v>
      </c>
    </row>
    <row r="2650" spans="1:3" x14ac:dyDescent="0.3">
      <c r="A2650" s="37" t="s">
        <v>125</v>
      </c>
      <c r="B2650" s="37" t="s">
        <v>53</v>
      </c>
      <c r="C2650" s="38">
        <v>115000</v>
      </c>
    </row>
    <row r="2651" spans="1:3" x14ac:dyDescent="0.3">
      <c r="A2651" s="37" t="s">
        <v>125</v>
      </c>
      <c r="B2651" s="37" t="s">
        <v>53</v>
      </c>
      <c r="C2651" s="38">
        <v>99150</v>
      </c>
    </row>
    <row r="2652" spans="1:3" x14ac:dyDescent="0.3">
      <c r="A2652" s="37" t="s">
        <v>125</v>
      </c>
      <c r="B2652" s="37" t="s">
        <v>97</v>
      </c>
      <c r="C2652" s="38">
        <v>89100</v>
      </c>
    </row>
    <row r="2653" spans="1:3" x14ac:dyDescent="0.3">
      <c r="A2653" s="37" t="s">
        <v>125</v>
      </c>
      <c r="B2653" s="37" t="s">
        <v>53</v>
      </c>
      <c r="C2653" s="38"/>
    </row>
    <row r="2654" spans="1:3" x14ac:dyDescent="0.3">
      <c r="A2654" s="37" t="s">
        <v>125</v>
      </c>
      <c r="B2654" s="37" t="s">
        <v>53</v>
      </c>
      <c r="C2654" s="38">
        <v>90000</v>
      </c>
    </row>
    <row r="2655" spans="1:3" x14ac:dyDescent="0.3">
      <c r="A2655" s="37" t="s">
        <v>125</v>
      </c>
      <c r="B2655" s="37" t="s">
        <v>53</v>
      </c>
      <c r="C2655" s="38"/>
    </row>
    <row r="2656" spans="1:3" x14ac:dyDescent="0.3">
      <c r="A2656" s="37" t="s">
        <v>125</v>
      </c>
      <c r="B2656" s="37" t="s">
        <v>53</v>
      </c>
      <c r="C2656" s="38"/>
    </row>
    <row r="2657" spans="1:3" x14ac:dyDescent="0.3">
      <c r="A2657" s="37" t="s">
        <v>125</v>
      </c>
      <c r="B2657" s="37" t="s">
        <v>53</v>
      </c>
      <c r="C2657" s="38">
        <v>135000</v>
      </c>
    </row>
    <row r="2658" spans="1:3" x14ac:dyDescent="0.3">
      <c r="A2658" s="37" t="s">
        <v>125</v>
      </c>
      <c r="B2658" s="37" t="s">
        <v>53</v>
      </c>
      <c r="C2658" s="38">
        <v>105000</v>
      </c>
    </row>
    <row r="2659" spans="1:3" x14ac:dyDescent="0.3">
      <c r="A2659" s="37" t="s">
        <v>125</v>
      </c>
      <c r="B2659" s="37" t="s">
        <v>53</v>
      </c>
      <c r="C2659" s="38">
        <v>115000</v>
      </c>
    </row>
    <row r="2660" spans="1:3" x14ac:dyDescent="0.3">
      <c r="A2660" s="37" t="s">
        <v>125</v>
      </c>
      <c r="B2660" s="37" t="s">
        <v>53</v>
      </c>
      <c r="C2660" s="38"/>
    </row>
    <row r="2661" spans="1:3" x14ac:dyDescent="0.3">
      <c r="A2661" s="37" t="s">
        <v>125</v>
      </c>
      <c r="B2661" s="37" t="s">
        <v>53</v>
      </c>
      <c r="C2661" s="38">
        <v>160000</v>
      </c>
    </row>
    <row r="2662" spans="1:3" x14ac:dyDescent="0.3">
      <c r="A2662" s="37" t="s">
        <v>125</v>
      </c>
      <c r="B2662" s="37" t="s">
        <v>53</v>
      </c>
      <c r="C2662" s="38">
        <v>100000</v>
      </c>
    </row>
    <row r="2663" spans="1:3" x14ac:dyDescent="0.3">
      <c r="A2663" s="37" t="s">
        <v>125</v>
      </c>
      <c r="B2663" s="37" t="s">
        <v>53</v>
      </c>
      <c r="C2663" s="38">
        <v>115000</v>
      </c>
    </row>
    <row r="2664" spans="1:3" x14ac:dyDescent="0.3">
      <c r="A2664" s="37" t="s">
        <v>125</v>
      </c>
      <c r="B2664" s="37" t="s">
        <v>53</v>
      </c>
      <c r="C2664" s="38"/>
    </row>
    <row r="2665" spans="1:3" x14ac:dyDescent="0.3">
      <c r="A2665" s="37" t="s">
        <v>125</v>
      </c>
      <c r="B2665" s="37" t="s">
        <v>53</v>
      </c>
      <c r="C2665" s="38">
        <v>106661.5</v>
      </c>
    </row>
    <row r="2666" spans="1:3" x14ac:dyDescent="0.3">
      <c r="A2666" s="37" t="s">
        <v>125</v>
      </c>
      <c r="B2666" s="37" t="s">
        <v>53</v>
      </c>
      <c r="C2666" s="38"/>
    </row>
    <row r="2667" spans="1:3" x14ac:dyDescent="0.3">
      <c r="A2667" s="37" t="s">
        <v>125</v>
      </c>
      <c r="B2667" s="37" t="s">
        <v>53</v>
      </c>
      <c r="C2667" s="38"/>
    </row>
    <row r="2668" spans="1:3" x14ac:dyDescent="0.3">
      <c r="A2668" s="37" t="s">
        <v>125</v>
      </c>
      <c r="B2668" s="37" t="s">
        <v>72</v>
      </c>
      <c r="C2668" s="38">
        <v>105300</v>
      </c>
    </row>
    <row r="2669" spans="1:3" x14ac:dyDescent="0.3">
      <c r="A2669" s="37" t="s">
        <v>125</v>
      </c>
      <c r="B2669" s="37" t="s">
        <v>53</v>
      </c>
      <c r="C2669" s="38"/>
    </row>
    <row r="2670" spans="1:3" x14ac:dyDescent="0.3">
      <c r="A2670" s="37" t="s">
        <v>125</v>
      </c>
      <c r="B2670" s="37" t="s">
        <v>53</v>
      </c>
      <c r="C2670" s="38"/>
    </row>
    <row r="2671" spans="1:3" x14ac:dyDescent="0.3">
      <c r="A2671" s="37" t="s">
        <v>125</v>
      </c>
      <c r="B2671" s="37" t="s">
        <v>53</v>
      </c>
      <c r="C2671" s="38">
        <v>105000</v>
      </c>
    </row>
    <row r="2672" spans="1:3" x14ac:dyDescent="0.3">
      <c r="A2672" s="37" t="s">
        <v>125</v>
      </c>
      <c r="B2672" s="37" t="s">
        <v>53</v>
      </c>
      <c r="C2672" s="38">
        <v>90601</v>
      </c>
    </row>
    <row r="2673" spans="1:3" x14ac:dyDescent="0.3">
      <c r="A2673" s="37" t="s">
        <v>125</v>
      </c>
      <c r="B2673" s="37" t="s">
        <v>53</v>
      </c>
      <c r="C2673" s="38">
        <v>66746.03125</v>
      </c>
    </row>
    <row r="2674" spans="1:3" x14ac:dyDescent="0.3">
      <c r="A2674" s="37" t="s">
        <v>125</v>
      </c>
      <c r="B2674" s="37" t="s">
        <v>53</v>
      </c>
      <c r="C2674" s="38">
        <v>100000</v>
      </c>
    </row>
    <row r="2675" spans="1:3" x14ac:dyDescent="0.3">
      <c r="A2675" s="37" t="s">
        <v>125</v>
      </c>
      <c r="B2675" s="37" t="s">
        <v>53</v>
      </c>
      <c r="C2675" s="38"/>
    </row>
    <row r="2676" spans="1:3" x14ac:dyDescent="0.3">
      <c r="A2676" s="37" t="s">
        <v>125</v>
      </c>
      <c r="B2676" s="37" t="s">
        <v>53</v>
      </c>
      <c r="C2676" s="38"/>
    </row>
    <row r="2677" spans="1:3" x14ac:dyDescent="0.3">
      <c r="A2677" s="37" t="s">
        <v>125</v>
      </c>
      <c r="B2677" s="37" t="s">
        <v>53</v>
      </c>
      <c r="C2677" s="38">
        <v>91960</v>
      </c>
    </row>
    <row r="2678" spans="1:3" x14ac:dyDescent="0.3">
      <c r="A2678" s="37" t="s">
        <v>125</v>
      </c>
      <c r="B2678" s="37" t="s">
        <v>53</v>
      </c>
      <c r="C2678" s="38">
        <v>125000</v>
      </c>
    </row>
    <row r="2679" spans="1:3" x14ac:dyDescent="0.3">
      <c r="A2679" s="37" t="s">
        <v>125</v>
      </c>
      <c r="B2679" s="37" t="s">
        <v>53</v>
      </c>
      <c r="C2679" s="38">
        <v>90000</v>
      </c>
    </row>
    <row r="2680" spans="1:3" x14ac:dyDescent="0.3">
      <c r="A2680" s="37" t="s">
        <v>125</v>
      </c>
      <c r="B2680" s="37" t="s">
        <v>53</v>
      </c>
      <c r="C2680" s="38">
        <v>90000</v>
      </c>
    </row>
    <row r="2681" spans="1:3" x14ac:dyDescent="0.3">
      <c r="A2681" s="37" t="s">
        <v>125</v>
      </c>
      <c r="B2681" s="37" t="s">
        <v>53</v>
      </c>
      <c r="C2681" s="38">
        <v>85000</v>
      </c>
    </row>
    <row r="2682" spans="1:3" x14ac:dyDescent="0.3">
      <c r="A2682" s="37" t="s">
        <v>125</v>
      </c>
      <c r="B2682" s="37" t="s">
        <v>53</v>
      </c>
      <c r="C2682" s="38">
        <v>126000</v>
      </c>
    </row>
    <row r="2683" spans="1:3" x14ac:dyDescent="0.3">
      <c r="A2683" s="37" t="s">
        <v>125</v>
      </c>
      <c r="B2683" s="37" t="s">
        <v>53</v>
      </c>
      <c r="C2683" s="38">
        <v>115000</v>
      </c>
    </row>
    <row r="2684" spans="1:3" x14ac:dyDescent="0.3">
      <c r="A2684" s="37" t="s">
        <v>125</v>
      </c>
      <c r="B2684" s="37" t="s">
        <v>53</v>
      </c>
      <c r="C2684" s="38">
        <v>170000</v>
      </c>
    </row>
    <row r="2685" spans="1:3" x14ac:dyDescent="0.3">
      <c r="A2685" s="37" t="s">
        <v>125</v>
      </c>
      <c r="B2685" s="37" t="s">
        <v>53</v>
      </c>
      <c r="C2685" s="38">
        <v>85000</v>
      </c>
    </row>
    <row r="2686" spans="1:3" x14ac:dyDescent="0.3">
      <c r="A2686" s="37" t="s">
        <v>125</v>
      </c>
      <c r="B2686" s="37" t="s">
        <v>53</v>
      </c>
      <c r="C2686" s="38">
        <v>112500</v>
      </c>
    </row>
    <row r="2687" spans="1:3" x14ac:dyDescent="0.3">
      <c r="A2687" s="37" t="s">
        <v>125</v>
      </c>
      <c r="B2687" s="37" t="s">
        <v>53</v>
      </c>
      <c r="C2687" s="38">
        <v>95150</v>
      </c>
    </row>
    <row r="2688" spans="1:3" x14ac:dyDescent="0.3">
      <c r="A2688" s="37" t="s">
        <v>125</v>
      </c>
      <c r="B2688" s="37" t="s">
        <v>88</v>
      </c>
      <c r="C2688" s="38">
        <v>79200</v>
      </c>
    </row>
    <row r="2689" spans="1:3" x14ac:dyDescent="0.3">
      <c r="A2689" s="37" t="s">
        <v>126</v>
      </c>
      <c r="B2689" s="37" t="s">
        <v>53</v>
      </c>
      <c r="C2689" s="38">
        <v>135000</v>
      </c>
    </row>
    <row r="2690" spans="1:3" x14ac:dyDescent="0.3">
      <c r="A2690" s="37" t="s">
        <v>126</v>
      </c>
      <c r="B2690" s="37" t="s">
        <v>53</v>
      </c>
      <c r="C2690" s="38">
        <v>138200</v>
      </c>
    </row>
    <row r="2691" spans="1:3" x14ac:dyDescent="0.3">
      <c r="A2691" s="37" t="s">
        <v>126</v>
      </c>
      <c r="B2691" s="37" t="s">
        <v>53</v>
      </c>
      <c r="C2691" s="38">
        <v>170672</v>
      </c>
    </row>
    <row r="2692" spans="1:3" x14ac:dyDescent="0.3">
      <c r="A2692" s="37" t="s">
        <v>126</v>
      </c>
      <c r="B2692" s="37" t="s">
        <v>53</v>
      </c>
      <c r="C2692" s="38">
        <v>150000</v>
      </c>
    </row>
    <row r="2693" spans="1:3" x14ac:dyDescent="0.3">
      <c r="A2693" s="37" t="s">
        <v>126</v>
      </c>
      <c r="B2693" s="37" t="s">
        <v>53</v>
      </c>
      <c r="C2693" s="38"/>
    </row>
    <row r="2694" spans="1:3" x14ac:dyDescent="0.3">
      <c r="A2694" s="37" t="s">
        <v>126</v>
      </c>
      <c r="B2694" s="37" t="s">
        <v>53</v>
      </c>
      <c r="C2694" s="38">
        <v>150000</v>
      </c>
    </row>
    <row r="2695" spans="1:3" x14ac:dyDescent="0.3">
      <c r="A2695" s="37" t="s">
        <v>126</v>
      </c>
      <c r="B2695" s="37" t="s">
        <v>53</v>
      </c>
      <c r="C2695" s="38">
        <v>150000</v>
      </c>
    </row>
    <row r="2696" spans="1:3" x14ac:dyDescent="0.3">
      <c r="A2696" s="37" t="s">
        <v>126</v>
      </c>
      <c r="B2696" s="37" t="s">
        <v>53</v>
      </c>
      <c r="C2696" s="38">
        <v>140000</v>
      </c>
    </row>
    <row r="2697" spans="1:3" x14ac:dyDescent="0.3">
      <c r="A2697" s="37" t="s">
        <v>126</v>
      </c>
      <c r="B2697" s="37" t="s">
        <v>53</v>
      </c>
      <c r="C2697" s="38">
        <v>150000</v>
      </c>
    </row>
    <row r="2698" spans="1:3" x14ac:dyDescent="0.3">
      <c r="A2698" s="37" t="s">
        <v>126</v>
      </c>
      <c r="B2698" s="37" t="s">
        <v>53</v>
      </c>
      <c r="C2698" s="38">
        <v>156596</v>
      </c>
    </row>
    <row r="2699" spans="1:3" x14ac:dyDescent="0.3">
      <c r="A2699" s="37" t="s">
        <v>126</v>
      </c>
      <c r="B2699" s="37" t="s">
        <v>53</v>
      </c>
      <c r="C2699" s="38"/>
    </row>
    <row r="2700" spans="1:3" x14ac:dyDescent="0.3">
      <c r="A2700" s="37" t="s">
        <v>126</v>
      </c>
      <c r="B2700" s="37" t="s">
        <v>53</v>
      </c>
      <c r="C2700" s="38">
        <v>95000</v>
      </c>
    </row>
    <row r="2701" spans="1:3" x14ac:dyDescent="0.3">
      <c r="A2701" s="37" t="s">
        <v>126</v>
      </c>
      <c r="B2701" s="37" t="s">
        <v>69</v>
      </c>
      <c r="C2701" s="38">
        <v>147500</v>
      </c>
    </row>
    <row r="2702" spans="1:3" x14ac:dyDescent="0.3">
      <c r="A2702" s="37" t="s">
        <v>126</v>
      </c>
      <c r="B2702" s="37" t="s">
        <v>53</v>
      </c>
      <c r="C2702" s="38">
        <v>155000</v>
      </c>
    </row>
    <row r="2703" spans="1:3" x14ac:dyDescent="0.3">
      <c r="A2703" s="37" t="s">
        <v>126</v>
      </c>
      <c r="B2703" s="37" t="s">
        <v>53</v>
      </c>
      <c r="C2703" s="38">
        <v>135600</v>
      </c>
    </row>
    <row r="2704" spans="1:3" x14ac:dyDescent="0.3">
      <c r="A2704" s="37" t="s">
        <v>126</v>
      </c>
      <c r="B2704" s="37" t="s">
        <v>53</v>
      </c>
      <c r="C2704" s="38">
        <v>165000</v>
      </c>
    </row>
    <row r="2705" spans="1:3" x14ac:dyDescent="0.3">
      <c r="A2705" s="37" t="s">
        <v>126</v>
      </c>
      <c r="B2705" s="37" t="s">
        <v>53</v>
      </c>
      <c r="C2705" s="38">
        <v>156596</v>
      </c>
    </row>
    <row r="2706" spans="1:3" x14ac:dyDescent="0.3">
      <c r="A2706" s="37" t="s">
        <v>126</v>
      </c>
      <c r="B2706" s="37" t="s">
        <v>53</v>
      </c>
      <c r="C2706" s="38">
        <v>200000</v>
      </c>
    </row>
    <row r="2707" spans="1:3" x14ac:dyDescent="0.3">
      <c r="A2707" s="37" t="s">
        <v>126</v>
      </c>
      <c r="B2707" s="37" t="s">
        <v>53</v>
      </c>
      <c r="C2707" s="38">
        <v>150000</v>
      </c>
    </row>
    <row r="2708" spans="1:3" x14ac:dyDescent="0.3">
      <c r="A2708" s="37" t="s">
        <v>126</v>
      </c>
      <c r="B2708" s="37" t="s">
        <v>54</v>
      </c>
      <c r="C2708" s="38"/>
    </row>
    <row r="2709" spans="1:3" x14ac:dyDescent="0.3">
      <c r="A2709" s="37" t="s">
        <v>126</v>
      </c>
      <c r="B2709" s="37" t="s">
        <v>53</v>
      </c>
      <c r="C2709" s="38">
        <v>135000</v>
      </c>
    </row>
    <row r="2710" spans="1:3" x14ac:dyDescent="0.3">
      <c r="A2710" s="37" t="s">
        <v>126</v>
      </c>
      <c r="B2710" s="37" t="s">
        <v>53</v>
      </c>
      <c r="C2710" s="38">
        <v>160000</v>
      </c>
    </row>
    <row r="2711" spans="1:3" x14ac:dyDescent="0.3">
      <c r="A2711" s="37" t="s">
        <v>126</v>
      </c>
      <c r="B2711" s="37" t="s">
        <v>88</v>
      </c>
      <c r="C2711" s="38">
        <v>147500</v>
      </c>
    </row>
    <row r="2712" spans="1:3" x14ac:dyDescent="0.3">
      <c r="A2712" s="37" t="s">
        <v>126</v>
      </c>
      <c r="B2712" s="37" t="s">
        <v>53</v>
      </c>
      <c r="C2712" s="38">
        <v>90000</v>
      </c>
    </row>
    <row r="2713" spans="1:3" x14ac:dyDescent="0.3">
      <c r="A2713" s="37" t="s">
        <v>126</v>
      </c>
      <c r="B2713" s="37" t="s">
        <v>53</v>
      </c>
      <c r="C2713" s="38"/>
    </row>
    <row r="2714" spans="1:3" x14ac:dyDescent="0.3">
      <c r="A2714" s="37" t="s">
        <v>126</v>
      </c>
      <c r="B2714" s="37" t="s">
        <v>53</v>
      </c>
      <c r="C2714" s="38">
        <v>182000</v>
      </c>
    </row>
    <row r="2715" spans="1:3" x14ac:dyDescent="0.3">
      <c r="A2715" s="37" t="s">
        <v>126</v>
      </c>
      <c r="B2715" s="37" t="s">
        <v>53</v>
      </c>
      <c r="C2715" s="38">
        <v>156596</v>
      </c>
    </row>
    <row r="2716" spans="1:3" x14ac:dyDescent="0.3">
      <c r="A2716" s="37" t="s">
        <v>126</v>
      </c>
      <c r="B2716" s="37" t="s">
        <v>69</v>
      </c>
      <c r="C2716" s="38">
        <v>147500</v>
      </c>
    </row>
    <row r="2717" spans="1:3" x14ac:dyDescent="0.3">
      <c r="A2717" s="37" t="s">
        <v>126</v>
      </c>
      <c r="B2717" s="37" t="s">
        <v>53</v>
      </c>
      <c r="C2717" s="38">
        <v>150000</v>
      </c>
    </row>
    <row r="2718" spans="1:3" x14ac:dyDescent="0.3">
      <c r="A2718" s="37" t="s">
        <v>126</v>
      </c>
      <c r="B2718" s="37" t="s">
        <v>53</v>
      </c>
      <c r="C2718" s="38">
        <v>190000</v>
      </c>
    </row>
    <row r="2719" spans="1:3" x14ac:dyDescent="0.3">
      <c r="A2719" s="37" t="s">
        <v>126</v>
      </c>
      <c r="B2719" s="37" t="s">
        <v>53</v>
      </c>
      <c r="C2719" s="38">
        <v>170672</v>
      </c>
    </row>
    <row r="2720" spans="1:3" x14ac:dyDescent="0.3">
      <c r="A2720" s="37" t="s">
        <v>126</v>
      </c>
      <c r="B2720" s="37" t="s">
        <v>53</v>
      </c>
      <c r="C2720" s="38">
        <v>45000</v>
      </c>
    </row>
    <row r="2721" spans="1:3" x14ac:dyDescent="0.3">
      <c r="A2721" s="37" t="s">
        <v>126</v>
      </c>
      <c r="B2721" s="37" t="s">
        <v>53</v>
      </c>
      <c r="C2721" s="38"/>
    </row>
    <row r="2722" spans="1:3" x14ac:dyDescent="0.3">
      <c r="A2722" s="37" t="s">
        <v>126</v>
      </c>
      <c r="B2722" s="37" t="s">
        <v>53</v>
      </c>
      <c r="C2722" s="38">
        <v>170672</v>
      </c>
    </row>
    <row r="2723" spans="1:3" x14ac:dyDescent="0.3">
      <c r="A2723" s="37" t="s">
        <v>126</v>
      </c>
      <c r="B2723" s="37" t="s">
        <v>53</v>
      </c>
      <c r="C2723" s="38">
        <v>137150</v>
      </c>
    </row>
    <row r="2724" spans="1:3" x14ac:dyDescent="0.3">
      <c r="A2724" s="37" t="s">
        <v>126</v>
      </c>
      <c r="B2724" s="37" t="s">
        <v>64</v>
      </c>
      <c r="C2724" s="38">
        <v>147500</v>
      </c>
    </row>
    <row r="2725" spans="1:3" x14ac:dyDescent="0.3">
      <c r="A2725" s="37" t="s">
        <v>126</v>
      </c>
      <c r="B2725" s="37" t="s">
        <v>97</v>
      </c>
      <c r="C2725" s="38">
        <v>147500</v>
      </c>
    </row>
    <row r="2726" spans="1:3" x14ac:dyDescent="0.3">
      <c r="A2726" s="37" t="s">
        <v>126</v>
      </c>
      <c r="B2726" s="37" t="s">
        <v>53</v>
      </c>
      <c r="C2726" s="38">
        <v>156596</v>
      </c>
    </row>
    <row r="2727" spans="1:3" x14ac:dyDescent="0.3">
      <c r="A2727" s="37" t="s">
        <v>126</v>
      </c>
      <c r="B2727" s="37" t="s">
        <v>53</v>
      </c>
      <c r="C2727" s="38">
        <v>135000</v>
      </c>
    </row>
    <row r="2728" spans="1:3" x14ac:dyDescent="0.3">
      <c r="A2728" s="37" t="s">
        <v>126</v>
      </c>
      <c r="B2728" s="37" t="s">
        <v>53</v>
      </c>
      <c r="C2728" s="38">
        <v>300000</v>
      </c>
    </row>
    <row r="2729" spans="1:3" x14ac:dyDescent="0.3">
      <c r="A2729" s="37" t="s">
        <v>126</v>
      </c>
      <c r="B2729" s="37" t="s">
        <v>54</v>
      </c>
      <c r="C2729" s="38">
        <v>125000</v>
      </c>
    </row>
    <row r="2730" spans="1:3" x14ac:dyDescent="0.3">
      <c r="A2730" s="37" t="s">
        <v>126</v>
      </c>
      <c r="B2730" s="37" t="s">
        <v>54</v>
      </c>
      <c r="C2730" s="38">
        <v>180000</v>
      </c>
    </row>
    <row r="2731" spans="1:3" x14ac:dyDescent="0.3">
      <c r="A2731" s="37" t="s">
        <v>126</v>
      </c>
      <c r="B2731" s="37" t="s">
        <v>53</v>
      </c>
      <c r="C2731" s="38"/>
    </row>
    <row r="2732" spans="1:3" x14ac:dyDescent="0.3">
      <c r="A2732" s="37" t="s">
        <v>126</v>
      </c>
      <c r="B2732" s="37" t="s">
        <v>53</v>
      </c>
      <c r="C2732" s="38">
        <v>170000</v>
      </c>
    </row>
    <row r="2733" spans="1:3" x14ac:dyDescent="0.3">
      <c r="A2733" s="37" t="s">
        <v>126</v>
      </c>
      <c r="B2733" s="37" t="s">
        <v>53</v>
      </c>
      <c r="C2733" s="38">
        <v>156596</v>
      </c>
    </row>
    <row r="2734" spans="1:3" x14ac:dyDescent="0.3">
      <c r="A2734" s="37" t="s">
        <v>126</v>
      </c>
      <c r="B2734" s="37" t="s">
        <v>88</v>
      </c>
      <c r="C2734" s="38">
        <v>147500</v>
      </c>
    </row>
    <row r="2735" spans="1:3" x14ac:dyDescent="0.3">
      <c r="A2735" s="37" t="s">
        <v>126</v>
      </c>
      <c r="B2735" s="37" t="s">
        <v>53</v>
      </c>
      <c r="C2735" s="38">
        <v>181500</v>
      </c>
    </row>
    <row r="2736" spans="1:3" x14ac:dyDescent="0.3">
      <c r="A2736" s="37" t="s">
        <v>126</v>
      </c>
      <c r="B2736" s="37" t="s">
        <v>53</v>
      </c>
      <c r="C2736" s="38"/>
    </row>
    <row r="2737" spans="1:3" x14ac:dyDescent="0.3">
      <c r="A2737" s="37" t="s">
        <v>126</v>
      </c>
      <c r="B2737" s="37" t="s">
        <v>53</v>
      </c>
      <c r="C2737" s="38">
        <v>155000</v>
      </c>
    </row>
    <row r="2738" spans="1:3" x14ac:dyDescent="0.3">
      <c r="A2738" s="37" t="s">
        <v>126</v>
      </c>
      <c r="B2738" s="37" t="s">
        <v>53</v>
      </c>
      <c r="C2738" s="38">
        <v>135600</v>
      </c>
    </row>
    <row r="2739" spans="1:3" x14ac:dyDescent="0.3">
      <c r="A2739" s="37" t="s">
        <v>126</v>
      </c>
      <c r="B2739" s="37" t="s">
        <v>53</v>
      </c>
      <c r="C2739" s="38">
        <v>190000</v>
      </c>
    </row>
    <row r="2740" spans="1:3" x14ac:dyDescent="0.3">
      <c r="A2740" s="37" t="s">
        <v>126</v>
      </c>
      <c r="B2740" s="37" t="s">
        <v>56</v>
      </c>
      <c r="C2740" s="38">
        <v>147500</v>
      </c>
    </row>
    <row r="2741" spans="1:3" x14ac:dyDescent="0.3">
      <c r="A2741" s="37" t="s">
        <v>126</v>
      </c>
      <c r="B2741" s="37" t="s">
        <v>53</v>
      </c>
      <c r="C2741" s="38">
        <v>155000</v>
      </c>
    </row>
    <row r="2742" spans="1:3" x14ac:dyDescent="0.3">
      <c r="A2742" s="37" t="s">
        <v>126</v>
      </c>
      <c r="B2742" s="37" t="s">
        <v>88</v>
      </c>
      <c r="C2742" s="38">
        <v>147500</v>
      </c>
    </row>
    <row r="2743" spans="1:3" x14ac:dyDescent="0.3">
      <c r="A2743" s="37" t="s">
        <v>126</v>
      </c>
      <c r="B2743" s="37" t="s">
        <v>53</v>
      </c>
      <c r="C2743" s="38">
        <v>172500</v>
      </c>
    </row>
    <row r="2744" spans="1:3" x14ac:dyDescent="0.3">
      <c r="A2744" s="37" t="s">
        <v>126</v>
      </c>
      <c r="B2744" s="37" t="s">
        <v>53</v>
      </c>
      <c r="C2744" s="38">
        <v>250000</v>
      </c>
    </row>
    <row r="2745" spans="1:3" x14ac:dyDescent="0.3">
      <c r="A2745" s="37" t="s">
        <v>126</v>
      </c>
      <c r="B2745" s="37" t="s">
        <v>54</v>
      </c>
      <c r="C2745" s="38">
        <v>147500</v>
      </c>
    </row>
    <row r="2746" spans="1:3" x14ac:dyDescent="0.3">
      <c r="A2746" s="37" t="s">
        <v>126</v>
      </c>
      <c r="B2746" s="37" t="s">
        <v>53</v>
      </c>
      <c r="C2746" s="38">
        <v>170672</v>
      </c>
    </row>
    <row r="2747" spans="1:3" x14ac:dyDescent="0.3">
      <c r="A2747" s="37" t="s">
        <v>126</v>
      </c>
      <c r="B2747" s="37" t="s">
        <v>53</v>
      </c>
      <c r="C2747" s="38">
        <v>180000</v>
      </c>
    </row>
    <row r="2748" spans="1:3" x14ac:dyDescent="0.3">
      <c r="A2748" s="37" t="s">
        <v>126</v>
      </c>
      <c r="B2748" s="37" t="s">
        <v>53</v>
      </c>
      <c r="C2748" s="38">
        <v>127500</v>
      </c>
    </row>
    <row r="2749" spans="1:3" x14ac:dyDescent="0.3">
      <c r="A2749" s="37" t="s">
        <v>126</v>
      </c>
      <c r="B2749" s="37" t="s">
        <v>53</v>
      </c>
      <c r="C2749" s="38"/>
    </row>
    <row r="2750" spans="1:3" x14ac:dyDescent="0.3">
      <c r="A2750" s="37" t="s">
        <v>126</v>
      </c>
      <c r="B2750" s="37" t="s">
        <v>53</v>
      </c>
      <c r="C2750" s="38"/>
    </row>
    <row r="2751" spans="1:3" x14ac:dyDescent="0.3">
      <c r="A2751" s="37" t="s">
        <v>126</v>
      </c>
      <c r="B2751" s="37" t="s">
        <v>53</v>
      </c>
      <c r="C2751" s="38">
        <v>140000</v>
      </c>
    </row>
    <row r="2752" spans="1:3" x14ac:dyDescent="0.3">
      <c r="A2752" s="37" t="s">
        <v>126</v>
      </c>
      <c r="B2752" s="37" t="s">
        <v>53</v>
      </c>
      <c r="C2752" s="38">
        <v>150000</v>
      </c>
    </row>
    <row r="2753" spans="1:3" x14ac:dyDescent="0.3">
      <c r="A2753" s="37" t="s">
        <v>126</v>
      </c>
      <c r="B2753" s="37" t="s">
        <v>63</v>
      </c>
      <c r="C2753" s="38">
        <v>142000</v>
      </c>
    </row>
    <row r="2754" spans="1:3" x14ac:dyDescent="0.3">
      <c r="A2754" s="37" t="s">
        <v>126</v>
      </c>
      <c r="B2754" s="37" t="s">
        <v>53</v>
      </c>
      <c r="C2754" s="38">
        <v>130000</v>
      </c>
    </row>
    <row r="2755" spans="1:3" x14ac:dyDescent="0.3">
      <c r="A2755" s="37" t="s">
        <v>126</v>
      </c>
      <c r="B2755" s="37" t="s">
        <v>53</v>
      </c>
      <c r="C2755" s="38">
        <v>156596</v>
      </c>
    </row>
    <row r="2756" spans="1:3" x14ac:dyDescent="0.3">
      <c r="A2756" s="37" t="s">
        <v>126</v>
      </c>
      <c r="B2756" s="37" t="s">
        <v>54</v>
      </c>
      <c r="C2756" s="38"/>
    </row>
    <row r="2757" spans="1:3" x14ac:dyDescent="0.3">
      <c r="A2757" s="37" t="s">
        <v>126</v>
      </c>
      <c r="B2757" s="37" t="s">
        <v>53</v>
      </c>
      <c r="C2757" s="38">
        <v>145000</v>
      </c>
    </row>
    <row r="2758" spans="1:3" x14ac:dyDescent="0.3">
      <c r="A2758" s="37" t="s">
        <v>126</v>
      </c>
      <c r="B2758" s="37" t="s">
        <v>53</v>
      </c>
      <c r="C2758" s="38">
        <v>140000</v>
      </c>
    </row>
    <row r="2759" spans="1:3" x14ac:dyDescent="0.3">
      <c r="A2759" s="37" t="s">
        <v>126</v>
      </c>
      <c r="B2759" s="37" t="s">
        <v>53</v>
      </c>
      <c r="C2759" s="38">
        <v>185000</v>
      </c>
    </row>
    <row r="2760" spans="1:3" x14ac:dyDescent="0.3">
      <c r="A2760" s="37" t="s">
        <v>126</v>
      </c>
      <c r="B2760" s="37" t="s">
        <v>53</v>
      </c>
      <c r="C2760" s="38">
        <v>135000</v>
      </c>
    </row>
    <row r="2761" spans="1:3" x14ac:dyDescent="0.3">
      <c r="A2761" s="37" t="s">
        <v>126</v>
      </c>
      <c r="B2761" s="37" t="s">
        <v>53</v>
      </c>
      <c r="C2761" s="38">
        <v>167500</v>
      </c>
    </row>
    <row r="2762" spans="1:3" x14ac:dyDescent="0.3">
      <c r="A2762" s="37" t="s">
        <v>126</v>
      </c>
      <c r="B2762" s="37" t="s">
        <v>53</v>
      </c>
      <c r="C2762" s="38">
        <v>156596</v>
      </c>
    </row>
    <row r="2763" spans="1:3" x14ac:dyDescent="0.3">
      <c r="A2763" s="37" t="s">
        <v>126</v>
      </c>
      <c r="B2763" s="37" t="s">
        <v>53</v>
      </c>
      <c r="C2763" s="38">
        <v>175000</v>
      </c>
    </row>
    <row r="2764" spans="1:3" x14ac:dyDescent="0.3">
      <c r="A2764" s="37" t="s">
        <v>126</v>
      </c>
      <c r="B2764" s="37" t="s">
        <v>81</v>
      </c>
      <c r="C2764" s="38">
        <v>147500</v>
      </c>
    </row>
    <row r="2765" spans="1:3" x14ac:dyDescent="0.3">
      <c r="A2765" s="37" t="s">
        <v>126</v>
      </c>
      <c r="B2765" s="37" t="s">
        <v>53</v>
      </c>
      <c r="C2765" s="38">
        <v>156596</v>
      </c>
    </row>
    <row r="2766" spans="1:3" x14ac:dyDescent="0.3">
      <c r="A2766" s="37" t="s">
        <v>126</v>
      </c>
      <c r="B2766" s="37" t="s">
        <v>54</v>
      </c>
      <c r="C2766" s="38">
        <v>170672</v>
      </c>
    </row>
    <row r="2767" spans="1:3" x14ac:dyDescent="0.3">
      <c r="A2767" s="37" t="s">
        <v>126</v>
      </c>
      <c r="B2767" s="37" t="s">
        <v>70</v>
      </c>
      <c r="C2767" s="38">
        <v>147500</v>
      </c>
    </row>
    <row r="2768" spans="1:3" x14ac:dyDescent="0.3">
      <c r="A2768" s="37" t="s">
        <v>126</v>
      </c>
      <c r="B2768" s="37" t="s">
        <v>53</v>
      </c>
      <c r="C2768" s="38">
        <v>115000</v>
      </c>
    </row>
    <row r="2769" spans="1:3" x14ac:dyDescent="0.3">
      <c r="A2769" s="37" t="s">
        <v>126</v>
      </c>
      <c r="B2769" s="37" t="s">
        <v>53</v>
      </c>
      <c r="C2769" s="38">
        <v>170000</v>
      </c>
    </row>
    <row r="2770" spans="1:3" x14ac:dyDescent="0.3">
      <c r="A2770" s="37" t="s">
        <v>126</v>
      </c>
      <c r="B2770" s="37" t="s">
        <v>54</v>
      </c>
      <c r="C2770" s="38">
        <v>170672</v>
      </c>
    </row>
    <row r="2771" spans="1:3" x14ac:dyDescent="0.3">
      <c r="A2771" s="37" t="s">
        <v>126</v>
      </c>
      <c r="B2771" s="37" t="s">
        <v>53</v>
      </c>
      <c r="C2771" s="38">
        <v>127500</v>
      </c>
    </row>
    <row r="2772" spans="1:3" x14ac:dyDescent="0.3">
      <c r="A2772" s="37" t="s">
        <v>126</v>
      </c>
      <c r="B2772" s="37" t="s">
        <v>53</v>
      </c>
      <c r="C2772" s="38">
        <v>168500</v>
      </c>
    </row>
    <row r="2773" spans="1:3" x14ac:dyDescent="0.3">
      <c r="A2773" s="37" t="s">
        <v>126</v>
      </c>
      <c r="B2773" s="37" t="s">
        <v>64</v>
      </c>
      <c r="C2773" s="38">
        <v>147500</v>
      </c>
    </row>
    <row r="2774" spans="1:3" x14ac:dyDescent="0.3">
      <c r="A2774" s="37" t="s">
        <v>126</v>
      </c>
      <c r="B2774" s="37" t="s">
        <v>53</v>
      </c>
      <c r="C2774" s="38">
        <v>155000</v>
      </c>
    </row>
    <row r="2775" spans="1:3" x14ac:dyDescent="0.3">
      <c r="A2775" s="37" t="s">
        <v>126</v>
      </c>
      <c r="B2775" s="37" t="s">
        <v>53</v>
      </c>
      <c r="C2775" s="38">
        <v>128295.0625</v>
      </c>
    </row>
    <row r="2776" spans="1:3" x14ac:dyDescent="0.3">
      <c r="A2776" s="37" t="s">
        <v>126</v>
      </c>
      <c r="B2776" s="37" t="s">
        <v>53</v>
      </c>
      <c r="C2776" s="38">
        <v>147500</v>
      </c>
    </row>
    <row r="2777" spans="1:3" x14ac:dyDescent="0.3">
      <c r="A2777" s="37" t="s">
        <v>126</v>
      </c>
      <c r="B2777" s="37" t="s">
        <v>70</v>
      </c>
      <c r="C2777" s="38">
        <v>89100</v>
      </c>
    </row>
    <row r="2778" spans="1:3" x14ac:dyDescent="0.3">
      <c r="A2778" s="37" t="s">
        <v>126</v>
      </c>
      <c r="B2778" s="37" t="s">
        <v>53</v>
      </c>
      <c r="C2778" s="38">
        <v>170672</v>
      </c>
    </row>
    <row r="2779" spans="1:3" x14ac:dyDescent="0.3">
      <c r="A2779" s="37" t="s">
        <v>126</v>
      </c>
      <c r="B2779" s="37" t="s">
        <v>53</v>
      </c>
      <c r="C2779" s="38">
        <v>156596</v>
      </c>
    </row>
    <row r="2780" spans="1:3" x14ac:dyDescent="0.3">
      <c r="A2780" s="37" t="s">
        <v>126</v>
      </c>
      <c r="B2780" s="37" t="s">
        <v>127</v>
      </c>
      <c r="C2780" s="38">
        <v>147500</v>
      </c>
    </row>
    <row r="2781" spans="1:3" x14ac:dyDescent="0.3">
      <c r="A2781" s="37" t="s">
        <v>126</v>
      </c>
      <c r="B2781" s="37" t="s">
        <v>53</v>
      </c>
      <c r="C2781" s="38">
        <v>156596</v>
      </c>
    </row>
    <row r="2782" spans="1:3" x14ac:dyDescent="0.3">
      <c r="A2782" s="37" t="s">
        <v>126</v>
      </c>
      <c r="B2782" s="37" t="s">
        <v>53</v>
      </c>
      <c r="C2782" s="38">
        <v>150000</v>
      </c>
    </row>
    <row r="2783" spans="1:3" x14ac:dyDescent="0.3">
      <c r="A2783" s="37" t="s">
        <v>126</v>
      </c>
      <c r="B2783" s="37" t="s">
        <v>53</v>
      </c>
      <c r="C2783" s="38">
        <v>170672</v>
      </c>
    </row>
    <row r="2784" spans="1:3" x14ac:dyDescent="0.3">
      <c r="A2784" s="37" t="s">
        <v>126</v>
      </c>
      <c r="B2784" s="37" t="s">
        <v>53</v>
      </c>
      <c r="C2784" s="38">
        <v>116500</v>
      </c>
    </row>
    <row r="2785" spans="1:3" x14ac:dyDescent="0.3">
      <c r="A2785" s="37" t="s">
        <v>126</v>
      </c>
      <c r="B2785" s="37" t="s">
        <v>79</v>
      </c>
      <c r="C2785" s="38">
        <v>147500</v>
      </c>
    </row>
    <row r="2786" spans="1:3" x14ac:dyDescent="0.3">
      <c r="A2786" s="37" t="s">
        <v>126</v>
      </c>
      <c r="B2786" s="37" t="s">
        <v>54</v>
      </c>
      <c r="C2786" s="38"/>
    </row>
    <row r="2787" spans="1:3" x14ac:dyDescent="0.3">
      <c r="A2787" s="37" t="s">
        <v>126</v>
      </c>
      <c r="B2787" s="37" t="s">
        <v>65</v>
      </c>
      <c r="C2787" s="38">
        <v>56700</v>
      </c>
    </row>
    <row r="2788" spans="1:3" x14ac:dyDescent="0.3">
      <c r="A2788" s="37" t="s">
        <v>126</v>
      </c>
      <c r="B2788" s="37" t="s">
        <v>53</v>
      </c>
      <c r="C2788" s="38">
        <v>150000</v>
      </c>
    </row>
    <row r="2789" spans="1:3" x14ac:dyDescent="0.3">
      <c r="A2789" s="37" t="s">
        <v>126</v>
      </c>
      <c r="B2789" s="37" t="s">
        <v>53</v>
      </c>
      <c r="C2789" s="38">
        <v>122470.5</v>
      </c>
    </row>
    <row r="2790" spans="1:3" x14ac:dyDescent="0.3">
      <c r="A2790" s="37" t="s">
        <v>126</v>
      </c>
      <c r="B2790" s="37" t="s">
        <v>53</v>
      </c>
      <c r="C2790" s="38">
        <v>145000</v>
      </c>
    </row>
    <row r="2791" spans="1:3" x14ac:dyDescent="0.3">
      <c r="A2791" s="37" t="s">
        <v>126</v>
      </c>
      <c r="B2791" s="37" t="s">
        <v>53</v>
      </c>
      <c r="C2791" s="38">
        <v>172500</v>
      </c>
    </row>
    <row r="2792" spans="1:3" x14ac:dyDescent="0.3">
      <c r="A2792" s="37" t="s">
        <v>126</v>
      </c>
      <c r="B2792" s="37" t="s">
        <v>53</v>
      </c>
      <c r="C2792" s="38">
        <v>122500</v>
      </c>
    </row>
    <row r="2793" spans="1:3" x14ac:dyDescent="0.3">
      <c r="A2793" s="37" t="s">
        <v>126</v>
      </c>
      <c r="B2793" s="37" t="s">
        <v>53</v>
      </c>
      <c r="C2793" s="38">
        <v>135000</v>
      </c>
    </row>
    <row r="2794" spans="1:3" x14ac:dyDescent="0.3">
      <c r="A2794" s="37" t="s">
        <v>126</v>
      </c>
      <c r="B2794" s="37" t="s">
        <v>53</v>
      </c>
      <c r="C2794" s="38">
        <v>202500</v>
      </c>
    </row>
    <row r="2795" spans="1:3" x14ac:dyDescent="0.3">
      <c r="A2795" s="37" t="s">
        <v>126</v>
      </c>
      <c r="B2795" s="37" t="s">
        <v>53</v>
      </c>
      <c r="C2795" s="38">
        <v>157500</v>
      </c>
    </row>
    <row r="2796" spans="1:3" x14ac:dyDescent="0.3">
      <c r="A2796" s="37" t="s">
        <v>126</v>
      </c>
      <c r="B2796" s="37" t="s">
        <v>69</v>
      </c>
      <c r="C2796" s="38">
        <v>89100</v>
      </c>
    </row>
    <row r="2797" spans="1:3" x14ac:dyDescent="0.3">
      <c r="A2797" s="37" t="s">
        <v>126</v>
      </c>
      <c r="B2797" s="37" t="s">
        <v>53</v>
      </c>
      <c r="C2797" s="38">
        <v>122470.5</v>
      </c>
    </row>
    <row r="2798" spans="1:3" x14ac:dyDescent="0.3">
      <c r="A2798" s="37" t="s">
        <v>126</v>
      </c>
      <c r="B2798" s="37" t="s">
        <v>53</v>
      </c>
      <c r="C2798" s="38">
        <v>147500</v>
      </c>
    </row>
    <row r="2799" spans="1:3" x14ac:dyDescent="0.3">
      <c r="A2799" s="37" t="s">
        <v>126</v>
      </c>
      <c r="B2799" s="37" t="s">
        <v>110</v>
      </c>
      <c r="C2799" s="38">
        <v>147500</v>
      </c>
    </row>
    <row r="2800" spans="1:3" x14ac:dyDescent="0.3">
      <c r="A2800" s="37" t="s">
        <v>126</v>
      </c>
      <c r="B2800" s="37" t="s">
        <v>69</v>
      </c>
      <c r="C2800" s="38">
        <v>89100</v>
      </c>
    </row>
    <row r="2801" spans="1:3" x14ac:dyDescent="0.3">
      <c r="A2801" s="37" t="s">
        <v>126</v>
      </c>
      <c r="B2801" s="37" t="s">
        <v>81</v>
      </c>
      <c r="C2801" s="38">
        <v>147500</v>
      </c>
    </row>
    <row r="2802" spans="1:3" x14ac:dyDescent="0.3">
      <c r="A2802" s="37" t="s">
        <v>126</v>
      </c>
      <c r="B2802" s="37" t="s">
        <v>53</v>
      </c>
      <c r="C2802" s="38">
        <v>132500</v>
      </c>
    </row>
    <row r="2803" spans="1:3" x14ac:dyDescent="0.3">
      <c r="A2803" s="37" t="s">
        <v>126</v>
      </c>
      <c r="B2803" s="37" t="s">
        <v>53</v>
      </c>
      <c r="C2803" s="38">
        <v>185000</v>
      </c>
    </row>
    <row r="2804" spans="1:3" x14ac:dyDescent="0.3">
      <c r="A2804" s="37" t="s">
        <v>126</v>
      </c>
      <c r="B2804" s="37" t="s">
        <v>54</v>
      </c>
      <c r="C2804" s="38">
        <v>170672</v>
      </c>
    </row>
    <row r="2805" spans="1:3" x14ac:dyDescent="0.3">
      <c r="A2805" s="37" t="s">
        <v>126</v>
      </c>
      <c r="B2805" s="37" t="s">
        <v>53</v>
      </c>
      <c r="C2805" s="38">
        <v>180000</v>
      </c>
    </row>
    <row r="2806" spans="1:3" x14ac:dyDescent="0.3">
      <c r="A2806" s="37" t="s">
        <v>126</v>
      </c>
      <c r="B2806" s="37" t="s">
        <v>53</v>
      </c>
      <c r="C2806" s="38">
        <v>105000</v>
      </c>
    </row>
    <row r="2807" spans="1:3" x14ac:dyDescent="0.3">
      <c r="A2807" s="37" t="s">
        <v>126</v>
      </c>
      <c r="B2807" s="37" t="s">
        <v>81</v>
      </c>
      <c r="C2807" s="38">
        <v>90000</v>
      </c>
    </row>
    <row r="2808" spans="1:3" x14ac:dyDescent="0.3">
      <c r="A2808" s="37" t="s">
        <v>126</v>
      </c>
      <c r="B2808" s="37" t="s">
        <v>69</v>
      </c>
      <c r="C2808" s="38">
        <v>147500</v>
      </c>
    </row>
    <row r="2809" spans="1:3" x14ac:dyDescent="0.3">
      <c r="A2809" s="37" t="s">
        <v>126</v>
      </c>
      <c r="B2809" s="37" t="s">
        <v>83</v>
      </c>
      <c r="C2809" s="38">
        <v>147500</v>
      </c>
    </row>
    <row r="2810" spans="1:3" x14ac:dyDescent="0.3">
      <c r="A2810" s="37" t="s">
        <v>126</v>
      </c>
      <c r="B2810" s="37" t="s">
        <v>124</v>
      </c>
      <c r="C2810" s="38">
        <v>147500</v>
      </c>
    </row>
    <row r="2811" spans="1:3" x14ac:dyDescent="0.3">
      <c r="A2811" s="37" t="s">
        <v>126</v>
      </c>
      <c r="B2811" s="37" t="s">
        <v>53</v>
      </c>
      <c r="C2811" s="38"/>
    </row>
    <row r="2812" spans="1:3" x14ac:dyDescent="0.3">
      <c r="A2812" s="37" t="s">
        <v>126</v>
      </c>
      <c r="B2812" s="37" t="s">
        <v>88</v>
      </c>
      <c r="C2812" s="38">
        <v>147500</v>
      </c>
    </row>
    <row r="2813" spans="1:3" x14ac:dyDescent="0.3">
      <c r="A2813" s="37" t="s">
        <v>126</v>
      </c>
      <c r="B2813" s="37" t="s">
        <v>54</v>
      </c>
      <c r="C2813" s="38">
        <v>185000</v>
      </c>
    </row>
    <row r="2814" spans="1:3" x14ac:dyDescent="0.3">
      <c r="A2814" s="37" t="s">
        <v>126</v>
      </c>
      <c r="B2814" s="37" t="s">
        <v>53</v>
      </c>
      <c r="C2814" s="38">
        <v>180000</v>
      </c>
    </row>
    <row r="2815" spans="1:3" x14ac:dyDescent="0.3">
      <c r="A2815" s="37" t="s">
        <v>126</v>
      </c>
      <c r="B2815" s="37" t="s">
        <v>79</v>
      </c>
      <c r="C2815" s="38">
        <v>161160</v>
      </c>
    </row>
    <row r="2816" spans="1:3" x14ac:dyDescent="0.3">
      <c r="A2816" s="37" t="s">
        <v>126</v>
      </c>
      <c r="B2816" s="37" t="s">
        <v>53</v>
      </c>
      <c r="C2816" s="38">
        <v>274500</v>
      </c>
    </row>
    <row r="2817" spans="1:3" x14ac:dyDescent="0.3">
      <c r="A2817" s="37" t="s">
        <v>126</v>
      </c>
      <c r="B2817" s="37" t="s">
        <v>72</v>
      </c>
      <c r="C2817" s="38">
        <v>125000</v>
      </c>
    </row>
    <row r="2818" spans="1:3" x14ac:dyDescent="0.3">
      <c r="A2818" s="37" t="s">
        <v>126</v>
      </c>
      <c r="B2818" s="37" t="s">
        <v>72</v>
      </c>
      <c r="C2818" s="38">
        <v>147500</v>
      </c>
    </row>
    <row r="2819" spans="1:3" x14ac:dyDescent="0.3">
      <c r="A2819" s="37" t="s">
        <v>126</v>
      </c>
      <c r="B2819" s="37" t="s">
        <v>53</v>
      </c>
      <c r="C2819" s="38">
        <v>127500</v>
      </c>
    </row>
    <row r="2820" spans="1:3" x14ac:dyDescent="0.3">
      <c r="A2820" s="37" t="s">
        <v>126</v>
      </c>
      <c r="B2820" s="37" t="s">
        <v>53</v>
      </c>
      <c r="C2820" s="38"/>
    </row>
    <row r="2821" spans="1:3" x14ac:dyDescent="0.3">
      <c r="A2821" s="37" t="s">
        <v>126</v>
      </c>
      <c r="B2821" s="37" t="s">
        <v>81</v>
      </c>
      <c r="C2821" s="38">
        <v>90000</v>
      </c>
    </row>
    <row r="2822" spans="1:3" x14ac:dyDescent="0.3">
      <c r="A2822" s="37" t="s">
        <v>126</v>
      </c>
      <c r="B2822" s="37" t="s">
        <v>97</v>
      </c>
      <c r="C2822" s="38">
        <v>147500</v>
      </c>
    </row>
    <row r="2823" spans="1:3" x14ac:dyDescent="0.3">
      <c r="A2823" s="37" t="s">
        <v>126</v>
      </c>
      <c r="B2823" s="37" t="s">
        <v>81</v>
      </c>
      <c r="C2823" s="38">
        <v>90000</v>
      </c>
    </row>
    <row r="2824" spans="1:3" x14ac:dyDescent="0.3">
      <c r="A2824" s="37" t="s">
        <v>126</v>
      </c>
      <c r="B2824" s="37" t="s">
        <v>81</v>
      </c>
      <c r="C2824" s="38">
        <v>140000</v>
      </c>
    </row>
    <row r="2825" spans="1:3" x14ac:dyDescent="0.3">
      <c r="A2825" s="37" t="s">
        <v>126</v>
      </c>
      <c r="B2825" s="37" t="s">
        <v>72</v>
      </c>
      <c r="C2825" s="38">
        <v>96760.5</v>
      </c>
    </row>
    <row r="2826" spans="1:3" x14ac:dyDescent="0.3">
      <c r="A2826" s="37" t="s">
        <v>126</v>
      </c>
      <c r="B2826" s="37" t="s">
        <v>83</v>
      </c>
      <c r="C2826" s="38">
        <v>147500</v>
      </c>
    </row>
    <row r="2827" spans="1:3" x14ac:dyDescent="0.3">
      <c r="A2827" s="37" t="s">
        <v>126</v>
      </c>
      <c r="B2827" s="37" t="s">
        <v>53</v>
      </c>
      <c r="C2827" s="38"/>
    </row>
    <row r="2828" spans="1:3" x14ac:dyDescent="0.3">
      <c r="A2828" s="37" t="s">
        <v>126</v>
      </c>
      <c r="B2828" s="37" t="s">
        <v>53</v>
      </c>
      <c r="C2828" s="38"/>
    </row>
    <row r="2829" spans="1:3" x14ac:dyDescent="0.3">
      <c r="A2829" s="37" t="s">
        <v>126</v>
      </c>
      <c r="B2829" s="37" t="s">
        <v>97</v>
      </c>
      <c r="C2829" s="38">
        <v>147500</v>
      </c>
    </row>
    <row r="2830" spans="1:3" x14ac:dyDescent="0.3">
      <c r="A2830" s="37" t="s">
        <v>126</v>
      </c>
      <c r="B2830" s="37" t="s">
        <v>53</v>
      </c>
      <c r="C2830" s="38">
        <v>147500</v>
      </c>
    </row>
    <row r="2831" spans="1:3" x14ac:dyDescent="0.3">
      <c r="A2831" s="37" t="s">
        <v>126</v>
      </c>
      <c r="B2831" s="37" t="s">
        <v>88</v>
      </c>
      <c r="C2831" s="38">
        <v>147500</v>
      </c>
    </row>
    <row r="2832" spans="1:3" x14ac:dyDescent="0.3">
      <c r="A2832" s="37" t="s">
        <v>126</v>
      </c>
      <c r="B2832" s="37" t="s">
        <v>88</v>
      </c>
      <c r="C2832" s="38">
        <v>147500</v>
      </c>
    </row>
    <row r="2833" spans="1:3" x14ac:dyDescent="0.3">
      <c r="A2833" s="37" t="s">
        <v>126</v>
      </c>
      <c r="B2833" s="37" t="s">
        <v>81</v>
      </c>
      <c r="C2833" s="38">
        <v>150000</v>
      </c>
    </row>
    <row r="2834" spans="1:3" x14ac:dyDescent="0.3">
      <c r="A2834" s="37" t="s">
        <v>128</v>
      </c>
      <c r="B2834" s="37" t="s">
        <v>53</v>
      </c>
      <c r="C2834" s="38">
        <v>116700</v>
      </c>
    </row>
    <row r="2835" spans="1:3" x14ac:dyDescent="0.3">
      <c r="A2835" s="37" t="s">
        <v>128</v>
      </c>
      <c r="B2835" s="37" t="s">
        <v>53</v>
      </c>
      <c r="C2835" s="38">
        <v>145000</v>
      </c>
    </row>
    <row r="2836" spans="1:3" x14ac:dyDescent="0.3">
      <c r="A2836" s="37" t="s">
        <v>128</v>
      </c>
      <c r="B2836" s="37" t="s">
        <v>53</v>
      </c>
      <c r="C2836" s="38">
        <v>173000</v>
      </c>
    </row>
    <row r="2837" spans="1:3" x14ac:dyDescent="0.3">
      <c r="A2837" s="37" t="s">
        <v>128</v>
      </c>
      <c r="B2837" s="37" t="s">
        <v>53</v>
      </c>
      <c r="C2837" s="38">
        <v>135000</v>
      </c>
    </row>
    <row r="2838" spans="1:3" x14ac:dyDescent="0.3">
      <c r="A2838" s="37" t="s">
        <v>128</v>
      </c>
      <c r="B2838" s="37" t="s">
        <v>53</v>
      </c>
      <c r="C2838" s="38"/>
    </row>
    <row r="2839" spans="1:3" x14ac:dyDescent="0.3">
      <c r="A2839" s="37" t="s">
        <v>128</v>
      </c>
      <c r="B2839" s="37" t="s">
        <v>53</v>
      </c>
      <c r="C2839" s="38">
        <v>160000</v>
      </c>
    </row>
    <row r="2840" spans="1:3" x14ac:dyDescent="0.3">
      <c r="A2840" s="37" t="s">
        <v>128</v>
      </c>
      <c r="B2840" s="37" t="s">
        <v>53</v>
      </c>
      <c r="C2840" s="38">
        <v>161000</v>
      </c>
    </row>
    <row r="2841" spans="1:3" x14ac:dyDescent="0.3">
      <c r="A2841" s="37" t="s">
        <v>128</v>
      </c>
      <c r="B2841" s="37" t="s">
        <v>53</v>
      </c>
      <c r="C2841" s="38">
        <v>140000</v>
      </c>
    </row>
    <row r="2842" spans="1:3" x14ac:dyDescent="0.3">
      <c r="A2842" s="37" t="s">
        <v>128</v>
      </c>
      <c r="B2842" s="37" t="s">
        <v>54</v>
      </c>
      <c r="C2842" s="38">
        <v>165000</v>
      </c>
    </row>
    <row r="2843" spans="1:3" x14ac:dyDescent="0.3">
      <c r="A2843" s="37" t="s">
        <v>128</v>
      </c>
      <c r="B2843" s="37" t="s">
        <v>53</v>
      </c>
      <c r="C2843" s="38">
        <v>160000</v>
      </c>
    </row>
    <row r="2844" spans="1:3" x14ac:dyDescent="0.3">
      <c r="A2844" s="37" t="s">
        <v>128</v>
      </c>
      <c r="B2844" s="37" t="s">
        <v>97</v>
      </c>
      <c r="C2844" s="38">
        <v>157500</v>
      </c>
    </row>
    <row r="2845" spans="1:3" x14ac:dyDescent="0.3">
      <c r="A2845" s="37" t="s">
        <v>128</v>
      </c>
      <c r="B2845" s="37" t="s">
        <v>53</v>
      </c>
      <c r="C2845" s="38"/>
    </row>
    <row r="2846" spans="1:3" x14ac:dyDescent="0.3">
      <c r="A2846" s="37" t="s">
        <v>128</v>
      </c>
      <c r="B2846" s="37" t="s">
        <v>53</v>
      </c>
      <c r="C2846" s="38">
        <v>145000</v>
      </c>
    </row>
    <row r="2847" spans="1:3" x14ac:dyDescent="0.3">
      <c r="A2847" s="37" t="s">
        <v>128</v>
      </c>
      <c r="B2847" s="37" t="s">
        <v>53</v>
      </c>
      <c r="C2847" s="38">
        <v>225000</v>
      </c>
    </row>
    <row r="2848" spans="1:3" x14ac:dyDescent="0.3">
      <c r="A2848" s="37" t="s">
        <v>128</v>
      </c>
      <c r="B2848" s="37" t="s">
        <v>53</v>
      </c>
      <c r="C2848" s="38">
        <v>222589</v>
      </c>
    </row>
    <row r="2849" spans="1:3" x14ac:dyDescent="0.3">
      <c r="A2849" s="37" t="s">
        <v>128</v>
      </c>
      <c r="B2849" s="37" t="s">
        <v>54</v>
      </c>
      <c r="C2849" s="38">
        <v>200000</v>
      </c>
    </row>
    <row r="2850" spans="1:3" x14ac:dyDescent="0.3">
      <c r="A2850" s="37" t="s">
        <v>128</v>
      </c>
      <c r="B2850" s="37" t="s">
        <v>53</v>
      </c>
      <c r="C2850" s="38">
        <v>375000</v>
      </c>
    </row>
    <row r="2851" spans="1:3" x14ac:dyDescent="0.3">
      <c r="A2851" s="37" t="s">
        <v>128</v>
      </c>
      <c r="B2851" s="37" t="s">
        <v>53</v>
      </c>
      <c r="C2851" s="38">
        <v>315000</v>
      </c>
    </row>
    <row r="2852" spans="1:3" x14ac:dyDescent="0.3">
      <c r="A2852" s="37" t="s">
        <v>128</v>
      </c>
      <c r="B2852" s="37" t="s">
        <v>79</v>
      </c>
      <c r="C2852" s="38">
        <v>79200</v>
      </c>
    </row>
    <row r="2853" spans="1:3" x14ac:dyDescent="0.3">
      <c r="A2853" s="37" t="s">
        <v>128</v>
      </c>
      <c r="B2853" s="37" t="s">
        <v>53</v>
      </c>
      <c r="C2853" s="38">
        <v>150000</v>
      </c>
    </row>
    <row r="2854" spans="1:3" x14ac:dyDescent="0.3">
      <c r="A2854" s="37" t="s">
        <v>128</v>
      </c>
      <c r="B2854" s="37" t="s">
        <v>53</v>
      </c>
      <c r="C2854" s="38">
        <v>157500</v>
      </c>
    </row>
    <row r="2855" spans="1:3" x14ac:dyDescent="0.3">
      <c r="A2855" s="37" t="s">
        <v>128</v>
      </c>
      <c r="B2855" s="37" t="s">
        <v>53</v>
      </c>
      <c r="C2855" s="38">
        <v>115000</v>
      </c>
    </row>
    <row r="2856" spans="1:3" x14ac:dyDescent="0.3">
      <c r="A2856" s="37" t="s">
        <v>128</v>
      </c>
      <c r="B2856" s="37" t="s">
        <v>72</v>
      </c>
      <c r="C2856" s="38">
        <v>130500</v>
      </c>
    </row>
    <row r="2857" spans="1:3" x14ac:dyDescent="0.3">
      <c r="A2857" s="37" t="s">
        <v>128</v>
      </c>
      <c r="B2857" s="37" t="s">
        <v>53</v>
      </c>
      <c r="C2857" s="38">
        <v>90000</v>
      </c>
    </row>
    <row r="2858" spans="1:3" x14ac:dyDescent="0.3">
      <c r="A2858" s="37" t="s">
        <v>128</v>
      </c>
      <c r="B2858" s="37" t="s">
        <v>53</v>
      </c>
      <c r="C2858" s="38">
        <v>202000</v>
      </c>
    </row>
    <row r="2859" spans="1:3" x14ac:dyDescent="0.3">
      <c r="A2859" s="37" t="s">
        <v>128</v>
      </c>
      <c r="B2859" s="37" t="s">
        <v>53</v>
      </c>
      <c r="C2859" s="38">
        <v>58500</v>
      </c>
    </row>
    <row r="2860" spans="1:3" x14ac:dyDescent="0.3">
      <c r="A2860" s="37" t="s">
        <v>128</v>
      </c>
      <c r="B2860" s="37" t="s">
        <v>53</v>
      </c>
      <c r="C2860" s="38">
        <v>172500</v>
      </c>
    </row>
    <row r="2861" spans="1:3" x14ac:dyDescent="0.3">
      <c r="A2861" s="37" t="s">
        <v>128</v>
      </c>
      <c r="B2861" s="37" t="s">
        <v>54</v>
      </c>
      <c r="C2861" s="38">
        <v>140000</v>
      </c>
    </row>
    <row r="2862" spans="1:3" x14ac:dyDescent="0.3">
      <c r="A2862" s="37" t="s">
        <v>128</v>
      </c>
      <c r="B2862" s="37" t="s">
        <v>54</v>
      </c>
      <c r="C2862" s="38">
        <v>127000</v>
      </c>
    </row>
    <row r="2863" spans="1:3" x14ac:dyDescent="0.3">
      <c r="A2863" s="37" t="s">
        <v>128</v>
      </c>
      <c r="B2863" s="37" t="s">
        <v>80</v>
      </c>
      <c r="C2863" s="38">
        <v>79200</v>
      </c>
    </row>
    <row r="2864" spans="1:3" x14ac:dyDescent="0.3">
      <c r="A2864" s="37" t="s">
        <v>128</v>
      </c>
      <c r="B2864" s="37" t="s">
        <v>98</v>
      </c>
      <c r="C2864" s="38">
        <v>72900</v>
      </c>
    </row>
    <row r="2865" spans="1:3" x14ac:dyDescent="0.3">
      <c r="A2865" s="37" t="s">
        <v>128</v>
      </c>
      <c r="B2865" s="37" t="s">
        <v>53</v>
      </c>
      <c r="C2865" s="38">
        <v>125000</v>
      </c>
    </row>
    <row r="2866" spans="1:3" x14ac:dyDescent="0.3">
      <c r="A2866" s="37" t="s">
        <v>128</v>
      </c>
      <c r="B2866" s="37" t="s">
        <v>97</v>
      </c>
      <c r="C2866" s="38">
        <v>89100</v>
      </c>
    </row>
    <row r="2867" spans="1:3" x14ac:dyDescent="0.3">
      <c r="A2867" s="37" t="s">
        <v>128</v>
      </c>
      <c r="B2867" s="37" t="s">
        <v>110</v>
      </c>
      <c r="C2867" s="38">
        <v>157500</v>
      </c>
    </row>
    <row r="2868" spans="1:3" x14ac:dyDescent="0.3">
      <c r="A2868" s="37" t="s">
        <v>128</v>
      </c>
      <c r="B2868" s="37" t="s">
        <v>53</v>
      </c>
      <c r="C2868" s="38"/>
    </row>
    <row r="2869" spans="1:3" x14ac:dyDescent="0.3">
      <c r="A2869" s="37" t="s">
        <v>128</v>
      </c>
      <c r="B2869" s="37" t="s">
        <v>53</v>
      </c>
      <c r="C2869" s="38">
        <v>215000</v>
      </c>
    </row>
    <row r="2870" spans="1:3" x14ac:dyDescent="0.3">
      <c r="A2870" s="37" t="s">
        <v>128</v>
      </c>
      <c r="B2870" s="37" t="s">
        <v>54</v>
      </c>
      <c r="C2870" s="38"/>
    </row>
    <row r="2871" spans="1:3" x14ac:dyDescent="0.3">
      <c r="A2871" s="37" t="s">
        <v>128</v>
      </c>
      <c r="B2871" s="37" t="s">
        <v>53</v>
      </c>
      <c r="C2871" s="38">
        <v>165000</v>
      </c>
    </row>
    <row r="2872" spans="1:3" x14ac:dyDescent="0.3">
      <c r="A2872" s="37" t="s">
        <v>128</v>
      </c>
      <c r="B2872" s="37" t="s">
        <v>53</v>
      </c>
      <c r="C2872" s="38">
        <v>185000</v>
      </c>
    </row>
    <row r="2873" spans="1:3" x14ac:dyDescent="0.3">
      <c r="A2873" s="37" t="s">
        <v>128</v>
      </c>
      <c r="B2873" s="37" t="s">
        <v>53</v>
      </c>
      <c r="C2873" s="38">
        <v>115000</v>
      </c>
    </row>
    <row r="2874" spans="1:3" x14ac:dyDescent="0.3">
      <c r="A2874" s="37" t="s">
        <v>128</v>
      </c>
      <c r="B2874" s="37" t="s">
        <v>53</v>
      </c>
      <c r="C2874" s="38">
        <v>157500</v>
      </c>
    </row>
    <row r="2875" spans="1:3" x14ac:dyDescent="0.3">
      <c r="A2875" s="37" t="s">
        <v>128</v>
      </c>
      <c r="B2875" s="37" t="s">
        <v>87</v>
      </c>
      <c r="C2875" s="38">
        <v>89100</v>
      </c>
    </row>
    <row r="2876" spans="1:3" x14ac:dyDescent="0.3">
      <c r="A2876" s="37" t="s">
        <v>128</v>
      </c>
      <c r="B2876" s="37" t="s">
        <v>65</v>
      </c>
      <c r="C2876" s="38">
        <v>56700</v>
      </c>
    </row>
    <row r="2877" spans="1:3" x14ac:dyDescent="0.3">
      <c r="A2877" s="37" t="s">
        <v>128</v>
      </c>
      <c r="B2877" s="37" t="s">
        <v>81</v>
      </c>
      <c r="C2877" s="38">
        <v>157000</v>
      </c>
    </row>
    <row r="2878" spans="1:3" x14ac:dyDescent="0.3">
      <c r="A2878" s="37" t="s">
        <v>128</v>
      </c>
      <c r="B2878" s="37" t="s">
        <v>53</v>
      </c>
      <c r="C2878" s="38"/>
    </row>
    <row r="2879" spans="1:3" x14ac:dyDescent="0.3">
      <c r="A2879" s="37" t="s">
        <v>128</v>
      </c>
      <c r="B2879" s="37" t="s">
        <v>54</v>
      </c>
      <c r="C2879" s="38">
        <v>126000</v>
      </c>
    </row>
    <row r="2880" spans="1:3" x14ac:dyDescent="0.3">
      <c r="A2880" s="37" t="s">
        <v>128</v>
      </c>
      <c r="B2880" s="37" t="s">
        <v>53</v>
      </c>
      <c r="C2880" s="38"/>
    </row>
    <row r="2881" spans="1:3" x14ac:dyDescent="0.3">
      <c r="A2881" s="37" t="s">
        <v>128</v>
      </c>
      <c r="B2881" s="37" t="s">
        <v>53</v>
      </c>
      <c r="C2881" s="38">
        <v>220500</v>
      </c>
    </row>
    <row r="2882" spans="1:3" x14ac:dyDescent="0.3">
      <c r="A2882" s="37" t="s">
        <v>128</v>
      </c>
      <c r="B2882" s="37" t="s">
        <v>53</v>
      </c>
      <c r="C2882" s="38">
        <v>157500</v>
      </c>
    </row>
    <row r="2883" spans="1:3" x14ac:dyDescent="0.3">
      <c r="A2883" s="37" t="s">
        <v>128</v>
      </c>
      <c r="B2883" s="37" t="s">
        <v>53</v>
      </c>
      <c r="C2883" s="38"/>
    </row>
    <row r="2884" spans="1:3" x14ac:dyDescent="0.3">
      <c r="A2884" s="37" t="s">
        <v>128</v>
      </c>
      <c r="B2884" s="37" t="s">
        <v>53</v>
      </c>
      <c r="C2884" s="38">
        <v>157500</v>
      </c>
    </row>
    <row r="2885" spans="1:3" x14ac:dyDescent="0.3">
      <c r="A2885" s="37" t="s">
        <v>128</v>
      </c>
      <c r="B2885" s="37" t="s">
        <v>53</v>
      </c>
      <c r="C2885" s="38">
        <v>177500</v>
      </c>
    </row>
    <row r="2886" spans="1:3" x14ac:dyDescent="0.3">
      <c r="A2886" s="37" t="s">
        <v>128</v>
      </c>
      <c r="B2886" s="37" t="s">
        <v>53</v>
      </c>
      <c r="C2886" s="38">
        <v>157500</v>
      </c>
    </row>
    <row r="2887" spans="1:3" x14ac:dyDescent="0.3">
      <c r="A2887" s="37" t="s">
        <v>128</v>
      </c>
      <c r="B2887" s="37" t="s">
        <v>53</v>
      </c>
      <c r="C2887" s="38">
        <v>135000</v>
      </c>
    </row>
    <row r="2888" spans="1:3" x14ac:dyDescent="0.3">
      <c r="A2888" s="37" t="s">
        <v>128</v>
      </c>
      <c r="B2888" s="37" t="s">
        <v>53</v>
      </c>
      <c r="C2888" s="38">
        <v>90000</v>
      </c>
    </row>
    <row r="2889" spans="1:3" x14ac:dyDescent="0.3">
      <c r="A2889" s="37" t="s">
        <v>128</v>
      </c>
      <c r="B2889" s="37" t="s">
        <v>53</v>
      </c>
      <c r="C2889" s="38">
        <v>160000</v>
      </c>
    </row>
    <row r="2890" spans="1:3" x14ac:dyDescent="0.3">
      <c r="A2890" s="37" t="s">
        <v>128</v>
      </c>
      <c r="B2890" s="37" t="s">
        <v>53</v>
      </c>
      <c r="C2890" s="38">
        <v>157500</v>
      </c>
    </row>
    <row r="2891" spans="1:3" x14ac:dyDescent="0.3">
      <c r="A2891" s="37" t="s">
        <v>128</v>
      </c>
      <c r="B2891" s="37" t="s">
        <v>54</v>
      </c>
      <c r="C2891" s="38">
        <v>157500</v>
      </c>
    </row>
    <row r="2892" spans="1:3" x14ac:dyDescent="0.3">
      <c r="A2892" s="37" t="s">
        <v>128</v>
      </c>
      <c r="B2892" s="37" t="s">
        <v>73</v>
      </c>
      <c r="C2892" s="38">
        <v>157500</v>
      </c>
    </row>
    <row r="2893" spans="1:3" x14ac:dyDescent="0.3">
      <c r="A2893" s="37" t="s">
        <v>128</v>
      </c>
      <c r="B2893" s="37" t="s">
        <v>53</v>
      </c>
      <c r="C2893" s="38">
        <v>186960</v>
      </c>
    </row>
    <row r="2894" spans="1:3" x14ac:dyDescent="0.3">
      <c r="A2894" s="37" t="s">
        <v>128</v>
      </c>
      <c r="B2894" s="37" t="s">
        <v>53</v>
      </c>
      <c r="C2894" s="38"/>
    </row>
    <row r="2895" spans="1:3" x14ac:dyDescent="0.3">
      <c r="A2895" s="37" t="s">
        <v>128</v>
      </c>
      <c r="B2895" s="37" t="s">
        <v>110</v>
      </c>
      <c r="C2895" s="38">
        <v>157500</v>
      </c>
    </row>
    <row r="2896" spans="1:3" x14ac:dyDescent="0.3">
      <c r="A2896" s="37" t="s">
        <v>128</v>
      </c>
      <c r="B2896" s="37" t="s">
        <v>53</v>
      </c>
      <c r="C2896" s="38">
        <v>90000</v>
      </c>
    </row>
    <row r="2897" spans="1:3" x14ac:dyDescent="0.3">
      <c r="A2897" s="37" t="s">
        <v>128</v>
      </c>
      <c r="B2897" s="37" t="s">
        <v>53</v>
      </c>
      <c r="C2897" s="38">
        <v>155000</v>
      </c>
    </row>
    <row r="2898" spans="1:3" x14ac:dyDescent="0.3">
      <c r="A2898" s="37" t="s">
        <v>128</v>
      </c>
      <c r="B2898" s="37" t="s">
        <v>53</v>
      </c>
      <c r="C2898" s="38">
        <v>150000</v>
      </c>
    </row>
    <row r="2899" spans="1:3" x14ac:dyDescent="0.3">
      <c r="A2899" s="37" t="s">
        <v>128</v>
      </c>
      <c r="B2899" s="37" t="s">
        <v>53</v>
      </c>
      <c r="C2899" s="38">
        <v>125500</v>
      </c>
    </row>
    <row r="2900" spans="1:3" x14ac:dyDescent="0.3">
      <c r="A2900" s="37" t="s">
        <v>128</v>
      </c>
      <c r="B2900" s="37" t="s">
        <v>53</v>
      </c>
      <c r="C2900" s="38">
        <v>125000</v>
      </c>
    </row>
    <row r="2901" spans="1:3" x14ac:dyDescent="0.3">
      <c r="A2901" s="37" t="s">
        <v>128</v>
      </c>
      <c r="B2901" s="37" t="s">
        <v>92</v>
      </c>
      <c r="C2901" s="38">
        <v>88128</v>
      </c>
    </row>
    <row r="2902" spans="1:3" x14ac:dyDescent="0.3">
      <c r="A2902" s="37" t="s">
        <v>128</v>
      </c>
      <c r="B2902" s="37" t="s">
        <v>69</v>
      </c>
      <c r="C2902" s="38">
        <v>157500</v>
      </c>
    </row>
    <row r="2903" spans="1:3" x14ac:dyDescent="0.3">
      <c r="A2903" s="37" t="s">
        <v>128</v>
      </c>
      <c r="B2903" s="37" t="s">
        <v>53</v>
      </c>
      <c r="C2903" s="38">
        <v>150000</v>
      </c>
    </row>
    <row r="2904" spans="1:3" x14ac:dyDescent="0.3">
      <c r="A2904" s="37" t="s">
        <v>128</v>
      </c>
      <c r="B2904" s="37" t="s">
        <v>54</v>
      </c>
      <c r="C2904" s="38">
        <v>113450</v>
      </c>
    </row>
    <row r="2905" spans="1:3" x14ac:dyDescent="0.3">
      <c r="A2905" s="37" t="s">
        <v>128</v>
      </c>
      <c r="B2905" s="37" t="s">
        <v>53</v>
      </c>
      <c r="C2905" s="38">
        <v>160000</v>
      </c>
    </row>
    <row r="2906" spans="1:3" x14ac:dyDescent="0.3">
      <c r="A2906" s="37" t="s">
        <v>128</v>
      </c>
      <c r="B2906" s="37" t="s">
        <v>53</v>
      </c>
      <c r="C2906" s="38">
        <v>185000</v>
      </c>
    </row>
    <row r="2907" spans="1:3" x14ac:dyDescent="0.3">
      <c r="A2907" s="37" t="s">
        <v>128</v>
      </c>
      <c r="B2907" s="37" t="s">
        <v>53</v>
      </c>
      <c r="C2907" s="38">
        <v>125000</v>
      </c>
    </row>
    <row r="2908" spans="1:3" x14ac:dyDescent="0.3">
      <c r="A2908" s="37" t="s">
        <v>128</v>
      </c>
      <c r="B2908" s="37" t="s">
        <v>53</v>
      </c>
      <c r="C2908" s="38"/>
    </row>
    <row r="2909" spans="1:3" x14ac:dyDescent="0.3">
      <c r="A2909" s="37" t="s">
        <v>128</v>
      </c>
      <c r="B2909" s="37" t="s">
        <v>54</v>
      </c>
      <c r="C2909" s="38">
        <v>98856</v>
      </c>
    </row>
    <row r="2910" spans="1:3" x14ac:dyDescent="0.3">
      <c r="A2910" s="37" t="s">
        <v>128</v>
      </c>
      <c r="B2910" s="37" t="s">
        <v>53</v>
      </c>
      <c r="C2910" s="38">
        <v>181950</v>
      </c>
    </row>
    <row r="2911" spans="1:3" x14ac:dyDescent="0.3">
      <c r="A2911" s="37" t="s">
        <v>128</v>
      </c>
      <c r="B2911" s="37" t="s">
        <v>53</v>
      </c>
      <c r="C2911" s="38">
        <v>211511</v>
      </c>
    </row>
    <row r="2912" spans="1:3" x14ac:dyDescent="0.3">
      <c r="A2912" s="37" t="s">
        <v>128</v>
      </c>
      <c r="B2912" s="37" t="s">
        <v>93</v>
      </c>
      <c r="C2912" s="38">
        <v>75000</v>
      </c>
    </row>
    <row r="2913" spans="1:3" x14ac:dyDescent="0.3">
      <c r="A2913" s="37" t="s">
        <v>128</v>
      </c>
      <c r="B2913" s="37" t="s">
        <v>53</v>
      </c>
      <c r="C2913" s="38"/>
    </row>
    <row r="2914" spans="1:3" x14ac:dyDescent="0.3">
      <c r="A2914" s="37" t="s">
        <v>128</v>
      </c>
      <c r="B2914" s="37" t="s">
        <v>124</v>
      </c>
      <c r="C2914" s="38">
        <v>79200</v>
      </c>
    </row>
    <row r="2915" spans="1:3" x14ac:dyDescent="0.3">
      <c r="A2915" s="37" t="s">
        <v>128</v>
      </c>
      <c r="B2915" s="37" t="s">
        <v>53</v>
      </c>
      <c r="C2915" s="38">
        <v>152650</v>
      </c>
    </row>
    <row r="2916" spans="1:3" x14ac:dyDescent="0.3">
      <c r="A2916" s="37" t="s">
        <v>128</v>
      </c>
      <c r="B2916" s="37" t="s">
        <v>53</v>
      </c>
      <c r="C2916" s="38">
        <v>245000</v>
      </c>
    </row>
    <row r="2917" spans="1:3" x14ac:dyDescent="0.3">
      <c r="A2917" s="37" t="s">
        <v>128</v>
      </c>
      <c r="B2917" s="37" t="s">
        <v>90</v>
      </c>
      <c r="C2917" s="38">
        <v>79200</v>
      </c>
    </row>
    <row r="2918" spans="1:3" x14ac:dyDescent="0.3">
      <c r="A2918" s="37" t="s">
        <v>128</v>
      </c>
      <c r="B2918" s="37" t="s">
        <v>53</v>
      </c>
      <c r="C2918" s="38">
        <v>205000</v>
      </c>
    </row>
    <row r="2919" spans="1:3" x14ac:dyDescent="0.3">
      <c r="A2919" s="37" t="s">
        <v>128</v>
      </c>
      <c r="B2919" s="37" t="s">
        <v>53</v>
      </c>
      <c r="C2919" s="38">
        <v>183000</v>
      </c>
    </row>
    <row r="2920" spans="1:3" x14ac:dyDescent="0.3">
      <c r="A2920" s="37" t="s">
        <v>128</v>
      </c>
      <c r="B2920" s="37" t="s">
        <v>53</v>
      </c>
      <c r="C2920" s="38">
        <v>239080</v>
      </c>
    </row>
    <row r="2921" spans="1:3" x14ac:dyDescent="0.3">
      <c r="A2921" s="37" t="s">
        <v>128</v>
      </c>
      <c r="B2921" s="37" t="s">
        <v>53</v>
      </c>
      <c r="C2921" s="38">
        <v>242597</v>
      </c>
    </row>
    <row r="2922" spans="1:3" x14ac:dyDescent="0.3">
      <c r="A2922" s="37" t="s">
        <v>128</v>
      </c>
      <c r="B2922" s="37" t="s">
        <v>54</v>
      </c>
      <c r="C2922" s="38">
        <v>175000</v>
      </c>
    </row>
    <row r="2923" spans="1:3" x14ac:dyDescent="0.3">
      <c r="A2923" s="37" t="s">
        <v>128</v>
      </c>
      <c r="B2923" s="37" t="s">
        <v>54</v>
      </c>
      <c r="C2923" s="38">
        <v>90000</v>
      </c>
    </row>
    <row r="2924" spans="1:3" x14ac:dyDescent="0.3">
      <c r="A2924" s="37" t="s">
        <v>128</v>
      </c>
      <c r="B2924" s="37" t="s">
        <v>53</v>
      </c>
      <c r="C2924" s="38">
        <v>176500</v>
      </c>
    </row>
    <row r="2925" spans="1:3" x14ac:dyDescent="0.3">
      <c r="A2925" s="37" t="s">
        <v>128</v>
      </c>
      <c r="B2925" s="37" t="s">
        <v>53</v>
      </c>
      <c r="C2925" s="38">
        <v>150000</v>
      </c>
    </row>
    <row r="2926" spans="1:3" x14ac:dyDescent="0.3">
      <c r="A2926" s="37" t="s">
        <v>128</v>
      </c>
      <c r="B2926" s="37" t="s">
        <v>54</v>
      </c>
      <c r="C2926" s="38">
        <v>165000</v>
      </c>
    </row>
    <row r="2927" spans="1:3" x14ac:dyDescent="0.3">
      <c r="A2927" s="37" t="s">
        <v>128</v>
      </c>
      <c r="B2927" s="37" t="s">
        <v>72</v>
      </c>
      <c r="C2927" s="38">
        <v>157500</v>
      </c>
    </row>
    <row r="2928" spans="1:3" x14ac:dyDescent="0.3">
      <c r="A2928" s="37" t="s">
        <v>128</v>
      </c>
      <c r="B2928" s="37" t="s">
        <v>72</v>
      </c>
      <c r="C2928" s="38">
        <v>157500</v>
      </c>
    </row>
    <row r="2929" spans="1:3" x14ac:dyDescent="0.3">
      <c r="A2929" s="37" t="s">
        <v>128</v>
      </c>
      <c r="B2929" s="37" t="s">
        <v>53</v>
      </c>
      <c r="C2929" s="38">
        <v>135000</v>
      </c>
    </row>
    <row r="2930" spans="1:3" x14ac:dyDescent="0.3">
      <c r="A2930" s="37" t="s">
        <v>128</v>
      </c>
      <c r="B2930" s="37" t="s">
        <v>54</v>
      </c>
      <c r="C2930" s="38">
        <v>165000</v>
      </c>
    </row>
    <row r="2931" spans="1:3" x14ac:dyDescent="0.3">
      <c r="A2931" s="37" t="s">
        <v>128</v>
      </c>
      <c r="B2931" s="37" t="s">
        <v>72</v>
      </c>
      <c r="C2931" s="38">
        <v>157500</v>
      </c>
    </row>
    <row r="2932" spans="1:3" x14ac:dyDescent="0.3">
      <c r="A2932" s="37" t="s">
        <v>128</v>
      </c>
      <c r="B2932" s="37" t="s">
        <v>53</v>
      </c>
      <c r="C2932" s="38">
        <v>155000</v>
      </c>
    </row>
    <row r="2933" spans="1:3" x14ac:dyDescent="0.3">
      <c r="A2933" s="37" t="s">
        <v>128</v>
      </c>
      <c r="B2933" s="37" t="s">
        <v>53</v>
      </c>
      <c r="C2933" s="38">
        <v>222589</v>
      </c>
    </row>
    <row r="2934" spans="1:3" x14ac:dyDescent="0.3">
      <c r="A2934" s="37" t="s">
        <v>128</v>
      </c>
      <c r="B2934" s="37" t="s">
        <v>53</v>
      </c>
      <c r="C2934" s="38">
        <v>125000</v>
      </c>
    </row>
    <row r="2935" spans="1:3" x14ac:dyDescent="0.3">
      <c r="A2935" s="37" t="s">
        <v>128</v>
      </c>
      <c r="B2935" s="37" t="s">
        <v>53</v>
      </c>
      <c r="C2935" s="38">
        <v>125000</v>
      </c>
    </row>
    <row r="2936" spans="1:3" x14ac:dyDescent="0.3">
      <c r="A2936" s="37" t="s">
        <v>128</v>
      </c>
      <c r="B2936" s="37" t="s">
        <v>53</v>
      </c>
      <c r="C2936" s="38">
        <v>180000</v>
      </c>
    </row>
    <row r="2937" spans="1:3" x14ac:dyDescent="0.3">
      <c r="A2937" s="37" t="s">
        <v>128</v>
      </c>
      <c r="B2937" s="37" t="s">
        <v>53</v>
      </c>
      <c r="C2937" s="38"/>
    </row>
    <row r="2938" spans="1:3" x14ac:dyDescent="0.3">
      <c r="A2938" s="37" t="s">
        <v>128</v>
      </c>
      <c r="B2938" s="37" t="s">
        <v>53</v>
      </c>
      <c r="C2938" s="38"/>
    </row>
    <row r="2939" spans="1:3" x14ac:dyDescent="0.3">
      <c r="A2939" s="37" t="s">
        <v>128</v>
      </c>
      <c r="B2939" s="37" t="s">
        <v>87</v>
      </c>
      <c r="C2939" s="38">
        <v>89100</v>
      </c>
    </row>
    <row r="2940" spans="1:3" x14ac:dyDescent="0.3">
      <c r="A2940" s="37" t="s">
        <v>128</v>
      </c>
      <c r="B2940" s="37" t="s">
        <v>53</v>
      </c>
      <c r="C2940" s="38">
        <v>170000</v>
      </c>
    </row>
    <row r="2941" spans="1:3" x14ac:dyDescent="0.3">
      <c r="A2941" s="37" t="s">
        <v>128</v>
      </c>
      <c r="B2941" s="37" t="s">
        <v>53</v>
      </c>
      <c r="C2941" s="38">
        <v>157500</v>
      </c>
    </row>
    <row r="2942" spans="1:3" x14ac:dyDescent="0.3">
      <c r="A2942" s="37" t="s">
        <v>128</v>
      </c>
      <c r="B2942" s="37" t="s">
        <v>54</v>
      </c>
      <c r="C2942" s="38">
        <v>135000</v>
      </c>
    </row>
    <row r="2943" spans="1:3" x14ac:dyDescent="0.3">
      <c r="A2943" s="37" t="s">
        <v>128</v>
      </c>
      <c r="B2943" s="37" t="s">
        <v>53</v>
      </c>
      <c r="C2943" s="38">
        <v>167500</v>
      </c>
    </row>
    <row r="2944" spans="1:3" x14ac:dyDescent="0.3">
      <c r="A2944" s="37" t="s">
        <v>128</v>
      </c>
      <c r="B2944" s="37" t="s">
        <v>54</v>
      </c>
      <c r="C2944" s="38"/>
    </row>
    <row r="2945" spans="1:3" x14ac:dyDescent="0.3">
      <c r="A2945" s="37" t="s">
        <v>128</v>
      </c>
      <c r="B2945" s="37" t="s">
        <v>54</v>
      </c>
      <c r="C2945" s="38">
        <v>140000</v>
      </c>
    </row>
    <row r="2946" spans="1:3" x14ac:dyDescent="0.3">
      <c r="A2946" s="37" t="s">
        <v>128</v>
      </c>
      <c r="B2946" s="37" t="s">
        <v>53</v>
      </c>
      <c r="C2946" s="38">
        <v>107500</v>
      </c>
    </row>
    <row r="2947" spans="1:3" x14ac:dyDescent="0.3">
      <c r="A2947" s="37" t="s">
        <v>128</v>
      </c>
      <c r="B2947" s="37" t="s">
        <v>53</v>
      </c>
      <c r="C2947" s="38">
        <v>90000</v>
      </c>
    </row>
    <row r="2948" spans="1:3" x14ac:dyDescent="0.3">
      <c r="A2948" s="37" t="s">
        <v>128</v>
      </c>
      <c r="B2948" s="37" t="s">
        <v>53</v>
      </c>
      <c r="C2948" s="38">
        <v>131900</v>
      </c>
    </row>
    <row r="2949" spans="1:3" x14ac:dyDescent="0.3">
      <c r="A2949" s="37" t="s">
        <v>128</v>
      </c>
      <c r="B2949" s="37" t="s">
        <v>53</v>
      </c>
      <c r="C2949" s="38">
        <v>150000</v>
      </c>
    </row>
    <row r="2950" spans="1:3" x14ac:dyDescent="0.3">
      <c r="A2950" s="37" t="s">
        <v>128</v>
      </c>
      <c r="B2950" s="37" t="s">
        <v>53</v>
      </c>
      <c r="C2950" s="38">
        <v>158500</v>
      </c>
    </row>
    <row r="2951" spans="1:3" x14ac:dyDescent="0.3">
      <c r="A2951" s="37" t="s">
        <v>128</v>
      </c>
      <c r="B2951" s="37" t="s">
        <v>53</v>
      </c>
      <c r="C2951" s="38"/>
    </row>
    <row r="2952" spans="1:3" x14ac:dyDescent="0.3">
      <c r="A2952" s="37" t="s">
        <v>128</v>
      </c>
      <c r="B2952" s="37" t="s">
        <v>53</v>
      </c>
      <c r="C2952" s="38">
        <v>153000</v>
      </c>
    </row>
    <row r="2953" spans="1:3" x14ac:dyDescent="0.3">
      <c r="A2953" s="37" t="s">
        <v>128</v>
      </c>
      <c r="B2953" s="37" t="s">
        <v>54</v>
      </c>
      <c r="C2953" s="38">
        <v>157500</v>
      </c>
    </row>
    <row r="2954" spans="1:3" x14ac:dyDescent="0.3">
      <c r="A2954" s="37" t="s">
        <v>128</v>
      </c>
      <c r="B2954" s="37" t="s">
        <v>53</v>
      </c>
      <c r="C2954" s="38">
        <v>145000</v>
      </c>
    </row>
    <row r="2955" spans="1:3" x14ac:dyDescent="0.3">
      <c r="A2955" s="37" t="s">
        <v>128</v>
      </c>
      <c r="B2955" s="37" t="s">
        <v>53</v>
      </c>
      <c r="C2955" s="38">
        <v>212500</v>
      </c>
    </row>
    <row r="2956" spans="1:3" x14ac:dyDescent="0.3">
      <c r="A2956" s="37" t="s">
        <v>128</v>
      </c>
      <c r="B2956" s="37" t="s">
        <v>53</v>
      </c>
      <c r="C2956" s="38"/>
    </row>
    <row r="2957" spans="1:3" x14ac:dyDescent="0.3">
      <c r="A2957" s="37" t="s">
        <v>128</v>
      </c>
      <c r="B2957" s="37" t="s">
        <v>53</v>
      </c>
      <c r="C2957" s="38">
        <v>90000</v>
      </c>
    </row>
    <row r="2958" spans="1:3" x14ac:dyDescent="0.3">
      <c r="A2958" s="37" t="s">
        <v>128</v>
      </c>
      <c r="B2958" s="37" t="s">
        <v>53</v>
      </c>
      <c r="C2958" s="38">
        <v>200000</v>
      </c>
    </row>
    <row r="2959" spans="1:3" x14ac:dyDescent="0.3">
      <c r="A2959" s="37" t="s">
        <v>128</v>
      </c>
      <c r="B2959" s="37" t="s">
        <v>54</v>
      </c>
      <c r="C2959" s="38">
        <v>475000</v>
      </c>
    </row>
    <row r="2960" spans="1:3" x14ac:dyDescent="0.3">
      <c r="A2960" s="37" t="s">
        <v>128</v>
      </c>
      <c r="B2960" s="37" t="s">
        <v>53</v>
      </c>
      <c r="C2960" s="38">
        <v>200000</v>
      </c>
    </row>
    <row r="2961" spans="1:3" x14ac:dyDescent="0.3">
      <c r="A2961" s="37" t="s">
        <v>128</v>
      </c>
      <c r="B2961" s="37" t="s">
        <v>53</v>
      </c>
      <c r="C2961" s="38">
        <v>154000</v>
      </c>
    </row>
    <row r="2962" spans="1:3" x14ac:dyDescent="0.3">
      <c r="A2962" s="37" t="s">
        <v>128</v>
      </c>
      <c r="B2962" s="37" t="s">
        <v>53</v>
      </c>
      <c r="C2962" s="38">
        <v>150000</v>
      </c>
    </row>
    <row r="2963" spans="1:3" x14ac:dyDescent="0.3">
      <c r="A2963" s="37" t="s">
        <v>128</v>
      </c>
      <c r="B2963" s="37" t="s">
        <v>53</v>
      </c>
      <c r="C2963" s="38"/>
    </row>
    <row r="2964" spans="1:3" x14ac:dyDescent="0.3">
      <c r="A2964" s="37" t="s">
        <v>128</v>
      </c>
      <c r="B2964" s="37" t="s">
        <v>53</v>
      </c>
      <c r="C2964" s="38">
        <v>130000</v>
      </c>
    </row>
    <row r="2965" spans="1:3" x14ac:dyDescent="0.3">
      <c r="A2965" s="37" t="s">
        <v>128</v>
      </c>
      <c r="B2965" s="37" t="s">
        <v>53</v>
      </c>
      <c r="C2965" s="38"/>
    </row>
    <row r="2966" spans="1:3" x14ac:dyDescent="0.3">
      <c r="A2966" s="37" t="s">
        <v>128</v>
      </c>
      <c r="B2966" s="37" t="s">
        <v>53</v>
      </c>
      <c r="C2966" s="38">
        <v>86150</v>
      </c>
    </row>
    <row r="2967" spans="1:3" x14ac:dyDescent="0.3">
      <c r="A2967" s="37" t="s">
        <v>128</v>
      </c>
      <c r="B2967" s="37" t="s">
        <v>53</v>
      </c>
      <c r="C2967" s="38">
        <v>177495</v>
      </c>
    </row>
    <row r="2968" spans="1:3" x14ac:dyDescent="0.3">
      <c r="A2968" s="37" t="s">
        <v>128</v>
      </c>
      <c r="B2968" s="37" t="s">
        <v>53</v>
      </c>
      <c r="C2968" s="38"/>
    </row>
    <row r="2969" spans="1:3" x14ac:dyDescent="0.3">
      <c r="A2969" s="37" t="s">
        <v>128</v>
      </c>
      <c r="B2969" s="37" t="s">
        <v>53</v>
      </c>
      <c r="C2969" s="38">
        <v>175000</v>
      </c>
    </row>
    <row r="2970" spans="1:3" x14ac:dyDescent="0.3">
      <c r="A2970" s="37" t="s">
        <v>128</v>
      </c>
      <c r="B2970" s="37" t="s">
        <v>53</v>
      </c>
      <c r="C2970" s="38">
        <v>120000</v>
      </c>
    </row>
    <row r="2971" spans="1:3" x14ac:dyDescent="0.3">
      <c r="A2971" s="37" t="s">
        <v>128</v>
      </c>
      <c r="B2971" s="37" t="s">
        <v>53</v>
      </c>
      <c r="C2971" s="38">
        <v>168000</v>
      </c>
    </row>
    <row r="2972" spans="1:3" x14ac:dyDescent="0.3">
      <c r="A2972" s="37" t="s">
        <v>128</v>
      </c>
      <c r="B2972" s="37" t="s">
        <v>53</v>
      </c>
      <c r="C2972" s="38">
        <v>245000</v>
      </c>
    </row>
    <row r="2973" spans="1:3" x14ac:dyDescent="0.3">
      <c r="A2973" s="37" t="s">
        <v>128</v>
      </c>
      <c r="B2973" s="37" t="s">
        <v>53</v>
      </c>
      <c r="C2973" s="38"/>
    </row>
    <row r="2974" spans="1:3" x14ac:dyDescent="0.3">
      <c r="A2974" s="37" t="s">
        <v>128</v>
      </c>
      <c r="B2974" s="37" t="s">
        <v>54</v>
      </c>
      <c r="C2974" s="38">
        <v>124702.53125</v>
      </c>
    </row>
    <row r="2975" spans="1:3" x14ac:dyDescent="0.3">
      <c r="A2975" s="37" t="s">
        <v>128</v>
      </c>
      <c r="B2975" s="37" t="s">
        <v>54</v>
      </c>
      <c r="C2975" s="38">
        <v>250000</v>
      </c>
    </row>
    <row r="2976" spans="1:3" x14ac:dyDescent="0.3">
      <c r="A2976" s="37" t="s">
        <v>128</v>
      </c>
      <c r="B2976" s="37" t="s">
        <v>53</v>
      </c>
      <c r="C2976" s="38">
        <v>200935.5</v>
      </c>
    </row>
    <row r="2977" spans="1:3" x14ac:dyDescent="0.3">
      <c r="A2977" s="37" t="s">
        <v>128</v>
      </c>
      <c r="B2977" s="37" t="s">
        <v>53</v>
      </c>
      <c r="C2977" s="38">
        <v>205000</v>
      </c>
    </row>
    <row r="2978" spans="1:3" x14ac:dyDescent="0.3">
      <c r="A2978" s="37" t="s">
        <v>128</v>
      </c>
      <c r="B2978" s="37" t="s">
        <v>53</v>
      </c>
      <c r="C2978" s="38">
        <v>200000</v>
      </c>
    </row>
    <row r="2979" spans="1:3" x14ac:dyDescent="0.3">
      <c r="A2979" s="37" t="s">
        <v>128</v>
      </c>
      <c r="B2979" s="37" t="s">
        <v>54</v>
      </c>
      <c r="C2979" s="38"/>
    </row>
    <row r="2980" spans="1:3" x14ac:dyDescent="0.3">
      <c r="A2980" s="37" t="s">
        <v>128</v>
      </c>
      <c r="B2980" s="37" t="s">
        <v>80</v>
      </c>
      <c r="C2980" s="38">
        <v>157500</v>
      </c>
    </row>
    <row r="2981" spans="1:3" x14ac:dyDescent="0.3">
      <c r="A2981" s="37" t="s">
        <v>128</v>
      </c>
      <c r="B2981" s="37" t="s">
        <v>54</v>
      </c>
      <c r="C2981" s="38">
        <v>105515</v>
      </c>
    </row>
    <row r="2982" spans="1:3" x14ac:dyDescent="0.3">
      <c r="A2982" s="37" t="s">
        <v>128</v>
      </c>
      <c r="B2982" s="37" t="s">
        <v>53</v>
      </c>
      <c r="C2982" s="38">
        <v>160000</v>
      </c>
    </row>
    <row r="2983" spans="1:3" x14ac:dyDescent="0.3">
      <c r="A2983" s="37" t="s">
        <v>128</v>
      </c>
      <c r="B2983" s="37" t="s">
        <v>53</v>
      </c>
      <c r="C2983" s="38">
        <v>175000</v>
      </c>
    </row>
    <row r="2984" spans="1:3" x14ac:dyDescent="0.3">
      <c r="A2984" s="37" t="s">
        <v>128</v>
      </c>
      <c r="B2984" s="37" t="s">
        <v>53</v>
      </c>
      <c r="C2984" s="38">
        <v>126000</v>
      </c>
    </row>
    <row r="2985" spans="1:3" x14ac:dyDescent="0.3">
      <c r="A2985" s="37" t="s">
        <v>128</v>
      </c>
      <c r="B2985" s="37" t="s">
        <v>54</v>
      </c>
      <c r="C2985" s="38"/>
    </row>
    <row r="2986" spans="1:3" x14ac:dyDescent="0.3">
      <c r="A2986" s="37" t="s">
        <v>128</v>
      </c>
      <c r="B2986" s="37" t="s">
        <v>53</v>
      </c>
      <c r="C2986" s="38">
        <v>90000</v>
      </c>
    </row>
    <row r="2987" spans="1:3" x14ac:dyDescent="0.3">
      <c r="A2987" s="37" t="s">
        <v>128</v>
      </c>
      <c r="B2987" s="37" t="s">
        <v>53</v>
      </c>
      <c r="C2987" s="38">
        <v>112500</v>
      </c>
    </row>
    <row r="2988" spans="1:3" x14ac:dyDescent="0.3">
      <c r="A2988" s="37" t="s">
        <v>128</v>
      </c>
      <c r="B2988" s="37" t="s">
        <v>73</v>
      </c>
      <c r="C2988" s="38">
        <v>157500</v>
      </c>
    </row>
    <row r="2989" spans="1:3" x14ac:dyDescent="0.3">
      <c r="A2989" s="37" t="s">
        <v>128</v>
      </c>
      <c r="B2989" s="37" t="s">
        <v>53</v>
      </c>
      <c r="C2989" s="38">
        <v>90000</v>
      </c>
    </row>
    <row r="2990" spans="1:3" x14ac:dyDescent="0.3">
      <c r="A2990" s="37" t="s">
        <v>128</v>
      </c>
      <c r="B2990" s="37" t="s">
        <v>53</v>
      </c>
      <c r="C2990" s="38">
        <v>150000</v>
      </c>
    </row>
    <row r="2991" spans="1:3" x14ac:dyDescent="0.3">
      <c r="A2991" s="37" t="s">
        <v>128</v>
      </c>
      <c r="B2991" s="37" t="s">
        <v>53</v>
      </c>
      <c r="C2991" s="38">
        <v>215000</v>
      </c>
    </row>
    <row r="2992" spans="1:3" x14ac:dyDescent="0.3">
      <c r="A2992" s="37" t="s">
        <v>128</v>
      </c>
      <c r="B2992" s="37" t="s">
        <v>53</v>
      </c>
      <c r="C2992" s="38">
        <v>115000</v>
      </c>
    </row>
    <row r="2993" spans="1:3" x14ac:dyDescent="0.3">
      <c r="A2993" s="37" t="s">
        <v>128</v>
      </c>
      <c r="B2993" s="37" t="s">
        <v>88</v>
      </c>
      <c r="C2993" s="38">
        <v>79200</v>
      </c>
    </row>
    <row r="2994" spans="1:3" x14ac:dyDescent="0.3">
      <c r="A2994" s="37" t="s">
        <v>128</v>
      </c>
      <c r="B2994" s="37" t="s">
        <v>53</v>
      </c>
      <c r="C2994" s="38">
        <v>90000</v>
      </c>
    </row>
    <row r="2995" spans="1:3" x14ac:dyDescent="0.3">
      <c r="A2995" s="37" t="s">
        <v>128</v>
      </c>
      <c r="B2995" s="37" t="s">
        <v>53</v>
      </c>
      <c r="C2995" s="38">
        <v>90000</v>
      </c>
    </row>
    <row r="2996" spans="1:3" x14ac:dyDescent="0.3">
      <c r="A2996" s="37" t="s">
        <v>128</v>
      </c>
      <c r="B2996" s="37" t="s">
        <v>54</v>
      </c>
      <c r="C2996" s="38">
        <v>150000</v>
      </c>
    </row>
    <row r="2997" spans="1:3" x14ac:dyDescent="0.3">
      <c r="A2997" s="37" t="s">
        <v>128</v>
      </c>
      <c r="B2997" s="37" t="s">
        <v>53</v>
      </c>
      <c r="C2997" s="38">
        <v>157500</v>
      </c>
    </row>
    <row r="2998" spans="1:3" x14ac:dyDescent="0.3">
      <c r="A2998" s="37" t="s">
        <v>128</v>
      </c>
      <c r="B2998" s="37" t="s">
        <v>72</v>
      </c>
      <c r="C2998" s="38">
        <v>105300</v>
      </c>
    </row>
    <row r="2999" spans="1:3" x14ac:dyDescent="0.3">
      <c r="A2999" s="37" t="s">
        <v>128</v>
      </c>
      <c r="B2999" s="37" t="s">
        <v>53</v>
      </c>
      <c r="C2999" s="38">
        <v>190000</v>
      </c>
    </row>
    <row r="3000" spans="1:3" x14ac:dyDescent="0.3">
      <c r="A3000" s="37" t="s">
        <v>128</v>
      </c>
      <c r="B3000" s="37" t="s">
        <v>53</v>
      </c>
      <c r="C3000" s="38">
        <v>170000</v>
      </c>
    </row>
    <row r="3001" spans="1:3" x14ac:dyDescent="0.3">
      <c r="A3001" s="37" t="s">
        <v>128</v>
      </c>
      <c r="B3001" s="37" t="s">
        <v>53</v>
      </c>
      <c r="C3001" s="38">
        <v>157500</v>
      </c>
    </row>
    <row r="3002" spans="1:3" x14ac:dyDescent="0.3">
      <c r="A3002" s="37" t="s">
        <v>128</v>
      </c>
      <c r="B3002" s="37" t="s">
        <v>53</v>
      </c>
      <c r="C3002" s="38">
        <v>125000</v>
      </c>
    </row>
    <row r="3003" spans="1:3" x14ac:dyDescent="0.3">
      <c r="A3003" s="37" t="s">
        <v>128</v>
      </c>
      <c r="B3003" s="37" t="s">
        <v>53</v>
      </c>
      <c r="C3003" s="38">
        <v>90000</v>
      </c>
    </row>
    <row r="3004" spans="1:3" x14ac:dyDescent="0.3">
      <c r="A3004" s="37" t="s">
        <v>128</v>
      </c>
      <c r="B3004" s="37" t="s">
        <v>58</v>
      </c>
      <c r="C3004" s="38">
        <v>79200</v>
      </c>
    </row>
    <row r="3005" spans="1:3" x14ac:dyDescent="0.3">
      <c r="A3005" s="37" t="s">
        <v>128</v>
      </c>
      <c r="B3005" s="37" t="s">
        <v>54</v>
      </c>
      <c r="C3005" s="38">
        <v>191000</v>
      </c>
    </row>
    <row r="3006" spans="1:3" x14ac:dyDescent="0.3">
      <c r="A3006" s="37" t="s">
        <v>128</v>
      </c>
      <c r="B3006" s="37" t="s">
        <v>57</v>
      </c>
      <c r="C3006" s="38">
        <v>137500</v>
      </c>
    </row>
    <row r="3007" spans="1:3" x14ac:dyDescent="0.3">
      <c r="A3007" s="37" t="s">
        <v>128</v>
      </c>
      <c r="B3007" s="37" t="s">
        <v>53</v>
      </c>
      <c r="C3007" s="38">
        <v>175000</v>
      </c>
    </row>
    <row r="3008" spans="1:3" x14ac:dyDescent="0.3">
      <c r="A3008" s="37" t="s">
        <v>128</v>
      </c>
      <c r="B3008" s="37" t="s">
        <v>53</v>
      </c>
      <c r="C3008" s="38">
        <v>198000</v>
      </c>
    </row>
    <row r="3009" spans="1:3" x14ac:dyDescent="0.3">
      <c r="A3009" s="37" t="s">
        <v>128</v>
      </c>
      <c r="B3009" s="37" t="s">
        <v>54</v>
      </c>
      <c r="C3009" s="38">
        <v>210000</v>
      </c>
    </row>
    <row r="3010" spans="1:3" x14ac:dyDescent="0.3">
      <c r="A3010" s="37" t="s">
        <v>128</v>
      </c>
      <c r="B3010" s="37" t="s">
        <v>53</v>
      </c>
      <c r="C3010" s="38">
        <v>302880</v>
      </c>
    </row>
    <row r="3011" spans="1:3" x14ac:dyDescent="0.3">
      <c r="A3011" s="37" t="s">
        <v>128</v>
      </c>
      <c r="B3011" s="37" t="s">
        <v>65</v>
      </c>
      <c r="C3011" s="38">
        <v>147500</v>
      </c>
    </row>
    <row r="3012" spans="1:3" x14ac:dyDescent="0.3">
      <c r="A3012" s="37" t="s">
        <v>128</v>
      </c>
      <c r="B3012" s="37" t="s">
        <v>54</v>
      </c>
      <c r="C3012" s="38"/>
    </row>
    <row r="3013" spans="1:3" x14ac:dyDescent="0.3">
      <c r="A3013" s="37" t="s">
        <v>128</v>
      </c>
      <c r="B3013" s="37" t="s">
        <v>53</v>
      </c>
      <c r="C3013" s="38">
        <v>134000</v>
      </c>
    </row>
    <row r="3014" spans="1:3" x14ac:dyDescent="0.3">
      <c r="A3014" s="37" t="s">
        <v>128</v>
      </c>
      <c r="B3014" s="37" t="s">
        <v>53</v>
      </c>
      <c r="C3014" s="38">
        <v>76839</v>
      </c>
    </row>
    <row r="3015" spans="1:3" x14ac:dyDescent="0.3">
      <c r="A3015" s="37" t="s">
        <v>128</v>
      </c>
      <c r="B3015" s="37" t="s">
        <v>53</v>
      </c>
      <c r="C3015" s="38">
        <v>200000</v>
      </c>
    </row>
    <row r="3016" spans="1:3" x14ac:dyDescent="0.3">
      <c r="A3016" s="37" t="s">
        <v>128</v>
      </c>
      <c r="B3016" s="37" t="s">
        <v>53</v>
      </c>
      <c r="C3016" s="38"/>
    </row>
    <row r="3017" spans="1:3" x14ac:dyDescent="0.3">
      <c r="A3017" s="37" t="s">
        <v>128</v>
      </c>
      <c r="B3017" s="37" t="s">
        <v>53</v>
      </c>
      <c r="C3017" s="38">
        <v>198000</v>
      </c>
    </row>
    <row r="3018" spans="1:3" x14ac:dyDescent="0.3">
      <c r="A3018" s="37" t="s">
        <v>128</v>
      </c>
      <c r="B3018" s="37" t="s">
        <v>53</v>
      </c>
      <c r="C3018" s="38"/>
    </row>
    <row r="3019" spans="1:3" x14ac:dyDescent="0.3">
      <c r="A3019" s="37" t="s">
        <v>128</v>
      </c>
      <c r="B3019" s="37" t="s">
        <v>53</v>
      </c>
      <c r="C3019" s="38">
        <v>210000</v>
      </c>
    </row>
    <row r="3020" spans="1:3" x14ac:dyDescent="0.3">
      <c r="A3020" s="37" t="s">
        <v>128</v>
      </c>
      <c r="B3020" s="37" t="s">
        <v>88</v>
      </c>
      <c r="C3020" s="38">
        <v>105650</v>
      </c>
    </row>
    <row r="3021" spans="1:3" x14ac:dyDescent="0.3">
      <c r="A3021" s="37" t="s">
        <v>128</v>
      </c>
      <c r="B3021" s="37" t="s">
        <v>54</v>
      </c>
      <c r="C3021" s="38">
        <v>152500</v>
      </c>
    </row>
    <row r="3022" spans="1:3" x14ac:dyDescent="0.3">
      <c r="A3022" s="37" t="s">
        <v>128</v>
      </c>
      <c r="B3022" s="37" t="s">
        <v>54</v>
      </c>
      <c r="C3022" s="38">
        <v>130000</v>
      </c>
    </row>
    <row r="3023" spans="1:3" x14ac:dyDescent="0.3">
      <c r="A3023" s="37" t="s">
        <v>128</v>
      </c>
      <c r="B3023" s="37" t="s">
        <v>53</v>
      </c>
      <c r="C3023" s="38">
        <v>157500</v>
      </c>
    </row>
    <row r="3024" spans="1:3" x14ac:dyDescent="0.3">
      <c r="A3024" s="37" t="s">
        <v>128</v>
      </c>
      <c r="B3024" s="37" t="s">
        <v>65</v>
      </c>
      <c r="C3024" s="38">
        <v>147500</v>
      </c>
    </row>
    <row r="3025" spans="1:3" x14ac:dyDescent="0.3">
      <c r="A3025" s="37" t="s">
        <v>128</v>
      </c>
      <c r="B3025" s="37" t="s">
        <v>53</v>
      </c>
      <c r="C3025" s="38">
        <v>150000</v>
      </c>
    </row>
    <row r="3026" spans="1:3" x14ac:dyDescent="0.3">
      <c r="A3026" s="37" t="s">
        <v>128</v>
      </c>
      <c r="B3026" s="37" t="s">
        <v>53</v>
      </c>
      <c r="C3026" s="38"/>
    </row>
    <row r="3027" spans="1:3" x14ac:dyDescent="0.3">
      <c r="A3027" s="37" t="s">
        <v>128</v>
      </c>
      <c r="B3027" s="37" t="s">
        <v>53</v>
      </c>
      <c r="C3027" s="38">
        <v>196800</v>
      </c>
    </row>
    <row r="3028" spans="1:3" x14ac:dyDescent="0.3">
      <c r="A3028" s="37" t="s">
        <v>128</v>
      </c>
      <c r="B3028" s="37" t="s">
        <v>53</v>
      </c>
      <c r="C3028" s="38">
        <v>90000</v>
      </c>
    </row>
    <row r="3029" spans="1:3" x14ac:dyDescent="0.3">
      <c r="A3029" s="37" t="s">
        <v>128</v>
      </c>
      <c r="B3029" s="37" t="s">
        <v>53</v>
      </c>
      <c r="C3029" s="38">
        <v>157500</v>
      </c>
    </row>
    <row r="3030" spans="1:3" x14ac:dyDescent="0.3">
      <c r="A3030" s="37" t="s">
        <v>128</v>
      </c>
      <c r="B3030" s="37" t="s">
        <v>53</v>
      </c>
      <c r="C3030" s="38">
        <v>222000</v>
      </c>
    </row>
    <row r="3031" spans="1:3" x14ac:dyDescent="0.3">
      <c r="A3031" s="37" t="s">
        <v>128</v>
      </c>
      <c r="B3031" s="37" t="s">
        <v>53</v>
      </c>
      <c r="C3031" s="38"/>
    </row>
    <row r="3032" spans="1:3" x14ac:dyDescent="0.3">
      <c r="A3032" s="37" t="s">
        <v>128</v>
      </c>
      <c r="B3032" s="37" t="s">
        <v>53</v>
      </c>
      <c r="C3032" s="38"/>
    </row>
    <row r="3033" spans="1:3" x14ac:dyDescent="0.3">
      <c r="A3033" s="37" t="s">
        <v>128</v>
      </c>
      <c r="B3033" s="37" t="s">
        <v>53</v>
      </c>
      <c r="C3033" s="38"/>
    </row>
    <row r="3034" spans="1:3" x14ac:dyDescent="0.3">
      <c r="A3034" s="37" t="s">
        <v>128</v>
      </c>
      <c r="B3034" s="37" t="s">
        <v>53</v>
      </c>
      <c r="C3034" s="38">
        <v>102000</v>
      </c>
    </row>
    <row r="3035" spans="1:3" x14ac:dyDescent="0.3">
      <c r="A3035" s="37" t="s">
        <v>128</v>
      </c>
      <c r="B3035" s="37" t="s">
        <v>54</v>
      </c>
      <c r="C3035" s="38">
        <v>158445</v>
      </c>
    </row>
    <row r="3036" spans="1:3" x14ac:dyDescent="0.3">
      <c r="A3036" s="37" t="s">
        <v>128</v>
      </c>
      <c r="B3036" s="37" t="s">
        <v>81</v>
      </c>
      <c r="C3036" s="38">
        <v>150000</v>
      </c>
    </row>
    <row r="3037" spans="1:3" x14ac:dyDescent="0.3">
      <c r="A3037" s="37" t="s">
        <v>128</v>
      </c>
      <c r="B3037" s="37" t="s">
        <v>53</v>
      </c>
      <c r="C3037" s="38">
        <v>196800</v>
      </c>
    </row>
    <row r="3038" spans="1:3" x14ac:dyDescent="0.3">
      <c r="A3038" s="37" t="s">
        <v>128</v>
      </c>
      <c r="B3038" s="37" t="s">
        <v>53</v>
      </c>
      <c r="C3038" s="38">
        <v>155000</v>
      </c>
    </row>
    <row r="3039" spans="1:3" x14ac:dyDescent="0.3">
      <c r="A3039" s="37" t="s">
        <v>128</v>
      </c>
      <c r="B3039" s="37" t="s">
        <v>53</v>
      </c>
      <c r="C3039" s="38">
        <v>157500</v>
      </c>
    </row>
    <row r="3040" spans="1:3" x14ac:dyDescent="0.3">
      <c r="A3040" s="37" t="s">
        <v>128</v>
      </c>
      <c r="B3040" s="37" t="s">
        <v>53</v>
      </c>
      <c r="C3040" s="38"/>
    </row>
    <row r="3041" spans="1:3" x14ac:dyDescent="0.3">
      <c r="A3041" s="37" t="s">
        <v>128</v>
      </c>
      <c r="B3041" s="37" t="s">
        <v>53</v>
      </c>
      <c r="C3041" s="38">
        <v>195000</v>
      </c>
    </row>
    <row r="3042" spans="1:3" x14ac:dyDescent="0.3">
      <c r="A3042" s="37" t="s">
        <v>128</v>
      </c>
      <c r="B3042" s="37" t="s">
        <v>53</v>
      </c>
      <c r="C3042" s="38">
        <v>193500</v>
      </c>
    </row>
    <row r="3043" spans="1:3" x14ac:dyDescent="0.3">
      <c r="A3043" s="37" t="s">
        <v>128</v>
      </c>
      <c r="B3043" s="37" t="s">
        <v>53</v>
      </c>
      <c r="C3043" s="38"/>
    </row>
    <row r="3044" spans="1:3" x14ac:dyDescent="0.3">
      <c r="A3044" s="37" t="s">
        <v>128</v>
      </c>
      <c r="B3044" s="37" t="s">
        <v>53</v>
      </c>
      <c r="C3044" s="38"/>
    </row>
    <row r="3045" spans="1:3" x14ac:dyDescent="0.3">
      <c r="A3045" s="37" t="s">
        <v>128</v>
      </c>
      <c r="B3045" s="37" t="s">
        <v>53</v>
      </c>
      <c r="C3045" s="38">
        <v>90000</v>
      </c>
    </row>
    <row r="3046" spans="1:3" x14ac:dyDescent="0.3">
      <c r="A3046" s="37" t="s">
        <v>128</v>
      </c>
      <c r="B3046" s="37" t="s">
        <v>81</v>
      </c>
      <c r="C3046" s="38">
        <v>90000</v>
      </c>
    </row>
    <row r="3047" spans="1:3" x14ac:dyDescent="0.3">
      <c r="A3047" s="37" t="s">
        <v>128</v>
      </c>
      <c r="B3047" s="37" t="s">
        <v>53</v>
      </c>
      <c r="C3047" s="38">
        <v>135000</v>
      </c>
    </row>
    <row r="3048" spans="1:3" x14ac:dyDescent="0.3">
      <c r="A3048" s="37" t="s">
        <v>128</v>
      </c>
      <c r="B3048" s="37" t="s">
        <v>88</v>
      </c>
      <c r="C3048" s="38">
        <v>157500</v>
      </c>
    </row>
    <row r="3049" spans="1:3" x14ac:dyDescent="0.3">
      <c r="A3049" s="37" t="s">
        <v>128</v>
      </c>
      <c r="B3049" s="37" t="s">
        <v>53</v>
      </c>
      <c r="C3049" s="38"/>
    </row>
    <row r="3050" spans="1:3" x14ac:dyDescent="0.3">
      <c r="A3050" s="37" t="s">
        <v>128</v>
      </c>
      <c r="B3050" s="37" t="s">
        <v>53</v>
      </c>
      <c r="C3050" s="38">
        <v>68375.5</v>
      </c>
    </row>
    <row r="3051" spans="1:3" x14ac:dyDescent="0.3">
      <c r="A3051" s="37" t="s">
        <v>128</v>
      </c>
      <c r="B3051" s="37" t="s">
        <v>53</v>
      </c>
      <c r="C3051" s="38">
        <v>172500</v>
      </c>
    </row>
    <row r="3052" spans="1:3" x14ac:dyDescent="0.3">
      <c r="A3052" s="37" t="s">
        <v>128</v>
      </c>
      <c r="B3052" s="37" t="s">
        <v>88</v>
      </c>
      <c r="C3052" s="38">
        <v>157500</v>
      </c>
    </row>
    <row r="3053" spans="1:3" x14ac:dyDescent="0.3">
      <c r="A3053" s="37" t="s">
        <v>128</v>
      </c>
      <c r="B3053" s="37" t="s">
        <v>53</v>
      </c>
      <c r="C3053" s="38">
        <v>175000</v>
      </c>
    </row>
    <row r="3054" spans="1:3" x14ac:dyDescent="0.3">
      <c r="A3054" s="37" t="s">
        <v>128</v>
      </c>
      <c r="B3054" s="37" t="s">
        <v>53</v>
      </c>
      <c r="C3054" s="38">
        <v>184844.5</v>
      </c>
    </row>
    <row r="3055" spans="1:3" x14ac:dyDescent="0.3">
      <c r="A3055" s="37" t="s">
        <v>128</v>
      </c>
      <c r="B3055" s="37" t="s">
        <v>53</v>
      </c>
      <c r="C3055" s="38">
        <v>190500</v>
      </c>
    </row>
    <row r="3056" spans="1:3" x14ac:dyDescent="0.3">
      <c r="A3056" s="37" t="s">
        <v>128</v>
      </c>
      <c r="B3056" s="37" t="s">
        <v>53</v>
      </c>
      <c r="C3056" s="38">
        <v>134000</v>
      </c>
    </row>
    <row r="3057" spans="1:3" x14ac:dyDescent="0.3">
      <c r="A3057" s="37" t="s">
        <v>128</v>
      </c>
      <c r="B3057" s="37" t="s">
        <v>53</v>
      </c>
      <c r="C3057" s="38">
        <v>193499</v>
      </c>
    </row>
    <row r="3058" spans="1:3" x14ac:dyDescent="0.3">
      <c r="A3058" s="37" t="s">
        <v>128</v>
      </c>
      <c r="B3058" s="37" t="s">
        <v>53</v>
      </c>
      <c r="C3058" s="38">
        <v>310270</v>
      </c>
    </row>
    <row r="3059" spans="1:3" x14ac:dyDescent="0.3">
      <c r="A3059" s="37" t="s">
        <v>128</v>
      </c>
      <c r="B3059" s="37" t="s">
        <v>53</v>
      </c>
      <c r="C3059" s="38">
        <v>175000</v>
      </c>
    </row>
    <row r="3060" spans="1:3" x14ac:dyDescent="0.3">
      <c r="A3060" s="37" t="s">
        <v>128</v>
      </c>
      <c r="B3060" s="37" t="s">
        <v>53</v>
      </c>
      <c r="C3060" s="38">
        <v>150000</v>
      </c>
    </row>
    <row r="3061" spans="1:3" x14ac:dyDescent="0.3">
      <c r="A3061" s="37" t="s">
        <v>128</v>
      </c>
      <c r="B3061" s="37" t="s">
        <v>53</v>
      </c>
      <c r="C3061" s="38"/>
    </row>
    <row r="3062" spans="1:3" x14ac:dyDescent="0.3">
      <c r="A3062" s="37" t="s">
        <v>128</v>
      </c>
      <c r="B3062" s="37" t="s">
        <v>53</v>
      </c>
      <c r="C3062" s="38">
        <v>193500</v>
      </c>
    </row>
    <row r="3063" spans="1:3" x14ac:dyDescent="0.3">
      <c r="A3063" s="37" t="s">
        <v>128</v>
      </c>
      <c r="B3063" s="37" t="s">
        <v>53</v>
      </c>
      <c r="C3063" s="38">
        <v>145500</v>
      </c>
    </row>
    <row r="3064" spans="1:3" x14ac:dyDescent="0.3">
      <c r="A3064" s="37" t="s">
        <v>128</v>
      </c>
      <c r="B3064" s="37" t="s">
        <v>53</v>
      </c>
      <c r="C3064" s="38">
        <v>137500</v>
      </c>
    </row>
    <row r="3065" spans="1:3" x14ac:dyDescent="0.3">
      <c r="A3065" s="37" t="s">
        <v>128</v>
      </c>
      <c r="B3065" s="37" t="s">
        <v>53</v>
      </c>
      <c r="C3065" s="38">
        <v>142809</v>
      </c>
    </row>
    <row r="3066" spans="1:3" x14ac:dyDescent="0.3">
      <c r="A3066" s="37" t="s">
        <v>128</v>
      </c>
      <c r="B3066" s="37" t="s">
        <v>53</v>
      </c>
      <c r="C3066" s="38"/>
    </row>
    <row r="3067" spans="1:3" x14ac:dyDescent="0.3">
      <c r="A3067" s="37" t="s">
        <v>128</v>
      </c>
      <c r="B3067" s="37" t="s">
        <v>53</v>
      </c>
      <c r="C3067" s="38">
        <v>229500</v>
      </c>
    </row>
    <row r="3068" spans="1:3" x14ac:dyDescent="0.3">
      <c r="A3068" s="37" t="s">
        <v>128</v>
      </c>
      <c r="B3068" s="37" t="s">
        <v>53</v>
      </c>
      <c r="C3068" s="38">
        <v>166000</v>
      </c>
    </row>
    <row r="3069" spans="1:3" x14ac:dyDescent="0.3">
      <c r="A3069" s="37" t="s">
        <v>128</v>
      </c>
      <c r="B3069" s="37" t="s">
        <v>53</v>
      </c>
      <c r="C3069" s="38">
        <v>90000</v>
      </c>
    </row>
    <row r="3070" spans="1:3" x14ac:dyDescent="0.3">
      <c r="A3070" s="37" t="s">
        <v>129</v>
      </c>
      <c r="B3070" s="37" t="s">
        <v>88</v>
      </c>
      <c r="C3070" s="38">
        <v>64800</v>
      </c>
    </row>
    <row r="3071" spans="1:3" x14ac:dyDescent="0.3">
      <c r="A3071" s="37" t="s">
        <v>129</v>
      </c>
      <c r="B3071" s="37" t="s">
        <v>53</v>
      </c>
      <c r="C3071" s="38">
        <v>150000</v>
      </c>
    </row>
    <row r="3072" spans="1:3" x14ac:dyDescent="0.3">
      <c r="A3072" s="37" t="s">
        <v>129</v>
      </c>
      <c r="B3072" s="37" t="s">
        <v>112</v>
      </c>
      <c r="C3072" s="38">
        <v>79200</v>
      </c>
    </row>
    <row r="3073" spans="1:3" x14ac:dyDescent="0.3">
      <c r="A3073" s="37" t="s">
        <v>129</v>
      </c>
      <c r="B3073" s="37" t="s">
        <v>53</v>
      </c>
      <c r="C3073" s="38">
        <v>99150</v>
      </c>
    </row>
    <row r="3074" spans="1:3" x14ac:dyDescent="0.3">
      <c r="A3074" s="37" t="s">
        <v>129</v>
      </c>
      <c r="B3074" s="37" t="s">
        <v>88</v>
      </c>
      <c r="C3074" s="38">
        <v>79200</v>
      </c>
    </row>
    <row r="3075" spans="1:3" x14ac:dyDescent="0.3">
      <c r="A3075" s="37" t="s">
        <v>129</v>
      </c>
      <c r="B3075" s="37" t="s">
        <v>53</v>
      </c>
      <c r="C3075" s="38">
        <v>197500</v>
      </c>
    </row>
    <row r="3076" spans="1:3" x14ac:dyDescent="0.3">
      <c r="A3076" s="37" t="s">
        <v>129</v>
      </c>
      <c r="B3076" s="37" t="s">
        <v>53</v>
      </c>
      <c r="C3076" s="38"/>
    </row>
    <row r="3077" spans="1:3" x14ac:dyDescent="0.3">
      <c r="A3077" s="37" t="s">
        <v>129</v>
      </c>
      <c r="B3077" s="37" t="s">
        <v>53</v>
      </c>
      <c r="C3077" s="38">
        <v>175000</v>
      </c>
    </row>
    <row r="3078" spans="1:3" x14ac:dyDescent="0.3">
      <c r="A3078" s="37" t="s">
        <v>129</v>
      </c>
      <c r="B3078" s="37" t="s">
        <v>88</v>
      </c>
      <c r="C3078" s="38">
        <v>50400</v>
      </c>
    </row>
    <row r="3079" spans="1:3" x14ac:dyDescent="0.3">
      <c r="A3079" s="37" t="s">
        <v>129</v>
      </c>
      <c r="B3079" s="37" t="s">
        <v>53</v>
      </c>
      <c r="C3079" s="38"/>
    </row>
    <row r="3080" spans="1:3" x14ac:dyDescent="0.3">
      <c r="A3080" s="37" t="s">
        <v>129</v>
      </c>
      <c r="B3080" s="37" t="s">
        <v>53</v>
      </c>
      <c r="C3080" s="38">
        <v>115000</v>
      </c>
    </row>
    <row r="3081" spans="1:3" x14ac:dyDescent="0.3">
      <c r="A3081" s="37" t="s">
        <v>129</v>
      </c>
      <c r="B3081" s="37" t="s">
        <v>70</v>
      </c>
      <c r="C3081" s="38">
        <v>156500</v>
      </c>
    </row>
    <row r="3082" spans="1:3" x14ac:dyDescent="0.3">
      <c r="A3082" s="37" t="s">
        <v>129</v>
      </c>
      <c r="B3082" s="37" t="s">
        <v>88</v>
      </c>
      <c r="C3082" s="38">
        <v>79200</v>
      </c>
    </row>
    <row r="3083" spans="1:3" x14ac:dyDescent="0.3">
      <c r="A3083" s="37" t="s">
        <v>129</v>
      </c>
      <c r="B3083" s="37" t="s">
        <v>54</v>
      </c>
      <c r="C3083" s="38">
        <v>115000</v>
      </c>
    </row>
    <row r="3084" spans="1:3" x14ac:dyDescent="0.3">
      <c r="A3084" s="37" t="s">
        <v>129</v>
      </c>
      <c r="B3084" s="37" t="s">
        <v>65</v>
      </c>
      <c r="C3084" s="38">
        <v>156500</v>
      </c>
    </row>
    <row r="3085" spans="1:3" x14ac:dyDescent="0.3">
      <c r="A3085" s="37" t="s">
        <v>129</v>
      </c>
      <c r="B3085" s="37" t="s">
        <v>69</v>
      </c>
      <c r="C3085" s="38">
        <v>56700</v>
      </c>
    </row>
    <row r="3086" spans="1:3" x14ac:dyDescent="0.3">
      <c r="A3086" s="37" t="s">
        <v>129</v>
      </c>
      <c r="B3086" s="37" t="s">
        <v>76</v>
      </c>
      <c r="C3086" s="38">
        <v>79200</v>
      </c>
    </row>
    <row r="3087" spans="1:3" x14ac:dyDescent="0.3">
      <c r="A3087" s="37" t="s">
        <v>129</v>
      </c>
      <c r="B3087" s="37" t="s">
        <v>53</v>
      </c>
      <c r="C3087" s="38">
        <v>48982</v>
      </c>
    </row>
    <row r="3088" spans="1:3" x14ac:dyDescent="0.3">
      <c r="A3088" s="37" t="s">
        <v>129</v>
      </c>
      <c r="B3088" s="37" t="s">
        <v>72</v>
      </c>
      <c r="C3088" s="38">
        <v>89100</v>
      </c>
    </row>
    <row r="3089" spans="1:3" x14ac:dyDescent="0.3">
      <c r="A3089" s="37" t="s">
        <v>129</v>
      </c>
      <c r="B3089" s="37" t="s">
        <v>88</v>
      </c>
      <c r="C3089" s="38">
        <v>44418.5</v>
      </c>
    </row>
    <row r="3090" spans="1:3" x14ac:dyDescent="0.3">
      <c r="A3090" s="37" t="s">
        <v>129</v>
      </c>
      <c r="B3090" s="37" t="s">
        <v>70</v>
      </c>
      <c r="C3090" s="38">
        <v>89100</v>
      </c>
    </row>
    <row r="3091" spans="1:3" x14ac:dyDescent="0.3">
      <c r="A3091" s="37" t="s">
        <v>129</v>
      </c>
      <c r="B3091" s="37" t="s">
        <v>53</v>
      </c>
      <c r="C3091" s="38">
        <v>97500</v>
      </c>
    </row>
    <row r="3092" spans="1:3" x14ac:dyDescent="0.3">
      <c r="A3092" s="37" t="s">
        <v>129</v>
      </c>
      <c r="B3092" s="37" t="s">
        <v>98</v>
      </c>
      <c r="C3092" s="38">
        <v>72900</v>
      </c>
    </row>
    <row r="3093" spans="1:3" x14ac:dyDescent="0.3">
      <c r="A3093" s="37" t="s">
        <v>129</v>
      </c>
      <c r="B3093" s="37" t="s">
        <v>110</v>
      </c>
      <c r="C3093" s="38">
        <v>89100</v>
      </c>
    </row>
    <row r="3094" spans="1:3" x14ac:dyDescent="0.3">
      <c r="A3094" s="37" t="s">
        <v>129</v>
      </c>
      <c r="B3094" s="37" t="s">
        <v>110</v>
      </c>
      <c r="C3094" s="38">
        <v>65000</v>
      </c>
    </row>
    <row r="3095" spans="1:3" x14ac:dyDescent="0.3">
      <c r="A3095" s="37" t="s">
        <v>129</v>
      </c>
      <c r="B3095" s="37" t="s">
        <v>88</v>
      </c>
      <c r="C3095" s="38">
        <v>79200</v>
      </c>
    </row>
    <row r="3096" spans="1:3" x14ac:dyDescent="0.3">
      <c r="A3096" s="37" t="s">
        <v>129</v>
      </c>
      <c r="B3096" s="37" t="s">
        <v>69</v>
      </c>
      <c r="C3096" s="38">
        <v>56700</v>
      </c>
    </row>
    <row r="3097" spans="1:3" x14ac:dyDescent="0.3">
      <c r="A3097" s="37" t="s">
        <v>129</v>
      </c>
      <c r="B3097" s="37" t="s">
        <v>54</v>
      </c>
      <c r="C3097" s="38"/>
    </row>
    <row r="3098" spans="1:3" x14ac:dyDescent="0.3">
      <c r="A3098" s="37" t="s">
        <v>129</v>
      </c>
      <c r="B3098" s="37" t="s">
        <v>88</v>
      </c>
      <c r="C3098" s="38">
        <v>200000</v>
      </c>
    </row>
    <row r="3099" spans="1:3" x14ac:dyDescent="0.3">
      <c r="A3099" s="37" t="s">
        <v>129</v>
      </c>
      <c r="B3099" s="37" t="s">
        <v>97</v>
      </c>
      <c r="C3099" s="38">
        <v>79200</v>
      </c>
    </row>
    <row r="3100" spans="1:3" x14ac:dyDescent="0.3">
      <c r="A3100" s="37" t="s">
        <v>129</v>
      </c>
      <c r="B3100" s="37" t="s">
        <v>102</v>
      </c>
      <c r="C3100" s="38">
        <v>145000</v>
      </c>
    </row>
    <row r="3101" spans="1:3" x14ac:dyDescent="0.3">
      <c r="A3101" s="37" t="s">
        <v>129</v>
      </c>
      <c r="B3101" s="37" t="s">
        <v>72</v>
      </c>
      <c r="C3101" s="38">
        <v>89100</v>
      </c>
    </row>
    <row r="3102" spans="1:3" x14ac:dyDescent="0.3">
      <c r="A3102" s="37" t="s">
        <v>129</v>
      </c>
      <c r="B3102" s="37" t="s">
        <v>112</v>
      </c>
      <c r="C3102" s="38">
        <v>79200</v>
      </c>
    </row>
    <row r="3103" spans="1:3" x14ac:dyDescent="0.3">
      <c r="A3103" s="37" t="s">
        <v>129</v>
      </c>
      <c r="B3103" s="37" t="s">
        <v>53</v>
      </c>
      <c r="C3103" s="38">
        <v>77300</v>
      </c>
    </row>
  </sheetData>
  <autoFilter ref="A1:A3103" xr:uid="{935A2D26-67F5-440B-876D-952279E04FB2}"/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C7C8C-BA57-48AC-8662-59DDA65F0D86}">
  <dimension ref="A1:AK3103"/>
  <sheetViews>
    <sheetView workbookViewId="0">
      <selection activeCell="M8" sqref="M8"/>
    </sheetView>
  </sheetViews>
  <sheetFormatPr defaultRowHeight="14.4" x14ac:dyDescent="0.3"/>
  <cols>
    <col min="1" max="1" width="23.109375" bestFit="1" customWidth="1"/>
    <col min="2" max="2" width="18.109375" style="56" bestFit="1" customWidth="1"/>
    <col min="3" max="3" width="14.6640625" style="48" bestFit="1" customWidth="1"/>
    <col min="5" max="5" width="25.6640625" style="37" customWidth="1"/>
    <col min="6" max="6" width="22.77734375" style="37" bestFit="1" customWidth="1"/>
    <col min="7" max="7" width="19.109375" style="37" customWidth="1"/>
    <col min="8" max="29" width="8.88671875" style="37"/>
  </cols>
  <sheetData>
    <row r="1" spans="1:37" x14ac:dyDescent="0.3">
      <c r="A1" s="35" t="s">
        <v>49</v>
      </c>
      <c r="B1" s="54" t="s">
        <v>156</v>
      </c>
      <c r="C1" s="36" t="s">
        <v>51</v>
      </c>
      <c r="E1" s="58" t="s">
        <v>157</v>
      </c>
      <c r="F1" s="58" t="s">
        <v>158</v>
      </c>
      <c r="G1" s="58" t="s">
        <v>164</v>
      </c>
      <c r="AD1" s="37"/>
      <c r="AE1" s="37"/>
      <c r="AF1" s="37"/>
      <c r="AG1" s="37"/>
      <c r="AH1" s="37"/>
      <c r="AI1" s="37"/>
      <c r="AJ1" s="37"/>
      <c r="AK1" s="37"/>
    </row>
    <row r="2" spans="1:37" x14ac:dyDescent="0.3">
      <c r="A2" s="37" t="s">
        <v>52</v>
      </c>
      <c r="B2" s="55">
        <v>44957.833379629628</v>
      </c>
      <c r="C2" s="38">
        <v>137500</v>
      </c>
      <c r="E2" s="57" t="str" cm="1">
        <f t="array" ref="E2:E11">_xlfn.UNIQUE(A2:A3103)</f>
        <v>Business Analyst</v>
      </c>
      <c r="F2" s="57" t="str" cm="1">
        <f t="array" ref="F2:F11">_xlfn._xlws.SORT(_xlfn.ANCHORARRAY(E2))</f>
        <v>Business Analyst</v>
      </c>
      <c r="G2" s="57" cm="1">
        <f t="array" ref="G2">MEDIAN(IF(($A$2:$A$3103=$E2)*($C$2:$C$3103&lt;&gt;""),$C$2:$C$3103))</f>
        <v>93750</v>
      </c>
      <c r="AD2" s="37"/>
      <c r="AE2" s="37"/>
      <c r="AF2" s="37"/>
      <c r="AG2" s="37"/>
      <c r="AH2" s="37"/>
      <c r="AI2" s="37"/>
      <c r="AJ2" s="37"/>
      <c r="AK2" s="37"/>
    </row>
    <row r="3" spans="1:37" x14ac:dyDescent="0.3">
      <c r="A3" s="37" t="s">
        <v>52</v>
      </c>
      <c r="B3" s="55">
        <v>44956.41815972222</v>
      </c>
      <c r="C3" s="38"/>
      <c r="E3" s="57" t="str">
        <v>Cloud Engineer</v>
      </c>
      <c r="F3" s="57" t="str">
        <v>Cloud Engineer</v>
      </c>
      <c r="G3" s="57" cm="1">
        <f t="array" ref="G3">MEDIAN(IF(($A$2:$A$3103=$E3)*($C$2:$C$3103&lt;&gt;""),$C$2:$C$3103))</f>
        <v>99550</v>
      </c>
      <c r="AD3" s="37"/>
      <c r="AE3" s="37"/>
      <c r="AF3" s="37"/>
      <c r="AG3" s="37"/>
      <c r="AH3" s="37"/>
      <c r="AI3" s="37"/>
      <c r="AJ3" s="37"/>
      <c r="AK3" s="37"/>
    </row>
    <row r="4" spans="1:37" x14ac:dyDescent="0.3">
      <c r="A4" s="37" t="s">
        <v>52</v>
      </c>
      <c r="B4" s="55">
        <v>44957.814259259263</v>
      </c>
      <c r="C4" s="38"/>
      <c r="E4" s="57" t="str">
        <v>Data Analyst</v>
      </c>
      <c r="F4" s="57" t="str">
        <v>Data Analyst</v>
      </c>
      <c r="G4" s="57" cm="1">
        <f t="array" ref="G4">MEDIAN(IF(($A$2:$A$3103=$E4)*($C$2:$C$3103&lt;&gt;""),$C$2:$C$3103))</f>
        <v>89833.5</v>
      </c>
      <c r="AD4" s="37"/>
      <c r="AE4" s="37"/>
      <c r="AF4" s="37"/>
      <c r="AG4" s="37"/>
      <c r="AH4" s="37"/>
      <c r="AI4" s="37"/>
      <c r="AJ4" s="37"/>
      <c r="AK4" s="37"/>
    </row>
    <row r="5" spans="1:37" x14ac:dyDescent="0.3">
      <c r="A5" s="37" t="s">
        <v>52</v>
      </c>
      <c r="B5" s="55">
        <v>44928.792037037027</v>
      </c>
      <c r="C5" s="38">
        <v>87500</v>
      </c>
      <c r="E5" s="57" t="str">
        <v>Data Engineer</v>
      </c>
      <c r="F5" s="57" t="str">
        <v>Data Engineer</v>
      </c>
      <c r="G5" s="57" cm="1">
        <f t="array" ref="G5">MEDIAN(IF(($A$2:$A$3103=$E5)*($C$2:$C$3103&lt;&gt;""),$C$2:$C$3103))</f>
        <v>125000</v>
      </c>
      <c r="AD5" s="37"/>
      <c r="AE5" s="37"/>
      <c r="AF5" s="37"/>
      <c r="AG5" s="37"/>
      <c r="AH5" s="37"/>
      <c r="AI5" s="37"/>
      <c r="AJ5" s="37"/>
      <c r="AK5" s="37"/>
    </row>
    <row r="6" spans="1:37" x14ac:dyDescent="0.3">
      <c r="A6" s="37" t="s">
        <v>52</v>
      </c>
      <c r="B6" s="55">
        <v>44930.956273148149</v>
      </c>
      <c r="C6" s="38"/>
      <c r="E6" s="57" t="str">
        <v>Data Scientist</v>
      </c>
      <c r="F6" s="57" t="str">
        <v>Data Scientist</v>
      </c>
      <c r="G6" s="57" cm="1">
        <f t="array" ref="G6">MEDIAN(IF(($A$2:$A$3103=$E6)*($C$2:$C$3103&lt;&gt;""),$C$2:$C$3103))</f>
        <v>130000</v>
      </c>
      <c r="AD6" s="37"/>
      <c r="AE6" s="37"/>
      <c r="AF6" s="37"/>
      <c r="AG6" s="37"/>
      <c r="AH6" s="37"/>
      <c r="AI6" s="37"/>
      <c r="AJ6" s="37"/>
      <c r="AK6" s="37"/>
    </row>
    <row r="7" spans="1:37" x14ac:dyDescent="0.3">
      <c r="A7" s="37" t="s">
        <v>52</v>
      </c>
      <c r="B7" s="55">
        <v>44942.890381944453</v>
      </c>
      <c r="C7" s="38">
        <v>77500</v>
      </c>
      <c r="E7" s="57" t="str">
        <v>Machine Learning Engineer</v>
      </c>
      <c r="F7" s="57" t="str">
        <v>Machine Learning Engineer</v>
      </c>
      <c r="G7" s="57" cm="1">
        <f t="array" ref="G7">MEDIAN(IF(($A$2:$A$3103=$E7)*($C$2:$C$3103&lt;&gt;""),$C$2:$C$3103))</f>
        <v>104668</v>
      </c>
      <c r="AD7" s="37"/>
      <c r="AE7" s="37"/>
      <c r="AF7" s="37"/>
      <c r="AG7" s="37"/>
      <c r="AH7" s="37"/>
      <c r="AI7" s="37"/>
      <c r="AJ7" s="37"/>
      <c r="AK7" s="37"/>
    </row>
    <row r="8" spans="1:37" x14ac:dyDescent="0.3">
      <c r="A8" s="37" t="s">
        <v>52</v>
      </c>
      <c r="B8" s="55">
        <v>44951.168321759258</v>
      </c>
      <c r="C8" s="38"/>
      <c r="E8" s="57" t="str">
        <v>Senior Data Analyst</v>
      </c>
      <c r="F8" s="57" t="str">
        <v>Senior Data Analyst</v>
      </c>
      <c r="G8" s="57" cm="1">
        <f t="array" ref="G8">MEDIAN(IF(($A$2:$A$3103=$E8)*($C$2:$C$3103&lt;&gt;""),$C$2:$C$3103))</f>
        <v>111175</v>
      </c>
      <c r="AD8" s="37"/>
      <c r="AE8" s="37"/>
      <c r="AF8" s="37"/>
      <c r="AG8" s="37"/>
      <c r="AH8" s="37"/>
      <c r="AI8" s="37"/>
      <c r="AJ8" s="37"/>
      <c r="AK8" s="37"/>
    </row>
    <row r="9" spans="1:37" x14ac:dyDescent="0.3">
      <c r="A9" s="37" t="s">
        <v>52</v>
      </c>
      <c r="B9" s="55">
        <v>44933.334224537037</v>
      </c>
      <c r="C9" s="38">
        <v>172500</v>
      </c>
      <c r="E9" s="57" t="str">
        <v>Senior Data Engineer</v>
      </c>
      <c r="F9" s="57" t="str">
        <v>Senior Data Engineer</v>
      </c>
      <c r="G9" s="57" cm="1">
        <f t="array" ref="G9">MEDIAN(IF(($A$2:$A$3103=$E9)*($C$2:$C$3103&lt;&gt;""),$C$2:$C$3103))</f>
        <v>147500</v>
      </c>
      <c r="AD9" s="37"/>
      <c r="AE9" s="37"/>
      <c r="AF9" s="37"/>
      <c r="AG9" s="37"/>
      <c r="AH9" s="37"/>
      <c r="AI9" s="37"/>
      <c r="AJ9" s="37"/>
      <c r="AK9" s="37"/>
    </row>
    <row r="10" spans="1:37" x14ac:dyDescent="0.3">
      <c r="A10" s="37" t="s">
        <v>52</v>
      </c>
      <c r="B10" s="55">
        <v>44937.054918981477</v>
      </c>
      <c r="C10" s="38">
        <v>77500</v>
      </c>
      <c r="E10" s="57" t="str">
        <v>Senior Data Scientist</v>
      </c>
      <c r="F10" s="57" t="str">
        <v>Senior Data Scientist</v>
      </c>
      <c r="G10" s="57" cm="1">
        <f t="array" ref="G10">MEDIAN(IF(($A$2:$A$3103=$E10)*($C$2:$C$3103&lt;&gt;""),$C$2:$C$3103))</f>
        <v>157500</v>
      </c>
      <c r="AD10" s="37"/>
      <c r="AE10" s="37"/>
      <c r="AF10" s="37"/>
      <c r="AG10" s="37"/>
      <c r="AH10" s="37"/>
      <c r="AI10" s="37"/>
      <c r="AJ10" s="37"/>
      <c r="AK10" s="37"/>
    </row>
    <row r="11" spans="1:37" x14ac:dyDescent="0.3">
      <c r="A11" s="37" t="s">
        <v>52</v>
      </c>
      <c r="B11" s="55">
        <v>44947.337557870371</v>
      </c>
      <c r="C11" s="38">
        <v>125000</v>
      </c>
      <c r="E11" s="57" t="str">
        <v>Software Engineer</v>
      </c>
      <c r="F11" s="57" t="str">
        <v>Software Engineer</v>
      </c>
      <c r="G11" s="57" cm="1">
        <f t="array" ref="G11">MEDIAN(IF(($A$2:$A$3103=$E11)*($C$2:$C$3103&lt;&gt;""),$C$2:$C$3103))</f>
        <v>79200</v>
      </c>
    </row>
    <row r="12" spans="1:37" x14ac:dyDescent="0.3">
      <c r="A12" s="37" t="s">
        <v>52</v>
      </c>
      <c r="B12" s="55">
        <v>44953.692175925928</v>
      </c>
      <c r="C12" s="38">
        <v>110000</v>
      </c>
    </row>
    <row r="13" spans="1:37" x14ac:dyDescent="0.3">
      <c r="A13" s="37" t="s">
        <v>52</v>
      </c>
      <c r="B13" s="55">
        <v>44952.752951388888</v>
      </c>
      <c r="C13" s="38"/>
    </row>
    <row r="14" spans="1:37" x14ac:dyDescent="0.3">
      <c r="A14" s="37" t="s">
        <v>52</v>
      </c>
      <c r="B14" s="55">
        <v>44930.065636574072</v>
      </c>
      <c r="C14" s="38">
        <v>97500</v>
      </c>
    </row>
    <row r="15" spans="1:37" x14ac:dyDescent="0.3">
      <c r="A15" s="37" t="s">
        <v>52</v>
      </c>
      <c r="B15" s="55">
        <v>44951.586157407408</v>
      </c>
      <c r="C15" s="38">
        <v>63000</v>
      </c>
    </row>
    <row r="16" spans="1:37" x14ac:dyDescent="0.3">
      <c r="A16" s="37" t="s">
        <v>52</v>
      </c>
      <c r="B16" s="55">
        <v>44931.876597222217</v>
      </c>
      <c r="C16" s="38"/>
    </row>
    <row r="17" spans="1:3" x14ac:dyDescent="0.3">
      <c r="A17" s="37" t="s">
        <v>52</v>
      </c>
      <c r="B17" s="55">
        <v>44940.252222222232</v>
      </c>
      <c r="C17" s="38">
        <v>150000</v>
      </c>
    </row>
    <row r="18" spans="1:3" x14ac:dyDescent="0.3">
      <c r="A18" s="37" t="s">
        <v>52</v>
      </c>
      <c r="B18" s="55">
        <v>44945.854039351849</v>
      </c>
      <c r="C18" s="38">
        <v>70000</v>
      </c>
    </row>
    <row r="19" spans="1:3" x14ac:dyDescent="0.3">
      <c r="A19" s="37" t="s">
        <v>52</v>
      </c>
      <c r="B19" s="55">
        <v>44930.988946759258</v>
      </c>
      <c r="C19" s="38"/>
    </row>
    <row r="20" spans="1:3" x14ac:dyDescent="0.3">
      <c r="A20" s="37" t="s">
        <v>52</v>
      </c>
      <c r="B20" s="55">
        <v>44944.126643518517</v>
      </c>
      <c r="C20" s="38">
        <v>105800</v>
      </c>
    </row>
    <row r="21" spans="1:3" x14ac:dyDescent="0.3">
      <c r="A21" s="37" t="s">
        <v>52</v>
      </c>
      <c r="B21" s="55">
        <v>44932.83556712963</v>
      </c>
      <c r="C21" s="38"/>
    </row>
    <row r="22" spans="1:3" x14ac:dyDescent="0.3">
      <c r="A22" s="37" t="s">
        <v>52</v>
      </c>
      <c r="B22" s="55">
        <v>44950.19866898148</v>
      </c>
      <c r="C22" s="38">
        <v>63000</v>
      </c>
    </row>
    <row r="23" spans="1:3" x14ac:dyDescent="0.3">
      <c r="A23" s="37" t="s">
        <v>52</v>
      </c>
      <c r="B23" s="55">
        <v>44945.720601851863</v>
      </c>
      <c r="C23" s="38"/>
    </row>
    <row r="24" spans="1:3" x14ac:dyDescent="0.3">
      <c r="A24" s="37" t="s">
        <v>52</v>
      </c>
      <c r="B24" s="55">
        <v>44932.793263888889</v>
      </c>
      <c r="C24" s="38"/>
    </row>
    <row r="25" spans="1:3" x14ac:dyDescent="0.3">
      <c r="A25" s="37" t="s">
        <v>52</v>
      </c>
      <c r="B25" s="55">
        <v>44938.709305555552</v>
      </c>
      <c r="C25" s="38"/>
    </row>
    <row r="26" spans="1:3" x14ac:dyDescent="0.3">
      <c r="A26" s="37" t="s">
        <v>52</v>
      </c>
      <c r="B26" s="55">
        <v>44946.968229166669</v>
      </c>
      <c r="C26" s="38">
        <v>79200</v>
      </c>
    </row>
    <row r="27" spans="1:3" x14ac:dyDescent="0.3">
      <c r="A27" s="37" t="s">
        <v>52</v>
      </c>
      <c r="B27" s="55">
        <v>44953.543391203697</v>
      </c>
      <c r="C27" s="38">
        <v>112500</v>
      </c>
    </row>
    <row r="28" spans="1:3" x14ac:dyDescent="0.3">
      <c r="A28" s="37" t="s">
        <v>52</v>
      </c>
      <c r="B28" s="55">
        <v>44932.334398148138</v>
      </c>
      <c r="C28" s="38">
        <v>125000</v>
      </c>
    </row>
    <row r="29" spans="1:3" x14ac:dyDescent="0.3">
      <c r="A29" s="37" t="s">
        <v>52</v>
      </c>
      <c r="B29" s="55">
        <v>44928.626388888893</v>
      </c>
      <c r="C29" s="38">
        <v>80000</v>
      </c>
    </row>
    <row r="30" spans="1:3" x14ac:dyDescent="0.3">
      <c r="A30" s="37" t="s">
        <v>52</v>
      </c>
      <c r="B30" s="55">
        <v>44927.012442129628</v>
      </c>
      <c r="C30" s="38">
        <v>90000</v>
      </c>
    </row>
    <row r="31" spans="1:3" x14ac:dyDescent="0.3">
      <c r="A31" s="37" t="s">
        <v>52</v>
      </c>
      <c r="B31" s="55">
        <v>44932.543298611112</v>
      </c>
      <c r="C31" s="38">
        <v>105000</v>
      </c>
    </row>
    <row r="32" spans="1:3" x14ac:dyDescent="0.3">
      <c r="A32" s="37" t="s">
        <v>52</v>
      </c>
      <c r="B32" s="55">
        <v>44949.002164351848</v>
      </c>
      <c r="C32" s="38">
        <v>101279</v>
      </c>
    </row>
    <row r="33" spans="1:3" x14ac:dyDescent="0.3">
      <c r="A33" s="37" t="s">
        <v>52</v>
      </c>
      <c r="B33" s="55">
        <v>44935.690520833326</v>
      </c>
      <c r="C33" s="38">
        <v>113550</v>
      </c>
    </row>
    <row r="34" spans="1:3" x14ac:dyDescent="0.3">
      <c r="A34" s="37" t="s">
        <v>52</v>
      </c>
      <c r="B34" s="55">
        <v>44941.791875000003</v>
      </c>
      <c r="C34" s="38"/>
    </row>
    <row r="35" spans="1:3" x14ac:dyDescent="0.3">
      <c r="A35" s="37" t="s">
        <v>52</v>
      </c>
      <c r="B35" s="55">
        <v>44930.020208333342</v>
      </c>
      <c r="C35" s="38">
        <v>68700</v>
      </c>
    </row>
    <row r="36" spans="1:3" x14ac:dyDescent="0.3">
      <c r="A36" s="37" t="s">
        <v>52</v>
      </c>
      <c r="B36" s="55">
        <v>44936.709097222221</v>
      </c>
      <c r="C36" s="38">
        <v>85000</v>
      </c>
    </row>
    <row r="37" spans="1:3" x14ac:dyDescent="0.3">
      <c r="A37" s="37" t="s">
        <v>52</v>
      </c>
      <c r="B37" s="55">
        <v>44949.683888888889</v>
      </c>
      <c r="C37" s="38">
        <v>74500</v>
      </c>
    </row>
    <row r="38" spans="1:3" x14ac:dyDescent="0.3">
      <c r="A38" s="37" t="s">
        <v>52</v>
      </c>
      <c r="B38" s="55">
        <v>44935.69059027778</v>
      </c>
      <c r="C38" s="38">
        <v>103350</v>
      </c>
    </row>
    <row r="39" spans="1:3" x14ac:dyDescent="0.3">
      <c r="A39" s="37" t="s">
        <v>52</v>
      </c>
      <c r="B39" s="55">
        <v>44943.626238425917</v>
      </c>
      <c r="C39" s="38">
        <v>130000</v>
      </c>
    </row>
    <row r="40" spans="1:3" x14ac:dyDescent="0.3">
      <c r="A40" s="37" t="s">
        <v>52</v>
      </c>
      <c r="B40" s="55">
        <v>44935.918634259258</v>
      </c>
      <c r="C40" s="38"/>
    </row>
    <row r="41" spans="1:3" x14ac:dyDescent="0.3">
      <c r="A41" s="37" t="s">
        <v>52</v>
      </c>
      <c r="B41" s="55">
        <v>44953.336006944453</v>
      </c>
      <c r="C41" s="38">
        <v>77500</v>
      </c>
    </row>
    <row r="42" spans="1:3" x14ac:dyDescent="0.3">
      <c r="A42" s="37" t="s">
        <v>52</v>
      </c>
      <c r="B42" s="55">
        <v>44931.357453703713</v>
      </c>
      <c r="C42" s="38">
        <v>80850</v>
      </c>
    </row>
    <row r="43" spans="1:3" x14ac:dyDescent="0.3">
      <c r="A43" s="37" t="s">
        <v>52</v>
      </c>
      <c r="B43" s="55">
        <v>44936.971736111111</v>
      </c>
      <c r="C43" s="38"/>
    </row>
    <row r="44" spans="1:3" x14ac:dyDescent="0.3">
      <c r="A44" s="37" t="s">
        <v>52</v>
      </c>
      <c r="B44" s="55">
        <v>44939.711226851847</v>
      </c>
      <c r="C44" s="38"/>
    </row>
    <row r="45" spans="1:3" x14ac:dyDescent="0.3">
      <c r="A45" s="37" t="s">
        <v>52</v>
      </c>
      <c r="B45" s="55">
        <v>44944.168900462973</v>
      </c>
      <c r="C45" s="38">
        <v>51000</v>
      </c>
    </row>
    <row r="46" spans="1:3" x14ac:dyDescent="0.3">
      <c r="A46" s="37" t="s">
        <v>52</v>
      </c>
      <c r="B46" s="55">
        <v>44938.751967592587</v>
      </c>
      <c r="C46" s="38">
        <v>100000</v>
      </c>
    </row>
    <row r="47" spans="1:3" x14ac:dyDescent="0.3">
      <c r="A47" s="37" t="s">
        <v>66</v>
      </c>
      <c r="B47" s="55">
        <v>44957.108402777783</v>
      </c>
      <c r="C47" s="38">
        <v>79200</v>
      </c>
    </row>
    <row r="48" spans="1:3" x14ac:dyDescent="0.3">
      <c r="A48" s="37" t="s">
        <v>66</v>
      </c>
      <c r="B48" s="55">
        <v>44952.086851851847</v>
      </c>
      <c r="C48" s="38">
        <v>110000</v>
      </c>
    </row>
    <row r="49" spans="1:3" x14ac:dyDescent="0.3">
      <c r="A49" s="37" t="s">
        <v>66</v>
      </c>
      <c r="B49" s="55">
        <v>44942.916724537034</v>
      </c>
      <c r="C49" s="38">
        <v>200000</v>
      </c>
    </row>
    <row r="50" spans="1:3" x14ac:dyDescent="0.3">
      <c r="A50" s="37" t="s">
        <v>66</v>
      </c>
      <c r="B50" s="55">
        <v>44931.068229166667</v>
      </c>
      <c r="C50" s="38">
        <v>89100</v>
      </c>
    </row>
    <row r="51" spans="1:3" x14ac:dyDescent="0.3">
      <c r="A51" s="37" t="s">
        <v>2</v>
      </c>
      <c r="B51" s="55">
        <v>44928.751284722217</v>
      </c>
      <c r="C51" s="38">
        <v>144481.5</v>
      </c>
    </row>
    <row r="52" spans="1:3" x14ac:dyDescent="0.3">
      <c r="A52" s="37" t="s">
        <v>2</v>
      </c>
      <c r="B52" s="55">
        <v>44951.668541666673</v>
      </c>
      <c r="C52" s="38">
        <v>132315</v>
      </c>
    </row>
    <row r="53" spans="1:3" x14ac:dyDescent="0.3">
      <c r="A53" s="37" t="s">
        <v>2</v>
      </c>
      <c r="B53" s="55">
        <v>44929.894074074073</v>
      </c>
      <c r="C53" s="38">
        <v>112500</v>
      </c>
    </row>
    <row r="54" spans="1:3" x14ac:dyDescent="0.3">
      <c r="A54" s="37" t="s">
        <v>2</v>
      </c>
      <c r="B54" s="55">
        <v>44940.405486111107</v>
      </c>
      <c r="C54" s="38">
        <v>52500</v>
      </c>
    </row>
    <row r="55" spans="1:3" x14ac:dyDescent="0.3">
      <c r="A55" s="37" t="s">
        <v>2</v>
      </c>
      <c r="B55" s="55">
        <v>44932.162893518522</v>
      </c>
      <c r="C55" s="38">
        <v>115775</v>
      </c>
    </row>
    <row r="56" spans="1:3" x14ac:dyDescent="0.3">
      <c r="A56" s="37" t="s">
        <v>2</v>
      </c>
      <c r="B56" s="55">
        <v>44929.685902777783</v>
      </c>
      <c r="C56" s="38">
        <v>97500</v>
      </c>
    </row>
    <row r="57" spans="1:3" x14ac:dyDescent="0.3">
      <c r="A57" s="37" t="s">
        <v>2</v>
      </c>
      <c r="B57" s="55">
        <v>44931.708761574067</v>
      </c>
      <c r="C57" s="38">
        <v>127500</v>
      </c>
    </row>
    <row r="58" spans="1:3" x14ac:dyDescent="0.3">
      <c r="A58" s="37" t="s">
        <v>2</v>
      </c>
      <c r="B58" s="55">
        <v>44930.437060185177</v>
      </c>
      <c r="C58" s="38">
        <v>115000</v>
      </c>
    </row>
    <row r="59" spans="1:3" x14ac:dyDescent="0.3">
      <c r="A59" s="37" t="s">
        <v>2</v>
      </c>
      <c r="B59" s="55">
        <v>44956.541608796288</v>
      </c>
      <c r="C59" s="38"/>
    </row>
    <row r="60" spans="1:3" x14ac:dyDescent="0.3">
      <c r="A60" s="37" t="s">
        <v>2</v>
      </c>
      <c r="B60" s="55">
        <v>44942.001192129632</v>
      </c>
      <c r="C60" s="38"/>
    </row>
    <row r="61" spans="1:3" x14ac:dyDescent="0.3">
      <c r="A61" s="37" t="s">
        <v>2</v>
      </c>
      <c r="B61" s="55">
        <v>44937.667303240742</v>
      </c>
      <c r="C61" s="38"/>
    </row>
    <row r="62" spans="1:3" x14ac:dyDescent="0.3">
      <c r="A62" s="37" t="s">
        <v>2</v>
      </c>
      <c r="B62" s="55">
        <v>44942.386342592603</v>
      </c>
      <c r="C62" s="38">
        <v>175000</v>
      </c>
    </row>
    <row r="63" spans="1:3" x14ac:dyDescent="0.3">
      <c r="A63" s="37" t="s">
        <v>2</v>
      </c>
      <c r="B63" s="55">
        <v>44931.458935185183</v>
      </c>
      <c r="C63" s="38">
        <v>115000</v>
      </c>
    </row>
    <row r="64" spans="1:3" x14ac:dyDescent="0.3">
      <c r="A64" s="37" t="s">
        <v>2</v>
      </c>
      <c r="B64" s="55">
        <v>44944.734027777777</v>
      </c>
      <c r="C64" s="38">
        <v>111175</v>
      </c>
    </row>
    <row r="65" spans="1:3" x14ac:dyDescent="0.3">
      <c r="A65" s="37" t="s">
        <v>2</v>
      </c>
      <c r="B65" s="55">
        <v>44945.306388888886</v>
      </c>
      <c r="C65" s="38">
        <v>51014</v>
      </c>
    </row>
    <row r="66" spans="1:3" x14ac:dyDescent="0.3">
      <c r="A66" s="37" t="s">
        <v>2</v>
      </c>
      <c r="B66" s="55">
        <v>44935.125057870369</v>
      </c>
      <c r="C66" s="38"/>
    </row>
    <row r="67" spans="1:3" x14ac:dyDescent="0.3">
      <c r="A67" s="37" t="s">
        <v>2</v>
      </c>
      <c r="B67" s="55">
        <v>44953.002256944441</v>
      </c>
      <c r="C67" s="38"/>
    </row>
    <row r="68" spans="1:3" x14ac:dyDescent="0.3">
      <c r="A68" s="37" t="s">
        <v>2</v>
      </c>
      <c r="B68" s="55">
        <v>44955.625659722216</v>
      </c>
      <c r="C68" s="38"/>
    </row>
    <row r="69" spans="1:3" x14ac:dyDescent="0.3">
      <c r="A69" s="37" t="s">
        <v>2</v>
      </c>
      <c r="B69" s="55">
        <v>44937.750057870369</v>
      </c>
      <c r="C69" s="38"/>
    </row>
    <row r="70" spans="1:3" x14ac:dyDescent="0.3">
      <c r="A70" s="37" t="s">
        <v>2</v>
      </c>
      <c r="B70" s="55">
        <v>44936.582662037043</v>
      </c>
      <c r="C70" s="38">
        <v>133285</v>
      </c>
    </row>
    <row r="71" spans="1:3" x14ac:dyDescent="0.3">
      <c r="A71" s="37" t="s">
        <v>2</v>
      </c>
      <c r="B71" s="55">
        <v>44937.75172453704</v>
      </c>
      <c r="C71" s="38"/>
    </row>
    <row r="72" spans="1:3" x14ac:dyDescent="0.3">
      <c r="A72" s="37" t="s">
        <v>2</v>
      </c>
      <c r="B72" s="55">
        <v>44941.998622685183</v>
      </c>
      <c r="C72" s="38"/>
    </row>
    <row r="73" spans="1:3" x14ac:dyDescent="0.3">
      <c r="A73" s="37" t="s">
        <v>2</v>
      </c>
      <c r="B73" s="55">
        <v>44928.917303240742</v>
      </c>
      <c r="C73" s="38">
        <v>57500</v>
      </c>
    </row>
    <row r="74" spans="1:3" x14ac:dyDescent="0.3">
      <c r="A74" s="37" t="s">
        <v>2</v>
      </c>
      <c r="B74" s="55">
        <v>44937.668194444443</v>
      </c>
      <c r="C74" s="38"/>
    </row>
    <row r="75" spans="1:3" x14ac:dyDescent="0.3">
      <c r="A75" s="37" t="s">
        <v>2</v>
      </c>
      <c r="B75" s="55">
        <v>44931.585138888891</v>
      </c>
      <c r="C75" s="38">
        <v>60000</v>
      </c>
    </row>
    <row r="76" spans="1:3" x14ac:dyDescent="0.3">
      <c r="A76" s="37" t="s">
        <v>2</v>
      </c>
      <c r="B76" s="55">
        <v>44937.024363425917</v>
      </c>
      <c r="C76" s="38">
        <v>45000</v>
      </c>
    </row>
    <row r="77" spans="1:3" x14ac:dyDescent="0.3">
      <c r="A77" s="37" t="s">
        <v>2</v>
      </c>
      <c r="B77" s="55">
        <v>44944.740555555552</v>
      </c>
      <c r="C77" s="38">
        <v>112500</v>
      </c>
    </row>
    <row r="78" spans="1:3" x14ac:dyDescent="0.3">
      <c r="A78" s="37" t="s">
        <v>2</v>
      </c>
      <c r="B78" s="55">
        <v>44930.62604166667</v>
      </c>
      <c r="C78" s="38">
        <v>170000</v>
      </c>
    </row>
    <row r="79" spans="1:3" x14ac:dyDescent="0.3">
      <c r="A79" s="37" t="s">
        <v>2</v>
      </c>
      <c r="B79" s="55">
        <v>44935.902604166673</v>
      </c>
      <c r="C79" s="38">
        <v>145000</v>
      </c>
    </row>
    <row r="80" spans="1:3" x14ac:dyDescent="0.3">
      <c r="A80" s="37" t="s">
        <v>2</v>
      </c>
      <c r="B80" s="55">
        <v>44945.127291666657</v>
      </c>
      <c r="C80" s="38"/>
    </row>
    <row r="81" spans="1:3" x14ac:dyDescent="0.3">
      <c r="A81" s="37" t="s">
        <v>2</v>
      </c>
      <c r="B81" s="55">
        <v>44928.542546296303</v>
      </c>
      <c r="C81" s="38">
        <v>101540</v>
      </c>
    </row>
    <row r="82" spans="1:3" x14ac:dyDescent="0.3">
      <c r="A82" s="37" t="s">
        <v>2</v>
      </c>
      <c r="B82" s="55">
        <v>44951.493287037039</v>
      </c>
      <c r="C82" s="38">
        <v>51014</v>
      </c>
    </row>
    <row r="83" spans="1:3" x14ac:dyDescent="0.3">
      <c r="A83" s="37" t="s">
        <v>2</v>
      </c>
      <c r="B83" s="55">
        <v>44930.626157407409</v>
      </c>
      <c r="C83" s="38"/>
    </row>
    <row r="84" spans="1:3" x14ac:dyDescent="0.3">
      <c r="A84" s="37" t="s">
        <v>2</v>
      </c>
      <c r="B84" s="55">
        <v>44945.043229166673</v>
      </c>
      <c r="C84" s="38">
        <v>93000</v>
      </c>
    </row>
    <row r="85" spans="1:3" x14ac:dyDescent="0.3">
      <c r="A85" s="37" t="s">
        <v>2</v>
      </c>
      <c r="B85" s="55">
        <v>44949.54246527778</v>
      </c>
      <c r="C85" s="38"/>
    </row>
    <row r="86" spans="1:3" x14ac:dyDescent="0.3">
      <c r="A86" s="37" t="s">
        <v>2</v>
      </c>
      <c r="B86" s="55">
        <v>44930.005648148152</v>
      </c>
      <c r="C86" s="38"/>
    </row>
    <row r="87" spans="1:3" x14ac:dyDescent="0.3">
      <c r="A87" s="37" t="s">
        <v>2</v>
      </c>
      <c r="B87" s="55">
        <v>44939.91983796296</v>
      </c>
      <c r="C87" s="38">
        <v>85000</v>
      </c>
    </row>
    <row r="88" spans="1:3" x14ac:dyDescent="0.3">
      <c r="A88" s="37" t="s">
        <v>2</v>
      </c>
      <c r="B88" s="55">
        <v>44957.709108796298</v>
      </c>
      <c r="C88" s="38"/>
    </row>
    <row r="89" spans="1:3" x14ac:dyDescent="0.3">
      <c r="A89" s="37" t="s">
        <v>2</v>
      </c>
      <c r="B89" s="55">
        <v>44944.701122685183</v>
      </c>
      <c r="C89" s="38">
        <v>52500</v>
      </c>
    </row>
    <row r="90" spans="1:3" x14ac:dyDescent="0.3">
      <c r="A90" s="37" t="s">
        <v>2</v>
      </c>
      <c r="B90" s="55">
        <v>44931.28020833333</v>
      </c>
      <c r="C90" s="38">
        <v>80850</v>
      </c>
    </row>
    <row r="91" spans="1:3" x14ac:dyDescent="0.3">
      <c r="A91" s="37" t="s">
        <v>2</v>
      </c>
      <c r="B91" s="55">
        <v>44943.427905092591</v>
      </c>
      <c r="C91" s="38">
        <v>111175</v>
      </c>
    </row>
    <row r="92" spans="1:3" x14ac:dyDescent="0.3">
      <c r="A92" s="37" t="s">
        <v>2</v>
      </c>
      <c r="B92" s="55">
        <v>44930.019907407397</v>
      </c>
      <c r="C92" s="38"/>
    </row>
    <row r="93" spans="1:3" x14ac:dyDescent="0.3">
      <c r="A93" s="37" t="s">
        <v>2</v>
      </c>
      <c r="B93" s="55">
        <v>44948.927465277768</v>
      </c>
      <c r="C93" s="38">
        <v>51014</v>
      </c>
    </row>
    <row r="94" spans="1:3" x14ac:dyDescent="0.3">
      <c r="A94" s="37" t="s">
        <v>2</v>
      </c>
      <c r="B94" s="55">
        <v>44936.417361111111</v>
      </c>
      <c r="C94" s="38"/>
    </row>
    <row r="95" spans="1:3" x14ac:dyDescent="0.3">
      <c r="A95" s="37" t="s">
        <v>2</v>
      </c>
      <c r="B95" s="55">
        <v>44936.065555555557</v>
      </c>
      <c r="C95" s="38">
        <v>138615</v>
      </c>
    </row>
    <row r="96" spans="1:3" x14ac:dyDescent="0.3">
      <c r="A96" s="37" t="s">
        <v>2</v>
      </c>
      <c r="B96" s="55">
        <v>44936.833310185182</v>
      </c>
      <c r="C96" s="38">
        <v>85000</v>
      </c>
    </row>
    <row r="97" spans="1:3" x14ac:dyDescent="0.3">
      <c r="A97" s="37" t="s">
        <v>2</v>
      </c>
      <c r="B97" s="55">
        <v>44949.001516203702</v>
      </c>
      <c r="C97" s="38"/>
    </row>
    <row r="98" spans="1:3" x14ac:dyDescent="0.3">
      <c r="A98" s="37" t="s">
        <v>2</v>
      </c>
      <c r="B98" s="55">
        <v>44931.987997685188</v>
      </c>
      <c r="C98" s="38">
        <v>56700</v>
      </c>
    </row>
    <row r="99" spans="1:3" x14ac:dyDescent="0.3">
      <c r="A99" s="37" t="s">
        <v>2</v>
      </c>
      <c r="B99" s="55">
        <v>44944.666666666657</v>
      </c>
      <c r="C99" s="38">
        <v>62500</v>
      </c>
    </row>
    <row r="100" spans="1:3" x14ac:dyDescent="0.3">
      <c r="A100" s="37" t="s">
        <v>2</v>
      </c>
      <c r="B100" s="55">
        <v>44956.794039351851</v>
      </c>
      <c r="C100" s="38">
        <v>85000</v>
      </c>
    </row>
    <row r="101" spans="1:3" x14ac:dyDescent="0.3">
      <c r="A101" s="37" t="s">
        <v>2</v>
      </c>
      <c r="B101" s="55">
        <v>44942</v>
      </c>
      <c r="C101" s="38"/>
    </row>
    <row r="102" spans="1:3" x14ac:dyDescent="0.3">
      <c r="A102" s="37" t="s">
        <v>2</v>
      </c>
      <c r="B102" s="55">
        <v>44940.079768518517</v>
      </c>
      <c r="C102" s="38">
        <v>45000</v>
      </c>
    </row>
    <row r="103" spans="1:3" x14ac:dyDescent="0.3">
      <c r="A103" s="37" t="s">
        <v>2</v>
      </c>
      <c r="B103" s="55">
        <v>44954.019062500003</v>
      </c>
      <c r="C103" s="38">
        <v>155000</v>
      </c>
    </row>
    <row r="104" spans="1:3" x14ac:dyDescent="0.3">
      <c r="A104" s="37" t="s">
        <v>2</v>
      </c>
      <c r="B104" s="55">
        <v>44942.678171296298</v>
      </c>
      <c r="C104" s="38">
        <v>57500</v>
      </c>
    </row>
    <row r="105" spans="1:3" x14ac:dyDescent="0.3">
      <c r="A105" s="37" t="s">
        <v>2</v>
      </c>
      <c r="B105" s="55">
        <v>44943.052060185182</v>
      </c>
      <c r="C105" s="38">
        <v>111175</v>
      </c>
    </row>
    <row r="106" spans="1:3" x14ac:dyDescent="0.3">
      <c r="A106" s="37" t="s">
        <v>2</v>
      </c>
      <c r="B106" s="55">
        <v>44936.251192129632</v>
      </c>
      <c r="C106" s="38">
        <v>117200</v>
      </c>
    </row>
    <row r="107" spans="1:3" x14ac:dyDescent="0.3">
      <c r="A107" s="37" t="s">
        <v>2</v>
      </c>
      <c r="B107" s="55">
        <v>44940.875787037039</v>
      </c>
      <c r="C107" s="38"/>
    </row>
    <row r="108" spans="1:3" x14ac:dyDescent="0.3">
      <c r="A108" s="37" t="s">
        <v>2</v>
      </c>
      <c r="B108" s="55">
        <v>44952.877326388887</v>
      </c>
      <c r="C108" s="38">
        <v>95000</v>
      </c>
    </row>
    <row r="109" spans="1:3" x14ac:dyDescent="0.3">
      <c r="A109" s="37" t="s">
        <v>2</v>
      </c>
      <c r="B109" s="55">
        <v>44950.001377314817</v>
      </c>
      <c r="C109" s="38"/>
    </row>
    <row r="110" spans="1:3" x14ac:dyDescent="0.3">
      <c r="A110" s="37" t="s">
        <v>2</v>
      </c>
      <c r="B110" s="55">
        <v>44930.293182870373</v>
      </c>
      <c r="C110" s="38">
        <v>115000</v>
      </c>
    </row>
    <row r="111" spans="1:3" x14ac:dyDescent="0.3">
      <c r="A111" s="37" t="s">
        <v>2</v>
      </c>
      <c r="B111" s="55">
        <v>44944.960694444453</v>
      </c>
      <c r="C111" s="38"/>
    </row>
    <row r="112" spans="1:3" x14ac:dyDescent="0.3">
      <c r="A112" s="37" t="s">
        <v>2</v>
      </c>
      <c r="B112" s="55">
        <v>44933.087199074071</v>
      </c>
      <c r="C112" s="38">
        <v>115000</v>
      </c>
    </row>
    <row r="113" spans="1:3" x14ac:dyDescent="0.3">
      <c r="A113" s="37" t="s">
        <v>2</v>
      </c>
      <c r="B113" s="55">
        <v>44957.510925925933</v>
      </c>
      <c r="C113" s="38">
        <v>102500</v>
      </c>
    </row>
    <row r="114" spans="1:3" x14ac:dyDescent="0.3">
      <c r="A114" s="37" t="s">
        <v>2</v>
      </c>
      <c r="B114" s="55">
        <v>44943.91679398148</v>
      </c>
      <c r="C114" s="38"/>
    </row>
    <row r="115" spans="1:3" x14ac:dyDescent="0.3">
      <c r="A115" s="37" t="s">
        <v>2</v>
      </c>
      <c r="B115" s="55">
        <v>44945.637858796297</v>
      </c>
      <c r="C115" s="38"/>
    </row>
    <row r="116" spans="1:3" x14ac:dyDescent="0.3">
      <c r="A116" s="37" t="s">
        <v>2</v>
      </c>
      <c r="B116" s="55">
        <v>44937.251875000002</v>
      </c>
      <c r="C116" s="38">
        <v>215500</v>
      </c>
    </row>
    <row r="117" spans="1:3" x14ac:dyDescent="0.3">
      <c r="A117" s="37" t="s">
        <v>2</v>
      </c>
      <c r="B117" s="55">
        <v>44953.710868055547</v>
      </c>
      <c r="C117" s="38">
        <v>70000</v>
      </c>
    </row>
    <row r="118" spans="1:3" x14ac:dyDescent="0.3">
      <c r="A118" s="37" t="s">
        <v>2</v>
      </c>
      <c r="B118" s="55">
        <v>44943.627395833333</v>
      </c>
      <c r="C118" s="38"/>
    </row>
    <row r="119" spans="1:3" x14ac:dyDescent="0.3">
      <c r="A119" s="37" t="s">
        <v>2</v>
      </c>
      <c r="B119" s="55">
        <v>44946.875972222217</v>
      </c>
      <c r="C119" s="38">
        <v>80000</v>
      </c>
    </row>
    <row r="120" spans="1:3" x14ac:dyDescent="0.3">
      <c r="A120" s="37" t="s">
        <v>2</v>
      </c>
      <c r="B120" s="55">
        <v>44935.293310185189</v>
      </c>
      <c r="C120" s="38">
        <v>133285</v>
      </c>
    </row>
    <row r="121" spans="1:3" x14ac:dyDescent="0.3">
      <c r="A121" s="37" t="s">
        <v>2</v>
      </c>
      <c r="B121" s="55">
        <v>44945.303668981483</v>
      </c>
      <c r="C121" s="38">
        <v>115000</v>
      </c>
    </row>
    <row r="122" spans="1:3" x14ac:dyDescent="0.3">
      <c r="A122" s="37" t="s">
        <v>2</v>
      </c>
      <c r="B122" s="55">
        <v>44953.460023148153</v>
      </c>
      <c r="C122" s="38">
        <v>146100</v>
      </c>
    </row>
    <row r="123" spans="1:3" x14ac:dyDescent="0.3">
      <c r="A123" s="37" t="s">
        <v>2</v>
      </c>
      <c r="B123" s="55">
        <v>44936.943472222221</v>
      </c>
      <c r="C123" s="38">
        <v>102500</v>
      </c>
    </row>
    <row r="124" spans="1:3" x14ac:dyDescent="0.3">
      <c r="A124" s="37" t="s">
        <v>2</v>
      </c>
      <c r="B124" s="55">
        <v>44951.999895833331</v>
      </c>
      <c r="C124" s="38"/>
    </row>
    <row r="125" spans="1:3" x14ac:dyDescent="0.3">
      <c r="A125" s="37" t="s">
        <v>2</v>
      </c>
      <c r="B125" s="55">
        <v>44937.335856481477</v>
      </c>
      <c r="C125" s="38">
        <v>52775</v>
      </c>
    </row>
    <row r="126" spans="1:3" x14ac:dyDescent="0.3">
      <c r="A126" s="37" t="s">
        <v>2</v>
      </c>
      <c r="B126" s="55">
        <v>44944.583368055559</v>
      </c>
      <c r="C126" s="38"/>
    </row>
    <row r="127" spans="1:3" x14ac:dyDescent="0.3">
      <c r="A127" s="37" t="s">
        <v>2</v>
      </c>
      <c r="B127" s="55">
        <v>44935.250277777777</v>
      </c>
      <c r="C127" s="38">
        <v>81550</v>
      </c>
    </row>
    <row r="128" spans="1:3" x14ac:dyDescent="0.3">
      <c r="A128" s="37" t="s">
        <v>2</v>
      </c>
      <c r="B128" s="55">
        <v>44944.181192129632</v>
      </c>
      <c r="C128" s="38">
        <v>111175</v>
      </c>
    </row>
    <row r="129" spans="1:3" x14ac:dyDescent="0.3">
      <c r="A129" s="37" t="s">
        <v>2</v>
      </c>
      <c r="B129" s="55">
        <v>44939.385844907411</v>
      </c>
      <c r="C129" s="38">
        <v>79200</v>
      </c>
    </row>
    <row r="130" spans="1:3" x14ac:dyDescent="0.3">
      <c r="A130" s="37" t="s">
        <v>2</v>
      </c>
      <c r="B130" s="55">
        <v>44947.5002662037</v>
      </c>
      <c r="C130" s="38">
        <v>70000</v>
      </c>
    </row>
    <row r="131" spans="1:3" x14ac:dyDescent="0.3">
      <c r="A131" s="37" t="s">
        <v>2</v>
      </c>
      <c r="B131" s="55">
        <v>44930.020879629628</v>
      </c>
      <c r="C131" s="38">
        <v>55000</v>
      </c>
    </row>
    <row r="132" spans="1:3" x14ac:dyDescent="0.3">
      <c r="A132" s="37" t="s">
        <v>2</v>
      </c>
      <c r="B132" s="55">
        <v>44946.513379629629</v>
      </c>
      <c r="C132" s="38"/>
    </row>
    <row r="133" spans="1:3" x14ac:dyDescent="0.3">
      <c r="A133" s="37" t="s">
        <v>2</v>
      </c>
      <c r="B133" s="55">
        <v>44940.459583333337</v>
      </c>
      <c r="C133" s="38">
        <v>46238.3984375</v>
      </c>
    </row>
    <row r="134" spans="1:3" x14ac:dyDescent="0.3">
      <c r="A134" s="37" t="s">
        <v>2</v>
      </c>
      <c r="B134" s="55">
        <v>44949.877025462964</v>
      </c>
      <c r="C134" s="38"/>
    </row>
    <row r="135" spans="1:3" x14ac:dyDescent="0.3">
      <c r="A135" s="37" t="s">
        <v>2</v>
      </c>
      <c r="B135" s="55">
        <v>44944.919050925928</v>
      </c>
      <c r="C135" s="38">
        <v>144481.5</v>
      </c>
    </row>
    <row r="136" spans="1:3" x14ac:dyDescent="0.3">
      <c r="A136" s="37" t="s">
        <v>2</v>
      </c>
      <c r="B136" s="55">
        <v>44937.251793981479</v>
      </c>
      <c r="C136" s="38">
        <v>124444</v>
      </c>
    </row>
    <row r="137" spans="1:3" x14ac:dyDescent="0.3">
      <c r="A137" s="37" t="s">
        <v>2</v>
      </c>
      <c r="B137" s="55">
        <v>44930.833275462966</v>
      </c>
      <c r="C137" s="38">
        <v>62500</v>
      </c>
    </row>
    <row r="138" spans="1:3" x14ac:dyDescent="0.3">
      <c r="A138" s="37" t="s">
        <v>2</v>
      </c>
      <c r="B138" s="55">
        <v>44949.001331018517</v>
      </c>
      <c r="C138" s="38"/>
    </row>
    <row r="139" spans="1:3" x14ac:dyDescent="0.3">
      <c r="A139" s="37" t="s">
        <v>2</v>
      </c>
      <c r="B139" s="55">
        <v>44927.012476851851</v>
      </c>
      <c r="C139" s="38">
        <v>55000</v>
      </c>
    </row>
    <row r="140" spans="1:3" x14ac:dyDescent="0.3">
      <c r="A140" s="37" t="s">
        <v>2</v>
      </c>
      <c r="B140" s="55">
        <v>44929.00072916667</v>
      </c>
      <c r="C140" s="38"/>
    </row>
    <row r="141" spans="1:3" x14ac:dyDescent="0.3">
      <c r="A141" s="37" t="s">
        <v>2</v>
      </c>
      <c r="B141" s="55">
        <v>44931.750011574077</v>
      </c>
      <c r="C141" s="38"/>
    </row>
    <row r="142" spans="1:3" x14ac:dyDescent="0.3">
      <c r="A142" s="37" t="s">
        <v>2</v>
      </c>
      <c r="B142" s="55">
        <v>44950.429398148153</v>
      </c>
      <c r="C142" s="38">
        <v>99150</v>
      </c>
    </row>
    <row r="143" spans="1:3" x14ac:dyDescent="0.3">
      <c r="A143" s="37" t="s">
        <v>2</v>
      </c>
      <c r="B143" s="55">
        <v>44951.583587962959</v>
      </c>
      <c r="C143" s="38">
        <v>57500</v>
      </c>
    </row>
    <row r="144" spans="1:3" x14ac:dyDescent="0.3">
      <c r="A144" s="37" t="s">
        <v>2</v>
      </c>
      <c r="B144" s="55">
        <v>44946.833553240736</v>
      </c>
      <c r="C144" s="38">
        <v>90000</v>
      </c>
    </row>
    <row r="145" spans="1:3" x14ac:dyDescent="0.3">
      <c r="A145" s="37" t="s">
        <v>2</v>
      </c>
      <c r="B145" s="55">
        <v>44956.960312499999</v>
      </c>
      <c r="C145" s="38">
        <v>91960</v>
      </c>
    </row>
    <row r="146" spans="1:3" x14ac:dyDescent="0.3">
      <c r="A146" s="37" t="s">
        <v>2</v>
      </c>
      <c r="B146" s="55">
        <v>44931.959444444437</v>
      </c>
      <c r="C146" s="38">
        <v>84479</v>
      </c>
    </row>
    <row r="147" spans="1:3" x14ac:dyDescent="0.3">
      <c r="A147" s="37" t="s">
        <v>2</v>
      </c>
      <c r="B147" s="55">
        <v>44942.023217592592</v>
      </c>
      <c r="C147" s="38"/>
    </row>
    <row r="148" spans="1:3" x14ac:dyDescent="0.3">
      <c r="A148" s="37" t="s">
        <v>2</v>
      </c>
      <c r="B148" s="55">
        <v>44955.583298611113</v>
      </c>
      <c r="C148" s="38">
        <v>77500</v>
      </c>
    </row>
    <row r="149" spans="1:3" x14ac:dyDescent="0.3">
      <c r="A149" s="37" t="s">
        <v>2</v>
      </c>
      <c r="B149" s="55">
        <v>44945.797939814824</v>
      </c>
      <c r="C149" s="38">
        <v>51014</v>
      </c>
    </row>
    <row r="150" spans="1:3" x14ac:dyDescent="0.3">
      <c r="A150" s="37" t="s">
        <v>2</v>
      </c>
      <c r="B150" s="55">
        <v>44949.876944444448</v>
      </c>
      <c r="C150" s="38">
        <v>65000</v>
      </c>
    </row>
    <row r="151" spans="1:3" x14ac:dyDescent="0.3">
      <c r="A151" s="37" t="s">
        <v>2</v>
      </c>
      <c r="B151" s="55">
        <v>44945.125879629632</v>
      </c>
      <c r="C151" s="38">
        <v>81350</v>
      </c>
    </row>
    <row r="152" spans="1:3" x14ac:dyDescent="0.3">
      <c r="A152" s="37" t="s">
        <v>2</v>
      </c>
      <c r="B152" s="55">
        <v>44939.796400462961</v>
      </c>
      <c r="C152" s="38">
        <v>82500</v>
      </c>
    </row>
    <row r="153" spans="1:3" x14ac:dyDescent="0.3">
      <c r="A153" s="37" t="s">
        <v>2</v>
      </c>
      <c r="B153" s="55">
        <v>44933.001226851848</v>
      </c>
      <c r="C153" s="38">
        <v>90000</v>
      </c>
    </row>
    <row r="154" spans="1:3" x14ac:dyDescent="0.3">
      <c r="A154" s="37" t="s">
        <v>2</v>
      </c>
      <c r="B154" s="55">
        <v>44936.430069444446</v>
      </c>
      <c r="C154" s="38">
        <v>120710</v>
      </c>
    </row>
    <row r="155" spans="1:3" x14ac:dyDescent="0.3">
      <c r="A155" s="37" t="s">
        <v>2</v>
      </c>
      <c r="B155" s="55">
        <v>44944.615740740737</v>
      </c>
      <c r="C155" s="38">
        <v>60000</v>
      </c>
    </row>
    <row r="156" spans="1:3" x14ac:dyDescent="0.3">
      <c r="A156" s="37" t="s">
        <v>2</v>
      </c>
      <c r="B156" s="55">
        <v>44951.708182870367</v>
      </c>
      <c r="C156" s="38">
        <v>51014</v>
      </c>
    </row>
    <row r="157" spans="1:3" x14ac:dyDescent="0.3">
      <c r="A157" s="37" t="s">
        <v>2</v>
      </c>
      <c r="B157" s="55">
        <v>44944.833518518521</v>
      </c>
      <c r="C157" s="38">
        <v>106492.5</v>
      </c>
    </row>
    <row r="158" spans="1:3" x14ac:dyDescent="0.3">
      <c r="A158" s="37" t="s">
        <v>2</v>
      </c>
      <c r="B158" s="55">
        <v>44946.985439814824</v>
      </c>
      <c r="C158" s="38"/>
    </row>
    <row r="159" spans="1:3" x14ac:dyDescent="0.3">
      <c r="A159" s="37" t="s">
        <v>2</v>
      </c>
      <c r="B159" s="55">
        <v>44945.638113425928</v>
      </c>
      <c r="C159" s="38"/>
    </row>
    <row r="160" spans="1:3" x14ac:dyDescent="0.3">
      <c r="A160" s="37" t="s">
        <v>2</v>
      </c>
      <c r="B160" s="55">
        <v>44956.960509259261</v>
      </c>
      <c r="C160" s="38"/>
    </row>
    <row r="161" spans="1:3" x14ac:dyDescent="0.3">
      <c r="A161" s="37" t="s">
        <v>2</v>
      </c>
      <c r="B161" s="55">
        <v>44927.000821759262</v>
      </c>
      <c r="C161" s="38"/>
    </row>
    <row r="162" spans="1:3" x14ac:dyDescent="0.3">
      <c r="A162" s="37" t="s">
        <v>2</v>
      </c>
      <c r="B162" s="55">
        <v>44937.125648148147</v>
      </c>
      <c r="C162" s="38">
        <v>125000</v>
      </c>
    </row>
    <row r="163" spans="1:3" x14ac:dyDescent="0.3">
      <c r="A163" s="37" t="s">
        <v>2</v>
      </c>
      <c r="B163" s="55">
        <v>44950.292384259257</v>
      </c>
      <c r="C163" s="38">
        <v>200000</v>
      </c>
    </row>
    <row r="164" spans="1:3" x14ac:dyDescent="0.3">
      <c r="A164" s="37" t="s">
        <v>2</v>
      </c>
      <c r="B164" s="55">
        <v>44939.544895833344</v>
      </c>
      <c r="C164" s="38">
        <v>164746</v>
      </c>
    </row>
    <row r="165" spans="1:3" x14ac:dyDescent="0.3">
      <c r="A165" s="37" t="s">
        <v>2</v>
      </c>
      <c r="B165" s="55">
        <v>44928.586655092593</v>
      </c>
      <c r="C165" s="38"/>
    </row>
    <row r="166" spans="1:3" x14ac:dyDescent="0.3">
      <c r="A166" s="37" t="s">
        <v>2</v>
      </c>
      <c r="B166" s="55">
        <v>44937.33489583333</v>
      </c>
      <c r="C166" s="38">
        <v>115000</v>
      </c>
    </row>
    <row r="167" spans="1:3" x14ac:dyDescent="0.3">
      <c r="A167" s="37" t="s">
        <v>2</v>
      </c>
      <c r="B167" s="55">
        <v>44930.834768518522</v>
      </c>
      <c r="C167" s="38"/>
    </row>
    <row r="168" spans="1:3" x14ac:dyDescent="0.3">
      <c r="A168" s="37" t="s">
        <v>2</v>
      </c>
      <c r="B168" s="55">
        <v>44946.967407407406</v>
      </c>
      <c r="C168" s="38">
        <v>51014</v>
      </c>
    </row>
    <row r="169" spans="1:3" x14ac:dyDescent="0.3">
      <c r="A169" s="37" t="s">
        <v>2</v>
      </c>
      <c r="B169" s="55">
        <v>44936.542210648149</v>
      </c>
      <c r="C169" s="38"/>
    </row>
    <row r="170" spans="1:3" x14ac:dyDescent="0.3">
      <c r="A170" s="37" t="s">
        <v>2</v>
      </c>
      <c r="B170" s="55">
        <v>44937.793182870373</v>
      </c>
      <c r="C170" s="38"/>
    </row>
    <row r="171" spans="1:3" x14ac:dyDescent="0.3">
      <c r="A171" s="37" t="s">
        <v>2</v>
      </c>
      <c r="B171" s="55">
        <v>44950.793726851851</v>
      </c>
      <c r="C171" s="38"/>
    </row>
    <row r="172" spans="1:3" x14ac:dyDescent="0.3">
      <c r="A172" s="37" t="s">
        <v>2</v>
      </c>
      <c r="B172" s="55">
        <v>44932.544664351852</v>
      </c>
      <c r="C172" s="38">
        <v>89100</v>
      </c>
    </row>
    <row r="173" spans="1:3" x14ac:dyDescent="0.3">
      <c r="A173" s="37" t="s">
        <v>2</v>
      </c>
      <c r="B173" s="55">
        <v>44929.797175925924</v>
      </c>
      <c r="C173" s="38">
        <v>42500</v>
      </c>
    </row>
    <row r="174" spans="1:3" x14ac:dyDescent="0.3">
      <c r="A174" s="37" t="s">
        <v>2</v>
      </c>
      <c r="B174" s="55">
        <v>44929.895902777767</v>
      </c>
      <c r="C174" s="38"/>
    </row>
    <row r="175" spans="1:3" x14ac:dyDescent="0.3">
      <c r="A175" s="37" t="s">
        <v>2</v>
      </c>
      <c r="B175" s="55">
        <v>44950.625081018523</v>
      </c>
      <c r="C175" s="38"/>
    </row>
    <row r="176" spans="1:3" x14ac:dyDescent="0.3">
      <c r="A176" s="37" t="s">
        <v>2</v>
      </c>
      <c r="B176" s="55">
        <v>44945.638090277767</v>
      </c>
      <c r="C176" s="38">
        <v>67500</v>
      </c>
    </row>
    <row r="177" spans="1:3" x14ac:dyDescent="0.3">
      <c r="A177" s="37" t="s">
        <v>2</v>
      </c>
      <c r="B177" s="55">
        <v>44929.937118055554</v>
      </c>
      <c r="C177" s="38"/>
    </row>
    <row r="178" spans="1:3" x14ac:dyDescent="0.3">
      <c r="A178" s="37" t="s">
        <v>2</v>
      </c>
      <c r="B178" s="55">
        <v>44936.041678240741</v>
      </c>
      <c r="C178" s="38">
        <v>80000</v>
      </c>
    </row>
    <row r="179" spans="1:3" x14ac:dyDescent="0.3">
      <c r="A179" s="37" t="s">
        <v>2</v>
      </c>
      <c r="B179" s="55">
        <v>44939.713067129633</v>
      </c>
      <c r="C179" s="38">
        <v>75000</v>
      </c>
    </row>
    <row r="180" spans="1:3" x14ac:dyDescent="0.3">
      <c r="A180" s="37" t="s">
        <v>2</v>
      </c>
      <c r="B180" s="55">
        <v>44937.407754629632</v>
      </c>
      <c r="C180" s="38">
        <v>115700</v>
      </c>
    </row>
    <row r="181" spans="1:3" x14ac:dyDescent="0.3">
      <c r="A181" s="37" t="s">
        <v>2</v>
      </c>
      <c r="B181" s="55">
        <v>44953.709594907406</v>
      </c>
      <c r="C181" s="38">
        <v>102500</v>
      </c>
    </row>
    <row r="182" spans="1:3" x14ac:dyDescent="0.3">
      <c r="A182" s="37" t="s">
        <v>2</v>
      </c>
      <c r="B182" s="55">
        <v>44936.875173611108</v>
      </c>
      <c r="C182" s="38"/>
    </row>
    <row r="183" spans="1:3" x14ac:dyDescent="0.3">
      <c r="A183" s="37" t="s">
        <v>2</v>
      </c>
      <c r="B183" s="55">
        <v>44932.875034722223</v>
      </c>
      <c r="C183" s="38">
        <v>110000</v>
      </c>
    </row>
    <row r="184" spans="1:3" x14ac:dyDescent="0.3">
      <c r="A184" s="37" t="s">
        <v>2</v>
      </c>
      <c r="B184" s="55">
        <v>44950.00099537037</v>
      </c>
      <c r="C184" s="38">
        <v>77981</v>
      </c>
    </row>
    <row r="185" spans="1:3" x14ac:dyDescent="0.3">
      <c r="A185" s="37" t="s">
        <v>2</v>
      </c>
      <c r="B185" s="55">
        <v>44929.89398148148</v>
      </c>
      <c r="C185" s="38">
        <v>70000</v>
      </c>
    </row>
    <row r="186" spans="1:3" x14ac:dyDescent="0.3">
      <c r="A186" s="37" t="s">
        <v>2</v>
      </c>
      <c r="B186" s="55">
        <v>44930.408530092587</v>
      </c>
      <c r="C186" s="38">
        <v>111202</v>
      </c>
    </row>
    <row r="187" spans="1:3" x14ac:dyDescent="0.3">
      <c r="A187" s="37" t="s">
        <v>2</v>
      </c>
      <c r="B187" s="55">
        <v>44929.688067129631</v>
      </c>
      <c r="C187" s="38">
        <v>52500</v>
      </c>
    </row>
    <row r="188" spans="1:3" x14ac:dyDescent="0.3">
      <c r="A188" s="37" t="s">
        <v>2</v>
      </c>
      <c r="B188" s="55">
        <v>44953.708321759259</v>
      </c>
      <c r="C188" s="38"/>
    </row>
    <row r="189" spans="1:3" x14ac:dyDescent="0.3">
      <c r="A189" s="37" t="s">
        <v>2</v>
      </c>
      <c r="B189" s="55">
        <v>44932.715081018519</v>
      </c>
      <c r="C189" s="38">
        <v>50000</v>
      </c>
    </row>
    <row r="190" spans="1:3" x14ac:dyDescent="0.3">
      <c r="A190" s="37" t="s">
        <v>2</v>
      </c>
      <c r="B190" s="55">
        <v>44953.667164351849</v>
      </c>
      <c r="C190" s="38">
        <v>70000</v>
      </c>
    </row>
    <row r="191" spans="1:3" x14ac:dyDescent="0.3">
      <c r="A191" s="37" t="s">
        <v>2</v>
      </c>
      <c r="B191" s="55">
        <v>44952.792905092603</v>
      </c>
      <c r="C191" s="38">
        <v>75000</v>
      </c>
    </row>
    <row r="192" spans="1:3" x14ac:dyDescent="0.3">
      <c r="A192" s="37" t="s">
        <v>2</v>
      </c>
      <c r="B192" s="55">
        <v>44930.561527777783</v>
      </c>
      <c r="C192" s="38"/>
    </row>
    <row r="193" spans="1:3" x14ac:dyDescent="0.3">
      <c r="A193" s="37" t="s">
        <v>2</v>
      </c>
      <c r="B193" s="55">
        <v>44939.930625000001</v>
      </c>
      <c r="C193" s="38">
        <v>79123.6875</v>
      </c>
    </row>
    <row r="194" spans="1:3" x14ac:dyDescent="0.3">
      <c r="A194" s="37" t="s">
        <v>2</v>
      </c>
      <c r="B194" s="55">
        <v>44946.302256944437</v>
      </c>
      <c r="C194" s="38">
        <v>51014</v>
      </c>
    </row>
    <row r="195" spans="1:3" x14ac:dyDescent="0.3">
      <c r="A195" s="37" t="s">
        <v>2</v>
      </c>
      <c r="B195" s="55">
        <v>44942.001562500001</v>
      </c>
      <c r="C195" s="38"/>
    </row>
    <row r="196" spans="1:3" x14ac:dyDescent="0.3">
      <c r="A196" s="37" t="s">
        <v>2</v>
      </c>
      <c r="B196" s="55">
        <v>44934.791620370372</v>
      </c>
      <c r="C196" s="38"/>
    </row>
    <row r="197" spans="1:3" x14ac:dyDescent="0.3">
      <c r="A197" s="37" t="s">
        <v>2</v>
      </c>
      <c r="B197" s="55">
        <v>44932.271319444437</v>
      </c>
      <c r="C197" s="38">
        <v>111202</v>
      </c>
    </row>
    <row r="198" spans="1:3" x14ac:dyDescent="0.3">
      <c r="A198" s="37" t="s">
        <v>2</v>
      </c>
      <c r="B198" s="55">
        <v>44940.75</v>
      </c>
      <c r="C198" s="38">
        <v>143500</v>
      </c>
    </row>
    <row r="199" spans="1:3" x14ac:dyDescent="0.3">
      <c r="A199" s="37" t="s">
        <v>2</v>
      </c>
      <c r="B199" s="55">
        <v>44940.625196759262</v>
      </c>
      <c r="C199" s="38">
        <v>68000</v>
      </c>
    </row>
    <row r="200" spans="1:3" x14ac:dyDescent="0.3">
      <c r="A200" s="37" t="s">
        <v>2</v>
      </c>
      <c r="B200" s="55">
        <v>44955.666828703703</v>
      </c>
      <c r="C200" s="38"/>
    </row>
    <row r="201" spans="1:3" x14ac:dyDescent="0.3">
      <c r="A201" s="37" t="s">
        <v>2</v>
      </c>
      <c r="B201" s="55">
        <v>44930.959965277783</v>
      </c>
      <c r="C201" s="38">
        <v>100000</v>
      </c>
    </row>
    <row r="202" spans="1:3" x14ac:dyDescent="0.3">
      <c r="A202" s="37" t="s">
        <v>2</v>
      </c>
      <c r="B202" s="55">
        <v>44952.991296296299</v>
      </c>
      <c r="C202" s="38">
        <v>97500</v>
      </c>
    </row>
    <row r="203" spans="1:3" x14ac:dyDescent="0.3">
      <c r="A203" s="37" t="s">
        <v>2</v>
      </c>
      <c r="B203" s="55">
        <v>44943.876574074071</v>
      </c>
      <c r="C203" s="38">
        <v>67500</v>
      </c>
    </row>
    <row r="204" spans="1:3" x14ac:dyDescent="0.3">
      <c r="A204" s="37" t="s">
        <v>2</v>
      </c>
      <c r="B204" s="55">
        <v>44937.333356481482</v>
      </c>
      <c r="C204" s="38">
        <v>90000</v>
      </c>
    </row>
    <row r="205" spans="1:3" x14ac:dyDescent="0.3">
      <c r="A205" s="37" t="s">
        <v>2</v>
      </c>
      <c r="B205" s="55">
        <v>44946.5</v>
      </c>
      <c r="C205" s="38"/>
    </row>
    <row r="206" spans="1:3" x14ac:dyDescent="0.3">
      <c r="A206" s="37" t="s">
        <v>2</v>
      </c>
      <c r="B206" s="55">
        <v>44932.311666666668</v>
      </c>
      <c r="C206" s="38">
        <v>89100</v>
      </c>
    </row>
    <row r="207" spans="1:3" x14ac:dyDescent="0.3">
      <c r="A207" s="37" t="s">
        <v>2</v>
      </c>
      <c r="B207" s="55">
        <v>44941.667222222219</v>
      </c>
      <c r="C207" s="38">
        <v>105050</v>
      </c>
    </row>
    <row r="208" spans="1:3" x14ac:dyDescent="0.3">
      <c r="A208" s="37" t="s">
        <v>2</v>
      </c>
      <c r="B208" s="55">
        <v>44928.709317129629</v>
      </c>
      <c r="C208" s="38">
        <v>138615</v>
      </c>
    </row>
    <row r="209" spans="1:3" x14ac:dyDescent="0.3">
      <c r="A209" s="37" t="s">
        <v>2</v>
      </c>
      <c r="B209" s="55">
        <v>44929.982233796298</v>
      </c>
      <c r="C209" s="38"/>
    </row>
    <row r="210" spans="1:3" x14ac:dyDescent="0.3">
      <c r="A210" s="37" t="s">
        <v>2</v>
      </c>
      <c r="B210" s="55">
        <v>44930.355000000003</v>
      </c>
      <c r="C210" s="38">
        <v>59000</v>
      </c>
    </row>
    <row r="211" spans="1:3" x14ac:dyDescent="0.3">
      <c r="A211" s="37" t="s">
        <v>2</v>
      </c>
      <c r="B211" s="55">
        <v>44931.163287037038</v>
      </c>
      <c r="C211" s="38">
        <v>72900</v>
      </c>
    </row>
    <row r="212" spans="1:3" x14ac:dyDescent="0.3">
      <c r="A212" s="37" t="s">
        <v>2</v>
      </c>
      <c r="B212" s="55">
        <v>44932.960138888891</v>
      </c>
      <c r="C212" s="38">
        <v>62500</v>
      </c>
    </row>
    <row r="213" spans="1:3" x14ac:dyDescent="0.3">
      <c r="A213" s="37" t="s">
        <v>2</v>
      </c>
      <c r="B213" s="55">
        <v>44950.125798611109</v>
      </c>
      <c r="C213" s="38"/>
    </row>
    <row r="214" spans="1:3" x14ac:dyDescent="0.3">
      <c r="A214" s="37" t="s">
        <v>2</v>
      </c>
      <c r="B214" s="55">
        <v>44952.042604166672</v>
      </c>
      <c r="C214" s="38"/>
    </row>
    <row r="215" spans="1:3" x14ac:dyDescent="0.3">
      <c r="A215" s="37" t="s">
        <v>2</v>
      </c>
      <c r="B215" s="55">
        <v>44956.885208333333</v>
      </c>
      <c r="C215" s="38">
        <v>98500</v>
      </c>
    </row>
    <row r="216" spans="1:3" x14ac:dyDescent="0.3">
      <c r="A216" s="37" t="s">
        <v>2</v>
      </c>
      <c r="B216" s="55">
        <v>44950.918217592603</v>
      </c>
      <c r="C216" s="38">
        <v>51014</v>
      </c>
    </row>
    <row r="217" spans="1:3" x14ac:dyDescent="0.3">
      <c r="A217" s="37" t="s">
        <v>2</v>
      </c>
      <c r="B217" s="55">
        <v>44957.897534722222</v>
      </c>
      <c r="C217" s="38"/>
    </row>
    <row r="218" spans="1:3" x14ac:dyDescent="0.3">
      <c r="A218" s="37" t="s">
        <v>2</v>
      </c>
      <c r="B218" s="55">
        <v>44942.429143518522</v>
      </c>
      <c r="C218" s="38">
        <v>125000</v>
      </c>
    </row>
    <row r="219" spans="1:3" x14ac:dyDescent="0.3">
      <c r="A219" s="37" t="s">
        <v>2</v>
      </c>
      <c r="B219" s="55">
        <v>44946.860439814824</v>
      </c>
      <c r="C219" s="38"/>
    </row>
    <row r="220" spans="1:3" x14ac:dyDescent="0.3">
      <c r="A220" s="37" t="s">
        <v>2</v>
      </c>
      <c r="B220" s="55">
        <v>44930.292581018519</v>
      </c>
      <c r="C220" s="38"/>
    </row>
    <row r="221" spans="1:3" x14ac:dyDescent="0.3">
      <c r="A221" s="37" t="s">
        <v>2</v>
      </c>
      <c r="B221" s="55">
        <v>44935.635625000003</v>
      </c>
      <c r="C221" s="38">
        <v>111202</v>
      </c>
    </row>
    <row r="222" spans="1:3" x14ac:dyDescent="0.3">
      <c r="A222" s="37" t="s">
        <v>2</v>
      </c>
      <c r="B222" s="55">
        <v>44935.444340277783</v>
      </c>
      <c r="C222" s="38">
        <v>90000</v>
      </c>
    </row>
    <row r="223" spans="1:3" x14ac:dyDescent="0.3">
      <c r="A223" s="37" t="s">
        <v>2</v>
      </c>
      <c r="B223" s="55">
        <v>44957.750185185178</v>
      </c>
      <c r="C223" s="38">
        <v>95000</v>
      </c>
    </row>
    <row r="224" spans="1:3" x14ac:dyDescent="0.3">
      <c r="A224" s="37" t="s">
        <v>2</v>
      </c>
      <c r="B224" s="55">
        <v>44934.947766203702</v>
      </c>
      <c r="C224" s="38"/>
    </row>
    <row r="225" spans="1:3" x14ac:dyDescent="0.3">
      <c r="A225" s="37" t="s">
        <v>2</v>
      </c>
      <c r="B225" s="55">
        <v>44957.798738425918</v>
      </c>
      <c r="C225" s="38">
        <v>111175</v>
      </c>
    </row>
    <row r="226" spans="1:3" x14ac:dyDescent="0.3">
      <c r="A226" s="37" t="s">
        <v>2</v>
      </c>
      <c r="B226" s="55">
        <v>44937.584826388891</v>
      </c>
      <c r="C226" s="38"/>
    </row>
    <row r="227" spans="1:3" x14ac:dyDescent="0.3">
      <c r="A227" s="37" t="s">
        <v>2</v>
      </c>
      <c r="B227" s="55">
        <v>44943.541770833333</v>
      </c>
      <c r="C227" s="38">
        <v>115000</v>
      </c>
    </row>
    <row r="228" spans="1:3" x14ac:dyDescent="0.3">
      <c r="A228" s="37" t="s">
        <v>2</v>
      </c>
      <c r="B228" s="55">
        <v>44931.83321759259</v>
      </c>
      <c r="C228" s="38"/>
    </row>
    <row r="229" spans="1:3" x14ac:dyDescent="0.3">
      <c r="A229" s="37" t="s">
        <v>2</v>
      </c>
      <c r="B229" s="55">
        <v>44946.876944444448</v>
      </c>
      <c r="C229" s="38">
        <v>125000</v>
      </c>
    </row>
    <row r="230" spans="1:3" x14ac:dyDescent="0.3">
      <c r="A230" s="37" t="s">
        <v>2</v>
      </c>
      <c r="B230" s="55">
        <v>44936.875613425917</v>
      </c>
      <c r="C230" s="38"/>
    </row>
    <row r="231" spans="1:3" x14ac:dyDescent="0.3">
      <c r="A231" s="37" t="s">
        <v>2</v>
      </c>
      <c r="B231" s="55">
        <v>44935.250173611108</v>
      </c>
      <c r="C231" s="38">
        <v>89300</v>
      </c>
    </row>
    <row r="232" spans="1:3" x14ac:dyDescent="0.3">
      <c r="A232" s="37" t="s">
        <v>2</v>
      </c>
      <c r="B232" s="55">
        <v>44931.167500000003</v>
      </c>
      <c r="C232" s="38">
        <v>115791.5</v>
      </c>
    </row>
    <row r="233" spans="1:3" x14ac:dyDescent="0.3">
      <c r="A233" s="37" t="s">
        <v>2</v>
      </c>
      <c r="B233" s="55">
        <v>44930.584918981483</v>
      </c>
      <c r="C233" s="38">
        <v>53357</v>
      </c>
    </row>
    <row r="234" spans="1:3" x14ac:dyDescent="0.3">
      <c r="A234" s="37" t="s">
        <v>2</v>
      </c>
      <c r="B234" s="55">
        <v>44939.835416666669</v>
      </c>
      <c r="C234" s="38"/>
    </row>
    <row r="235" spans="1:3" x14ac:dyDescent="0.3">
      <c r="A235" s="37" t="s">
        <v>2</v>
      </c>
      <c r="B235" s="55">
        <v>44956.832141203697</v>
      </c>
      <c r="C235" s="38">
        <v>51014</v>
      </c>
    </row>
    <row r="236" spans="1:3" x14ac:dyDescent="0.3">
      <c r="A236" s="37" t="s">
        <v>2</v>
      </c>
      <c r="B236" s="55">
        <v>44940.138854166667</v>
      </c>
      <c r="C236" s="38">
        <v>83862.5</v>
      </c>
    </row>
    <row r="237" spans="1:3" x14ac:dyDescent="0.3">
      <c r="A237" s="37" t="s">
        <v>2</v>
      </c>
      <c r="B237" s="55">
        <v>44950.621481481481</v>
      </c>
      <c r="C237" s="38">
        <v>165000</v>
      </c>
    </row>
    <row r="238" spans="1:3" x14ac:dyDescent="0.3">
      <c r="A238" s="37" t="s">
        <v>2</v>
      </c>
      <c r="B238" s="55">
        <v>44946.877013888887</v>
      </c>
      <c r="C238" s="38">
        <v>65085</v>
      </c>
    </row>
    <row r="239" spans="1:3" x14ac:dyDescent="0.3">
      <c r="A239" s="37" t="s">
        <v>2</v>
      </c>
      <c r="B239" s="55">
        <v>44937.585185185177</v>
      </c>
      <c r="C239" s="38"/>
    </row>
    <row r="240" spans="1:3" x14ac:dyDescent="0.3">
      <c r="A240" s="37" t="s">
        <v>2</v>
      </c>
      <c r="B240" s="55">
        <v>44928.624988425923</v>
      </c>
      <c r="C240" s="38">
        <v>85000</v>
      </c>
    </row>
    <row r="241" spans="1:3" x14ac:dyDescent="0.3">
      <c r="A241" s="37" t="s">
        <v>2</v>
      </c>
      <c r="B241" s="55">
        <v>44928.698923611111</v>
      </c>
      <c r="C241" s="38">
        <v>100500</v>
      </c>
    </row>
    <row r="242" spans="1:3" x14ac:dyDescent="0.3">
      <c r="A242" s="37" t="s">
        <v>2</v>
      </c>
      <c r="B242" s="55">
        <v>44955.655335648153</v>
      </c>
      <c r="C242" s="38"/>
    </row>
    <row r="243" spans="1:3" x14ac:dyDescent="0.3">
      <c r="A243" s="37" t="s">
        <v>2</v>
      </c>
      <c r="B243" s="55">
        <v>44953.812557870369</v>
      </c>
      <c r="C243" s="38"/>
    </row>
    <row r="244" spans="1:3" x14ac:dyDescent="0.3">
      <c r="A244" s="37" t="s">
        <v>2</v>
      </c>
      <c r="B244" s="55">
        <v>44932.83353009259</v>
      </c>
      <c r="C244" s="38">
        <v>110000</v>
      </c>
    </row>
    <row r="245" spans="1:3" x14ac:dyDescent="0.3">
      <c r="A245" s="37" t="s">
        <v>2</v>
      </c>
      <c r="B245" s="55">
        <v>44934.989432870367</v>
      </c>
      <c r="C245" s="38">
        <v>40000</v>
      </c>
    </row>
    <row r="246" spans="1:3" x14ac:dyDescent="0.3">
      <c r="A246" s="37" t="s">
        <v>2</v>
      </c>
      <c r="B246" s="55">
        <v>44936.983078703714</v>
      </c>
      <c r="C246" s="38">
        <v>111202</v>
      </c>
    </row>
    <row r="247" spans="1:3" x14ac:dyDescent="0.3">
      <c r="A247" s="37" t="s">
        <v>2</v>
      </c>
      <c r="B247" s="55">
        <v>44942.844837962963</v>
      </c>
      <c r="C247" s="38"/>
    </row>
    <row r="248" spans="1:3" x14ac:dyDescent="0.3">
      <c r="A248" s="37" t="s">
        <v>2</v>
      </c>
      <c r="B248" s="55">
        <v>44941.416701388887</v>
      </c>
      <c r="C248" s="38">
        <v>132500</v>
      </c>
    </row>
    <row r="249" spans="1:3" x14ac:dyDescent="0.3">
      <c r="A249" s="37" t="s">
        <v>2</v>
      </c>
      <c r="B249" s="55">
        <v>44943.752013888887</v>
      </c>
      <c r="C249" s="38">
        <v>47500</v>
      </c>
    </row>
    <row r="250" spans="1:3" x14ac:dyDescent="0.3">
      <c r="A250" s="37" t="s">
        <v>2</v>
      </c>
      <c r="B250" s="55">
        <v>44937.752523148149</v>
      </c>
      <c r="C250" s="38"/>
    </row>
    <row r="251" spans="1:3" x14ac:dyDescent="0.3">
      <c r="A251" s="37" t="s">
        <v>2</v>
      </c>
      <c r="B251" s="55">
        <v>44930.667847222219</v>
      </c>
      <c r="C251" s="38"/>
    </row>
    <row r="252" spans="1:3" x14ac:dyDescent="0.3">
      <c r="A252" s="37" t="s">
        <v>2</v>
      </c>
      <c r="B252" s="55">
        <v>44944.708472222221</v>
      </c>
      <c r="C252" s="38"/>
    </row>
    <row r="253" spans="1:3" x14ac:dyDescent="0.3">
      <c r="A253" s="37" t="s">
        <v>2</v>
      </c>
      <c r="B253" s="55">
        <v>44957.875983796293</v>
      </c>
      <c r="C253" s="38"/>
    </row>
    <row r="254" spans="1:3" x14ac:dyDescent="0.3">
      <c r="A254" s="37" t="s">
        <v>2</v>
      </c>
      <c r="B254" s="55">
        <v>44935.652696759258</v>
      </c>
      <c r="C254" s="38"/>
    </row>
    <row r="255" spans="1:3" x14ac:dyDescent="0.3">
      <c r="A255" s="37" t="s">
        <v>2</v>
      </c>
      <c r="B255" s="55">
        <v>44951.903738425928</v>
      </c>
      <c r="C255" s="38">
        <v>47500</v>
      </c>
    </row>
    <row r="256" spans="1:3" x14ac:dyDescent="0.3">
      <c r="A256" s="37" t="s">
        <v>2</v>
      </c>
      <c r="B256" s="55">
        <v>44933.168402777781</v>
      </c>
      <c r="C256" s="38"/>
    </row>
    <row r="257" spans="1:3" x14ac:dyDescent="0.3">
      <c r="A257" s="37" t="s">
        <v>2</v>
      </c>
      <c r="B257" s="55">
        <v>44934.500578703701</v>
      </c>
      <c r="C257" s="38">
        <v>90000</v>
      </c>
    </row>
    <row r="258" spans="1:3" x14ac:dyDescent="0.3">
      <c r="A258" s="37" t="s">
        <v>2</v>
      </c>
      <c r="B258" s="55">
        <v>44930.018912037027</v>
      </c>
      <c r="C258" s="38"/>
    </row>
    <row r="259" spans="1:3" x14ac:dyDescent="0.3">
      <c r="A259" s="37" t="s">
        <v>2</v>
      </c>
      <c r="B259" s="55">
        <v>44948.250023148154</v>
      </c>
      <c r="C259" s="38"/>
    </row>
    <row r="260" spans="1:3" x14ac:dyDescent="0.3">
      <c r="A260" s="37" t="s">
        <v>2</v>
      </c>
      <c r="B260" s="55">
        <v>44937.659398148149</v>
      </c>
      <c r="C260" s="38"/>
    </row>
    <row r="261" spans="1:3" x14ac:dyDescent="0.3">
      <c r="A261" s="37" t="s">
        <v>2</v>
      </c>
      <c r="B261" s="55">
        <v>44944.444837962961</v>
      </c>
      <c r="C261" s="38">
        <v>105650</v>
      </c>
    </row>
    <row r="262" spans="1:3" x14ac:dyDescent="0.3">
      <c r="A262" s="37" t="s">
        <v>2</v>
      </c>
      <c r="B262" s="55">
        <v>44955.98710648148</v>
      </c>
      <c r="C262" s="38"/>
    </row>
    <row r="263" spans="1:3" x14ac:dyDescent="0.3">
      <c r="A263" s="37" t="s">
        <v>2</v>
      </c>
      <c r="B263" s="55">
        <v>44942.415509259263</v>
      </c>
      <c r="C263" s="38"/>
    </row>
    <row r="264" spans="1:3" x14ac:dyDescent="0.3">
      <c r="A264" s="37" t="s">
        <v>2</v>
      </c>
      <c r="B264" s="55">
        <v>44932.876064814824</v>
      </c>
      <c r="C264" s="38"/>
    </row>
    <row r="265" spans="1:3" x14ac:dyDescent="0.3">
      <c r="A265" s="37" t="s">
        <v>2</v>
      </c>
      <c r="B265" s="55">
        <v>44949.583668981482</v>
      </c>
      <c r="C265" s="38">
        <v>87500</v>
      </c>
    </row>
    <row r="266" spans="1:3" x14ac:dyDescent="0.3">
      <c r="A266" s="37" t="s">
        <v>2</v>
      </c>
      <c r="B266" s="55">
        <v>44944.751018518517</v>
      </c>
      <c r="C266" s="38"/>
    </row>
    <row r="267" spans="1:3" x14ac:dyDescent="0.3">
      <c r="A267" s="37" t="s">
        <v>2</v>
      </c>
      <c r="B267" s="55">
        <v>44951.115439814806</v>
      </c>
      <c r="C267" s="38">
        <v>44100</v>
      </c>
    </row>
    <row r="268" spans="1:3" x14ac:dyDescent="0.3">
      <c r="A268" s="37" t="s">
        <v>2</v>
      </c>
      <c r="B268" s="55">
        <v>44950.917291666658</v>
      </c>
      <c r="C268" s="38">
        <v>96500</v>
      </c>
    </row>
    <row r="269" spans="1:3" x14ac:dyDescent="0.3">
      <c r="A269" s="37" t="s">
        <v>2</v>
      </c>
      <c r="B269" s="55">
        <v>44946.599895833337</v>
      </c>
      <c r="C269" s="38">
        <v>56700</v>
      </c>
    </row>
    <row r="270" spans="1:3" x14ac:dyDescent="0.3">
      <c r="A270" s="37" t="s">
        <v>2</v>
      </c>
      <c r="B270" s="55">
        <v>44932.918900462973</v>
      </c>
      <c r="C270" s="38">
        <v>55000</v>
      </c>
    </row>
    <row r="271" spans="1:3" x14ac:dyDescent="0.3">
      <c r="A271" s="37" t="s">
        <v>2</v>
      </c>
      <c r="B271" s="55">
        <v>44957.008263888893</v>
      </c>
      <c r="C271" s="38">
        <v>111175</v>
      </c>
    </row>
    <row r="272" spans="1:3" x14ac:dyDescent="0.3">
      <c r="A272" s="37" t="s">
        <v>2</v>
      </c>
      <c r="B272" s="55">
        <v>44939.91915509259</v>
      </c>
      <c r="C272" s="38">
        <v>110000</v>
      </c>
    </row>
    <row r="273" spans="1:3" x14ac:dyDescent="0.3">
      <c r="A273" s="37" t="s">
        <v>2</v>
      </c>
      <c r="B273" s="55">
        <v>44930.063148148147</v>
      </c>
      <c r="C273" s="38">
        <v>115000</v>
      </c>
    </row>
    <row r="274" spans="1:3" x14ac:dyDescent="0.3">
      <c r="A274" s="37" t="s">
        <v>2</v>
      </c>
      <c r="B274" s="55">
        <v>44952.921041666668</v>
      </c>
      <c r="C274" s="38">
        <v>97500</v>
      </c>
    </row>
    <row r="275" spans="1:3" x14ac:dyDescent="0.3">
      <c r="A275" s="37" t="s">
        <v>2</v>
      </c>
      <c r="B275" s="55">
        <v>44937.867731481478</v>
      </c>
      <c r="C275" s="38">
        <v>125000</v>
      </c>
    </row>
    <row r="276" spans="1:3" x14ac:dyDescent="0.3">
      <c r="A276" s="37" t="s">
        <v>2</v>
      </c>
      <c r="B276" s="55">
        <v>44939.66983796296</v>
      </c>
      <c r="C276" s="38">
        <v>50388</v>
      </c>
    </row>
    <row r="277" spans="1:3" x14ac:dyDescent="0.3">
      <c r="A277" s="37" t="s">
        <v>2</v>
      </c>
      <c r="B277" s="55">
        <v>44932.834444444437</v>
      </c>
      <c r="C277" s="38">
        <v>110000</v>
      </c>
    </row>
    <row r="278" spans="1:3" x14ac:dyDescent="0.3">
      <c r="A278" s="37" t="s">
        <v>2</v>
      </c>
      <c r="B278" s="55">
        <v>44937.437777777777</v>
      </c>
      <c r="C278" s="38">
        <v>98500</v>
      </c>
    </row>
    <row r="279" spans="1:3" x14ac:dyDescent="0.3">
      <c r="A279" s="37" t="s">
        <v>2</v>
      </c>
      <c r="B279" s="55">
        <v>44945.374976851846</v>
      </c>
      <c r="C279" s="38"/>
    </row>
    <row r="280" spans="1:3" x14ac:dyDescent="0.3">
      <c r="A280" s="37" t="s">
        <v>2</v>
      </c>
      <c r="B280" s="55">
        <v>44937.918854166674</v>
      </c>
      <c r="C280" s="38">
        <v>92500</v>
      </c>
    </row>
    <row r="281" spans="1:3" x14ac:dyDescent="0.3">
      <c r="A281" s="37" t="s">
        <v>2</v>
      </c>
      <c r="B281" s="55">
        <v>44929.810833333337</v>
      </c>
      <c r="C281" s="38"/>
    </row>
    <row r="282" spans="1:3" x14ac:dyDescent="0.3">
      <c r="A282" s="37" t="s">
        <v>2</v>
      </c>
      <c r="B282" s="55">
        <v>44944.083935185183</v>
      </c>
      <c r="C282" s="38"/>
    </row>
    <row r="283" spans="1:3" x14ac:dyDescent="0.3">
      <c r="A283" s="37" t="s">
        <v>2</v>
      </c>
      <c r="B283" s="55">
        <v>44937.251828703702</v>
      </c>
      <c r="C283" s="38">
        <v>222500</v>
      </c>
    </row>
    <row r="284" spans="1:3" x14ac:dyDescent="0.3">
      <c r="A284" s="37" t="s">
        <v>2</v>
      </c>
      <c r="B284" s="55">
        <v>44950.001979166656</v>
      </c>
      <c r="C284" s="38">
        <v>83243</v>
      </c>
    </row>
    <row r="285" spans="1:3" x14ac:dyDescent="0.3">
      <c r="A285" s="37" t="s">
        <v>2</v>
      </c>
      <c r="B285" s="55">
        <v>44946.012106481481</v>
      </c>
      <c r="C285" s="38"/>
    </row>
    <row r="286" spans="1:3" x14ac:dyDescent="0.3">
      <c r="A286" s="37" t="s">
        <v>2</v>
      </c>
      <c r="B286" s="55">
        <v>44929.980115740742</v>
      </c>
      <c r="C286" s="38"/>
    </row>
    <row r="287" spans="1:3" x14ac:dyDescent="0.3">
      <c r="A287" s="37" t="s">
        <v>2</v>
      </c>
      <c r="B287" s="55">
        <v>44945.088726851849</v>
      </c>
      <c r="C287" s="38"/>
    </row>
    <row r="288" spans="1:3" x14ac:dyDescent="0.3">
      <c r="A288" s="37" t="s">
        <v>2</v>
      </c>
      <c r="B288" s="55">
        <v>44943.833414351851</v>
      </c>
      <c r="C288" s="38">
        <v>81682</v>
      </c>
    </row>
    <row r="289" spans="1:3" x14ac:dyDescent="0.3">
      <c r="A289" s="37" t="s">
        <v>2</v>
      </c>
      <c r="B289" s="55">
        <v>44928.353530092587</v>
      </c>
      <c r="C289" s="38">
        <v>111202</v>
      </c>
    </row>
    <row r="290" spans="1:3" x14ac:dyDescent="0.3">
      <c r="A290" s="37" t="s">
        <v>2</v>
      </c>
      <c r="B290" s="55">
        <v>44945.057824074072</v>
      </c>
      <c r="C290" s="38">
        <v>56700</v>
      </c>
    </row>
    <row r="291" spans="1:3" x14ac:dyDescent="0.3">
      <c r="A291" s="37" t="s">
        <v>2</v>
      </c>
      <c r="B291" s="55">
        <v>44935.625208333331</v>
      </c>
      <c r="C291" s="38">
        <v>137500</v>
      </c>
    </row>
    <row r="292" spans="1:3" x14ac:dyDescent="0.3">
      <c r="A292" s="37" t="s">
        <v>2</v>
      </c>
      <c r="B292" s="55">
        <v>44945.791990740741</v>
      </c>
      <c r="C292" s="38"/>
    </row>
    <row r="293" spans="1:3" x14ac:dyDescent="0.3">
      <c r="A293" s="37" t="s">
        <v>2</v>
      </c>
      <c r="B293" s="55">
        <v>44955.625208333331</v>
      </c>
      <c r="C293" s="38">
        <v>115000</v>
      </c>
    </row>
    <row r="294" spans="1:3" x14ac:dyDescent="0.3">
      <c r="A294" s="37" t="s">
        <v>2</v>
      </c>
      <c r="B294" s="55">
        <v>44946.085555555554</v>
      </c>
      <c r="C294" s="38">
        <v>165000</v>
      </c>
    </row>
    <row r="295" spans="1:3" x14ac:dyDescent="0.3">
      <c r="A295" s="37" t="s">
        <v>2</v>
      </c>
      <c r="B295" s="55">
        <v>44945.663888888892</v>
      </c>
      <c r="C295" s="38">
        <v>85000</v>
      </c>
    </row>
    <row r="296" spans="1:3" x14ac:dyDescent="0.3">
      <c r="A296" s="37" t="s">
        <v>2</v>
      </c>
      <c r="B296" s="55">
        <v>44941.584768518522</v>
      </c>
      <c r="C296" s="38"/>
    </row>
    <row r="297" spans="1:3" x14ac:dyDescent="0.3">
      <c r="A297" s="37" t="s">
        <v>2</v>
      </c>
      <c r="B297" s="55">
        <v>44951.708993055552</v>
      </c>
      <c r="C297" s="38">
        <v>72500</v>
      </c>
    </row>
    <row r="298" spans="1:3" x14ac:dyDescent="0.3">
      <c r="A298" s="37" t="s">
        <v>2</v>
      </c>
      <c r="B298" s="55">
        <v>44949.959594907406</v>
      </c>
      <c r="C298" s="38"/>
    </row>
    <row r="299" spans="1:3" x14ac:dyDescent="0.3">
      <c r="A299" s="37" t="s">
        <v>2</v>
      </c>
      <c r="B299" s="55">
        <v>44937.979907407411</v>
      </c>
      <c r="C299" s="38">
        <v>45000</v>
      </c>
    </row>
    <row r="300" spans="1:3" x14ac:dyDescent="0.3">
      <c r="A300" s="37" t="s">
        <v>2</v>
      </c>
      <c r="B300" s="55">
        <v>44935.793599537043</v>
      </c>
      <c r="C300" s="38">
        <v>46103</v>
      </c>
    </row>
    <row r="301" spans="1:3" x14ac:dyDescent="0.3">
      <c r="A301" s="37" t="s">
        <v>2</v>
      </c>
      <c r="B301" s="55">
        <v>44933.626203703701</v>
      </c>
      <c r="C301" s="38">
        <v>100000</v>
      </c>
    </row>
    <row r="302" spans="1:3" x14ac:dyDescent="0.3">
      <c r="A302" s="37" t="s">
        <v>2</v>
      </c>
      <c r="B302" s="55">
        <v>44951.792511574073</v>
      </c>
      <c r="C302" s="38"/>
    </row>
    <row r="303" spans="1:3" x14ac:dyDescent="0.3">
      <c r="A303" s="37" t="s">
        <v>2</v>
      </c>
      <c r="B303" s="55">
        <v>44932.916701388887</v>
      </c>
      <c r="C303" s="38">
        <v>50000</v>
      </c>
    </row>
    <row r="304" spans="1:3" x14ac:dyDescent="0.3">
      <c r="A304" s="37" t="s">
        <v>2</v>
      </c>
      <c r="B304" s="55">
        <v>44927.626006944447</v>
      </c>
      <c r="C304" s="38">
        <v>50000</v>
      </c>
    </row>
    <row r="305" spans="1:3" x14ac:dyDescent="0.3">
      <c r="A305" s="37" t="s">
        <v>2</v>
      </c>
      <c r="B305" s="55">
        <v>44935.584074074082</v>
      </c>
      <c r="C305" s="38"/>
    </row>
    <row r="306" spans="1:3" x14ac:dyDescent="0.3">
      <c r="A306" s="37" t="s">
        <v>2</v>
      </c>
      <c r="B306" s="55">
        <v>44952.671041666668</v>
      </c>
      <c r="C306" s="38">
        <v>67500</v>
      </c>
    </row>
    <row r="307" spans="1:3" x14ac:dyDescent="0.3">
      <c r="A307" s="37" t="s">
        <v>2</v>
      </c>
      <c r="B307" s="55">
        <v>44952.699803240743</v>
      </c>
      <c r="C307" s="38"/>
    </row>
    <row r="308" spans="1:3" x14ac:dyDescent="0.3">
      <c r="A308" s="37" t="s">
        <v>2</v>
      </c>
      <c r="B308" s="55">
        <v>44953.58556712963</v>
      </c>
      <c r="C308" s="38">
        <v>90000</v>
      </c>
    </row>
    <row r="309" spans="1:3" x14ac:dyDescent="0.3">
      <c r="A309" s="37" t="s">
        <v>2</v>
      </c>
      <c r="B309" s="55">
        <v>44936.000798611109</v>
      </c>
      <c r="C309" s="38">
        <v>63991</v>
      </c>
    </row>
    <row r="310" spans="1:3" x14ac:dyDescent="0.3">
      <c r="A310" s="37" t="s">
        <v>2</v>
      </c>
      <c r="B310" s="55">
        <v>44946.917997685188</v>
      </c>
      <c r="C310" s="38">
        <v>61266.3984375</v>
      </c>
    </row>
    <row r="311" spans="1:3" x14ac:dyDescent="0.3">
      <c r="A311" s="37" t="s">
        <v>2</v>
      </c>
      <c r="B311" s="55">
        <v>44942.84480324074</v>
      </c>
      <c r="C311" s="38"/>
    </row>
    <row r="312" spans="1:3" x14ac:dyDescent="0.3">
      <c r="A312" s="37" t="s">
        <v>2</v>
      </c>
      <c r="B312" s="55">
        <v>44930.626331018517</v>
      </c>
      <c r="C312" s="38">
        <v>85000</v>
      </c>
    </row>
    <row r="313" spans="1:3" x14ac:dyDescent="0.3">
      <c r="A313" s="37" t="s">
        <v>2</v>
      </c>
      <c r="B313" s="55">
        <v>44945.002256944441</v>
      </c>
      <c r="C313" s="38">
        <v>77500</v>
      </c>
    </row>
    <row r="314" spans="1:3" x14ac:dyDescent="0.3">
      <c r="A314" s="37" t="s">
        <v>2</v>
      </c>
      <c r="B314" s="55">
        <v>44939.836238425924</v>
      </c>
      <c r="C314" s="38"/>
    </row>
    <row r="315" spans="1:3" x14ac:dyDescent="0.3">
      <c r="A315" s="37" t="s">
        <v>2</v>
      </c>
      <c r="B315" s="55">
        <v>44938.959513888891</v>
      </c>
      <c r="C315" s="38"/>
    </row>
    <row r="316" spans="1:3" x14ac:dyDescent="0.3">
      <c r="A316" s="37" t="s">
        <v>2</v>
      </c>
      <c r="B316" s="55">
        <v>44946.012083333328</v>
      </c>
      <c r="C316" s="38">
        <v>51232</v>
      </c>
    </row>
    <row r="317" spans="1:3" x14ac:dyDescent="0.3">
      <c r="A317" s="37" t="s">
        <v>2</v>
      </c>
      <c r="B317" s="55">
        <v>44930.696909722217</v>
      </c>
      <c r="C317" s="38">
        <v>100500</v>
      </c>
    </row>
    <row r="318" spans="1:3" x14ac:dyDescent="0.3">
      <c r="A318" s="37" t="s">
        <v>2</v>
      </c>
      <c r="B318" s="55">
        <v>44951.182511574072</v>
      </c>
      <c r="C318" s="38">
        <v>51014</v>
      </c>
    </row>
    <row r="319" spans="1:3" x14ac:dyDescent="0.3">
      <c r="A319" s="37" t="s">
        <v>2</v>
      </c>
      <c r="B319" s="55">
        <v>44937.626898148148</v>
      </c>
      <c r="C319" s="38"/>
    </row>
    <row r="320" spans="1:3" x14ac:dyDescent="0.3">
      <c r="A320" s="37" t="s">
        <v>2</v>
      </c>
      <c r="B320" s="55">
        <v>44930.795659722222</v>
      </c>
      <c r="C320" s="38">
        <v>65000</v>
      </c>
    </row>
    <row r="321" spans="1:3" x14ac:dyDescent="0.3">
      <c r="A321" s="37" t="s">
        <v>2</v>
      </c>
      <c r="B321" s="55">
        <v>44930.227337962962</v>
      </c>
      <c r="C321" s="38">
        <v>55000</v>
      </c>
    </row>
    <row r="322" spans="1:3" x14ac:dyDescent="0.3">
      <c r="A322" s="37" t="s">
        <v>2</v>
      </c>
      <c r="B322" s="55">
        <v>44935.834618055553</v>
      </c>
      <c r="C322" s="38">
        <v>132315</v>
      </c>
    </row>
    <row r="323" spans="1:3" x14ac:dyDescent="0.3">
      <c r="A323" s="37" t="s">
        <v>2</v>
      </c>
      <c r="B323" s="55">
        <v>44957.958761574067</v>
      </c>
      <c r="C323" s="38"/>
    </row>
    <row r="324" spans="1:3" x14ac:dyDescent="0.3">
      <c r="A324" s="37" t="s">
        <v>2</v>
      </c>
      <c r="B324" s="55">
        <v>44951.33452546296</v>
      </c>
      <c r="C324" s="38">
        <v>146100</v>
      </c>
    </row>
    <row r="325" spans="1:3" x14ac:dyDescent="0.3">
      <c r="A325" s="37" t="s">
        <v>2</v>
      </c>
      <c r="B325" s="55">
        <v>44952.916770833333</v>
      </c>
      <c r="C325" s="38">
        <v>50000</v>
      </c>
    </row>
    <row r="326" spans="1:3" x14ac:dyDescent="0.3">
      <c r="A326" s="37" t="s">
        <v>2</v>
      </c>
      <c r="B326" s="55">
        <v>44943.801689814813</v>
      </c>
      <c r="C326" s="38">
        <v>51014</v>
      </c>
    </row>
    <row r="327" spans="1:3" x14ac:dyDescent="0.3">
      <c r="A327" s="37" t="s">
        <v>2</v>
      </c>
      <c r="B327" s="55">
        <v>44929.727407407408</v>
      </c>
      <c r="C327" s="38"/>
    </row>
    <row r="328" spans="1:3" x14ac:dyDescent="0.3">
      <c r="A328" s="37" t="s">
        <v>2</v>
      </c>
      <c r="B328" s="55">
        <v>44930.56144675926</v>
      </c>
      <c r="C328" s="38">
        <v>118000</v>
      </c>
    </row>
    <row r="329" spans="1:3" x14ac:dyDescent="0.3">
      <c r="A329" s="37" t="s">
        <v>2</v>
      </c>
      <c r="B329" s="55">
        <v>44957.103229166663</v>
      </c>
      <c r="C329" s="38">
        <v>200000</v>
      </c>
    </row>
    <row r="330" spans="1:3" x14ac:dyDescent="0.3">
      <c r="A330" s="37" t="s">
        <v>2</v>
      </c>
      <c r="B330" s="55">
        <v>44939.583518518521</v>
      </c>
      <c r="C330" s="38">
        <v>56000</v>
      </c>
    </row>
    <row r="331" spans="1:3" x14ac:dyDescent="0.3">
      <c r="A331" s="37" t="s">
        <v>2</v>
      </c>
      <c r="B331" s="55">
        <v>44927.250300925924</v>
      </c>
      <c r="C331" s="38">
        <v>77500</v>
      </c>
    </row>
    <row r="332" spans="1:3" x14ac:dyDescent="0.3">
      <c r="A332" s="37" t="s">
        <v>2</v>
      </c>
      <c r="B332" s="55">
        <v>44937.250509259262</v>
      </c>
      <c r="C332" s="38">
        <v>115000</v>
      </c>
    </row>
    <row r="333" spans="1:3" x14ac:dyDescent="0.3">
      <c r="A333" s="37" t="s">
        <v>2</v>
      </c>
      <c r="B333" s="55">
        <v>44952.86105324074</v>
      </c>
      <c r="C333" s="38">
        <v>111175</v>
      </c>
    </row>
    <row r="334" spans="1:3" x14ac:dyDescent="0.3">
      <c r="A334" s="37" t="s">
        <v>2</v>
      </c>
      <c r="B334" s="55">
        <v>44935.875740740739</v>
      </c>
      <c r="C334" s="38">
        <v>100000</v>
      </c>
    </row>
    <row r="335" spans="1:3" x14ac:dyDescent="0.3">
      <c r="A335" s="37" t="s">
        <v>2</v>
      </c>
      <c r="B335" s="55">
        <v>44931.333854166667</v>
      </c>
      <c r="C335" s="38">
        <v>155000</v>
      </c>
    </row>
    <row r="336" spans="1:3" x14ac:dyDescent="0.3">
      <c r="A336" s="37" t="s">
        <v>2</v>
      </c>
      <c r="B336" s="55">
        <v>44930.833275462966</v>
      </c>
      <c r="C336" s="38">
        <v>52500</v>
      </c>
    </row>
    <row r="337" spans="1:3" x14ac:dyDescent="0.3">
      <c r="A337" s="37" t="s">
        <v>2</v>
      </c>
      <c r="B337" s="55">
        <v>44952.521817129629</v>
      </c>
      <c r="C337" s="38">
        <v>98500</v>
      </c>
    </row>
    <row r="338" spans="1:3" x14ac:dyDescent="0.3">
      <c r="A338" s="37" t="s">
        <v>2</v>
      </c>
      <c r="B338" s="55">
        <v>44952.70857638889</v>
      </c>
      <c r="C338" s="38">
        <v>95000</v>
      </c>
    </row>
    <row r="339" spans="1:3" x14ac:dyDescent="0.3">
      <c r="A339" s="37" t="s">
        <v>2</v>
      </c>
      <c r="B339" s="55">
        <v>44936.916203703702</v>
      </c>
      <c r="C339" s="38">
        <v>133285</v>
      </c>
    </row>
    <row r="340" spans="1:3" x14ac:dyDescent="0.3">
      <c r="A340" s="37" t="s">
        <v>2</v>
      </c>
      <c r="B340" s="55">
        <v>44954.043668981481</v>
      </c>
      <c r="C340" s="38">
        <v>80850</v>
      </c>
    </row>
    <row r="341" spans="1:3" x14ac:dyDescent="0.3">
      <c r="A341" s="37" t="s">
        <v>2</v>
      </c>
      <c r="B341" s="55">
        <v>44952.601238425923</v>
      </c>
      <c r="C341" s="38">
        <v>98500</v>
      </c>
    </row>
    <row r="342" spans="1:3" x14ac:dyDescent="0.3">
      <c r="A342" s="37" t="s">
        <v>2</v>
      </c>
      <c r="B342" s="55">
        <v>44957.750694444447</v>
      </c>
      <c r="C342" s="38"/>
    </row>
    <row r="343" spans="1:3" x14ac:dyDescent="0.3">
      <c r="A343" s="37" t="s">
        <v>2</v>
      </c>
      <c r="B343" s="55">
        <v>44937.90761574074</v>
      </c>
      <c r="C343" s="38"/>
    </row>
    <row r="344" spans="1:3" x14ac:dyDescent="0.3">
      <c r="A344" s="37" t="s">
        <v>2</v>
      </c>
      <c r="B344" s="55">
        <v>44945.372361111113</v>
      </c>
      <c r="C344" s="38">
        <v>111175</v>
      </c>
    </row>
    <row r="345" spans="1:3" x14ac:dyDescent="0.3">
      <c r="A345" s="37" t="s">
        <v>2</v>
      </c>
      <c r="B345" s="55">
        <v>44950.931087962963</v>
      </c>
      <c r="C345" s="38">
        <v>147500</v>
      </c>
    </row>
    <row r="346" spans="1:3" x14ac:dyDescent="0.3">
      <c r="A346" s="37" t="s">
        <v>2</v>
      </c>
      <c r="B346" s="55">
        <v>44946.1408912037</v>
      </c>
      <c r="C346" s="38">
        <v>100000</v>
      </c>
    </row>
    <row r="347" spans="1:3" x14ac:dyDescent="0.3">
      <c r="A347" s="37" t="s">
        <v>2</v>
      </c>
      <c r="B347" s="55">
        <v>44929.898738425924</v>
      </c>
      <c r="C347" s="38">
        <v>70000</v>
      </c>
    </row>
    <row r="348" spans="1:3" x14ac:dyDescent="0.3">
      <c r="A348" s="37" t="s">
        <v>2</v>
      </c>
      <c r="B348" s="55">
        <v>44956.710682870369</v>
      </c>
      <c r="C348" s="38"/>
    </row>
    <row r="349" spans="1:3" x14ac:dyDescent="0.3">
      <c r="A349" s="37" t="s">
        <v>2</v>
      </c>
      <c r="B349" s="55">
        <v>44954.751168981478</v>
      </c>
      <c r="C349" s="38">
        <v>85000</v>
      </c>
    </row>
    <row r="350" spans="1:3" x14ac:dyDescent="0.3">
      <c r="A350" s="37" t="s">
        <v>2</v>
      </c>
      <c r="B350" s="55">
        <v>44946.349687499998</v>
      </c>
      <c r="C350" s="38">
        <v>79200</v>
      </c>
    </row>
    <row r="351" spans="1:3" x14ac:dyDescent="0.3">
      <c r="A351" s="37" t="s">
        <v>2</v>
      </c>
      <c r="B351" s="55">
        <v>44942.721087962957</v>
      </c>
      <c r="C351" s="38">
        <v>57000</v>
      </c>
    </row>
    <row r="352" spans="1:3" x14ac:dyDescent="0.3">
      <c r="A352" s="37" t="s">
        <v>2</v>
      </c>
      <c r="B352" s="55">
        <v>44930.60428240741</v>
      </c>
      <c r="C352" s="38">
        <v>45000</v>
      </c>
    </row>
    <row r="353" spans="1:3" x14ac:dyDescent="0.3">
      <c r="A353" s="37" t="s">
        <v>2</v>
      </c>
      <c r="B353" s="55">
        <v>44949.793692129628</v>
      </c>
      <c r="C353" s="38">
        <v>97500</v>
      </c>
    </row>
    <row r="354" spans="1:3" x14ac:dyDescent="0.3">
      <c r="A354" s="37" t="s">
        <v>2</v>
      </c>
      <c r="B354" s="55">
        <v>44942.803240740737</v>
      </c>
      <c r="C354" s="38">
        <v>115000</v>
      </c>
    </row>
    <row r="355" spans="1:3" x14ac:dyDescent="0.3">
      <c r="A355" s="37" t="s">
        <v>2</v>
      </c>
      <c r="B355" s="55">
        <v>44940.583784722221</v>
      </c>
      <c r="C355" s="38">
        <v>121065</v>
      </c>
    </row>
    <row r="356" spans="1:3" x14ac:dyDescent="0.3">
      <c r="A356" s="37" t="s">
        <v>2</v>
      </c>
      <c r="B356" s="55">
        <v>44933.333541666667</v>
      </c>
      <c r="C356" s="38">
        <v>218500</v>
      </c>
    </row>
    <row r="357" spans="1:3" x14ac:dyDescent="0.3">
      <c r="A357" s="37" t="s">
        <v>2</v>
      </c>
      <c r="B357" s="55">
        <v>44943.835104166668</v>
      </c>
      <c r="C357" s="38">
        <v>75000</v>
      </c>
    </row>
    <row r="358" spans="1:3" x14ac:dyDescent="0.3">
      <c r="A358" s="37" t="s">
        <v>2</v>
      </c>
      <c r="B358" s="55">
        <v>44943.918680555558</v>
      </c>
      <c r="C358" s="38"/>
    </row>
    <row r="359" spans="1:3" x14ac:dyDescent="0.3">
      <c r="A359" s="37" t="s">
        <v>2</v>
      </c>
      <c r="B359" s="55">
        <v>44934.06009259259</v>
      </c>
      <c r="C359" s="38">
        <v>112500</v>
      </c>
    </row>
    <row r="360" spans="1:3" x14ac:dyDescent="0.3">
      <c r="A360" s="37" t="s">
        <v>2</v>
      </c>
      <c r="B360" s="55">
        <v>44939.461585648147</v>
      </c>
      <c r="C360" s="38">
        <v>172015</v>
      </c>
    </row>
    <row r="361" spans="1:3" x14ac:dyDescent="0.3">
      <c r="A361" s="37" t="s">
        <v>2</v>
      </c>
      <c r="B361" s="55">
        <v>44953.834618055553</v>
      </c>
      <c r="C361" s="38">
        <v>104750</v>
      </c>
    </row>
    <row r="362" spans="1:3" x14ac:dyDescent="0.3">
      <c r="A362" s="37" t="s">
        <v>2</v>
      </c>
      <c r="B362" s="55">
        <v>44932.33488425926</v>
      </c>
      <c r="C362" s="38"/>
    </row>
    <row r="363" spans="1:3" x14ac:dyDescent="0.3">
      <c r="A363" s="37" t="s">
        <v>2</v>
      </c>
      <c r="B363" s="55">
        <v>44943.918993055559</v>
      </c>
      <c r="C363" s="38"/>
    </row>
    <row r="364" spans="1:3" x14ac:dyDescent="0.3">
      <c r="A364" s="37" t="s">
        <v>2</v>
      </c>
      <c r="B364" s="55">
        <v>44930.668495370373</v>
      </c>
      <c r="C364" s="38"/>
    </row>
    <row r="365" spans="1:3" x14ac:dyDescent="0.3">
      <c r="A365" s="37" t="s">
        <v>2</v>
      </c>
      <c r="B365" s="55">
        <v>44953.417986111112</v>
      </c>
      <c r="C365" s="38">
        <v>115000</v>
      </c>
    </row>
    <row r="366" spans="1:3" x14ac:dyDescent="0.3">
      <c r="A366" s="37" t="s">
        <v>2</v>
      </c>
      <c r="B366" s="55">
        <v>44945.560729166667</v>
      </c>
      <c r="C366" s="38">
        <v>51014</v>
      </c>
    </row>
    <row r="367" spans="1:3" x14ac:dyDescent="0.3">
      <c r="A367" s="37" t="s">
        <v>2</v>
      </c>
      <c r="B367" s="55">
        <v>44952.349293981482</v>
      </c>
      <c r="C367" s="38">
        <v>51014</v>
      </c>
    </row>
    <row r="368" spans="1:3" x14ac:dyDescent="0.3">
      <c r="A368" s="37" t="s">
        <v>2</v>
      </c>
      <c r="B368" s="55">
        <v>44949.834537037037</v>
      </c>
      <c r="C368" s="38">
        <v>52366.3984375</v>
      </c>
    </row>
    <row r="369" spans="1:3" x14ac:dyDescent="0.3">
      <c r="A369" s="37" t="s">
        <v>2</v>
      </c>
      <c r="B369" s="55">
        <v>44938.709861111107</v>
      </c>
      <c r="C369" s="38">
        <v>52500</v>
      </c>
    </row>
    <row r="370" spans="1:3" x14ac:dyDescent="0.3">
      <c r="A370" s="37" t="s">
        <v>2</v>
      </c>
      <c r="B370" s="55">
        <v>44954.668414351851</v>
      </c>
      <c r="C370" s="38">
        <v>57500</v>
      </c>
    </row>
    <row r="371" spans="1:3" x14ac:dyDescent="0.3">
      <c r="A371" s="37" t="s">
        <v>2</v>
      </c>
      <c r="B371" s="55">
        <v>44939.00099537037</v>
      </c>
      <c r="C371" s="38">
        <v>80000</v>
      </c>
    </row>
    <row r="372" spans="1:3" x14ac:dyDescent="0.3">
      <c r="A372" s="37" t="s">
        <v>2</v>
      </c>
      <c r="B372" s="55">
        <v>44928.792696759258</v>
      </c>
      <c r="C372" s="38">
        <v>111202</v>
      </c>
    </row>
    <row r="373" spans="1:3" x14ac:dyDescent="0.3">
      <c r="A373" s="37" t="s">
        <v>2</v>
      </c>
      <c r="B373" s="55">
        <v>44937.251828703702</v>
      </c>
      <c r="C373" s="38">
        <v>118222</v>
      </c>
    </row>
    <row r="374" spans="1:3" x14ac:dyDescent="0.3">
      <c r="A374" s="37" t="s">
        <v>2</v>
      </c>
      <c r="B374" s="55">
        <v>44937.33489583333</v>
      </c>
      <c r="C374" s="38"/>
    </row>
    <row r="375" spans="1:3" x14ac:dyDescent="0.3">
      <c r="A375" s="37" t="s">
        <v>2</v>
      </c>
      <c r="B375" s="55">
        <v>44931.667708333327</v>
      </c>
      <c r="C375" s="38"/>
    </row>
    <row r="376" spans="1:3" x14ac:dyDescent="0.3">
      <c r="A376" s="37" t="s">
        <v>2</v>
      </c>
      <c r="B376" s="55">
        <v>44949.913055555553</v>
      </c>
      <c r="C376" s="38">
        <v>51014</v>
      </c>
    </row>
    <row r="377" spans="1:3" x14ac:dyDescent="0.3">
      <c r="A377" s="37" t="s">
        <v>2</v>
      </c>
      <c r="B377" s="55">
        <v>44928.647789351853</v>
      </c>
      <c r="C377" s="38">
        <v>111202</v>
      </c>
    </row>
    <row r="378" spans="1:3" x14ac:dyDescent="0.3">
      <c r="A378" s="37" t="s">
        <v>2</v>
      </c>
      <c r="B378" s="55">
        <v>44935.791875000003</v>
      </c>
      <c r="C378" s="38">
        <v>55080</v>
      </c>
    </row>
    <row r="379" spans="1:3" x14ac:dyDescent="0.3">
      <c r="A379" s="37" t="s">
        <v>2</v>
      </c>
      <c r="B379" s="55">
        <v>44950.792118055557</v>
      </c>
      <c r="C379" s="38"/>
    </row>
    <row r="380" spans="1:3" x14ac:dyDescent="0.3">
      <c r="A380" s="37" t="s">
        <v>2</v>
      </c>
      <c r="B380" s="55">
        <v>44940.002870370372</v>
      </c>
      <c r="C380" s="38"/>
    </row>
    <row r="381" spans="1:3" x14ac:dyDescent="0.3">
      <c r="A381" s="37" t="s">
        <v>2</v>
      </c>
      <c r="B381" s="55">
        <v>44947.168854166674</v>
      </c>
      <c r="C381" s="38"/>
    </row>
    <row r="382" spans="1:3" x14ac:dyDescent="0.3">
      <c r="A382" s="37" t="s">
        <v>2</v>
      </c>
      <c r="B382" s="55">
        <v>44939.071238425917</v>
      </c>
      <c r="C382" s="38">
        <v>80850</v>
      </c>
    </row>
    <row r="383" spans="1:3" x14ac:dyDescent="0.3">
      <c r="A383" s="37" t="s">
        <v>2</v>
      </c>
      <c r="B383" s="55">
        <v>44955.010405092587</v>
      </c>
      <c r="C383" s="38"/>
    </row>
    <row r="384" spans="1:3" x14ac:dyDescent="0.3">
      <c r="A384" s="37" t="s">
        <v>2</v>
      </c>
      <c r="B384" s="55">
        <v>44944.002349537041</v>
      </c>
      <c r="C384" s="38"/>
    </row>
    <row r="385" spans="1:3" x14ac:dyDescent="0.3">
      <c r="A385" s="37" t="s">
        <v>2</v>
      </c>
      <c r="B385" s="55">
        <v>44938.387418981481</v>
      </c>
      <c r="C385" s="38">
        <v>45000</v>
      </c>
    </row>
    <row r="386" spans="1:3" x14ac:dyDescent="0.3">
      <c r="A386" s="37" t="s">
        <v>2</v>
      </c>
      <c r="B386" s="55">
        <v>44950.789976851847</v>
      </c>
      <c r="C386" s="38"/>
    </row>
    <row r="387" spans="1:3" x14ac:dyDescent="0.3">
      <c r="A387" s="37" t="s">
        <v>2</v>
      </c>
      <c r="B387" s="55">
        <v>44935.815555555557</v>
      </c>
      <c r="C387" s="38"/>
    </row>
    <row r="388" spans="1:3" x14ac:dyDescent="0.3">
      <c r="A388" s="37" t="s">
        <v>2</v>
      </c>
      <c r="B388" s="55">
        <v>44945.595347222217</v>
      </c>
      <c r="C388" s="38">
        <v>85000</v>
      </c>
    </row>
    <row r="389" spans="1:3" x14ac:dyDescent="0.3">
      <c r="A389" s="37" t="s">
        <v>2</v>
      </c>
      <c r="B389" s="55">
        <v>44930.60224537037</v>
      </c>
      <c r="C389" s="38"/>
    </row>
    <row r="390" spans="1:3" x14ac:dyDescent="0.3">
      <c r="A390" s="37" t="s">
        <v>2</v>
      </c>
      <c r="B390" s="55">
        <v>44946.972233796303</v>
      </c>
      <c r="C390" s="38">
        <v>60000</v>
      </c>
    </row>
    <row r="391" spans="1:3" x14ac:dyDescent="0.3">
      <c r="A391" s="37" t="s">
        <v>2</v>
      </c>
      <c r="B391" s="55">
        <v>44947.00677083333</v>
      </c>
      <c r="C391" s="38">
        <v>111175</v>
      </c>
    </row>
    <row r="392" spans="1:3" x14ac:dyDescent="0.3">
      <c r="A392" s="37" t="s">
        <v>2</v>
      </c>
      <c r="B392" s="55">
        <v>44945.042546296303</v>
      </c>
      <c r="C392" s="38"/>
    </row>
    <row r="393" spans="1:3" x14ac:dyDescent="0.3">
      <c r="A393" s="37" t="s">
        <v>2</v>
      </c>
      <c r="B393" s="55">
        <v>44946.555625000001</v>
      </c>
      <c r="C393" s="38">
        <v>75000</v>
      </c>
    </row>
    <row r="394" spans="1:3" x14ac:dyDescent="0.3">
      <c r="A394" s="37" t="s">
        <v>2</v>
      </c>
      <c r="B394" s="55">
        <v>44952.672175925924</v>
      </c>
      <c r="C394" s="38"/>
    </row>
    <row r="395" spans="1:3" x14ac:dyDescent="0.3">
      <c r="A395" s="37" t="s">
        <v>2</v>
      </c>
      <c r="B395" s="55">
        <v>44955.987175925933</v>
      </c>
      <c r="C395" s="38"/>
    </row>
    <row r="396" spans="1:3" x14ac:dyDescent="0.3">
      <c r="A396" s="37" t="s">
        <v>2</v>
      </c>
      <c r="B396" s="55">
        <v>44943.626701388886</v>
      </c>
      <c r="C396" s="38"/>
    </row>
    <row r="397" spans="1:3" x14ac:dyDescent="0.3">
      <c r="A397" s="37" t="s">
        <v>2</v>
      </c>
      <c r="B397" s="55">
        <v>44945.057233796288</v>
      </c>
      <c r="C397" s="38">
        <v>166419.5</v>
      </c>
    </row>
    <row r="398" spans="1:3" x14ac:dyDescent="0.3">
      <c r="A398" s="37" t="s">
        <v>2</v>
      </c>
      <c r="B398" s="55">
        <v>44930.834467592591</v>
      </c>
      <c r="C398" s="38">
        <v>95000</v>
      </c>
    </row>
    <row r="399" spans="1:3" x14ac:dyDescent="0.3">
      <c r="A399" s="37" t="s">
        <v>2</v>
      </c>
      <c r="B399" s="55">
        <v>44930.645416666674</v>
      </c>
      <c r="C399" s="38">
        <v>87500</v>
      </c>
    </row>
    <row r="400" spans="1:3" x14ac:dyDescent="0.3">
      <c r="A400" s="37" t="s">
        <v>2</v>
      </c>
      <c r="B400" s="55">
        <v>44952.127928240741</v>
      </c>
      <c r="C400" s="38">
        <v>111175</v>
      </c>
    </row>
    <row r="401" spans="1:3" x14ac:dyDescent="0.3">
      <c r="A401" s="37" t="s">
        <v>2</v>
      </c>
      <c r="B401" s="55">
        <v>44946.054780092592</v>
      </c>
      <c r="C401" s="38"/>
    </row>
    <row r="402" spans="1:3" x14ac:dyDescent="0.3">
      <c r="A402" s="37" t="s">
        <v>2</v>
      </c>
      <c r="B402" s="55">
        <v>44940.583854166667</v>
      </c>
      <c r="C402" s="38">
        <v>72500</v>
      </c>
    </row>
    <row r="403" spans="1:3" x14ac:dyDescent="0.3">
      <c r="A403" s="37" t="s">
        <v>2</v>
      </c>
      <c r="B403" s="55">
        <v>44930.020532407398</v>
      </c>
      <c r="C403" s="38"/>
    </row>
    <row r="404" spans="1:3" x14ac:dyDescent="0.3">
      <c r="A404" s="37" t="s">
        <v>2</v>
      </c>
      <c r="B404" s="55">
        <v>44943.015335648153</v>
      </c>
      <c r="C404" s="38"/>
    </row>
    <row r="405" spans="1:3" x14ac:dyDescent="0.3">
      <c r="A405" s="37" t="s">
        <v>2</v>
      </c>
      <c r="B405" s="55">
        <v>44951.860289351847</v>
      </c>
      <c r="C405" s="38"/>
    </row>
    <row r="406" spans="1:3" x14ac:dyDescent="0.3">
      <c r="A406" s="37" t="s">
        <v>2</v>
      </c>
      <c r="B406" s="55">
        <v>44939.930648148147</v>
      </c>
      <c r="C406" s="38">
        <v>65000</v>
      </c>
    </row>
    <row r="407" spans="1:3" x14ac:dyDescent="0.3">
      <c r="A407" s="37" t="s">
        <v>2</v>
      </c>
      <c r="B407" s="55">
        <v>44953.501261574071</v>
      </c>
      <c r="C407" s="38"/>
    </row>
    <row r="408" spans="1:3" x14ac:dyDescent="0.3">
      <c r="A408" s="37" t="s">
        <v>2</v>
      </c>
      <c r="B408" s="55">
        <v>44949.791689814818</v>
      </c>
      <c r="C408" s="38">
        <v>95000</v>
      </c>
    </row>
    <row r="409" spans="1:3" x14ac:dyDescent="0.3">
      <c r="A409" s="37" t="s">
        <v>2</v>
      </c>
      <c r="B409" s="55">
        <v>44950.665208333332</v>
      </c>
      <c r="C409" s="38">
        <v>65000</v>
      </c>
    </row>
    <row r="410" spans="1:3" x14ac:dyDescent="0.3">
      <c r="A410" s="37" t="s">
        <v>2</v>
      </c>
      <c r="B410" s="55">
        <v>44944.499062499999</v>
      </c>
      <c r="C410" s="38">
        <v>59000</v>
      </c>
    </row>
    <row r="411" spans="1:3" x14ac:dyDescent="0.3">
      <c r="A411" s="37" t="s">
        <v>2</v>
      </c>
      <c r="B411" s="55">
        <v>44949.625173611108</v>
      </c>
      <c r="C411" s="38"/>
    </row>
    <row r="412" spans="1:3" x14ac:dyDescent="0.3">
      <c r="A412" s="37" t="s">
        <v>2</v>
      </c>
      <c r="B412" s="55">
        <v>44945.813240740739</v>
      </c>
      <c r="C412" s="38"/>
    </row>
    <row r="413" spans="1:3" x14ac:dyDescent="0.3">
      <c r="A413" s="37" t="s">
        <v>2</v>
      </c>
      <c r="B413" s="55">
        <v>44953.417928240742</v>
      </c>
      <c r="C413" s="38">
        <v>111175</v>
      </c>
    </row>
    <row r="414" spans="1:3" x14ac:dyDescent="0.3">
      <c r="A414" s="37" t="s">
        <v>2</v>
      </c>
      <c r="B414" s="55">
        <v>44942.880115740743</v>
      </c>
      <c r="C414" s="38">
        <v>163782</v>
      </c>
    </row>
    <row r="415" spans="1:3" x14ac:dyDescent="0.3">
      <c r="A415" s="37" t="s">
        <v>2</v>
      </c>
      <c r="B415" s="55">
        <v>44955.585011574083</v>
      </c>
      <c r="C415" s="38"/>
    </row>
    <row r="416" spans="1:3" x14ac:dyDescent="0.3">
      <c r="A416" s="37" t="s">
        <v>2</v>
      </c>
      <c r="B416" s="55">
        <v>44943.976041666669</v>
      </c>
      <c r="C416" s="38">
        <v>109500</v>
      </c>
    </row>
    <row r="417" spans="1:3" x14ac:dyDescent="0.3">
      <c r="A417" s="37" t="s">
        <v>2</v>
      </c>
      <c r="B417" s="55">
        <v>44938.959513888891</v>
      </c>
      <c r="C417" s="38"/>
    </row>
    <row r="418" spans="1:3" x14ac:dyDescent="0.3">
      <c r="A418" s="37" t="s">
        <v>2</v>
      </c>
      <c r="B418" s="55">
        <v>44952.785925925928</v>
      </c>
      <c r="C418" s="38"/>
    </row>
    <row r="419" spans="1:3" x14ac:dyDescent="0.3">
      <c r="A419" s="37" t="s">
        <v>2</v>
      </c>
      <c r="B419" s="55">
        <v>44947.583449074067</v>
      </c>
      <c r="C419" s="38">
        <v>130000</v>
      </c>
    </row>
    <row r="420" spans="1:3" x14ac:dyDescent="0.3">
      <c r="A420" s="37" t="s">
        <v>2</v>
      </c>
      <c r="B420" s="55">
        <v>44955.001516203702</v>
      </c>
      <c r="C420" s="38"/>
    </row>
    <row r="421" spans="1:3" x14ac:dyDescent="0.3">
      <c r="A421" s="37" t="s">
        <v>2</v>
      </c>
      <c r="B421" s="55">
        <v>44936.98946759259</v>
      </c>
      <c r="C421" s="38">
        <v>45000</v>
      </c>
    </row>
    <row r="422" spans="1:3" x14ac:dyDescent="0.3">
      <c r="A422" s="37" t="s">
        <v>2</v>
      </c>
      <c r="B422" s="55">
        <v>44944.918923611112</v>
      </c>
      <c r="C422" s="38">
        <v>82500</v>
      </c>
    </row>
    <row r="423" spans="1:3" x14ac:dyDescent="0.3">
      <c r="A423" s="37" t="s">
        <v>2</v>
      </c>
      <c r="B423" s="55">
        <v>44932.335034722222</v>
      </c>
      <c r="C423" s="38">
        <v>43656</v>
      </c>
    </row>
    <row r="424" spans="1:3" x14ac:dyDescent="0.3">
      <c r="A424" s="37" t="s">
        <v>2</v>
      </c>
      <c r="B424" s="55">
        <v>44939.458587962959</v>
      </c>
      <c r="C424" s="38">
        <v>70600</v>
      </c>
    </row>
    <row r="425" spans="1:3" x14ac:dyDescent="0.3">
      <c r="A425" s="37" t="s">
        <v>2</v>
      </c>
      <c r="B425" s="55">
        <v>44937.876689814817</v>
      </c>
      <c r="C425" s="38"/>
    </row>
    <row r="426" spans="1:3" x14ac:dyDescent="0.3">
      <c r="A426" s="37" t="s">
        <v>2</v>
      </c>
      <c r="B426" s="55">
        <v>44937.752222222232</v>
      </c>
      <c r="C426" s="38"/>
    </row>
    <row r="427" spans="1:3" x14ac:dyDescent="0.3">
      <c r="A427" s="37" t="s">
        <v>2</v>
      </c>
      <c r="B427" s="55">
        <v>44941.623657407406</v>
      </c>
      <c r="C427" s="38"/>
    </row>
    <row r="428" spans="1:3" x14ac:dyDescent="0.3">
      <c r="A428" s="37" t="s">
        <v>2</v>
      </c>
      <c r="B428" s="55">
        <v>44936.624259259261</v>
      </c>
      <c r="C428" s="38">
        <v>140000</v>
      </c>
    </row>
    <row r="429" spans="1:3" x14ac:dyDescent="0.3">
      <c r="A429" s="37" t="s">
        <v>2</v>
      </c>
      <c r="B429" s="55">
        <v>44936.189016203702</v>
      </c>
      <c r="C429" s="38">
        <v>111202</v>
      </c>
    </row>
    <row r="430" spans="1:3" x14ac:dyDescent="0.3">
      <c r="A430" s="37" t="s">
        <v>2</v>
      </c>
      <c r="B430" s="55">
        <v>44937.749976851846</v>
      </c>
      <c r="C430" s="38"/>
    </row>
    <row r="431" spans="1:3" x14ac:dyDescent="0.3">
      <c r="A431" s="37" t="s">
        <v>2</v>
      </c>
      <c r="B431" s="55">
        <v>44938.459872685176</v>
      </c>
      <c r="C431" s="38">
        <v>90000</v>
      </c>
    </row>
    <row r="432" spans="1:3" x14ac:dyDescent="0.3">
      <c r="A432" s="37" t="s">
        <v>2</v>
      </c>
      <c r="B432" s="55">
        <v>44940.291886574072</v>
      </c>
      <c r="C432" s="38">
        <v>90000</v>
      </c>
    </row>
    <row r="433" spans="1:3" x14ac:dyDescent="0.3">
      <c r="A433" s="37" t="s">
        <v>2</v>
      </c>
      <c r="B433" s="55">
        <v>44950.585034722222</v>
      </c>
      <c r="C433" s="38"/>
    </row>
    <row r="434" spans="1:3" x14ac:dyDescent="0.3">
      <c r="A434" s="37" t="s">
        <v>2</v>
      </c>
      <c r="B434" s="55">
        <v>44941.29010416667</v>
      </c>
      <c r="C434" s="38">
        <v>67043</v>
      </c>
    </row>
    <row r="435" spans="1:3" x14ac:dyDescent="0.3">
      <c r="A435" s="37" t="s">
        <v>2</v>
      </c>
      <c r="B435" s="55">
        <v>44935.874965277777</v>
      </c>
      <c r="C435" s="38"/>
    </row>
    <row r="436" spans="1:3" x14ac:dyDescent="0.3">
      <c r="A436" s="37" t="s">
        <v>2</v>
      </c>
      <c r="B436" s="55">
        <v>44931.522650462961</v>
      </c>
      <c r="C436" s="38">
        <v>104500</v>
      </c>
    </row>
    <row r="437" spans="1:3" x14ac:dyDescent="0.3">
      <c r="A437" s="37" t="s">
        <v>2</v>
      </c>
      <c r="B437" s="55">
        <v>44951.315127314818</v>
      </c>
      <c r="C437" s="38">
        <v>72900</v>
      </c>
    </row>
    <row r="438" spans="1:3" x14ac:dyDescent="0.3">
      <c r="A438" s="37" t="s">
        <v>2</v>
      </c>
      <c r="B438" s="55">
        <v>44930.920347222222</v>
      </c>
      <c r="C438" s="38">
        <v>80000</v>
      </c>
    </row>
    <row r="439" spans="1:3" x14ac:dyDescent="0.3">
      <c r="A439" s="37" t="s">
        <v>2</v>
      </c>
      <c r="B439" s="55">
        <v>44949.667905092603</v>
      </c>
      <c r="C439" s="38"/>
    </row>
    <row r="440" spans="1:3" x14ac:dyDescent="0.3">
      <c r="A440" s="37" t="s">
        <v>2</v>
      </c>
      <c r="B440" s="55">
        <v>44930.020532407398</v>
      </c>
      <c r="C440" s="38"/>
    </row>
    <row r="441" spans="1:3" x14ac:dyDescent="0.3">
      <c r="A441" s="37" t="s">
        <v>2</v>
      </c>
      <c r="B441" s="55">
        <v>44951.583333333343</v>
      </c>
      <c r="C441" s="38"/>
    </row>
    <row r="442" spans="1:3" x14ac:dyDescent="0.3">
      <c r="A442" s="37" t="s">
        <v>2</v>
      </c>
      <c r="B442" s="55">
        <v>44937.992407407408</v>
      </c>
      <c r="C442" s="38"/>
    </row>
    <row r="443" spans="1:3" x14ac:dyDescent="0.3">
      <c r="A443" s="37" t="s">
        <v>2</v>
      </c>
      <c r="B443" s="55">
        <v>44935.418703703697</v>
      </c>
      <c r="C443" s="38">
        <v>91960</v>
      </c>
    </row>
    <row r="444" spans="1:3" x14ac:dyDescent="0.3">
      <c r="A444" s="37" t="s">
        <v>2</v>
      </c>
      <c r="B444" s="55">
        <v>44944.269131944442</v>
      </c>
      <c r="C444" s="38">
        <v>165000</v>
      </c>
    </row>
    <row r="445" spans="1:3" x14ac:dyDescent="0.3">
      <c r="A445" s="37" t="s">
        <v>2</v>
      </c>
      <c r="B445" s="55">
        <v>44954.513495370367</v>
      </c>
      <c r="C445" s="38">
        <v>111175</v>
      </c>
    </row>
    <row r="446" spans="1:3" x14ac:dyDescent="0.3">
      <c r="A446" s="37" t="s">
        <v>2</v>
      </c>
      <c r="B446" s="55">
        <v>44932.083553240736</v>
      </c>
      <c r="C446" s="38">
        <v>65000</v>
      </c>
    </row>
    <row r="447" spans="1:3" x14ac:dyDescent="0.3">
      <c r="A447" s="37" t="s">
        <v>2</v>
      </c>
      <c r="B447" s="55">
        <v>44936.763136574067</v>
      </c>
      <c r="C447" s="38">
        <v>61313.82421875</v>
      </c>
    </row>
    <row r="448" spans="1:3" x14ac:dyDescent="0.3">
      <c r="A448" s="37" t="s">
        <v>2</v>
      </c>
      <c r="B448" s="55">
        <v>44934.001273148147</v>
      </c>
      <c r="C448" s="38">
        <v>66058</v>
      </c>
    </row>
    <row r="449" spans="1:3" x14ac:dyDescent="0.3">
      <c r="A449" s="37" t="s">
        <v>2</v>
      </c>
      <c r="B449" s="55">
        <v>44933.499976851846</v>
      </c>
      <c r="C449" s="38">
        <v>93670</v>
      </c>
    </row>
    <row r="450" spans="1:3" x14ac:dyDescent="0.3">
      <c r="A450" s="37" t="s">
        <v>2</v>
      </c>
      <c r="B450" s="55">
        <v>44930.480115740742</v>
      </c>
      <c r="C450" s="38">
        <v>115000</v>
      </c>
    </row>
    <row r="451" spans="1:3" x14ac:dyDescent="0.3">
      <c r="A451" s="37" t="s">
        <v>2</v>
      </c>
      <c r="B451" s="55">
        <v>44951.141053240739</v>
      </c>
      <c r="C451" s="38">
        <v>165000</v>
      </c>
    </row>
    <row r="452" spans="1:3" x14ac:dyDescent="0.3">
      <c r="A452" s="37" t="s">
        <v>2</v>
      </c>
      <c r="B452" s="55">
        <v>44930.666932870372</v>
      </c>
      <c r="C452" s="38">
        <v>65000</v>
      </c>
    </row>
    <row r="453" spans="1:3" x14ac:dyDescent="0.3">
      <c r="A453" s="37" t="s">
        <v>2</v>
      </c>
      <c r="B453" s="55">
        <v>44929.979548611111</v>
      </c>
      <c r="C453" s="38"/>
    </row>
    <row r="454" spans="1:3" x14ac:dyDescent="0.3">
      <c r="A454" s="37" t="s">
        <v>2</v>
      </c>
      <c r="B454" s="55">
        <v>44956.626516203702</v>
      </c>
      <c r="C454" s="38">
        <v>112500</v>
      </c>
    </row>
    <row r="455" spans="1:3" x14ac:dyDescent="0.3">
      <c r="A455" s="37" t="s">
        <v>2</v>
      </c>
      <c r="B455" s="55">
        <v>44932.166550925933</v>
      </c>
      <c r="C455" s="38"/>
    </row>
    <row r="456" spans="1:3" x14ac:dyDescent="0.3">
      <c r="A456" s="37" t="s">
        <v>2</v>
      </c>
      <c r="B456" s="55">
        <v>44945.720300925917</v>
      </c>
      <c r="C456" s="38"/>
    </row>
    <row r="457" spans="1:3" x14ac:dyDescent="0.3">
      <c r="A457" s="37" t="s">
        <v>2</v>
      </c>
      <c r="B457" s="55">
        <v>44952.648518518523</v>
      </c>
      <c r="C457" s="38">
        <v>111175</v>
      </c>
    </row>
    <row r="458" spans="1:3" x14ac:dyDescent="0.3">
      <c r="A458" s="37" t="s">
        <v>2</v>
      </c>
      <c r="B458" s="55">
        <v>44949.083391203712</v>
      </c>
      <c r="C458" s="38"/>
    </row>
    <row r="459" spans="1:3" x14ac:dyDescent="0.3">
      <c r="A459" s="37" t="s">
        <v>2</v>
      </c>
      <c r="B459" s="55">
        <v>44929.980023148149</v>
      </c>
      <c r="C459" s="38"/>
    </row>
    <row r="460" spans="1:3" x14ac:dyDescent="0.3">
      <c r="A460" s="37" t="s">
        <v>2</v>
      </c>
      <c r="B460" s="55">
        <v>44950.666585648149</v>
      </c>
      <c r="C460" s="38">
        <v>65000</v>
      </c>
    </row>
    <row r="461" spans="1:3" x14ac:dyDescent="0.3">
      <c r="A461" s="37" t="s">
        <v>2</v>
      </c>
      <c r="B461" s="55">
        <v>44943.012071759258</v>
      </c>
      <c r="C461" s="38">
        <v>217000</v>
      </c>
    </row>
    <row r="462" spans="1:3" x14ac:dyDescent="0.3">
      <c r="A462" s="37" t="s">
        <v>2</v>
      </c>
      <c r="B462" s="55">
        <v>44928.617280092592</v>
      </c>
      <c r="C462" s="38">
        <v>77500</v>
      </c>
    </row>
    <row r="463" spans="1:3" x14ac:dyDescent="0.3">
      <c r="A463" s="37" t="s">
        <v>2</v>
      </c>
      <c r="B463" s="55">
        <v>44953.667962962973</v>
      </c>
      <c r="C463" s="38"/>
    </row>
    <row r="464" spans="1:3" x14ac:dyDescent="0.3">
      <c r="A464" s="37" t="s">
        <v>2</v>
      </c>
      <c r="B464" s="55">
        <v>44939.877743055556</v>
      </c>
      <c r="C464" s="38">
        <v>55000</v>
      </c>
    </row>
    <row r="465" spans="1:3" x14ac:dyDescent="0.3">
      <c r="A465" s="37" t="s">
        <v>2</v>
      </c>
      <c r="B465" s="55">
        <v>44943.168541666673</v>
      </c>
      <c r="C465" s="38">
        <v>111175</v>
      </c>
    </row>
    <row r="466" spans="1:3" x14ac:dyDescent="0.3">
      <c r="A466" s="37" t="s">
        <v>2</v>
      </c>
      <c r="B466" s="55">
        <v>44957.142453703702</v>
      </c>
      <c r="C466" s="38">
        <v>111175</v>
      </c>
    </row>
    <row r="467" spans="1:3" x14ac:dyDescent="0.3">
      <c r="A467" s="37" t="s">
        <v>2</v>
      </c>
      <c r="B467" s="55">
        <v>44931.483472222222</v>
      </c>
      <c r="C467" s="38">
        <v>79200</v>
      </c>
    </row>
    <row r="468" spans="1:3" x14ac:dyDescent="0.3">
      <c r="A468" s="37" t="s">
        <v>2</v>
      </c>
      <c r="B468" s="55">
        <v>44928.64949074074</v>
      </c>
      <c r="C468" s="38">
        <v>100500</v>
      </c>
    </row>
    <row r="469" spans="1:3" x14ac:dyDescent="0.3">
      <c r="A469" s="37" t="s">
        <v>2</v>
      </c>
      <c r="B469" s="55">
        <v>44929.852268518523</v>
      </c>
      <c r="C469" s="38">
        <v>180000</v>
      </c>
    </row>
    <row r="470" spans="1:3" x14ac:dyDescent="0.3">
      <c r="A470" s="37" t="s">
        <v>2</v>
      </c>
      <c r="B470" s="55">
        <v>44929.97934027778</v>
      </c>
      <c r="C470" s="38"/>
    </row>
    <row r="471" spans="1:3" x14ac:dyDescent="0.3">
      <c r="A471" s="37" t="s">
        <v>2</v>
      </c>
      <c r="B471" s="55">
        <v>44936.500486111108</v>
      </c>
      <c r="C471" s="38"/>
    </row>
    <row r="472" spans="1:3" x14ac:dyDescent="0.3">
      <c r="A472" s="37" t="s">
        <v>2</v>
      </c>
      <c r="B472" s="55">
        <v>44936.625150462962</v>
      </c>
      <c r="C472" s="38">
        <v>60000</v>
      </c>
    </row>
    <row r="473" spans="1:3" x14ac:dyDescent="0.3">
      <c r="A473" s="37" t="s">
        <v>2</v>
      </c>
      <c r="B473" s="55">
        <v>44935.959189814806</v>
      </c>
      <c r="C473" s="38"/>
    </row>
    <row r="474" spans="1:3" x14ac:dyDescent="0.3">
      <c r="A474" s="37" t="s">
        <v>2</v>
      </c>
      <c r="B474" s="55">
        <v>44938.876562500001</v>
      </c>
      <c r="C474" s="38">
        <v>70087</v>
      </c>
    </row>
    <row r="475" spans="1:3" x14ac:dyDescent="0.3">
      <c r="A475" s="37" t="s">
        <v>2</v>
      </c>
      <c r="B475" s="55">
        <v>44952.959467592591</v>
      </c>
      <c r="C475" s="38">
        <v>52000</v>
      </c>
    </row>
    <row r="476" spans="1:3" x14ac:dyDescent="0.3">
      <c r="A476" s="37" t="s">
        <v>2</v>
      </c>
      <c r="B476" s="55">
        <v>44956.000798611109</v>
      </c>
      <c r="C476" s="38">
        <v>65000</v>
      </c>
    </row>
    <row r="477" spans="1:3" x14ac:dyDescent="0.3">
      <c r="A477" s="37" t="s">
        <v>2</v>
      </c>
      <c r="B477" s="55">
        <v>44946.443206018521</v>
      </c>
      <c r="C477" s="38">
        <v>105650</v>
      </c>
    </row>
    <row r="478" spans="1:3" x14ac:dyDescent="0.3">
      <c r="A478" s="37" t="s">
        <v>2</v>
      </c>
      <c r="B478" s="55">
        <v>44929.812118055554</v>
      </c>
      <c r="C478" s="38"/>
    </row>
    <row r="479" spans="1:3" x14ac:dyDescent="0.3">
      <c r="A479" s="37" t="s">
        <v>2</v>
      </c>
      <c r="B479" s="55">
        <v>44949.625057870369</v>
      </c>
      <c r="C479" s="38">
        <v>59192.5</v>
      </c>
    </row>
    <row r="480" spans="1:3" x14ac:dyDescent="0.3">
      <c r="A480" s="37" t="s">
        <v>2</v>
      </c>
      <c r="B480" s="55">
        <v>44931.833240740743</v>
      </c>
      <c r="C480" s="38">
        <v>109159</v>
      </c>
    </row>
    <row r="481" spans="1:3" x14ac:dyDescent="0.3">
      <c r="A481" s="37" t="s">
        <v>2</v>
      </c>
      <c r="B481" s="55">
        <v>44944.876064814824</v>
      </c>
      <c r="C481" s="38"/>
    </row>
    <row r="482" spans="1:3" x14ac:dyDescent="0.3">
      <c r="A482" s="37" t="s">
        <v>2</v>
      </c>
      <c r="B482" s="55">
        <v>44944.877546296288</v>
      </c>
      <c r="C482" s="38">
        <v>86500</v>
      </c>
    </row>
    <row r="483" spans="1:3" x14ac:dyDescent="0.3">
      <c r="A483" s="37" t="s">
        <v>2</v>
      </c>
      <c r="B483" s="55">
        <v>44956.95989583333</v>
      </c>
      <c r="C483" s="38"/>
    </row>
    <row r="484" spans="1:3" x14ac:dyDescent="0.3">
      <c r="A484" s="37" t="s">
        <v>2</v>
      </c>
      <c r="B484" s="55">
        <v>44947.001006944447</v>
      </c>
      <c r="C484" s="38">
        <v>65000</v>
      </c>
    </row>
    <row r="485" spans="1:3" x14ac:dyDescent="0.3">
      <c r="A485" s="37" t="s">
        <v>2</v>
      </c>
      <c r="B485" s="55">
        <v>44944.875</v>
      </c>
      <c r="C485" s="38">
        <v>95000</v>
      </c>
    </row>
    <row r="486" spans="1:3" x14ac:dyDescent="0.3">
      <c r="A486" s="37" t="s">
        <v>2</v>
      </c>
      <c r="B486" s="55">
        <v>44949.000439814823</v>
      </c>
      <c r="C486" s="38">
        <v>51059</v>
      </c>
    </row>
    <row r="487" spans="1:3" x14ac:dyDescent="0.3">
      <c r="A487" s="37" t="s">
        <v>2</v>
      </c>
      <c r="B487" s="55">
        <v>44930.291828703703</v>
      </c>
      <c r="C487" s="38">
        <v>64105</v>
      </c>
    </row>
    <row r="488" spans="1:3" x14ac:dyDescent="0.3">
      <c r="A488" s="37" t="s">
        <v>2</v>
      </c>
      <c r="B488" s="55">
        <v>44951.834386574083</v>
      </c>
      <c r="C488" s="38">
        <v>90000</v>
      </c>
    </row>
    <row r="489" spans="1:3" x14ac:dyDescent="0.3">
      <c r="A489" s="37" t="s">
        <v>2</v>
      </c>
      <c r="B489" s="55">
        <v>44935.011562500003</v>
      </c>
      <c r="C489" s="38"/>
    </row>
    <row r="490" spans="1:3" x14ac:dyDescent="0.3">
      <c r="A490" s="37" t="s">
        <v>2</v>
      </c>
      <c r="B490" s="55">
        <v>44935.002488425933</v>
      </c>
      <c r="C490" s="38">
        <v>130000</v>
      </c>
    </row>
    <row r="491" spans="1:3" x14ac:dyDescent="0.3">
      <c r="A491" s="37" t="s">
        <v>2</v>
      </c>
      <c r="B491" s="55">
        <v>44949.000706018523</v>
      </c>
      <c r="C491" s="38">
        <v>109735</v>
      </c>
    </row>
    <row r="492" spans="1:3" x14ac:dyDescent="0.3">
      <c r="A492" s="37" t="s">
        <v>2</v>
      </c>
      <c r="B492" s="55">
        <v>44938.084930555553</v>
      </c>
      <c r="C492" s="38">
        <v>100000</v>
      </c>
    </row>
    <row r="493" spans="1:3" x14ac:dyDescent="0.3">
      <c r="A493" s="37" t="s">
        <v>2</v>
      </c>
      <c r="B493" s="55">
        <v>44930.623437499999</v>
      </c>
      <c r="C493" s="38">
        <v>43000</v>
      </c>
    </row>
    <row r="494" spans="1:3" x14ac:dyDescent="0.3">
      <c r="A494" s="37" t="s">
        <v>2</v>
      </c>
      <c r="B494" s="55">
        <v>44944.615706018521</v>
      </c>
      <c r="C494" s="38"/>
    </row>
    <row r="495" spans="1:3" x14ac:dyDescent="0.3">
      <c r="A495" s="37" t="s">
        <v>2</v>
      </c>
      <c r="B495" s="55">
        <v>44936.625925925917</v>
      </c>
      <c r="C495" s="38"/>
    </row>
    <row r="496" spans="1:3" x14ac:dyDescent="0.3">
      <c r="A496" s="37" t="s">
        <v>2</v>
      </c>
      <c r="B496" s="55">
        <v>44945.720995370371</v>
      </c>
      <c r="C496" s="38">
        <v>70000</v>
      </c>
    </row>
    <row r="497" spans="1:3" x14ac:dyDescent="0.3">
      <c r="A497" s="37" t="s">
        <v>2</v>
      </c>
      <c r="B497" s="55">
        <v>44946.638877314806</v>
      </c>
      <c r="C497" s="38">
        <v>57550</v>
      </c>
    </row>
    <row r="498" spans="1:3" x14ac:dyDescent="0.3">
      <c r="A498" s="37" t="s">
        <v>2</v>
      </c>
      <c r="B498" s="55">
        <v>44928.500347222223</v>
      </c>
      <c r="C498" s="38">
        <v>90000</v>
      </c>
    </row>
    <row r="499" spans="1:3" x14ac:dyDescent="0.3">
      <c r="A499" s="37" t="s">
        <v>2</v>
      </c>
      <c r="B499" s="55">
        <v>44946.890752314823</v>
      </c>
      <c r="C499" s="38">
        <v>87500</v>
      </c>
    </row>
    <row r="500" spans="1:3" x14ac:dyDescent="0.3">
      <c r="A500" s="37" t="s">
        <v>2</v>
      </c>
      <c r="B500" s="55">
        <v>44931.833692129629</v>
      </c>
      <c r="C500" s="38">
        <v>109159</v>
      </c>
    </row>
    <row r="501" spans="1:3" x14ac:dyDescent="0.3">
      <c r="A501" s="37" t="s">
        <v>2</v>
      </c>
      <c r="B501" s="55">
        <v>44936.999918981477</v>
      </c>
      <c r="C501" s="38">
        <v>105000</v>
      </c>
    </row>
    <row r="502" spans="1:3" x14ac:dyDescent="0.3">
      <c r="A502" s="37" t="s">
        <v>2</v>
      </c>
      <c r="B502" s="55">
        <v>44943.365624999999</v>
      </c>
      <c r="C502" s="38">
        <v>90000</v>
      </c>
    </row>
    <row r="503" spans="1:3" x14ac:dyDescent="0.3">
      <c r="A503" s="37" t="s">
        <v>2</v>
      </c>
      <c r="B503" s="55">
        <v>44949.936122685183</v>
      </c>
      <c r="C503" s="38">
        <v>170000</v>
      </c>
    </row>
    <row r="504" spans="1:3" x14ac:dyDescent="0.3">
      <c r="A504" s="37" t="s">
        <v>2</v>
      </c>
      <c r="B504" s="55">
        <v>44957.126701388886</v>
      </c>
      <c r="C504" s="38">
        <v>100000</v>
      </c>
    </row>
    <row r="505" spans="1:3" x14ac:dyDescent="0.3">
      <c r="A505" s="37" t="s">
        <v>2</v>
      </c>
      <c r="B505" s="55">
        <v>44956.583402777767</v>
      </c>
      <c r="C505" s="38"/>
    </row>
    <row r="506" spans="1:3" x14ac:dyDescent="0.3">
      <c r="A506" s="37" t="s">
        <v>2</v>
      </c>
      <c r="B506" s="55">
        <v>44930.54315972222</v>
      </c>
      <c r="C506" s="38">
        <v>96000</v>
      </c>
    </row>
    <row r="507" spans="1:3" x14ac:dyDescent="0.3">
      <c r="A507" s="37" t="s">
        <v>2</v>
      </c>
      <c r="B507" s="55">
        <v>44936.742407407408</v>
      </c>
      <c r="C507" s="38">
        <v>45000</v>
      </c>
    </row>
    <row r="508" spans="1:3" x14ac:dyDescent="0.3">
      <c r="A508" s="37" t="s">
        <v>2</v>
      </c>
      <c r="B508" s="55">
        <v>44928.583703703713</v>
      </c>
      <c r="C508" s="38"/>
    </row>
    <row r="509" spans="1:3" x14ac:dyDescent="0.3">
      <c r="A509" s="37" t="s">
        <v>2</v>
      </c>
      <c r="B509" s="55">
        <v>44937.000509259262</v>
      </c>
      <c r="C509" s="38"/>
    </row>
    <row r="510" spans="1:3" x14ac:dyDescent="0.3">
      <c r="A510" s="37" t="s">
        <v>2</v>
      </c>
      <c r="B510" s="55">
        <v>44930.603703703702</v>
      </c>
      <c r="C510" s="38"/>
    </row>
    <row r="511" spans="1:3" x14ac:dyDescent="0.3">
      <c r="A511" s="37" t="s">
        <v>2</v>
      </c>
      <c r="B511" s="55">
        <v>44950.959247685183</v>
      </c>
      <c r="C511" s="38"/>
    </row>
    <row r="512" spans="1:3" x14ac:dyDescent="0.3">
      <c r="A512" s="37" t="s">
        <v>2</v>
      </c>
      <c r="B512" s="55">
        <v>44951.709131944437</v>
      </c>
      <c r="C512" s="38"/>
    </row>
    <row r="513" spans="1:3" x14ac:dyDescent="0.3">
      <c r="A513" s="37" t="s">
        <v>2</v>
      </c>
      <c r="B513" s="55">
        <v>44929.771006944437</v>
      </c>
      <c r="C513" s="38"/>
    </row>
    <row r="514" spans="1:3" x14ac:dyDescent="0.3">
      <c r="A514" s="37" t="s">
        <v>2</v>
      </c>
      <c r="B514" s="55">
        <v>44950.375740740739</v>
      </c>
      <c r="C514" s="38"/>
    </row>
    <row r="515" spans="1:3" x14ac:dyDescent="0.3">
      <c r="A515" s="37" t="s">
        <v>2</v>
      </c>
      <c r="B515" s="55">
        <v>44946.792673611111</v>
      </c>
      <c r="C515" s="38"/>
    </row>
    <row r="516" spans="1:3" x14ac:dyDescent="0.3">
      <c r="A516" s="37" t="s">
        <v>2</v>
      </c>
      <c r="B516" s="55">
        <v>44930.916828703703</v>
      </c>
      <c r="C516" s="38">
        <v>105000</v>
      </c>
    </row>
    <row r="517" spans="1:3" x14ac:dyDescent="0.3">
      <c r="A517" s="37" t="s">
        <v>2</v>
      </c>
      <c r="B517" s="55">
        <v>44952.50267361111</v>
      </c>
      <c r="C517" s="38"/>
    </row>
    <row r="518" spans="1:3" x14ac:dyDescent="0.3">
      <c r="A518" s="37" t="s">
        <v>2</v>
      </c>
      <c r="B518" s="55">
        <v>44947.000972222217</v>
      </c>
      <c r="C518" s="38">
        <v>95000</v>
      </c>
    </row>
    <row r="519" spans="1:3" x14ac:dyDescent="0.3">
      <c r="A519" s="37" t="s">
        <v>2</v>
      </c>
      <c r="B519" s="55">
        <v>44937.833969907413</v>
      </c>
      <c r="C519" s="38"/>
    </row>
    <row r="520" spans="1:3" x14ac:dyDescent="0.3">
      <c r="A520" s="37" t="s">
        <v>2</v>
      </c>
      <c r="B520" s="55">
        <v>44930.005624999998</v>
      </c>
      <c r="C520" s="38"/>
    </row>
    <row r="521" spans="1:3" x14ac:dyDescent="0.3">
      <c r="A521" s="37" t="s">
        <v>2</v>
      </c>
      <c r="B521" s="55">
        <v>44949.25204861111</v>
      </c>
      <c r="C521" s="38">
        <v>98500</v>
      </c>
    </row>
    <row r="522" spans="1:3" x14ac:dyDescent="0.3">
      <c r="A522" s="37" t="s">
        <v>2</v>
      </c>
      <c r="B522" s="55">
        <v>44931.710138888891</v>
      </c>
      <c r="C522" s="38">
        <v>127500</v>
      </c>
    </row>
    <row r="523" spans="1:3" x14ac:dyDescent="0.3">
      <c r="A523" s="37" t="s">
        <v>2</v>
      </c>
      <c r="B523" s="55">
        <v>44937.918182870373</v>
      </c>
      <c r="C523" s="38">
        <v>70000</v>
      </c>
    </row>
    <row r="524" spans="1:3" x14ac:dyDescent="0.3">
      <c r="A524" s="37" t="s">
        <v>2</v>
      </c>
      <c r="B524" s="55">
        <v>44934.001319444447</v>
      </c>
      <c r="C524" s="38">
        <v>62500</v>
      </c>
    </row>
    <row r="525" spans="1:3" x14ac:dyDescent="0.3">
      <c r="A525" s="37" t="s">
        <v>2</v>
      </c>
      <c r="B525" s="55">
        <v>44951.793043981481</v>
      </c>
      <c r="C525" s="38">
        <v>67500</v>
      </c>
    </row>
    <row r="526" spans="1:3" x14ac:dyDescent="0.3">
      <c r="A526" s="37" t="s">
        <v>2</v>
      </c>
      <c r="B526" s="55">
        <v>44953.192060185182</v>
      </c>
      <c r="C526" s="38">
        <v>165000</v>
      </c>
    </row>
    <row r="527" spans="1:3" x14ac:dyDescent="0.3">
      <c r="A527" s="37" t="s">
        <v>2</v>
      </c>
      <c r="B527" s="55">
        <v>44936.624247685177</v>
      </c>
      <c r="C527" s="38">
        <v>47275.5</v>
      </c>
    </row>
    <row r="528" spans="1:3" x14ac:dyDescent="0.3">
      <c r="A528" s="37" t="s">
        <v>2</v>
      </c>
      <c r="B528" s="55">
        <v>44952.866331018522</v>
      </c>
      <c r="C528" s="38"/>
    </row>
    <row r="529" spans="1:3" x14ac:dyDescent="0.3">
      <c r="A529" s="37" t="s">
        <v>2</v>
      </c>
      <c r="B529" s="55">
        <v>44931.167523148149</v>
      </c>
      <c r="C529" s="38">
        <v>95680</v>
      </c>
    </row>
    <row r="530" spans="1:3" x14ac:dyDescent="0.3">
      <c r="A530" s="37" t="s">
        <v>2</v>
      </c>
      <c r="B530" s="55">
        <v>44943.751539351862</v>
      </c>
      <c r="C530" s="38"/>
    </row>
    <row r="531" spans="1:3" x14ac:dyDescent="0.3">
      <c r="A531" s="37" t="s">
        <v>2</v>
      </c>
      <c r="B531" s="55">
        <v>44951.917604166672</v>
      </c>
      <c r="C531" s="38">
        <v>62500</v>
      </c>
    </row>
    <row r="532" spans="1:3" x14ac:dyDescent="0.3">
      <c r="A532" s="37" t="s">
        <v>2</v>
      </c>
      <c r="B532" s="55">
        <v>44956.918206018519</v>
      </c>
      <c r="C532" s="38"/>
    </row>
    <row r="533" spans="1:3" x14ac:dyDescent="0.3">
      <c r="A533" s="37" t="s">
        <v>2</v>
      </c>
      <c r="B533" s="55">
        <v>44952.39167824074</v>
      </c>
      <c r="C533" s="38">
        <v>51014</v>
      </c>
    </row>
    <row r="534" spans="1:3" x14ac:dyDescent="0.3">
      <c r="A534" s="37" t="s">
        <v>2</v>
      </c>
      <c r="B534" s="55">
        <v>44930.37296296296</v>
      </c>
      <c r="C534" s="38">
        <v>77250</v>
      </c>
    </row>
    <row r="535" spans="1:3" x14ac:dyDescent="0.3">
      <c r="A535" s="37" t="s">
        <v>2</v>
      </c>
      <c r="B535" s="55">
        <v>44936.458599537043</v>
      </c>
      <c r="C535" s="38">
        <v>125000</v>
      </c>
    </row>
    <row r="536" spans="1:3" x14ac:dyDescent="0.3">
      <c r="A536" s="37" t="s">
        <v>2</v>
      </c>
      <c r="B536" s="55">
        <v>44930.709305555552</v>
      </c>
      <c r="C536" s="38">
        <v>70000</v>
      </c>
    </row>
    <row r="537" spans="1:3" x14ac:dyDescent="0.3">
      <c r="A537" s="37" t="s">
        <v>2</v>
      </c>
      <c r="B537" s="55">
        <v>44945.679525462961</v>
      </c>
      <c r="C537" s="38"/>
    </row>
    <row r="538" spans="1:3" x14ac:dyDescent="0.3">
      <c r="A538" s="37" t="s">
        <v>2</v>
      </c>
      <c r="B538" s="55">
        <v>44940.66878472222</v>
      </c>
      <c r="C538" s="38"/>
    </row>
    <row r="539" spans="1:3" x14ac:dyDescent="0.3">
      <c r="A539" s="37" t="s">
        <v>2</v>
      </c>
      <c r="B539" s="55">
        <v>44946.708726851852</v>
      </c>
      <c r="C539" s="38">
        <v>90000</v>
      </c>
    </row>
    <row r="540" spans="1:3" x14ac:dyDescent="0.3">
      <c r="A540" s="37" t="s">
        <v>2</v>
      </c>
      <c r="B540" s="55">
        <v>44936.792280092603</v>
      </c>
      <c r="C540" s="38"/>
    </row>
    <row r="541" spans="1:3" x14ac:dyDescent="0.3">
      <c r="A541" s="37" t="s">
        <v>2</v>
      </c>
      <c r="B541" s="55">
        <v>44957.833761574067</v>
      </c>
      <c r="C541" s="38">
        <v>87900</v>
      </c>
    </row>
    <row r="542" spans="1:3" x14ac:dyDescent="0.3">
      <c r="A542" s="37" t="s">
        <v>2</v>
      </c>
      <c r="B542" s="55">
        <v>44929.166724537034</v>
      </c>
      <c r="C542" s="38">
        <v>140000</v>
      </c>
    </row>
    <row r="543" spans="1:3" x14ac:dyDescent="0.3">
      <c r="A543" s="37" t="s">
        <v>2</v>
      </c>
      <c r="B543" s="55">
        <v>44927.583368055559</v>
      </c>
      <c r="C543" s="38">
        <v>81167</v>
      </c>
    </row>
    <row r="544" spans="1:3" x14ac:dyDescent="0.3">
      <c r="A544" s="37" t="s">
        <v>2</v>
      </c>
      <c r="B544" s="55">
        <v>44938.846956018519</v>
      </c>
      <c r="C544" s="38">
        <v>131900</v>
      </c>
    </row>
    <row r="545" spans="1:3" x14ac:dyDescent="0.3">
      <c r="A545" s="37" t="s">
        <v>2</v>
      </c>
      <c r="B545" s="55">
        <v>44935.292708333327</v>
      </c>
      <c r="C545" s="38">
        <v>151950</v>
      </c>
    </row>
    <row r="546" spans="1:3" x14ac:dyDescent="0.3">
      <c r="A546" s="37" t="s">
        <v>2</v>
      </c>
      <c r="B546" s="55">
        <v>44938.292453703703</v>
      </c>
      <c r="C546" s="38">
        <v>125000</v>
      </c>
    </row>
    <row r="547" spans="1:3" x14ac:dyDescent="0.3">
      <c r="A547" s="37" t="s">
        <v>2</v>
      </c>
      <c r="B547" s="55">
        <v>44931.750219907408</v>
      </c>
      <c r="C547" s="38"/>
    </row>
    <row r="548" spans="1:3" x14ac:dyDescent="0.3">
      <c r="A548" s="37" t="s">
        <v>2</v>
      </c>
      <c r="B548" s="55">
        <v>44957.7500462963</v>
      </c>
      <c r="C548" s="38">
        <v>94500</v>
      </c>
    </row>
    <row r="549" spans="1:3" x14ac:dyDescent="0.3">
      <c r="A549" s="37" t="s">
        <v>2</v>
      </c>
      <c r="B549" s="55">
        <v>44937.876689814817</v>
      </c>
      <c r="C549" s="38"/>
    </row>
    <row r="550" spans="1:3" x14ac:dyDescent="0.3">
      <c r="A550" s="37" t="s">
        <v>2</v>
      </c>
      <c r="B550" s="55">
        <v>44957.792118055557</v>
      </c>
      <c r="C550" s="38"/>
    </row>
    <row r="551" spans="1:3" x14ac:dyDescent="0.3">
      <c r="A551" s="37" t="s">
        <v>2</v>
      </c>
      <c r="B551" s="55">
        <v>44943.708333333343</v>
      </c>
      <c r="C551" s="38">
        <v>143000</v>
      </c>
    </row>
    <row r="552" spans="1:3" x14ac:dyDescent="0.3">
      <c r="A552" s="37" t="s">
        <v>2</v>
      </c>
      <c r="B552" s="55">
        <v>44938.76357638889</v>
      </c>
      <c r="C552" s="38"/>
    </row>
    <row r="553" spans="1:3" x14ac:dyDescent="0.3">
      <c r="A553" s="37" t="s">
        <v>2</v>
      </c>
      <c r="B553" s="55">
        <v>44939.000972222217</v>
      </c>
      <c r="C553" s="38"/>
    </row>
    <row r="554" spans="1:3" x14ac:dyDescent="0.3">
      <c r="A554" s="37" t="s">
        <v>2</v>
      </c>
      <c r="B554" s="55">
        <v>44939.79483796296</v>
      </c>
      <c r="C554" s="38">
        <v>85000</v>
      </c>
    </row>
    <row r="555" spans="1:3" x14ac:dyDescent="0.3">
      <c r="A555" s="37" t="s">
        <v>2</v>
      </c>
      <c r="B555" s="55">
        <v>44928.334745370368</v>
      </c>
      <c r="C555" s="38">
        <v>138615</v>
      </c>
    </row>
    <row r="556" spans="1:3" x14ac:dyDescent="0.3">
      <c r="A556" s="37" t="s">
        <v>2</v>
      </c>
      <c r="B556" s="55">
        <v>44942.762025462973</v>
      </c>
      <c r="C556" s="38"/>
    </row>
    <row r="557" spans="1:3" x14ac:dyDescent="0.3">
      <c r="A557" s="37" t="s">
        <v>2</v>
      </c>
      <c r="B557" s="55">
        <v>44931.871203703697</v>
      </c>
      <c r="C557" s="38">
        <v>57500</v>
      </c>
    </row>
    <row r="558" spans="1:3" x14ac:dyDescent="0.3">
      <c r="A558" s="37" t="s">
        <v>2</v>
      </c>
      <c r="B558" s="55">
        <v>44952.000844907408</v>
      </c>
      <c r="C558" s="38"/>
    </row>
    <row r="559" spans="1:3" x14ac:dyDescent="0.3">
      <c r="A559" s="37" t="s">
        <v>2</v>
      </c>
      <c r="B559" s="55">
        <v>44945.771539351852</v>
      </c>
      <c r="C559" s="38"/>
    </row>
    <row r="560" spans="1:3" x14ac:dyDescent="0.3">
      <c r="A560" s="37" t="s">
        <v>2</v>
      </c>
      <c r="B560" s="55">
        <v>44935.682789351849</v>
      </c>
      <c r="C560" s="38">
        <v>89100</v>
      </c>
    </row>
    <row r="561" spans="1:3" x14ac:dyDescent="0.3">
      <c r="A561" s="37" t="s">
        <v>2</v>
      </c>
      <c r="B561" s="55">
        <v>44954.500740740739</v>
      </c>
      <c r="C561" s="38"/>
    </row>
    <row r="562" spans="1:3" x14ac:dyDescent="0.3">
      <c r="A562" s="37" t="s">
        <v>2</v>
      </c>
      <c r="B562" s="55">
        <v>44954.458796296298</v>
      </c>
      <c r="C562" s="38">
        <v>144481.5</v>
      </c>
    </row>
    <row r="563" spans="1:3" x14ac:dyDescent="0.3">
      <c r="A563" s="37" t="s">
        <v>2</v>
      </c>
      <c r="B563" s="55">
        <v>44951.625104166669</v>
      </c>
      <c r="C563" s="38">
        <v>60000</v>
      </c>
    </row>
    <row r="564" spans="1:3" x14ac:dyDescent="0.3">
      <c r="A564" s="37" t="s">
        <v>2</v>
      </c>
      <c r="B564" s="55">
        <v>44957.909687500003</v>
      </c>
      <c r="C564" s="38">
        <v>200000</v>
      </c>
    </row>
    <row r="565" spans="1:3" x14ac:dyDescent="0.3">
      <c r="A565" s="37" t="s">
        <v>2</v>
      </c>
      <c r="B565" s="55">
        <v>44952.026747685188</v>
      </c>
      <c r="C565" s="38">
        <v>97500</v>
      </c>
    </row>
    <row r="566" spans="1:3" x14ac:dyDescent="0.3">
      <c r="A566" s="37" t="s">
        <v>2</v>
      </c>
      <c r="B566" s="55">
        <v>44937.668622685182</v>
      </c>
      <c r="C566" s="38">
        <v>115000</v>
      </c>
    </row>
    <row r="567" spans="1:3" x14ac:dyDescent="0.3">
      <c r="A567" s="37" t="s">
        <v>2</v>
      </c>
      <c r="B567" s="55">
        <v>44951.876712962963</v>
      </c>
      <c r="C567" s="38">
        <v>65000</v>
      </c>
    </row>
    <row r="568" spans="1:3" x14ac:dyDescent="0.3">
      <c r="A568" s="37" t="s">
        <v>2</v>
      </c>
      <c r="B568" s="55">
        <v>44929.896643518521</v>
      </c>
      <c r="C568" s="38"/>
    </row>
    <row r="569" spans="1:3" x14ac:dyDescent="0.3">
      <c r="A569" s="37" t="s">
        <v>2</v>
      </c>
      <c r="B569" s="55">
        <v>44935.878912037027</v>
      </c>
      <c r="C569" s="38">
        <v>120000</v>
      </c>
    </row>
    <row r="570" spans="1:3" x14ac:dyDescent="0.3">
      <c r="A570" s="37" t="s">
        <v>2</v>
      </c>
      <c r="B570" s="55">
        <v>44945.762465277781</v>
      </c>
      <c r="C570" s="38"/>
    </row>
    <row r="571" spans="1:3" x14ac:dyDescent="0.3">
      <c r="A571" s="37" t="s">
        <v>2</v>
      </c>
      <c r="B571" s="55">
        <v>44929.99386574074</v>
      </c>
      <c r="C571" s="38"/>
    </row>
    <row r="572" spans="1:3" x14ac:dyDescent="0.3">
      <c r="A572" s="37" t="s">
        <v>2</v>
      </c>
      <c r="B572" s="55">
        <v>44938.551979166667</v>
      </c>
      <c r="C572" s="38">
        <v>165000</v>
      </c>
    </row>
    <row r="573" spans="1:3" x14ac:dyDescent="0.3">
      <c r="A573" s="37" t="s">
        <v>2</v>
      </c>
      <c r="B573" s="55">
        <v>44953.710046296299</v>
      </c>
      <c r="C573" s="38"/>
    </row>
    <row r="574" spans="1:3" x14ac:dyDescent="0.3">
      <c r="A574" s="37" t="s">
        <v>2</v>
      </c>
      <c r="B574" s="55">
        <v>44935.250902777778</v>
      </c>
      <c r="C574" s="38">
        <v>125000</v>
      </c>
    </row>
    <row r="575" spans="1:3" x14ac:dyDescent="0.3">
      <c r="A575" s="37" t="s">
        <v>2</v>
      </c>
      <c r="B575" s="55">
        <v>44936.792812500003</v>
      </c>
      <c r="C575" s="38">
        <v>32500</v>
      </c>
    </row>
    <row r="576" spans="1:3" x14ac:dyDescent="0.3">
      <c r="A576" s="37" t="s">
        <v>2</v>
      </c>
      <c r="B576" s="55">
        <v>44953.833819444437</v>
      </c>
      <c r="C576" s="38">
        <v>55000</v>
      </c>
    </row>
    <row r="577" spans="1:3" x14ac:dyDescent="0.3">
      <c r="A577" s="37" t="s">
        <v>2</v>
      </c>
      <c r="B577" s="55">
        <v>44956.916759259257</v>
      </c>
      <c r="C577" s="38">
        <v>60500</v>
      </c>
    </row>
    <row r="578" spans="1:3" x14ac:dyDescent="0.3">
      <c r="A578" s="37" t="s">
        <v>2</v>
      </c>
      <c r="B578" s="55">
        <v>44931.666215277779</v>
      </c>
      <c r="C578" s="38"/>
    </row>
    <row r="579" spans="1:3" x14ac:dyDescent="0.3">
      <c r="A579" s="37" t="s">
        <v>2</v>
      </c>
      <c r="B579" s="55">
        <v>44929.125104166669</v>
      </c>
      <c r="C579" s="38">
        <v>89830</v>
      </c>
    </row>
    <row r="580" spans="1:3" x14ac:dyDescent="0.3">
      <c r="A580" s="37" t="s">
        <v>2</v>
      </c>
      <c r="B580" s="55">
        <v>44942.458321759259</v>
      </c>
      <c r="C580" s="38">
        <v>102500</v>
      </c>
    </row>
    <row r="581" spans="1:3" x14ac:dyDescent="0.3">
      <c r="A581" s="37" t="s">
        <v>2</v>
      </c>
      <c r="B581" s="55">
        <v>44935.625173611108</v>
      </c>
      <c r="C581" s="38"/>
    </row>
    <row r="582" spans="1:3" x14ac:dyDescent="0.3">
      <c r="A582" s="37" t="s">
        <v>2</v>
      </c>
      <c r="B582" s="55">
        <v>44956.793252314812</v>
      </c>
      <c r="C582" s="38">
        <v>72500</v>
      </c>
    </row>
    <row r="583" spans="1:3" x14ac:dyDescent="0.3">
      <c r="A583" s="37" t="s">
        <v>2</v>
      </c>
      <c r="B583" s="55">
        <v>44946.792638888888</v>
      </c>
      <c r="C583" s="38"/>
    </row>
    <row r="584" spans="1:3" x14ac:dyDescent="0.3">
      <c r="A584" s="37" t="s">
        <v>2</v>
      </c>
      <c r="B584" s="55">
        <v>44956.084976851853</v>
      </c>
      <c r="C584" s="38">
        <v>160000</v>
      </c>
    </row>
    <row r="585" spans="1:3" x14ac:dyDescent="0.3">
      <c r="A585" s="37" t="s">
        <v>2</v>
      </c>
      <c r="B585" s="55">
        <v>44948.585312499999</v>
      </c>
      <c r="C585" s="38">
        <v>60000</v>
      </c>
    </row>
    <row r="586" spans="1:3" x14ac:dyDescent="0.3">
      <c r="A586" s="37" t="s">
        <v>2</v>
      </c>
      <c r="B586" s="55">
        <v>44943.015335648153</v>
      </c>
      <c r="C586" s="38"/>
    </row>
    <row r="587" spans="1:3" x14ac:dyDescent="0.3">
      <c r="A587" s="37" t="s">
        <v>2</v>
      </c>
      <c r="B587" s="55">
        <v>44939.876886574071</v>
      </c>
      <c r="C587" s="38">
        <v>55000</v>
      </c>
    </row>
    <row r="588" spans="1:3" x14ac:dyDescent="0.3">
      <c r="A588" s="37" t="s">
        <v>2</v>
      </c>
      <c r="B588" s="55">
        <v>44952.586030092592</v>
      </c>
      <c r="C588" s="38"/>
    </row>
    <row r="589" spans="1:3" x14ac:dyDescent="0.3">
      <c r="A589" s="37" t="s">
        <v>2</v>
      </c>
      <c r="B589" s="55">
        <v>44948.00341435185</v>
      </c>
      <c r="C589" s="38"/>
    </row>
    <row r="590" spans="1:3" x14ac:dyDescent="0.3">
      <c r="A590" s="37" t="s">
        <v>2</v>
      </c>
      <c r="B590" s="55">
        <v>44935.083287037043</v>
      </c>
      <c r="C590" s="38">
        <v>137500</v>
      </c>
    </row>
    <row r="591" spans="1:3" x14ac:dyDescent="0.3">
      <c r="A591" s="37" t="s">
        <v>2</v>
      </c>
      <c r="B591" s="55">
        <v>44954.416643518518</v>
      </c>
      <c r="C591" s="38">
        <v>64500</v>
      </c>
    </row>
    <row r="592" spans="1:3" x14ac:dyDescent="0.3">
      <c r="A592" s="37" t="s">
        <v>2</v>
      </c>
      <c r="B592" s="55">
        <v>44937.74082175926</v>
      </c>
      <c r="C592" s="38">
        <v>83862.5</v>
      </c>
    </row>
    <row r="593" spans="1:3" x14ac:dyDescent="0.3">
      <c r="A593" s="37" t="s">
        <v>2</v>
      </c>
      <c r="B593" s="55">
        <v>44931.000879629632</v>
      </c>
      <c r="C593" s="38">
        <v>128356</v>
      </c>
    </row>
    <row r="594" spans="1:3" x14ac:dyDescent="0.3">
      <c r="A594" s="37" t="s">
        <v>2</v>
      </c>
      <c r="B594" s="55">
        <v>44934.333321759259</v>
      </c>
      <c r="C594" s="38">
        <v>175000</v>
      </c>
    </row>
    <row r="595" spans="1:3" x14ac:dyDescent="0.3">
      <c r="A595" s="37" t="s">
        <v>2</v>
      </c>
      <c r="B595" s="55">
        <v>44945.84652777778</v>
      </c>
      <c r="C595" s="38"/>
    </row>
    <row r="596" spans="1:3" x14ac:dyDescent="0.3">
      <c r="A596" s="37" t="s">
        <v>2</v>
      </c>
      <c r="B596" s="55">
        <v>44931.489270833343</v>
      </c>
      <c r="C596" s="38">
        <v>111202</v>
      </c>
    </row>
    <row r="597" spans="1:3" x14ac:dyDescent="0.3">
      <c r="A597" s="37" t="s">
        <v>2</v>
      </c>
      <c r="B597" s="55">
        <v>44929.85423611111</v>
      </c>
      <c r="C597" s="38">
        <v>130000</v>
      </c>
    </row>
    <row r="598" spans="1:3" x14ac:dyDescent="0.3">
      <c r="A598" s="37" t="s">
        <v>2</v>
      </c>
      <c r="B598" s="55">
        <v>44939.125173611108</v>
      </c>
      <c r="C598" s="38">
        <v>109350</v>
      </c>
    </row>
    <row r="599" spans="1:3" x14ac:dyDescent="0.3">
      <c r="A599" s="37" t="s">
        <v>2</v>
      </c>
      <c r="B599" s="55">
        <v>44929.852314814823</v>
      </c>
      <c r="C599" s="38">
        <v>50000</v>
      </c>
    </row>
    <row r="600" spans="1:3" x14ac:dyDescent="0.3">
      <c r="A600" s="37" t="s">
        <v>2</v>
      </c>
      <c r="B600" s="55">
        <v>44927.133206018523</v>
      </c>
      <c r="C600" s="38">
        <v>51000</v>
      </c>
    </row>
    <row r="601" spans="1:3" x14ac:dyDescent="0.3">
      <c r="A601" s="37" t="s">
        <v>2</v>
      </c>
      <c r="B601" s="55">
        <v>44936.916967592602</v>
      </c>
      <c r="C601" s="38"/>
    </row>
    <row r="602" spans="1:3" x14ac:dyDescent="0.3">
      <c r="A602" s="37" t="s">
        <v>2</v>
      </c>
      <c r="B602" s="55">
        <v>44944.916701388887</v>
      </c>
      <c r="C602" s="38">
        <v>130000</v>
      </c>
    </row>
    <row r="603" spans="1:3" x14ac:dyDescent="0.3">
      <c r="A603" s="37" t="s">
        <v>2</v>
      </c>
      <c r="B603" s="55">
        <v>44949.166620370372</v>
      </c>
      <c r="C603" s="38">
        <v>88000</v>
      </c>
    </row>
    <row r="604" spans="1:3" x14ac:dyDescent="0.3">
      <c r="A604" s="37" t="s">
        <v>2</v>
      </c>
      <c r="B604" s="55">
        <v>44944.05023148148</v>
      </c>
      <c r="C604" s="38">
        <v>64800</v>
      </c>
    </row>
    <row r="605" spans="1:3" x14ac:dyDescent="0.3">
      <c r="A605" s="37" t="s">
        <v>2</v>
      </c>
      <c r="B605" s="55">
        <v>44944.960381944453</v>
      </c>
      <c r="C605" s="38">
        <v>65000</v>
      </c>
    </row>
    <row r="606" spans="1:3" x14ac:dyDescent="0.3">
      <c r="A606" s="37" t="s">
        <v>2</v>
      </c>
      <c r="B606" s="55">
        <v>44957.6249537037</v>
      </c>
      <c r="C606" s="38"/>
    </row>
    <row r="607" spans="1:3" x14ac:dyDescent="0.3">
      <c r="A607" s="37" t="s">
        <v>2</v>
      </c>
      <c r="B607" s="55">
        <v>44930.020497685182</v>
      </c>
      <c r="C607" s="38"/>
    </row>
    <row r="608" spans="1:3" x14ac:dyDescent="0.3">
      <c r="A608" s="37" t="s">
        <v>2</v>
      </c>
      <c r="B608" s="55">
        <v>44957.605821759258</v>
      </c>
      <c r="C608" s="38"/>
    </row>
    <row r="609" spans="1:3" x14ac:dyDescent="0.3">
      <c r="A609" s="37" t="s">
        <v>2</v>
      </c>
      <c r="B609" s="55">
        <v>44938.917662037027</v>
      </c>
      <c r="C609" s="38"/>
    </row>
    <row r="610" spans="1:3" x14ac:dyDescent="0.3">
      <c r="A610" s="37" t="s">
        <v>2</v>
      </c>
      <c r="B610" s="55">
        <v>44930.562638888892</v>
      </c>
      <c r="C610" s="38">
        <v>67500</v>
      </c>
    </row>
    <row r="611" spans="1:3" x14ac:dyDescent="0.3">
      <c r="A611" s="37" t="s">
        <v>2</v>
      </c>
      <c r="B611" s="55">
        <v>44953.708321759259</v>
      </c>
      <c r="C611" s="38">
        <v>105000</v>
      </c>
    </row>
    <row r="612" spans="1:3" x14ac:dyDescent="0.3">
      <c r="A612" s="37" t="s">
        <v>2</v>
      </c>
      <c r="B612" s="55">
        <v>44946.125243055547</v>
      </c>
      <c r="C612" s="38">
        <v>95700</v>
      </c>
    </row>
    <row r="613" spans="1:3" x14ac:dyDescent="0.3">
      <c r="A613" s="37" t="s">
        <v>2</v>
      </c>
      <c r="B613" s="55">
        <v>44936.875104166669</v>
      </c>
      <c r="C613" s="38"/>
    </row>
    <row r="614" spans="1:3" x14ac:dyDescent="0.3">
      <c r="A614" s="37" t="s">
        <v>2</v>
      </c>
      <c r="B614" s="55">
        <v>44939.793749999997</v>
      </c>
      <c r="C614" s="38">
        <v>138516</v>
      </c>
    </row>
    <row r="615" spans="1:3" x14ac:dyDescent="0.3">
      <c r="A615" s="37" t="s">
        <v>2</v>
      </c>
      <c r="B615" s="55">
        <v>44952.334641203714</v>
      </c>
      <c r="C615" s="38"/>
    </row>
    <row r="616" spans="1:3" x14ac:dyDescent="0.3">
      <c r="A616" s="37" t="s">
        <v>2</v>
      </c>
      <c r="B616" s="55">
        <v>44944.750115740739</v>
      </c>
      <c r="C616" s="38">
        <v>109159</v>
      </c>
    </row>
    <row r="617" spans="1:3" x14ac:dyDescent="0.3">
      <c r="A617" s="37" t="s">
        <v>2</v>
      </c>
      <c r="B617" s="55">
        <v>44946.638715277782</v>
      </c>
      <c r="C617" s="38">
        <v>107500</v>
      </c>
    </row>
    <row r="618" spans="1:3" x14ac:dyDescent="0.3">
      <c r="A618" s="37" t="s">
        <v>2</v>
      </c>
      <c r="B618" s="55">
        <v>44937.918854166674</v>
      </c>
      <c r="C618" s="38">
        <v>95000</v>
      </c>
    </row>
    <row r="619" spans="1:3" x14ac:dyDescent="0.3">
      <c r="A619" s="37" t="s">
        <v>2</v>
      </c>
      <c r="B619" s="55">
        <v>44935.583483796298</v>
      </c>
      <c r="C619" s="38">
        <v>111500</v>
      </c>
    </row>
    <row r="620" spans="1:3" x14ac:dyDescent="0.3">
      <c r="A620" s="37" t="s">
        <v>2</v>
      </c>
      <c r="B620" s="55">
        <v>44929.770474537043</v>
      </c>
      <c r="C620" s="38"/>
    </row>
    <row r="621" spans="1:3" x14ac:dyDescent="0.3">
      <c r="A621" s="37" t="s">
        <v>2</v>
      </c>
      <c r="B621" s="55">
        <v>44929.97934027778</v>
      </c>
      <c r="C621" s="38"/>
    </row>
    <row r="622" spans="1:3" x14ac:dyDescent="0.3">
      <c r="A622" s="37" t="s">
        <v>2</v>
      </c>
      <c r="B622" s="55">
        <v>44934.916932870372</v>
      </c>
      <c r="C622" s="38">
        <v>50000</v>
      </c>
    </row>
    <row r="623" spans="1:3" x14ac:dyDescent="0.3">
      <c r="A623" s="37" t="s">
        <v>2</v>
      </c>
      <c r="B623" s="55">
        <v>44930.019953703697</v>
      </c>
      <c r="C623" s="38"/>
    </row>
    <row r="624" spans="1:3" x14ac:dyDescent="0.3">
      <c r="A624" s="37" t="s">
        <v>2</v>
      </c>
      <c r="B624" s="55">
        <v>44938.626539351862</v>
      </c>
      <c r="C624" s="38"/>
    </row>
    <row r="625" spans="1:3" x14ac:dyDescent="0.3">
      <c r="A625" s="37" t="s">
        <v>2</v>
      </c>
      <c r="B625" s="55">
        <v>44938.749965277777</v>
      </c>
      <c r="C625" s="38">
        <v>54000</v>
      </c>
    </row>
    <row r="626" spans="1:3" x14ac:dyDescent="0.3">
      <c r="A626" s="37" t="s">
        <v>2</v>
      </c>
      <c r="B626" s="55">
        <v>44927.386840277781</v>
      </c>
      <c r="C626" s="38"/>
    </row>
    <row r="627" spans="1:3" x14ac:dyDescent="0.3">
      <c r="A627" s="37" t="s">
        <v>2</v>
      </c>
      <c r="B627" s="55">
        <v>44957.62572916667</v>
      </c>
      <c r="C627" s="38"/>
    </row>
    <row r="628" spans="1:3" x14ac:dyDescent="0.3">
      <c r="A628" s="37" t="s">
        <v>2</v>
      </c>
      <c r="B628" s="55">
        <v>44937.918564814812</v>
      </c>
      <c r="C628" s="38"/>
    </row>
    <row r="629" spans="1:3" x14ac:dyDescent="0.3">
      <c r="A629" s="37" t="s">
        <v>2</v>
      </c>
      <c r="B629" s="55">
        <v>44932.876805555563</v>
      </c>
      <c r="C629" s="38">
        <v>62500</v>
      </c>
    </row>
    <row r="630" spans="1:3" x14ac:dyDescent="0.3">
      <c r="A630" s="37" t="s">
        <v>2</v>
      </c>
      <c r="B630" s="55">
        <v>44946.807488425933</v>
      </c>
      <c r="C630" s="38">
        <v>122500</v>
      </c>
    </row>
    <row r="631" spans="1:3" x14ac:dyDescent="0.3">
      <c r="A631" s="37" t="s">
        <v>2</v>
      </c>
      <c r="B631" s="55">
        <v>44931.917337962957</v>
      </c>
      <c r="C631" s="38"/>
    </row>
    <row r="632" spans="1:3" x14ac:dyDescent="0.3">
      <c r="A632" s="37" t="s">
        <v>2</v>
      </c>
      <c r="B632" s="55">
        <v>44954.00267361111</v>
      </c>
      <c r="C632" s="38"/>
    </row>
    <row r="633" spans="1:3" x14ac:dyDescent="0.3">
      <c r="A633" s="37" t="s">
        <v>2</v>
      </c>
      <c r="B633" s="55">
        <v>44935.812685185178</v>
      </c>
      <c r="C633" s="38">
        <v>109500</v>
      </c>
    </row>
    <row r="634" spans="1:3" x14ac:dyDescent="0.3">
      <c r="A634" s="37" t="s">
        <v>2</v>
      </c>
      <c r="B634" s="55">
        <v>44929.979189814818</v>
      </c>
      <c r="C634" s="38"/>
    </row>
    <row r="635" spans="1:3" x14ac:dyDescent="0.3">
      <c r="A635" s="37" t="s">
        <v>2</v>
      </c>
      <c r="B635" s="55">
        <v>44930.712060185193</v>
      </c>
      <c r="C635" s="38">
        <v>95000</v>
      </c>
    </row>
    <row r="636" spans="1:3" x14ac:dyDescent="0.3">
      <c r="A636" s="37" t="s">
        <v>2</v>
      </c>
      <c r="B636" s="55">
        <v>44937.668229166673</v>
      </c>
      <c r="C636" s="38">
        <v>90000</v>
      </c>
    </row>
    <row r="637" spans="1:3" x14ac:dyDescent="0.3">
      <c r="A637" s="37" t="s">
        <v>2</v>
      </c>
      <c r="B637" s="55">
        <v>44957.815520833326</v>
      </c>
      <c r="C637" s="38">
        <v>82430</v>
      </c>
    </row>
    <row r="638" spans="1:3" x14ac:dyDescent="0.3">
      <c r="A638" s="37" t="s">
        <v>2</v>
      </c>
      <c r="B638" s="55">
        <v>44936.471539351849</v>
      </c>
      <c r="C638" s="38"/>
    </row>
    <row r="639" spans="1:3" x14ac:dyDescent="0.3">
      <c r="A639" s="37" t="s">
        <v>2</v>
      </c>
      <c r="B639" s="55">
        <v>44931.792337962957</v>
      </c>
      <c r="C639" s="38">
        <v>82500</v>
      </c>
    </row>
    <row r="640" spans="1:3" x14ac:dyDescent="0.3">
      <c r="A640" s="37" t="s">
        <v>2</v>
      </c>
      <c r="B640" s="55">
        <v>44952.719155092593</v>
      </c>
      <c r="C640" s="38">
        <v>51014</v>
      </c>
    </row>
    <row r="641" spans="1:3" x14ac:dyDescent="0.3">
      <c r="A641" s="37" t="s">
        <v>2</v>
      </c>
      <c r="B641" s="55">
        <v>44931.001018518517</v>
      </c>
      <c r="C641" s="38"/>
    </row>
    <row r="642" spans="1:3" x14ac:dyDescent="0.3">
      <c r="A642" s="37" t="s">
        <v>2</v>
      </c>
      <c r="B642" s="55">
        <v>44930.019884259258</v>
      </c>
      <c r="C642" s="38"/>
    </row>
    <row r="643" spans="1:3" x14ac:dyDescent="0.3">
      <c r="A643" s="37" t="s">
        <v>2</v>
      </c>
      <c r="B643" s="55">
        <v>44931.042557870373</v>
      </c>
      <c r="C643" s="38"/>
    </row>
    <row r="644" spans="1:3" x14ac:dyDescent="0.3">
      <c r="A644" s="37" t="s">
        <v>2</v>
      </c>
      <c r="B644" s="55">
        <v>44930.584965277783</v>
      </c>
      <c r="C644" s="38"/>
    </row>
    <row r="645" spans="1:3" x14ac:dyDescent="0.3">
      <c r="A645" s="37" t="s">
        <v>2</v>
      </c>
      <c r="B645" s="55">
        <v>44942.848437499997</v>
      </c>
      <c r="C645" s="38">
        <v>70000</v>
      </c>
    </row>
    <row r="646" spans="1:3" x14ac:dyDescent="0.3">
      <c r="A646" s="37" t="s">
        <v>2</v>
      </c>
      <c r="B646" s="55">
        <v>44939.84716435185</v>
      </c>
      <c r="C646" s="38"/>
    </row>
    <row r="647" spans="1:3" x14ac:dyDescent="0.3">
      <c r="A647" s="37" t="s">
        <v>2</v>
      </c>
      <c r="B647" s="55">
        <v>44943.164201388892</v>
      </c>
      <c r="C647" s="38">
        <v>111175</v>
      </c>
    </row>
    <row r="648" spans="1:3" x14ac:dyDescent="0.3">
      <c r="A648" s="37" t="s">
        <v>2</v>
      </c>
      <c r="B648" s="55">
        <v>44949.792928240742</v>
      </c>
      <c r="C648" s="38">
        <v>52500</v>
      </c>
    </row>
    <row r="649" spans="1:3" x14ac:dyDescent="0.3">
      <c r="A649" s="37" t="s">
        <v>2</v>
      </c>
      <c r="B649" s="55">
        <v>44938.874907407408</v>
      </c>
      <c r="C649" s="38"/>
    </row>
    <row r="650" spans="1:3" x14ac:dyDescent="0.3">
      <c r="A650" s="37" t="s">
        <v>2</v>
      </c>
      <c r="B650" s="55">
        <v>44943.793680555558</v>
      </c>
      <c r="C650" s="38">
        <v>70000</v>
      </c>
    </row>
    <row r="651" spans="1:3" x14ac:dyDescent="0.3">
      <c r="A651" s="37" t="s">
        <v>2</v>
      </c>
      <c r="B651" s="55">
        <v>44953.96</v>
      </c>
      <c r="C651" s="38">
        <v>37500</v>
      </c>
    </row>
    <row r="652" spans="1:3" x14ac:dyDescent="0.3">
      <c r="A652" s="37" t="s">
        <v>2</v>
      </c>
      <c r="B652" s="55">
        <v>44949.959305555552</v>
      </c>
      <c r="C652" s="38">
        <v>159133</v>
      </c>
    </row>
    <row r="653" spans="1:3" x14ac:dyDescent="0.3">
      <c r="A653" s="37" t="s">
        <v>2</v>
      </c>
      <c r="B653" s="55">
        <v>44935.333368055559</v>
      </c>
      <c r="C653" s="38">
        <v>90000</v>
      </c>
    </row>
    <row r="654" spans="1:3" x14ac:dyDescent="0.3">
      <c r="A654" s="37" t="s">
        <v>2</v>
      </c>
      <c r="B654" s="55">
        <v>44934.583368055559</v>
      </c>
      <c r="C654" s="38">
        <v>88000</v>
      </c>
    </row>
    <row r="655" spans="1:3" x14ac:dyDescent="0.3">
      <c r="A655" s="37" t="s">
        <v>2</v>
      </c>
      <c r="B655" s="55">
        <v>44946.541689814818</v>
      </c>
      <c r="C655" s="38"/>
    </row>
    <row r="656" spans="1:3" x14ac:dyDescent="0.3">
      <c r="A656" s="37" t="s">
        <v>2</v>
      </c>
      <c r="B656" s="55">
        <v>44937.83384259259</v>
      </c>
      <c r="C656" s="38"/>
    </row>
    <row r="657" spans="1:3" x14ac:dyDescent="0.3">
      <c r="A657" s="37" t="s">
        <v>2</v>
      </c>
      <c r="B657" s="55">
        <v>44929.853668981479</v>
      </c>
      <c r="C657" s="38"/>
    </row>
    <row r="658" spans="1:3" x14ac:dyDescent="0.3">
      <c r="A658" s="37" t="s">
        <v>2</v>
      </c>
      <c r="B658" s="55">
        <v>44930.583379629628</v>
      </c>
      <c r="C658" s="38"/>
    </row>
    <row r="659" spans="1:3" x14ac:dyDescent="0.3">
      <c r="A659" s="37" t="s">
        <v>2</v>
      </c>
      <c r="B659" s="55">
        <v>44957.750023148154</v>
      </c>
      <c r="C659" s="38">
        <v>85000</v>
      </c>
    </row>
    <row r="660" spans="1:3" x14ac:dyDescent="0.3">
      <c r="A660" s="37" t="s">
        <v>2</v>
      </c>
      <c r="B660" s="55">
        <v>44945.625081018523</v>
      </c>
      <c r="C660" s="38"/>
    </row>
    <row r="661" spans="1:3" x14ac:dyDescent="0.3">
      <c r="A661" s="37" t="s">
        <v>2</v>
      </c>
      <c r="B661" s="55">
        <v>44949.932129629633</v>
      </c>
      <c r="C661" s="38">
        <v>111175</v>
      </c>
    </row>
    <row r="662" spans="1:3" x14ac:dyDescent="0.3">
      <c r="A662" s="37" t="s">
        <v>2</v>
      </c>
      <c r="B662" s="55">
        <v>44942.664340277777</v>
      </c>
      <c r="C662" s="38">
        <v>111175</v>
      </c>
    </row>
    <row r="663" spans="1:3" x14ac:dyDescent="0.3">
      <c r="A663" s="37" t="s">
        <v>2</v>
      </c>
      <c r="B663" s="55">
        <v>44949.002083333333</v>
      </c>
      <c r="C663" s="38"/>
    </row>
    <row r="664" spans="1:3" x14ac:dyDescent="0.3">
      <c r="A664" s="37" t="s">
        <v>2</v>
      </c>
      <c r="B664" s="55">
        <v>44938.921157407407</v>
      </c>
      <c r="C664" s="38">
        <v>100000</v>
      </c>
    </row>
    <row r="665" spans="1:3" x14ac:dyDescent="0.3">
      <c r="A665" s="37" t="s">
        <v>2</v>
      </c>
      <c r="B665" s="55">
        <v>44952.875023148154</v>
      </c>
      <c r="C665" s="38"/>
    </row>
    <row r="666" spans="1:3" x14ac:dyDescent="0.3">
      <c r="A666" s="37" t="s">
        <v>2</v>
      </c>
      <c r="B666" s="55">
        <v>44929.894687499997</v>
      </c>
      <c r="C666" s="38">
        <v>90000</v>
      </c>
    </row>
    <row r="667" spans="1:3" x14ac:dyDescent="0.3">
      <c r="A667" s="37" t="s">
        <v>2</v>
      </c>
      <c r="B667" s="55">
        <v>44940.291863425933</v>
      </c>
      <c r="C667" s="38">
        <v>90000</v>
      </c>
    </row>
    <row r="668" spans="1:3" x14ac:dyDescent="0.3">
      <c r="A668" s="37" t="s">
        <v>2</v>
      </c>
      <c r="B668" s="55">
        <v>44944.752615740741</v>
      </c>
      <c r="C668" s="38"/>
    </row>
    <row r="669" spans="1:3" x14ac:dyDescent="0.3">
      <c r="A669" s="37" t="s">
        <v>2</v>
      </c>
      <c r="B669" s="55">
        <v>44935.875856481478</v>
      </c>
      <c r="C669" s="38">
        <v>187875</v>
      </c>
    </row>
    <row r="670" spans="1:3" x14ac:dyDescent="0.3">
      <c r="A670" s="37" t="s">
        <v>2</v>
      </c>
      <c r="B670" s="55">
        <v>44936.762881944444</v>
      </c>
      <c r="C670" s="38"/>
    </row>
    <row r="671" spans="1:3" x14ac:dyDescent="0.3">
      <c r="A671" s="37" t="s">
        <v>2</v>
      </c>
      <c r="B671" s="55">
        <v>44935.399027777778</v>
      </c>
      <c r="C671" s="38">
        <v>139246.5</v>
      </c>
    </row>
    <row r="672" spans="1:3" x14ac:dyDescent="0.3">
      <c r="A672" s="37" t="s">
        <v>2</v>
      </c>
      <c r="B672" s="55">
        <v>44950.041678240741</v>
      </c>
      <c r="C672" s="38"/>
    </row>
    <row r="673" spans="1:3" x14ac:dyDescent="0.3">
      <c r="A673" s="37" t="s">
        <v>2</v>
      </c>
      <c r="B673" s="55">
        <v>44950.959027777782</v>
      </c>
      <c r="C673" s="38"/>
    </row>
    <row r="674" spans="1:3" x14ac:dyDescent="0.3">
      <c r="A674" s="37" t="s">
        <v>2</v>
      </c>
      <c r="B674" s="55">
        <v>44928.751076388893</v>
      </c>
      <c r="C674" s="38">
        <v>188675</v>
      </c>
    </row>
    <row r="675" spans="1:3" x14ac:dyDescent="0.3">
      <c r="A675" s="37" t="s">
        <v>2</v>
      </c>
      <c r="B675" s="55">
        <v>44950.588067129633</v>
      </c>
      <c r="C675" s="38"/>
    </row>
    <row r="676" spans="1:3" x14ac:dyDescent="0.3">
      <c r="A676" s="37" t="s">
        <v>2</v>
      </c>
      <c r="B676" s="55">
        <v>44930.625185185178</v>
      </c>
      <c r="C676" s="38">
        <v>157000</v>
      </c>
    </row>
    <row r="677" spans="1:3" x14ac:dyDescent="0.3">
      <c r="A677" s="37" t="s">
        <v>2</v>
      </c>
      <c r="B677" s="55">
        <v>44952.671886574077</v>
      </c>
      <c r="C677" s="38">
        <v>98500</v>
      </c>
    </row>
    <row r="678" spans="1:3" x14ac:dyDescent="0.3">
      <c r="A678" s="37" t="s">
        <v>2</v>
      </c>
      <c r="B678" s="55">
        <v>44928.35869212963</v>
      </c>
      <c r="C678" s="38">
        <v>100500</v>
      </c>
    </row>
    <row r="679" spans="1:3" x14ac:dyDescent="0.3">
      <c r="A679" s="37" t="s">
        <v>2</v>
      </c>
      <c r="B679" s="55">
        <v>44952.085173611107</v>
      </c>
      <c r="C679" s="38"/>
    </row>
    <row r="680" spans="1:3" x14ac:dyDescent="0.3">
      <c r="A680" s="37" t="s">
        <v>2</v>
      </c>
      <c r="B680" s="55">
        <v>44932.083761574067</v>
      </c>
      <c r="C680" s="38"/>
    </row>
    <row r="681" spans="1:3" x14ac:dyDescent="0.3">
      <c r="A681" s="37" t="s">
        <v>2</v>
      </c>
      <c r="B681" s="55">
        <v>44942.001504629632</v>
      </c>
      <c r="C681" s="38"/>
    </row>
    <row r="682" spans="1:3" x14ac:dyDescent="0.3">
      <c r="A682" s="37" t="s">
        <v>2</v>
      </c>
      <c r="B682" s="55">
        <v>44944.45989583333</v>
      </c>
      <c r="C682" s="38">
        <v>125000</v>
      </c>
    </row>
    <row r="683" spans="1:3" x14ac:dyDescent="0.3">
      <c r="A683" s="37" t="s">
        <v>2</v>
      </c>
      <c r="B683" s="55">
        <v>44936.625324074077</v>
      </c>
      <c r="C683" s="38">
        <v>75000</v>
      </c>
    </row>
    <row r="684" spans="1:3" x14ac:dyDescent="0.3">
      <c r="A684" s="37" t="s">
        <v>2</v>
      </c>
      <c r="B684" s="55">
        <v>44948.751504629632</v>
      </c>
      <c r="C684" s="38"/>
    </row>
    <row r="685" spans="1:3" x14ac:dyDescent="0.3">
      <c r="A685" s="37" t="s">
        <v>2</v>
      </c>
      <c r="B685" s="55">
        <v>44943.510844907411</v>
      </c>
      <c r="C685" s="38">
        <v>51014</v>
      </c>
    </row>
    <row r="686" spans="1:3" x14ac:dyDescent="0.3">
      <c r="A686" s="37" t="s">
        <v>2</v>
      </c>
      <c r="B686" s="55">
        <v>44931.118252314824</v>
      </c>
      <c r="C686" s="38">
        <v>45000</v>
      </c>
    </row>
    <row r="687" spans="1:3" x14ac:dyDescent="0.3">
      <c r="A687" s="37" t="s">
        <v>2</v>
      </c>
      <c r="B687" s="55">
        <v>44930.708240740743</v>
      </c>
      <c r="C687" s="38"/>
    </row>
    <row r="688" spans="1:3" x14ac:dyDescent="0.3">
      <c r="A688" s="37" t="s">
        <v>2</v>
      </c>
      <c r="B688" s="55">
        <v>44938.001562500001</v>
      </c>
      <c r="C688" s="38"/>
    </row>
    <row r="689" spans="1:3" x14ac:dyDescent="0.3">
      <c r="A689" s="37" t="s">
        <v>2</v>
      </c>
      <c r="B689" s="55">
        <v>44953.875497685192</v>
      </c>
      <c r="C689" s="38"/>
    </row>
    <row r="690" spans="1:3" x14ac:dyDescent="0.3">
      <c r="A690" s="37" t="s">
        <v>2</v>
      </c>
      <c r="B690" s="55">
        <v>44935.652696759258</v>
      </c>
      <c r="C690" s="38"/>
    </row>
    <row r="691" spans="1:3" x14ac:dyDescent="0.3">
      <c r="A691" s="37" t="s">
        <v>2</v>
      </c>
      <c r="B691" s="55">
        <v>44942.375081018523</v>
      </c>
      <c r="C691" s="38">
        <v>115000</v>
      </c>
    </row>
    <row r="692" spans="1:3" x14ac:dyDescent="0.3">
      <c r="A692" s="37" t="s">
        <v>2</v>
      </c>
      <c r="B692" s="55">
        <v>44945.916678240741</v>
      </c>
      <c r="C692" s="38">
        <v>105900</v>
      </c>
    </row>
    <row r="693" spans="1:3" x14ac:dyDescent="0.3">
      <c r="A693" s="37" t="s">
        <v>2</v>
      </c>
      <c r="B693" s="55">
        <v>44953.032962962963</v>
      </c>
      <c r="C693" s="38"/>
    </row>
    <row r="694" spans="1:3" x14ac:dyDescent="0.3">
      <c r="A694" s="37" t="s">
        <v>2</v>
      </c>
      <c r="B694" s="55">
        <v>44952.920868055553</v>
      </c>
      <c r="C694" s="38"/>
    </row>
    <row r="695" spans="1:3" x14ac:dyDescent="0.3">
      <c r="A695" s="37" t="s">
        <v>2</v>
      </c>
      <c r="B695" s="55">
        <v>44949.877071759263</v>
      </c>
      <c r="C695" s="38"/>
    </row>
    <row r="696" spans="1:3" x14ac:dyDescent="0.3">
      <c r="A696" s="37" t="s">
        <v>2</v>
      </c>
      <c r="B696" s="55">
        <v>44951.710138888891</v>
      </c>
      <c r="C696" s="38"/>
    </row>
    <row r="697" spans="1:3" x14ac:dyDescent="0.3">
      <c r="A697" s="37" t="s">
        <v>2</v>
      </c>
      <c r="B697" s="55">
        <v>44953.291886574072</v>
      </c>
      <c r="C697" s="38">
        <v>90000</v>
      </c>
    </row>
    <row r="698" spans="1:3" x14ac:dyDescent="0.3">
      <c r="A698" s="37" t="s">
        <v>2</v>
      </c>
      <c r="B698" s="55">
        <v>44943.482372685183</v>
      </c>
      <c r="C698" s="38">
        <v>51014</v>
      </c>
    </row>
    <row r="699" spans="1:3" x14ac:dyDescent="0.3">
      <c r="A699" s="37" t="s">
        <v>2</v>
      </c>
      <c r="B699" s="55">
        <v>44931.791574074072</v>
      </c>
      <c r="C699" s="38"/>
    </row>
    <row r="700" spans="1:3" x14ac:dyDescent="0.3">
      <c r="A700" s="37" t="s">
        <v>2</v>
      </c>
      <c r="B700" s="55">
        <v>44952.084074074082</v>
      </c>
      <c r="C700" s="38">
        <v>77500</v>
      </c>
    </row>
    <row r="701" spans="1:3" x14ac:dyDescent="0.3">
      <c r="A701" s="37" t="s">
        <v>2</v>
      </c>
      <c r="B701" s="55">
        <v>44933.043113425927</v>
      </c>
      <c r="C701" s="38"/>
    </row>
    <row r="702" spans="1:3" x14ac:dyDescent="0.3">
      <c r="A702" s="37" t="s">
        <v>2</v>
      </c>
      <c r="B702" s="55">
        <v>44957.708449074067</v>
      </c>
      <c r="C702" s="38"/>
    </row>
    <row r="703" spans="1:3" x14ac:dyDescent="0.3">
      <c r="A703" s="37" t="s">
        <v>2</v>
      </c>
      <c r="B703" s="55">
        <v>44930.875856481478</v>
      </c>
      <c r="C703" s="38">
        <v>137500</v>
      </c>
    </row>
    <row r="704" spans="1:3" x14ac:dyDescent="0.3">
      <c r="A704" s="37" t="s">
        <v>2</v>
      </c>
      <c r="B704" s="55">
        <v>44951.042962962973</v>
      </c>
      <c r="C704" s="38">
        <v>76000</v>
      </c>
    </row>
    <row r="705" spans="1:3" x14ac:dyDescent="0.3">
      <c r="A705" s="37" t="s">
        <v>2</v>
      </c>
      <c r="B705" s="55">
        <v>44949.000821759262</v>
      </c>
      <c r="C705" s="38">
        <v>73481</v>
      </c>
    </row>
    <row r="706" spans="1:3" x14ac:dyDescent="0.3">
      <c r="A706" s="37" t="s">
        <v>2</v>
      </c>
      <c r="B706" s="55">
        <v>44953.966284722221</v>
      </c>
      <c r="C706" s="38">
        <v>89100</v>
      </c>
    </row>
    <row r="707" spans="1:3" x14ac:dyDescent="0.3">
      <c r="A707" s="37" t="s">
        <v>2</v>
      </c>
      <c r="B707" s="55">
        <v>44940.002002314817</v>
      </c>
      <c r="C707" s="38">
        <v>71500</v>
      </c>
    </row>
    <row r="708" spans="1:3" x14ac:dyDescent="0.3">
      <c r="A708" s="37" t="s">
        <v>2</v>
      </c>
      <c r="B708" s="55">
        <v>44944.708518518521</v>
      </c>
      <c r="C708" s="38">
        <v>100000</v>
      </c>
    </row>
    <row r="709" spans="1:3" x14ac:dyDescent="0.3">
      <c r="A709" s="37" t="s">
        <v>2</v>
      </c>
      <c r="B709" s="55">
        <v>44936.888171296298</v>
      </c>
      <c r="C709" s="38">
        <v>45000</v>
      </c>
    </row>
    <row r="710" spans="1:3" x14ac:dyDescent="0.3">
      <c r="A710" s="37" t="s">
        <v>2</v>
      </c>
      <c r="B710" s="55">
        <v>44955.001319444447</v>
      </c>
      <c r="C710" s="38"/>
    </row>
    <row r="711" spans="1:3" x14ac:dyDescent="0.3">
      <c r="A711" s="37" t="s">
        <v>2</v>
      </c>
      <c r="B711" s="55">
        <v>44934.833391203712</v>
      </c>
      <c r="C711" s="38">
        <v>111202</v>
      </c>
    </row>
    <row r="712" spans="1:3" x14ac:dyDescent="0.3">
      <c r="A712" s="37" t="s">
        <v>2</v>
      </c>
      <c r="B712" s="55">
        <v>44934.125381944446</v>
      </c>
      <c r="C712" s="38">
        <v>90792</v>
      </c>
    </row>
    <row r="713" spans="1:3" x14ac:dyDescent="0.3">
      <c r="A713" s="37" t="s">
        <v>2</v>
      </c>
      <c r="B713" s="55">
        <v>44940.168796296297</v>
      </c>
      <c r="C713" s="38">
        <v>85000</v>
      </c>
    </row>
    <row r="714" spans="1:3" x14ac:dyDescent="0.3">
      <c r="A714" s="37" t="s">
        <v>2</v>
      </c>
      <c r="B714" s="55">
        <v>44951.666701388887</v>
      </c>
      <c r="C714" s="38"/>
    </row>
    <row r="715" spans="1:3" x14ac:dyDescent="0.3">
      <c r="A715" s="37" t="s">
        <v>2</v>
      </c>
      <c r="B715" s="55">
        <v>44929.810995370368</v>
      </c>
      <c r="C715" s="38"/>
    </row>
    <row r="716" spans="1:3" x14ac:dyDescent="0.3">
      <c r="A716" s="37" t="s">
        <v>2</v>
      </c>
      <c r="B716" s="55">
        <v>44944.835046296299</v>
      </c>
      <c r="C716" s="38">
        <v>117550</v>
      </c>
    </row>
    <row r="717" spans="1:3" x14ac:dyDescent="0.3">
      <c r="A717" s="37" t="s">
        <v>2</v>
      </c>
      <c r="B717" s="55">
        <v>44929.126087962963</v>
      </c>
      <c r="C717" s="38">
        <v>181425</v>
      </c>
    </row>
    <row r="718" spans="1:3" x14ac:dyDescent="0.3">
      <c r="A718" s="37" t="s">
        <v>2</v>
      </c>
      <c r="B718" s="55">
        <v>44957.625983796293</v>
      </c>
      <c r="C718" s="38"/>
    </row>
    <row r="719" spans="1:3" x14ac:dyDescent="0.3">
      <c r="A719" s="37" t="s">
        <v>2</v>
      </c>
      <c r="B719" s="55">
        <v>44929.167604166672</v>
      </c>
      <c r="C719" s="38">
        <v>150000</v>
      </c>
    </row>
    <row r="720" spans="1:3" x14ac:dyDescent="0.3">
      <c r="A720" s="37" t="s">
        <v>2</v>
      </c>
      <c r="B720" s="55">
        <v>44939.502071759263</v>
      </c>
      <c r="C720" s="38">
        <v>150000</v>
      </c>
    </row>
    <row r="721" spans="1:3" x14ac:dyDescent="0.3">
      <c r="A721" s="37" t="s">
        <v>2</v>
      </c>
      <c r="B721" s="55">
        <v>44951.098611111112</v>
      </c>
      <c r="C721" s="38">
        <v>200000</v>
      </c>
    </row>
    <row r="722" spans="1:3" x14ac:dyDescent="0.3">
      <c r="A722" s="37" t="s">
        <v>2</v>
      </c>
      <c r="B722" s="55">
        <v>44952.919004629628</v>
      </c>
      <c r="C722" s="38">
        <v>52500</v>
      </c>
    </row>
    <row r="723" spans="1:3" x14ac:dyDescent="0.3">
      <c r="A723" s="37" t="s">
        <v>2</v>
      </c>
      <c r="B723" s="55">
        <v>44943.418773148151</v>
      </c>
      <c r="C723" s="38">
        <v>144481.5</v>
      </c>
    </row>
    <row r="724" spans="1:3" x14ac:dyDescent="0.3">
      <c r="A724" s="37" t="s">
        <v>2</v>
      </c>
      <c r="B724" s="55">
        <v>44930.749907407408</v>
      </c>
      <c r="C724" s="38"/>
    </row>
    <row r="725" spans="1:3" x14ac:dyDescent="0.3">
      <c r="A725" s="37" t="s">
        <v>2</v>
      </c>
      <c r="B725" s="55">
        <v>44936.333402777767</v>
      </c>
      <c r="C725" s="38">
        <v>90000</v>
      </c>
    </row>
    <row r="726" spans="1:3" x14ac:dyDescent="0.3">
      <c r="A726" s="37" t="s">
        <v>2</v>
      </c>
      <c r="B726" s="55">
        <v>44938.755115740743</v>
      </c>
      <c r="C726" s="38">
        <v>98500</v>
      </c>
    </row>
    <row r="727" spans="1:3" x14ac:dyDescent="0.3">
      <c r="A727" s="37" t="s">
        <v>2</v>
      </c>
      <c r="B727" s="55">
        <v>44937.627523148149</v>
      </c>
      <c r="C727" s="38">
        <v>55000</v>
      </c>
    </row>
    <row r="728" spans="1:3" x14ac:dyDescent="0.3">
      <c r="A728" s="37" t="s">
        <v>2</v>
      </c>
      <c r="B728" s="55">
        <v>44953.917986111112</v>
      </c>
      <c r="C728" s="38">
        <v>70000</v>
      </c>
    </row>
    <row r="729" spans="1:3" x14ac:dyDescent="0.3">
      <c r="A729" s="37" t="s">
        <v>2</v>
      </c>
      <c r="B729" s="55">
        <v>44956.583368055559</v>
      </c>
      <c r="C729" s="38">
        <v>52500</v>
      </c>
    </row>
    <row r="730" spans="1:3" x14ac:dyDescent="0.3">
      <c r="A730" s="37" t="s">
        <v>2</v>
      </c>
      <c r="B730" s="55">
        <v>44955.001342592594</v>
      </c>
      <c r="C730" s="38"/>
    </row>
    <row r="731" spans="1:3" x14ac:dyDescent="0.3">
      <c r="A731" s="37" t="s">
        <v>2</v>
      </c>
      <c r="B731" s="55">
        <v>44944.708611111113</v>
      </c>
      <c r="C731" s="38">
        <v>65000</v>
      </c>
    </row>
    <row r="732" spans="1:3" x14ac:dyDescent="0.3">
      <c r="A732" s="37" t="s">
        <v>2</v>
      </c>
      <c r="B732" s="55">
        <v>44947.084305555552</v>
      </c>
      <c r="C732" s="38"/>
    </row>
    <row r="733" spans="1:3" x14ac:dyDescent="0.3">
      <c r="A733" s="37" t="s">
        <v>2</v>
      </c>
      <c r="B733" s="55">
        <v>44950.00105324074</v>
      </c>
      <c r="C733" s="38">
        <v>58017</v>
      </c>
    </row>
    <row r="734" spans="1:3" x14ac:dyDescent="0.3">
      <c r="A734" s="37" t="s">
        <v>2</v>
      </c>
      <c r="B734" s="55">
        <v>44936.625277777777</v>
      </c>
      <c r="C734" s="38"/>
    </row>
    <row r="735" spans="1:3" x14ac:dyDescent="0.3">
      <c r="A735" s="37" t="s">
        <v>2</v>
      </c>
      <c r="B735" s="55">
        <v>44953.293564814812</v>
      </c>
      <c r="C735" s="38">
        <v>89100</v>
      </c>
    </row>
    <row r="736" spans="1:3" x14ac:dyDescent="0.3">
      <c r="A736" s="37" t="s">
        <v>2</v>
      </c>
      <c r="B736" s="55">
        <v>44938.625</v>
      </c>
      <c r="C736" s="38">
        <v>80000</v>
      </c>
    </row>
    <row r="737" spans="1:3" x14ac:dyDescent="0.3">
      <c r="A737" s="37" t="s">
        <v>2</v>
      </c>
      <c r="B737" s="55">
        <v>44949.000902777778</v>
      </c>
      <c r="C737" s="38"/>
    </row>
    <row r="738" spans="1:3" x14ac:dyDescent="0.3">
      <c r="A738" s="37" t="s">
        <v>2</v>
      </c>
      <c r="B738" s="55">
        <v>44935.917870370373</v>
      </c>
      <c r="C738" s="38">
        <v>105000</v>
      </c>
    </row>
    <row r="739" spans="1:3" x14ac:dyDescent="0.3">
      <c r="A739" s="37" t="s">
        <v>2</v>
      </c>
      <c r="B739" s="55">
        <v>44932.960034722222</v>
      </c>
      <c r="C739" s="38"/>
    </row>
    <row r="740" spans="1:3" x14ac:dyDescent="0.3">
      <c r="A740" s="37" t="s">
        <v>2</v>
      </c>
      <c r="B740" s="55">
        <v>44932.166365740741</v>
      </c>
      <c r="C740" s="38">
        <v>127100</v>
      </c>
    </row>
    <row r="741" spans="1:3" x14ac:dyDescent="0.3">
      <c r="A741" s="37" t="s">
        <v>2</v>
      </c>
      <c r="B741" s="55">
        <v>44940.667766203696</v>
      </c>
      <c r="C741" s="38"/>
    </row>
    <row r="742" spans="1:3" x14ac:dyDescent="0.3">
      <c r="A742" s="37" t="s">
        <v>2</v>
      </c>
      <c r="B742" s="55">
        <v>44945.583460648151</v>
      </c>
      <c r="C742" s="38">
        <v>90000</v>
      </c>
    </row>
    <row r="743" spans="1:3" x14ac:dyDescent="0.3">
      <c r="A743" s="37" t="s">
        <v>2</v>
      </c>
      <c r="B743" s="55">
        <v>44935.611030092587</v>
      </c>
      <c r="C743" s="38"/>
    </row>
    <row r="744" spans="1:3" x14ac:dyDescent="0.3">
      <c r="A744" s="37" t="s">
        <v>2</v>
      </c>
      <c r="B744" s="55">
        <v>44940.667766203696</v>
      </c>
      <c r="C744" s="38">
        <v>81350</v>
      </c>
    </row>
    <row r="745" spans="1:3" x14ac:dyDescent="0.3">
      <c r="A745" s="37" t="s">
        <v>2</v>
      </c>
      <c r="B745" s="55">
        <v>44946.011967592603</v>
      </c>
      <c r="C745" s="38"/>
    </row>
    <row r="746" spans="1:3" x14ac:dyDescent="0.3">
      <c r="A746" s="37" t="s">
        <v>2</v>
      </c>
      <c r="B746" s="55">
        <v>44929.084745370368</v>
      </c>
      <c r="C746" s="38">
        <v>101540</v>
      </c>
    </row>
    <row r="747" spans="1:3" x14ac:dyDescent="0.3">
      <c r="A747" s="37" t="s">
        <v>2</v>
      </c>
      <c r="B747" s="55">
        <v>44943.500208333331</v>
      </c>
      <c r="C747" s="38">
        <v>125000</v>
      </c>
    </row>
    <row r="748" spans="1:3" x14ac:dyDescent="0.3">
      <c r="A748" s="37" t="s">
        <v>2</v>
      </c>
      <c r="B748" s="55">
        <v>44955.792291666658</v>
      </c>
      <c r="C748" s="38">
        <v>49500</v>
      </c>
    </row>
    <row r="749" spans="1:3" x14ac:dyDescent="0.3">
      <c r="A749" s="37" t="s">
        <v>2</v>
      </c>
      <c r="B749" s="55">
        <v>44927.875821759262</v>
      </c>
      <c r="C749" s="38">
        <v>92500</v>
      </c>
    </row>
    <row r="750" spans="1:3" x14ac:dyDescent="0.3">
      <c r="A750" s="37" t="s">
        <v>2</v>
      </c>
      <c r="B750" s="55">
        <v>44942.404953703714</v>
      </c>
      <c r="C750" s="38">
        <v>150000</v>
      </c>
    </row>
    <row r="751" spans="1:3" x14ac:dyDescent="0.3">
      <c r="A751" s="37" t="s">
        <v>2</v>
      </c>
      <c r="B751" s="55">
        <v>44946.651967592603</v>
      </c>
      <c r="C751" s="38">
        <v>70000</v>
      </c>
    </row>
    <row r="752" spans="1:3" x14ac:dyDescent="0.3">
      <c r="A752" s="37" t="s">
        <v>2</v>
      </c>
      <c r="B752" s="55">
        <v>44930.96</v>
      </c>
      <c r="C752" s="38">
        <v>85000</v>
      </c>
    </row>
    <row r="753" spans="1:3" x14ac:dyDescent="0.3">
      <c r="A753" s="37" t="s">
        <v>2</v>
      </c>
      <c r="B753" s="55">
        <v>44942.2500462963</v>
      </c>
      <c r="C753" s="38">
        <v>150000</v>
      </c>
    </row>
    <row r="754" spans="1:3" x14ac:dyDescent="0.3">
      <c r="A754" s="37" t="s">
        <v>2</v>
      </c>
      <c r="B754" s="55">
        <v>44956.667557870373</v>
      </c>
      <c r="C754" s="38">
        <v>115000</v>
      </c>
    </row>
    <row r="755" spans="1:3" x14ac:dyDescent="0.3">
      <c r="A755" s="37" t="s">
        <v>2</v>
      </c>
      <c r="B755" s="55">
        <v>44950.95957175926</v>
      </c>
      <c r="C755" s="38"/>
    </row>
    <row r="756" spans="1:3" x14ac:dyDescent="0.3">
      <c r="A756" s="37" t="s">
        <v>2</v>
      </c>
      <c r="B756" s="55">
        <v>44943.252349537041</v>
      </c>
      <c r="C756" s="38">
        <v>115000</v>
      </c>
    </row>
    <row r="757" spans="1:3" x14ac:dyDescent="0.3">
      <c r="A757" s="37" t="s">
        <v>2</v>
      </c>
      <c r="B757" s="55">
        <v>44945.708414351851</v>
      </c>
      <c r="C757" s="38">
        <v>115000</v>
      </c>
    </row>
    <row r="758" spans="1:3" x14ac:dyDescent="0.3">
      <c r="A758" s="37" t="s">
        <v>2</v>
      </c>
      <c r="B758" s="55">
        <v>44927.961423611108</v>
      </c>
      <c r="C758" s="38"/>
    </row>
    <row r="759" spans="1:3" x14ac:dyDescent="0.3">
      <c r="A759" s="37" t="s">
        <v>2</v>
      </c>
      <c r="B759" s="55">
        <v>44936.000648148147</v>
      </c>
      <c r="C759" s="38"/>
    </row>
    <row r="760" spans="1:3" x14ac:dyDescent="0.3">
      <c r="A760" s="37" t="s">
        <v>2</v>
      </c>
      <c r="B760" s="55">
        <v>44949.850462962961</v>
      </c>
      <c r="C760" s="38"/>
    </row>
    <row r="761" spans="1:3" x14ac:dyDescent="0.3">
      <c r="A761" s="37" t="s">
        <v>2</v>
      </c>
      <c r="B761" s="55">
        <v>44932.502164351848</v>
      </c>
      <c r="C761" s="38">
        <v>50289.1796875</v>
      </c>
    </row>
    <row r="762" spans="1:3" x14ac:dyDescent="0.3">
      <c r="A762" s="37" t="s">
        <v>2</v>
      </c>
      <c r="B762" s="55">
        <v>44957.917916666673</v>
      </c>
      <c r="C762" s="38">
        <v>42120</v>
      </c>
    </row>
    <row r="763" spans="1:3" x14ac:dyDescent="0.3">
      <c r="A763" s="37" t="s">
        <v>2</v>
      </c>
      <c r="B763" s="55">
        <v>44953.627164351848</v>
      </c>
      <c r="C763" s="38"/>
    </row>
    <row r="764" spans="1:3" x14ac:dyDescent="0.3">
      <c r="A764" s="37" t="s">
        <v>2</v>
      </c>
      <c r="B764" s="55">
        <v>44936.658194444448</v>
      </c>
      <c r="C764" s="38">
        <v>45000</v>
      </c>
    </row>
    <row r="765" spans="1:3" x14ac:dyDescent="0.3">
      <c r="A765" s="37" t="s">
        <v>2</v>
      </c>
      <c r="B765" s="55">
        <v>44939.888935185183</v>
      </c>
      <c r="C765" s="38">
        <v>70000</v>
      </c>
    </row>
    <row r="766" spans="1:3" x14ac:dyDescent="0.3">
      <c r="A766" s="37" t="s">
        <v>2</v>
      </c>
      <c r="B766" s="55">
        <v>44938.292453703703</v>
      </c>
      <c r="C766" s="38">
        <v>87000</v>
      </c>
    </row>
    <row r="767" spans="1:3" x14ac:dyDescent="0.3">
      <c r="A767" s="37" t="s">
        <v>2</v>
      </c>
      <c r="B767" s="55">
        <v>44927.959189814806</v>
      </c>
      <c r="C767" s="38"/>
    </row>
    <row r="768" spans="1:3" x14ac:dyDescent="0.3">
      <c r="A768" s="37" t="s">
        <v>2</v>
      </c>
      <c r="B768" s="55">
        <v>44944.199282407397</v>
      </c>
      <c r="C768" s="38"/>
    </row>
    <row r="769" spans="1:3" x14ac:dyDescent="0.3">
      <c r="A769" s="37" t="s">
        <v>2</v>
      </c>
      <c r="B769" s="55">
        <v>44945.76258101852</v>
      </c>
      <c r="C769" s="38">
        <v>110240.109375</v>
      </c>
    </row>
    <row r="770" spans="1:3" x14ac:dyDescent="0.3">
      <c r="A770" s="37" t="s">
        <v>2</v>
      </c>
      <c r="B770" s="55">
        <v>44939.335914351846</v>
      </c>
      <c r="C770" s="38"/>
    </row>
    <row r="771" spans="1:3" x14ac:dyDescent="0.3">
      <c r="A771" s="37" t="s">
        <v>2</v>
      </c>
      <c r="B771" s="55">
        <v>44946.583356481482</v>
      </c>
      <c r="C771" s="38"/>
    </row>
    <row r="772" spans="1:3" x14ac:dyDescent="0.3">
      <c r="A772" s="37" t="s">
        <v>2</v>
      </c>
      <c r="B772" s="55">
        <v>44940.875069444453</v>
      </c>
      <c r="C772" s="38">
        <v>39500</v>
      </c>
    </row>
    <row r="773" spans="1:3" x14ac:dyDescent="0.3">
      <c r="A773" s="37" t="s">
        <v>2</v>
      </c>
      <c r="B773" s="55">
        <v>44955.001319444447</v>
      </c>
      <c r="C773" s="38"/>
    </row>
    <row r="774" spans="1:3" x14ac:dyDescent="0.3">
      <c r="A774" s="37" t="s">
        <v>2</v>
      </c>
      <c r="B774" s="55">
        <v>44929.982974537037</v>
      </c>
      <c r="C774" s="38"/>
    </row>
    <row r="775" spans="1:3" x14ac:dyDescent="0.3">
      <c r="A775" s="37" t="s">
        <v>2</v>
      </c>
      <c r="B775" s="55">
        <v>44938.584814814807</v>
      </c>
      <c r="C775" s="38">
        <v>61500</v>
      </c>
    </row>
    <row r="776" spans="1:3" x14ac:dyDescent="0.3">
      <c r="A776" s="37" t="s">
        <v>2</v>
      </c>
      <c r="B776" s="55">
        <v>44938.583541666667</v>
      </c>
      <c r="C776" s="38">
        <v>70000</v>
      </c>
    </row>
    <row r="777" spans="1:3" x14ac:dyDescent="0.3">
      <c r="A777" s="37" t="s">
        <v>2</v>
      </c>
      <c r="B777" s="55">
        <v>44936.707152777781</v>
      </c>
      <c r="C777" s="38">
        <v>60000</v>
      </c>
    </row>
    <row r="778" spans="1:3" x14ac:dyDescent="0.3">
      <c r="A778" s="37" t="s">
        <v>2</v>
      </c>
      <c r="B778" s="55">
        <v>44943.668888888889</v>
      </c>
      <c r="C778" s="38"/>
    </row>
    <row r="779" spans="1:3" x14ac:dyDescent="0.3">
      <c r="A779" s="37" t="s">
        <v>2</v>
      </c>
      <c r="B779" s="55">
        <v>44942.721087962957</v>
      </c>
      <c r="C779" s="38">
        <v>75000</v>
      </c>
    </row>
    <row r="780" spans="1:3" x14ac:dyDescent="0.3">
      <c r="A780" s="37" t="s">
        <v>2</v>
      </c>
      <c r="B780" s="55">
        <v>44955.668553240743</v>
      </c>
      <c r="C780" s="38">
        <v>60000</v>
      </c>
    </row>
    <row r="781" spans="1:3" x14ac:dyDescent="0.3">
      <c r="A781" s="37" t="s">
        <v>2</v>
      </c>
      <c r="B781" s="55">
        <v>44937.958819444437</v>
      </c>
      <c r="C781" s="38">
        <v>137500</v>
      </c>
    </row>
    <row r="782" spans="1:3" x14ac:dyDescent="0.3">
      <c r="A782" s="37" t="s">
        <v>2</v>
      </c>
      <c r="B782" s="55">
        <v>44931.83326388889</v>
      </c>
      <c r="C782" s="38">
        <v>89833.5</v>
      </c>
    </row>
    <row r="783" spans="1:3" x14ac:dyDescent="0.3">
      <c r="A783" s="37" t="s">
        <v>2</v>
      </c>
      <c r="B783" s="55">
        <v>44928.917696759258</v>
      </c>
      <c r="C783" s="38"/>
    </row>
    <row r="784" spans="1:3" x14ac:dyDescent="0.3">
      <c r="A784" s="37" t="s">
        <v>2</v>
      </c>
      <c r="B784" s="55">
        <v>44946.875451388893</v>
      </c>
      <c r="C784" s="38">
        <v>74801.5</v>
      </c>
    </row>
    <row r="785" spans="1:3" x14ac:dyDescent="0.3">
      <c r="A785" s="37" t="s">
        <v>2</v>
      </c>
      <c r="B785" s="55">
        <v>44939.763831018521</v>
      </c>
      <c r="C785" s="38"/>
    </row>
    <row r="786" spans="1:3" x14ac:dyDescent="0.3">
      <c r="A786" s="37" t="s">
        <v>2</v>
      </c>
      <c r="B786" s="55">
        <v>44949.002141203702</v>
      </c>
      <c r="C786" s="38"/>
    </row>
    <row r="787" spans="1:3" x14ac:dyDescent="0.3">
      <c r="A787" s="37" t="s">
        <v>2</v>
      </c>
      <c r="B787" s="55">
        <v>44943.877060185187</v>
      </c>
      <c r="C787" s="38"/>
    </row>
    <row r="788" spans="1:3" x14ac:dyDescent="0.3">
      <c r="A788" s="37" t="s">
        <v>2</v>
      </c>
      <c r="B788" s="55">
        <v>44957.792395833327</v>
      </c>
      <c r="C788" s="38">
        <v>50000</v>
      </c>
    </row>
    <row r="789" spans="1:3" x14ac:dyDescent="0.3">
      <c r="A789" s="37" t="s">
        <v>2</v>
      </c>
      <c r="B789" s="55">
        <v>44945.625509259262</v>
      </c>
      <c r="C789" s="38">
        <v>60000</v>
      </c>
    </row>
    <row r="790" spans="1:3" x14ac:dyDescent="0.3">
      <c r="A790" s="37" t="s">
        <v>2</v>
      </c>
      <c r="B790" s="55">
        <v>44949.543692129628</v>
      </c>
      <c r="C790" s="38">
        <v>97500</v>
      </c>
    </row>
    <row r="791" spans="1:3" x14ac:dyDescent="0.3">
      <c r="A791" s="37" t="s">
        <v>2</v>
      </c>
      <c r="B791" s="55">
        <v>44953.058263888888</v>
      </c>
      <c r="C791" s="38">
        <v>56700</v>
      </c>
    </row>
    <row r="792" spans="1:3" x14ac:dyDescent="0.3">
      <c r="A792" s="37" t="s">
        <v>2</v>
      </c>
      <c r="B792" s="55">
        <v>44952.002789351849</v>
      </c>
      <c r="C792" s="38">
        <v>51014</v>
      </c>
    </row>
    <row r="793" spans="1:3" x14ac:dyDescent="0.3">
      <c r="A793" s="37" t="s">
        <v>2</v>
      </c>
      <c r="B793" s="55">
        <v>44944.657407407409</v>
      </c>
      <c r="C793" s="38"/>
    </row>
    <row r="794" spans="1:3" x14ac:dyDescent="0.3">
      <c r="A794" s="37" t="s">
        <v>2</v>
      </c>
      <c r="B794" s="55">
        <v>44946.985462962963</v>
      </c>
      <c r="C794" s="38"/>
    </row>
    <row r="795" spans="1:3" x14ac:dyDescent="0.3">
      <c r="A795" s="37" t="s">
        <v>2</v>
      </c>
      <c r="B795" s="55">
        <v>44950.000972222217</v>
      </c>
      <c r="C795" s="38"/>
    </row>
    <row r="796" spans="1:3" x14ac:dyDescent="0.3">
      <c r="A796" s="37" t="s">
        <v>2</v>
      </c>
      <c r="B796" s="55">
        <v>44949.001666666663</v>
      </c>
      <c r="C796" s="38">
        <v>63211</v>
      </c>
    </row>
    <row r="797" spans="1:3" x14ac:dyDescent="0.3">
      <c r="A797" s="37" t="s">
        <v>2</v>
      </c>
      <c r="B797" s="55">
        <v>44929.979328703703</v>
      </c>
      <c r="C797" s="38"/>
    </row>
    <row r="798" spans="1:3" x14ac:dyDescent="0.3">
      <c r="A798" s="37" t="s">
        <v>2</v>
      </c>
      <c r="B798" s="55">
        <v>44931.918067129627</v>
      </c>
      <c r="C798" s="38">
        <v>91000</v>
      </c>
    </row>
    <row r="799" spans="1:3" x14ac:dyDescent="0.3">
      <c r="A799" s="37" t="s">
        <v>2</v>
      </c>
      <c r="B799" s="55">
        <v>44937.749895833331</v>
      </c>
      <c r="C799" s="38"/>
    </row>
    <row r="800" spans="1:3" x14ac:dyDescent="0.3">
      <c r="A800" s="37" t="s">
        <v>2</v>
      </c>
      <c r="B800" s="55">
        <v>44935.833414351851</v>
      </c>
      <c r="C800" s="38"/>
    </row>
    <row r="801" spans="1:3" x14ac:dyDescent="0.3">
      <c r="A801" s="37" t="s">
        <v>2</v>
      </c>
      <c r="B801" s="55">
        <v>44943.895254629628</v>
      </c>
      <c r="C801" s="38">
        <v>56700</v>
      </c>
    </row>
    <row r="802" spans="1:3" x14ac:dyDescent="0.3">
      <c r="A802" s="37" t="s">
        <v>2</v>
      </c>
      <c r="B802" s="55">
        <v>44957.042025462957</v>
      </c>
      <c r="C802" s="38">
        <v>59000</v>
      </c>
    </row>
    <row r="803" spans="1:3" x14ac:dyDescent="0.3">
      <c r="A803" s="37" t="s">
        <v>2</v>
      </c>
      <c r="B803" s="55">
        <v>44932.001597222217</v>
      </c>
      <c r="C803" s="38">
        <v>64998</v>
      </c>
    </row>
    <row r="804" spans="1:3" x14ac:dyDescent="0.3">
      <c r="A804" s="37" t="s">
        <v>2</v>
      </c>
      <c r="B804" s="55">
        <v>44931.199201388888</v>
      </c>
      <c r="C804" s="38">
        <v>45000</v>
      </c>
    </row>
    <row r="805" spans="1:3" x14ac:dyDescent="0.3">
      <c r="A805" s="37" t="s">
        <v>2</v>
      </c>
      <c r="B805" s="55">
        <v>44944.042638888888</v>
      </c>
      <c r="C805" s="38"/>
    </row>
    <row r="806" spans="1:3" x14ac:dyDescent="0.3">
      <c r="A806" s="37" t="s">
        <v>2</v>
      </c>
      <c r="B806" s="55">
        <v>44939.669560185182</v>
      </c>
      <c r="C806" s="38"/>
    </row>
    <row r="807" spans="1:3" x14ac:dyDescent="0.3">
      <c r="A807" s="37" t="s">
        <v>2</v>
      </c>
      <c r="B807" s="55">
        <v>44938.835104166668</v>
      </c>
      <c r="C807" s="38">
        <v>85000</v>
      </c>
    </row>
    <row r="808" spans="1:3" x14ac:dyDescent="0.3">
      <c r="A808" s="37" t="s">
        <v>2</v>
      </c>
      <c r="B808" s="55">
        <v>44929.979907407411</v>
      </c>
      <c r="C808" s="38"/>
    </row>
    <row r="809" spans="1:3" x14ac:dyDescent="0.3">
      <c r="A809" s="37" t="s">
        <v>2</v>
      </c>
      <c r="B809" s="55">
        <v>44954.336759259262</v>
      </c>
      <c r="C809" s="38">
        <v>132500</v>
      </c>
    </row>
    <row r="810" spans="1:3" x14ac:dyDescent="0.3">
      <c r="A810" s="37" t="s">
        <v>2</v>
      </c>
      <c r="B810" s="55">
        <v>44943.585810185177</v>
      </c>
      <c r="C810" s="38">
        <v>82430</v>
      </c>
    </row>
    <row r="811" spans="1:3" x14ac:dyDescent="0.3">
      <c r="A811" s="37" t="s">
        <v>2</v>
      </c>
      <c r="B811" s="55">
        <v>44952.824629629627</v>
      </c>
      <c r="C811" s="38">
        <v>70000</v>
      </c>
    </row>
    <row r="812" spans="1:3" x14ac:dyDescent="0.3">
      <c r="A812" s="37" t="s">
        <v>2</v>
      </c>
      <c r="B812" s="55">
        <v>44952.667974537027</v>
      </c>
      <c r="C812" s="38">
        <v>140000</v>
      </c>
    </row>
    <row r="813" spans="1:3" x14ac:dyDescent="0.3">
      <c r="A813" s="37" t="s">
        <v>2</v>
      </c>
      <c r="B813" s="55">
        <v>44931.250613425917</v>
      </c>
      <c r="C813" s="38"/>
    </row>
    <row r="814" spans="1:3" x14ac:dyDescent="0.3">
      <c r="A814" s="37" t="s">
        <v>2</v>
      </c>
      <c r="B814" s="55">
        <v>44937.543194444443</v>
      </c>
      <c r="C814" s="38">
        <v>115000</v>
      </c>
    </row>
    <row r="815" spans="1:3" x14ac:dyDescent="0.3">
      <c r="A815" s="37" t="s">
        <v>2</v>
      </c>
      <c r="B815" s="55">
        <v>44946.751018518517</v>
      </c>
      <c r="C815" s="38"/>
    </row>
    <row r="816" spans="1:3" x14ac:dyDescent="0.3">
      <c r="A816" s="37" t="s">
        <v>2</v>
      </c>
      <c r="B816" s="55">
        <v>44944.347372685188</v>
      </c>
      <c r="C816" s="38">
        <v>89100</v>
      </c>
    </row>
    <row r="817" spans="1:3" x14ac:dyDescent="0.3">
      <c r="A817" s="37" t="s">
        <v>2</v>
      </c>
      <c r="B817" s="55">
        <v>44930.667638888888</v>
      </c>
      <c r="C817" s="38"/>
    </row>
    <row r="818" spans="1:3" x14ac:dyDescent="0.3">
      <c r="A818" s="37" t="s">
        <v>2</v>
      </c>
      <c r="B818" s="55">
        <v>44932.793113425927</v>
      </c>
      <c r="C818" s="38"/>
    </row>
    <row r="819" spans="1:3" x14ac:dyDescent="0.3">
      <c r="A819" s="37" t="s">
        <v>2</v>
      </c>
      <c r="B819" s="55">
        <v>44932.000219907408</v>
      </c>
      <c r="C819" s="38"/>
    </row>
    <row r="820" spans="1:3" x14ac:dyDescent="0.3">
      <c r="A820" s="37" t="s">
        <v>2</v>
      </c>
      <c r="B820" s="55">
        <v>44944.309490740743</v>
      </c>
      <c r="C820" s="38">
        <v>63000</v>
      </c>
    </row>
    <row r="821" spans="1:3" x14ac:dyDescent="0.3">
      <c r="A821" s="37" t="s">
        <v>2</v>
      </c>
      <c r="B821" s="55">
        <v>44945.06144675926</v>
      </c>
      <c r="C821" s="38">
        <v>47500</v>
      </c>
    </row>
    <row r="822" spans="1:3" x14ac:dyDescent="0.3">
      <c r="A822" s="37" t="s">
        <v>2</v>
      </c>
      <c r="B822" s="55">
        <v>44952.33388888889</v>
      </c>
      <c r="C822" s="38"/>
    </row>
    <row r="823" spans="1:3" x14ac:dyDescent="0.3">
      <c r="A823" s="37" t="s">
        <v>2</v>
      </c>
      <c r="B823" s="55">
        <v>44949.001979166656</v>
      </c>
      <c r="C823" s="38">
        <v>67431</v>
      </c>
    </row>
    <row r="824" spans="1:3" x14ac:dyDescent="0.3">
      <c r="A824" s="37" t="s">
        <v>2</v>
      </c>
      <c r="B824" s="55">
        <v>44930.91710648148</v>
      </c>
      <c r="C824" s="38">
        <v>115000</v>
      </c>
    </row>
    <row r="825" spans="1:3" x14ac:dyDescent="0.3">
      <c r="A825" s="37" t="s">
        <v>2</v>
      </c>
      <c r="B825" s="55">
        <v>44947.587291666663</v>
      </c>
      <c r="C825" s="38"/>
    </row>
    <row r="826" spans="1:3" x14ac:dyDescent="0.3">
      <c r="A826" s="37" t="s">
        <v>2</v>
      </c>
      <c r="B826" s="55">
        <v>44935.834398148138</v>
      </c>
      <c r="C826" s="38">
        <v>97500</v>
      </c>
    </row>
    <row r="827" spans="1:3" x14ac:dyDescent="0.3">
      <c r="A827" s="37" t="s">
        <v>2</v>
      </c>
      <c r="B827" s="55">
        <v>44956.793368055558</v>
      </c>
      <c r="C827" s="38"/>
    </row>
    <row r="828" spans="1:3" x14ac:dyDescent="0.3">
      <c r="A828" s="37" t="s">
        <v>2</v>
      </c>
      <c r="B828" s="55">
        <v>44951.708622685182</v>
      </c>
      <c r="C828" s="38"/>
    </row>
    <row r="829" spans="1:3" x14ac:dyDescent="0.3">
      <c r="A829" s="37" t="s">
        <v>2</v>
      </c>
      <c r="B829" s="55">
        <v>44932.001064814824</v>
      </c>
      <c r="C829" s="38"/>
    </row>
    <row r="830" spans="1:3" x14ac:dyDescent="0.3">
      <c r="A830" s="37" t="s">
        <v>2</v>
      </c>
      <c r="B830" s="55">
        <v>44949.001828703702</v>
      </c>
      <c r="C830" s="38"/>
    </row>
    <row r="831" spans="1:3" x14ac:dyDescent="0.3">
      <c r="A831" s="37" t="s">
        <v>2</v>
      </c>
      <c r="B831" s="55">
        <v>44937.541689814818</v>
      </c>
      <c r="C831" s="38"/>
    </row>
    <row r="832" spans="1:3" x14ac:dyDescent="0.3">
      <c r="A832" s="37" t="s">
        <v>2</v>
      </c>
      <c r="B832" s="55">
        <v>44946.917997685188</v>
      </c>
      <c r="C832" s="38"/>
    </row>
    <row r="833" spans="1:3" x14ac:dyDescent="0.3">
      <c r="A833" s="37" t="s">
        <v>2</v>
      </c>
      <c r="B833" s="55">
        <v>44955.000960648147</v>
      </c>
      <c r="C833" s="38"/>
    </row>
    <row r="834" spans="1:3" x14ac:dyDescent="0.3">
      <c r="A834" s="37" t="s">
        <v>2</v>
      </c>
      <c r="B834" s="55">
        <v>44952.917407407411</v>
      </c>
      <c r="C834" s="38"/>
    </row>
    <row r="835" spans="1:3" x14ac:dyDescent="0.3">
      <c r="A835" s="37" t="s">
        <v>2</v>
      </c>
      <c r="B835" s="55">
        <v>44930.020578703698</v>
      </c>
      <c r="C835" s="38"/>
    </row>
    <row r="836" spans="1:3" x14ac:dyDescent="0.3">
      <c r="A836" s="37" t="s">
        <v>2</v>
      </c>
      <c r="B836" s="55">
        <v>44943.418240740742</v>
      </c>
      <c r="C836" s="38">
        <v>146100</v>
      </c>
    </row>
    <row r="837" spans="1:3" x14ac:dyDescent="0.3">
      <c r="A837" s="37" t="s">
        <v>2</v>
      </c>
      <c r="B837" s="55">
        <v>44937.78261574074</v>
      </c>
      <c r="C837" s="38"/>
    </row>
    <row r="838" spans="1:3" x14ac:dyDescent="0.3">
      <c r="A838" s="37" t="s">
        <v>2</v>
      </c>
      <c r="B838" s="55">
        <v>44952.417754629627</v>
      </c>
      <c r="C838" s="38"/>
    </row>
    <row r="839" spans="1:3" x14ac:dyDescent="0.3">
      <c r="A839" s="37" t="s">
        <v>2</v>
      </c>
      <c r="B839" s="55">
        <v>44949.600497685176</v>
      </c>
      <c r="C839" s="38">
        <v>112500</v>
      </c>
    </row>
    <row r="840" spans="1:3" x14ac:dyDescent="0.3">
      <c r="A840" s="37" t="s">
        <v>2</v>
      </c>
      <c r="B840" s="55">
        <v>44930.148761574077</v>
      </c>
      <c r="C840" s="38">
        <v>90000</v>
      </c>
    </row>
    <row r="841" spans="1:3" x14ac:dyDescent="0.3">
      <c r="A841" s="37" t="s">
        <v>2</v>
      </c>
      <c r="B841" s="55">
        <v>44933.50105324074</v>
      </c>
      <c r="C841" s="38">
        <v>87500</v>
      </c>
    </row>
    <row r="842" spans="1:3" x14ac:dyDescent="0.3">
      <c r="A842" s="37" t="s">
        <v>2</v>
      </c>
      <c r="B842" s="55">
        <v>44947.708553240736</v>
      </c>
      <c r="C842" s="38"/>
    </row>
    <row r="843" spans="1:3" x14ac:dyDescent="0.3">
      <c r="A843" s="37" t="s">
        <v>2</v>
      </c>
      <c r="B843" s="55">
        <v>44952.83357638889</v>
      </c>
      <c r="C843" s="38">
        <v>89833.5</v>
      </c>
    </row>
    <row r="844" spans="1:3" x14ac:dyDescent="0.3">
      <c r="A844" s="37" t="s">
        <v>2</v>
      </c>
      <c r="B844" s="55">
        <v>44950.04246527778</v>
      </c>
      <c r="C844" s="38">
        <v>67500</v>
      </c>
    </row>
    <row r="845" spans="1:3" x14ac:dyDescent="0.3">
      <c r="A845" s="37" t="s">
        <v>2</v>
      </c>
      <c r="B845" s="55">
        <v>44937.499895833331</v>
      </c>
      <c r="C845" s="38"/>
    </row>
    <row r="846" spans="1:3" x14ac:dyDescent="0.3">
      <c r="A846" s="37" t="s">
        <v>2</v>
      </c>
      <c r="B846" s="55">
        <v>44951.632881944453</v>
      </c>
      <c r="C846" s="38">
        <v>89100</v>
      </c>
    </row>
    <row r="847" spans="1:3" x14ac:dyDescent="0.3">
      <c r="A847" s="37" t="s">
        <v>2</v>
      </c>
      <c r="B847" s="55">
        <v>44950.710277777784</v>
      </c>
      <c r="C847" s="38"/>
    </row>
    <row r="848" spans="1:3" x14ac:dyDescent="0.3">
      <c r="A848" s="37" t="s">
        <v>2</v>
      </c>
      <c r="B848" s="55">
        <v>44936.875300925924</v>
      </c>
      <c r="C848" s="38"/>
    </row>
    <row r="849" spans="1:3" x14ac:dyDescent="0.3">
      <c r="A849" s="37" t="s">
        <v>2</v>
      </c>
      <c r="B849" s="55">
        <v>44948.916689814818</v>
      </c>
      <c r="C849" s="38">
        <v>65000</v>
      </c>
    </row>
    <row r="850" spans="1:3" x14ac:dyDescent="0.3">
      <c r="A850" s="37" t="s">
        <v>2</v>
      </c>
      <c r="B850" s="55">
        <v>44930.876608796287</v>
      </c>
      <c r="C850" s="38">
        <v>100000</v>
      </c>
    </row>
    <row r="851" spans="1:3" x14ac:dyDescent="0.3">
      <c r="A851" s="37" t="s">
        <v>2</v>
      </c>
      <c r="B851" s="55">
        <v>44950.001331018517</v>
      </c>
      <c r="C851" s="38">
        <v>114500</v>
      </c>
    </row>
    <row r="852" spans="1:3" x14ac:dyDescent="0.3">
      <c r="A852" s="37" t="s">
        <v>2</v>
      </c>
      <c r="B852" s="55">
        <v>44930.751493055563</v>
      </c>
      <c r="C852" s="38"/>
    </row>
    <row r="853" spans="1:3" x14ac:dyDescent="0.3">
      <c r="A853" s="37" t="s">
        <v>2</v>
      </c>
      <c r="B853" s="55">
        <v>44951.833726851852</v>
      </c>
      <c r="C853" s="38"/>
    </row>
    <row r="854" spans="1:3" x14ac:dyDescent="0.3">
      <c r="A854" s="37" t="s">
        <v>2</v>
      </c>
      <c r="B854" s="55">
        <v>44937.459849537037</v>
      </c>
      <c r="C854" s="38">
        <v>90000</v>
      </c>
    </row>
    <row r="855" spans="1:3" x14ac:dyDescent="0.3">
      <c r="A855" s="37" t="s">
        <v>2</v>
      </c>
      <c r="B855" s="55">
        <v>44929.979502314818</v>
      </c>
      <c r="C855" s="38"/>
    </row>
    <row r="856" spans="1:3" x14ac:dyDescent="0.3">
      <c r="A856" s="37" t="s">
        <v>2</v>
      </c>
      <c r="B856" s="55">
        <v>44931.710196759261</v>
      </c>
      <c r="C856" s="38">
        <v>67500</v>
      </c>
    </row>
    <row r="857" spans="1:3" x14ac:dyDescent="0.3">
      <c r="A857" s="37" t="s">
        <v>2</v>
      </c>
      <c r="B857" s="55">
        <v>44930.019953703697</v>
      </c>
      <c r="C857" s="38"/>
    </row>
    <row r="858" spans="1:3" x14ac:dyDescent="0.3">
      <c r="A858" s="37" t="s">
        <v>2</v>
      </c>
      <c r="B858" s="55">
        <v>44930.417500000003</v>
      </c>
      <c r="C858" s="38">
        <v>83002.3828125</v>
      </c>
    </row>
    <row r="859" spans="1:3" x14ac:dyDescent="0.3">
      <c r="A859" s="37" t="s">
        <v>2</v>
      </c>
      <c r="B859" s="55">
        <v>44937.877245370371</v>
      </c>
      <c r="C859" s="38">
        <v>65000</v>
      </c>
    </row>
    <row r="860" spans="1:3" x14ac:dyDescent="0.3">
      <c r="A860" s="37" t="s">
        <v>2</v>
      </c>
      <c r="B860" s="55">
        <v>44943.013113425928</v>
      </c>
      <c r="C860" s="38">
        <v>45886</v>
      </c>
    </row>
    <row r="861" spans="1:3" x14ac:dyDescent="0.3">
      <c r="A861" s="37" t="s">
        <v>2</v>
      </c>
      <c r="B861" s="55">
        <v>44929.209861111107</v>
      </c>
      <c r="C861" s="38">
        <v>105515</v>
      </c>
    </row>
    <row r="862" spans="1:3" x14ac:dyDescent="0.3">
      <c r="A862" s="37" t="s">
        <v>2</v>
      </c>
      <c r="B862" s="55">
        <v>44944.669305555559</v>
      </c>
      <c r="C862" s="38"/>
    </row>
    <row r="863" spans="1:3" x14ac:dyDescent="0.3">
      <c r="A863" s="37" t="s">
        <v>2</v>
      </c>
      <c r="B863" s="55">
        <v>44951.543437499997</v>
      </c>
      <c r="C863" s="38">
        <v>44100</v>
      </c>
    </row>
    <row r="864" spans="1:3" x14ac:dyDescent="0.3">
      <c r="A864" s="37" t="s">
        <v>2</v>
      </c>
      <c r="B864" s="55">
        <v>44938.626527777778</v>
      </c>
      <c r="C864" s="38"/>
    </row>
    <row r="865" spans="1:3" x14ac:dyDescent="0.3">
      <c r="A865" s="37" t="s">
        <v>2</v>
      </c>
      <c r="B865" s="55">
        <v>44939.055243055547</v>
      </c>
      <c r="C865" s="38"/>
    </row>
    <row r="866" spans="1:3" x14ac:dyDescent="0.3">
      <c r="A866" s="37" t="s">
        <v>2</v>
      </c>
      <c r="B866" s="55">
        <v>44951.293414351851</v>
      </c>
      <c r="C866" s="38">
        <v>90000</v>
      </c>
    </row>
    <row r="867" spans="1:3" x14ac:dyDescent="0.3">
      <c r="A867" s="37" t="s">
        <v>2</v>
      </c>
      <c r="B867" s="55">
        <v>44929.979733796303</v>
      </c>
      <c r="C867" s="38"/>
    </row>
    <row r="868" spans="1:3" x14ac:dyDescent="0.3">
      <c r="A868" s="37" t="s">
        <v>2</v>
      </c>
      <c r="B868" s="55">
        <v>44930.18644675926</v>
      </c>
      <c r="C868" s="38"/>
    </row>
    <row r="869" spans="1:3" x14ac:dyDescent="0.3">
      <c r="A869" s="37" t="s">
        <v>2</v>
      </c>
      <c r="B869" s="55">
        <v>44945.535914351851</v>
      </c>
      <c r="C869" s="38">
        <v>64800</v>
      </c>
    </row>
    <row r="870" spans="1:3" x14ac:dyDescent="0.3">
      <c r="A870" s="37" t="s">
        <v>2</v>
      </c>
      <c r="B870" s="55">
        <v>44931.874930555547</v>
      </c>
      <c r="C870" s="38">
        <v>90000</v>
      </c>
    </row>
    <row r="871" spans="1:3" x14ac:dyDescent="0.3">
      <c r="A871" s="37" t="s">
        <v>2</v>
      </c>
      <c r="B871" s="55">
        <v>44931.178368055553</v>
      </c>
      <c r="C871" s="38"/>
    </row>
    <row r="872" spans="1:3" x14ac:dyDescent="0.3">
      <c r="A872" s="37" t="s">
        <v>2</v>
      </c>
      <c r="B872" s="55">
        <v>44930.103726851848</v>
      </c>
      <c r="C872" s="38"/>
    </row>
    <row r="873" spans="1:3" x14ac:dyDescent="0.3">
      <c r="A873" s="37" t="s">
        <v>2</v>
      </c>
      <c r="B873" s="55">
        <v>44929.980081018519</v>
      </c>
      <c r="C873" s="38"/>
    </row>
    <row r="874" spans="1:3" x14ac:dyDescent="0.3">
      <c r="A874" s="37" t="s">
        <v>2</v>
      </c>
      <c r="B874" s="55">
        <v>44950.001539351862</v>
      </c>
      <c r="C874" s="38">
        <v>150000</v>
      </c>
    </row>
    <row r="875" spans="1:3" x14ac:dyDescent="0.3">
      <c r="A875" s="37" t="s">
        <v>2</v>
      </c>
      <c r="B875" s="55">
        <v>44930.020543981482</v>
      </c>
      <c r="C875" s="38"/>
    </row>
    <row r="876" spans="1:3" x14ac:dyDescent="0.3">
      <c r="A876" s="37" t="s">
        <v>2</v>
      </c>
      <c r="B876" s="55">
        <v>44947.002118055563</v>
      </c>
      <c r="C876" s="38">
        <v>82923</v>
      </c>
    </row>
    <row r="877" spans="1:3" x14ac:dyDescent="0.3">
      <c r="A877" s="37" t="s">
        <v>2</v>
      </c>
      <c r="B877" s="55">
        <v>44928.708414351851</v>
      </c>
      <c r="C877" s="38">
        <v>218500</v>
      </c>
    </row>
    <row r="878" spans="1:3" x14ac:dyDescent="0.3">
      <c r="A878" s="37" t="s">
        <v>2</v>
      </c>
      <c r="B878" s="55">
        <v>44931.749930555547</v>
      </c>
      <c r="C878" s="38"/>
    </row>
    <row r="879" spans="1:3" x14ac:dyDescent="0.3">
      <c r="A879" s="37" t="s">
        <v>2</v>
      </c>
      <c r="B879" s="55">
        <v>44951.000694444447</v>
      </c>
      <c r="C879" s="38">
        <v>103000</v>
      </c>
    </row>
    <row r="880" spans="1:3" x14ac:dyDescent="0.3">
      <c r="A880" s="37" t="s">
        <v>2</v>
      </c>
      <c r="B880" s="55">
        <v>44939.793807870366</v>
      </c>
      <c r="C880" s="38"/>
    </row>
    <row r="881" spans="1:3" x14ac:dyDescent="0.3">
      <c r="A881" s="37" t="s">
        <v>2</v>
      </c>
      <c r="B881" s="55">
        <v>44936.875925925917</v>
      </c>
      <c r="C881" s="38">
        <v>73453</v>
      </c>
    </row>
    <row r="882" spans="1:3" x14ac:dyDescent="0.3">
      <c r="A882" s="37" t="s">
        <v>2</v>
      </c>
      <c r="B882" s="55">
        <v>44950.667361111111</v>
      </c>
      <c r="C882" s="38"/>
    </row>
    <row r="883" spans="1:3" x14ac:dyDescent="0.3">
      <c r="A883" s="37" t="s">
        <v>2</v>
      </c>
      <c r="B883" s="55">
        <v>44944.252256944441</v>
      </c>
      <c r="C883" s="38">
        <v>125000</v>
      </c>
    </row>
    <row r="884" spans="1:3" x14ac:dyDescent="0.3">
      <c r="A884" s="37" t="s">
        <v>2</v>
      </c>
      <c r="B884" s="55">
        <v>44936.041597222233</v>
      </c>
      <c r="C884" s="38">
        <v>65000</v>
      </c>
    </row>
    <row r="885" spans="1:3" x14ac:dyDescent="0.3">
      <c r="A885" s="37" t="s">
        <v>2</v>
      </c>
      <c r="B885" s="55">
        <v>44956.769583333327</v>
      </c>
      <c r="C885" s="38">
        <v>80850</v>
      </c>
    </row>
    <row r="886" spans="1:3" x14ac:dyDescent="0.3">
      <c r="A886" s="37" t="s">
        <v>2</v>
      </c>
      <c r="B886" s="55">
        <v>44931.000289351847</v>
      </c>
      <c r="C886" s="38">
        <v>189000</v>
      </c>
    </row>
    <row r="887" spans="1:3" x14ac:dyDescent="0.3">
      <c r="A887" s="37" t="s">
        <v>2</v>
      </c>
      <c r="B887" s="55">
        <v>44930.73641203704</v>
      </c>
      <c r="C887" s="38">
        <v>45000</v>
      </c>
    </row>
    <row r="888" spans="1:3" x14ac:dyDescent="0.3">
      <c r="A888" s="37" t="s">
        <v>2</v>
      </c>
      <c r="B888" s="55">
        <v>44935.749988425923</v>
      </c>
      <c r="C888" s="38">
        <v>95000</v>
      </c>
    </row>
    <row r="889" spans="1:3" x14ac:dyDescent="0.3">
      <c r="A889" s="37" t="s">
        <v>2</v>
      </c>
      <c r="B889" s="55">
        <v>44951.958229166667</v>
      </c>
      <c r="C889" s="38">
        <v>70000</v>
      </c>
    </row>
    <row r="890" spans="1:3" x14ac:dyDescent="0.3">
      <c r="A890" s="37" t="s">
        <v>2</v>
      </c>
      <c r="B890" s="55">
        <v>44945.092476851853</v>
      </c>
      <c r="C890" s="38">
        <v>79200</v>
      </c>
    </row>
    <row r="891" spans="1:3" x14ac:dyDescent="0.3">
      <c r="A891" s="37" t="s">
        <v>2</v>
      </c>
      <c r="B891" s="55">
        <v>44949.959537037037</v>
      </c>
      <c r="C891" s="38">
        <v>81500</v>
      </c>
    </row>
    <row r="892" spans="1:3" x14ac:dyDescent="0.3">
      <c r="A892" s="37" t="s">
        <v>2</v>
      </c>
      <c r="B892" s="55">
        <v>44930.435648148137</v>
      </c>
      <c r="C892" s="38">
        <v>111202</v>
      </c>
    </row>
    <row r="893" spans="1:3" x14ac:dyDescent="0.3">
      <c r="A893" s="37" t="s">
        <v>2</v>
      </c>
      <c r="B893" s="55">
        <v>44942.845775462964</v>
      </c>
      <c r="C893" s="38"/>
    </row>
    <row r="894" spans="1:3" x14ac:dyDescent="0.3">
      <c r="A894" s="37" t="s">
        <v>2</v>
      </c>
      <c r="B894" s="55">
        <v>44928.500034722223</v>
      </c>
      <c r="C894" s="38">
        <v>125000</v>
      </c>
    </row>
    <row r="895" spans="1:3" x14ac:dyDescent="0.3">
      <c r="A895" s="37" t="s">
        <v>2</v>
      </c>
      <c r="B895" s="55">
        <v>44955.625625000001</v>
      </c>
      <c r="C895" s="38"/>
    </row>
    <row r="896" spans="1:3" x14ac:dyDescent="0.3">
      <c r="A896" s="37" t="s">
        <v>2</v>
      </c>
      <c r="B896" s="55">
        <v>44938.999965277777</v>
      </c>
      <c r="C896" s="38"/>
    </row>
    <row r="897" spans="1:3" x14ac:dyDescent="0.3">
      <c r="A897" s="37" t="s">
        <v>2</v>
      </c>
      <c r="B897" s="55">
        <v>44931.585069444453</v>
      </c>
      <c r="C897" s="38">
        <v>72500</v>
      </c>
    </row>
    <row r="898" spans="1:3" x14ac:dyDescent="0.3">
      <c r="A898" s="37" t="s">
        <v>2</v>
      </c>
      <c r="B898" s="55">
        <v>44936.042534722219</v>
      </c>
      <c r="C898" s="38">
        <v>80000</v>
      </c>
    </row>
    <row r="899" spans="1:3" x14ac:dyDescent="0.3">
      <c r="A899" s="37" t="s">
        <v>2</v>
      </c>
      <c r="B899" s="55">
        <v>44932.918298611112</v>
      </c>
      <c r="C899" s="38"/>
    </row>
    <row r="900" spans="1:3" x14ac:dyDescent="0.3">
      <c r="A900" s="37" t="s">
        <v>2</v>
      </c>
      <c r="B900" s="55">
        <v>44956.543599537043</v>
      </c>
      <c r="C900" s="38"/>
    </row>
    <row r="901" spans="1:3" x14ac:dyDescent="0.3">
      <c r="A901" s="37" t="s">
        <v>2</v>
      </c>
      <c r="B901" s="55">
        <v>44929.979502314818</v>
      </c>
      <c r="C901" s="38"/>
    </row>
    <row r="902" spans="1:3" x14ac:dyDescent="0.3">
      <c r="A902" s="37" t="s">
        <v>2</v>
      </c>
      <c r="B902" s="55">
        <v>44931.458495370367</v>
      </c>
      <c r="C902" s="38">
        <v>67500</v>
      </c>
    </row>
    <row r="903" spans="1:3" x14ac:dyDescent="0.3">
      <c r="A903" s="37" t="s">
        <v>2</v>
      </c>
      <c r="B903" s="55">
        <v>44944.583472222221</v>
      </c>
      <c r="C903" s="38">
        <v>52000</v>
      </c>
    </row>
    <row r="904" spans="1:3" x14ac:dyDescent="0.3">
      <c r="A904" s="37" t="s">
        <v>2</v>
      </c>
      <c r="B904" s="55">
        <v>44949.833784722221</v>
      </c>
      <c r="C904" s="38">
        <v>90000</v>
      </c>
    </row>
    <row r="905" spans="1:3" x14ac:dyDescent="0.3">
      <c r="A905" s="37" t="s">
        <v>2</v>
      </c>
      <c r="B905" s="55">
        <v>44929.856562499997</v>
      </c>
      <c r="C905" s="38"/>
    </row>
    <row r="906" spans="1:3" x14ac:dyDescent="0.3">
      <c r="A906" s="37" t="s">
        <v>2</v>
      </c>
      <c r="B906" s="55">
        <v>44939.750162037039</v>
      </c>
      <c r="C906" s="38"/>
    </row>
    <row r="907" spans="1:3" x14ac:dyDescent="0.3">
      <c r="A907" s="37" t="s">
        <v>2</v>
      </c>
      <c r="B907" s="55">
        <v>44939.972384259258</v>
      </c>
      <c r="C907" s="38"/>
    </row>
    <row r="908" spans="1:3" x14ac:dyDescent="0.3">
      <c r="A908" s="37" t="s">
        <v>2</v>
      </c>
      <c r="B908" s="55">
        <v>44930.835347222222</v>
      </c>
      <c r="C908" s="38">
        <v>60000</v>
      </c>
    </row>
    <row r="909" spans="1:3" x14ac:dyDescent="0.3">
      <c r="A909" s="37" t="s">
        <v>2</v>
      </c>
      <c r="B909" s="55">
        <v>44957.250092592592</v>
      </c>
      <c r="C909" s="38">
        <v>115000</v>
      </c>
    </row>
    <row r="910" spans="1:3" x14ac:dyDescent="0.3">
      <c r="A910" s="37" t="s">
        <v>2</v>
      </c>
      <c r="B910" s="55">
        <v>44936.083611111113</v>
      </c>
      <c r="C910" s="38"/>
    </row>
    <row r="911" spans="1:3" x14ac:dyDescent="0.3">
      <c r="A911" s="37" t="s">
        <v>2</v>
      </c>
      <c r="B911" s="55">
        <v>44946.625879629632</v>
      </c>
      <c r="C911" s="38"/>
    </row>
    <row r="912" spans="1:3" x14ac:dyDescent="0.3">
      <c r="A912" s="37" t="s">
        <v>2</v>
      </c>
      <c r="B912" s="55">
        <v>44940.458333333343</v>
      </c>
      <c r="C912" s="38">
        <v>75000</v>
      </c>
    </row>
    <row r="913" spans="1:3" x14ac:dyDescent="0.3">
      <c r="A913" s="37" t="s">
        <v>2</v>
      </c>
      <c r="B913" s="55">
        <v>44950.959097222221</v>
      </c>
      <c r="C913" s="38"/>
    </row>
    <row r="914" spans="1:3" x14ac:dyDescent="0.3">
      <c r="A914" s="37" t="s">
        <v>2</v>
      </c>
      <c r="B914" s="55">
        <v>44943.425173611111</v>
      </c>
      <c r="C914" s="38">
        <v>64800</v>
      </c>
    </row>
    <row r="915" spans="1:3" x14ac:dyDescent="0.3">
      <c r="A915" s="37" t="s">
        <v>2</v>
      </c>
      <c r="B915" s="55">
        <v>44942.789340277777</v>
      </c>
      <c r="C915" s="38">
        <v>111175</v>
      </c>
    </row>
    <row r="916" spans="1:3" x14ac:dyDescent="0.3">
      <c r="A916" s="37" t="s">
        <v>2</v>
      </c>
      <c r="B916" s="55">
        <v>44946.750879629632</v>
      </c>
      <c r="C916" s="38"/>
    </row>
    <row r="917" spans="1:3" x14ac:dyDescent="0.3">
      <c r="A917" s="37" t="s">
        <v>2</v>
      </c>
      <c r="B917" s="55">
        <v>44935.792094907411</v>
      </c>
      <c r="C917" s="38"/>
    </row>
    <row r="918" spans="1:3" x14ac:dyDescent="0.3">
      <c r="A918" s="37" t="s">
        <v>2</v>
      </c>
      <c r="B918" s="55">
        <v>44929.980069444442</v>
      </c>
      <c r="C918" s="38"/>
    </row>
    <row r="919" spans="1:3" x14ac:dyDescent="0.3">
      <c r="A919" s="37" t="s">
        <v>2</v>
      </c>
      <c r="B919" s="55">
        <v>44950.626909722218</v>
      </c>
      <c r="C919" s="38"/>
    </row>
    <row r="920" spans="1:3" x14ac:dyDescent="0.3">
      <c r="A920" s="37" t="s">
        <v>2</v>
      </c>
      <c r="B920" s="55">
        <v>44928.626006944447</v>
      </c>
      <c r="C920" s="38">
        <v>146100</v>
      </c>
    </row>
    <row r="921" spans="1:3" x14ac:dyDescent="0.3">
      <c r="A921" s="37" t="s">
        <v>2</v>
      </c>
      <c r="B921" s="55">
        <v>44951.833657407413</v>
      </c>
      <c r="C921" s="38">
        <v>70000</v>
      </c>
    </row>
    <row r="922" spans="1:3" x14ac:dyDescent="0.3">
      <c r="A922" s="37" t="s">
        <v>2</v>
      </c>
      <c r="B922" s="55">
        <v>44946.262997685182</v>
      </c>
      <c r="C922" s="38">
        <v>70000</v>
      </c>
    </row>
    <row r="923" spans="1:3" x14ac:dyDescent="0.3">
      <c r="A923" s="37" t="s">
        <v>2</v>
      </c>
      <c r="B923" s="55">
        <v>44951.667303240742</v>
      </c>
      <c r="C923" s="38"/>
    </row>
    <row r="924" spans="1:3" x14ac:dyDescent="0.3">
      <c r="A924" s="37" t="s">
        <v>2</v>
      </c>
      <c r="B924" s="55">
        <v>44935.624930555547</v>
      </c>
      <c r="C924" s="38">
        <v>85000</v>
      </c>
    </row>
    <row r="925" spans="1:3" x14ac:dyDescent="0.3">
      <c r="A925" s="37" t="s">
        <v>2</v>
      </c>
      <c r="B925" s="55">
        <v>44930.005624999998</v>
      </c>
      <c r="C925" s="38"/>
    </row>
    <row r="926" spans="1:3" x14ac:dyDescent="0.3">
      <c r="A926" s="37" t="s">
        <v>2</v>
      </c>
      <c r="B926" s="55">
        <v>44942.386504629627</v>
      </c>
      <c r="C926" s="38">
        <v>115000</v>
      </c>
    </row>
    <row r="927" spans="1:3" x14ac:dyDescent="0.3">
      <c r="A927" s="37" t="s">
        <v>2</v>
      </c>
      <c r="B927" s="55">
        <v>44943.916898148149</v>
      </c>
      <c r="C927" s="38"/>
    </row>
    <row r="928" spans="1:3" x14ac:dyDescent="0.3">
      <c r="A928" s="37" t="s">
        <v>2</v>
      </c>
      <c r="B928" s="55">
        <v>44953.002500000002</v>
      </c>
      <c r="C928" s="38"/>
    </row>
    <row r="929" spans="1:3" x14ac:dyDescent="0.3">
      <c r="A929" s="37" t="s">
        <v>2</v>
      </c>
      <c r="B929" s="55">
        <v>44951.410277777781</v>
      </c>
      <c r="C929" s="38">
        <v>102500</v>
      </c>
    </row>
    <row r="930" spans="1:3" x14ac:dyDescent="0.3">
      <c r="A930" s="37" t="s">
        <v>2</v>
      </c>
      <c r="B930" s="55">
        <v>44944.917048611111</v>
      </c>
      <c r="C930" s="38">
        <v>145000</v>
      </c>
    </row>
    <row r="931" spans="1:3" x14ac:dyDescent="0.3">
      <c r="A931" s="37" t="s">
        <v>2</v>
      </c>
      <c r="B931" s="55">
        <v>44945.971342592587</v>
      </c>
      <c r="C931" s="38"/>
    </row>
    <row r="932" spans="1:3" x14ac:dyDescent="0.3">
      <c r="A932" s="37" t="s">
        <v>2</v>
      </c>
      <c r="B932" s="55">
        <v>44930.020578703698</v>
      </c>
      <c r="C932" s="38"/>
    </row>
    <row r="933" spans="1:3" x14ac:dyDescent="0.3">
      <c r="A933" s="37" t="s">
        <v>2</v>
      </c>
      <c r="B933" s="55">
        <v>44937.803240740737</v>
      </c>
      <c r="C933" s="38">
        <v>98500</v>
      </c>
    </row>
    <row r="934" spans="1:3" x14ac:dyDescent="0.3">
      <c r="A934" s="37" t="s">
        <v>2</v>
      </c>
      <c r="B934" s="55">
        <v>44929.979699074072</v>
      </c>
      <c r="C934" s="38"/>
    </row>
    <row r="935" spans="1:3" x14ac:dyDescent="0.3">
      <c r="A935" s="37" t="s">
        <v>2</v>
      </c>
      <c r="B935" s="55">
        <v>44933.416701388887</v>
      </c>
      <c r="C935" s="38">
        <v>90000</v>
      </c>
    </row>
    <row r="936" spans="1:3" x14ac:dyDescent="0.3">
      <c r="A936" s="37" t="s">
        <v>2</v>
      </c>
      <c r="B936" s="55">
        <v>44956.376516203702</v>
      </c>
      <c r="C936" s="38">
        <v>98500</v>
      </c>
    </row>
    <row r="937" spans="1:3" x14ac:dyDescent="0.3">
      <c r="A937" s="37" t="s">
        <v>2</v>
      </c>
      <c r="B937" s="55">
        <v>44957.875092592592</v>
      </c>
      <c r="C937" s="38">
        <v>82500</v>
      </c>
    </row>
    <row r="938" spans="1:3" x14ac:dyDescent="0.3">
      <c r="A938" s="37" t="s">
        <v>2</v>
      </c>
      <c r="B938" s="55">
        <v>44957.125034722223</v>
      </c>
      <c r="C938" s="38">
        <v>157500</v>
      </c>
    </row>
    <row r="939" spans="1:3" x14ac:dyDescent="0.3">
      <c r="A939" s="37" t="s">
        <v>2</v>
      </c>
      <c r="B939" s="55">
        <v>44929.771087962959</v>
      </c>
      <c r="C939" s="38">
        <v>54500</v>
      </c>
    </row>
    <row r="940" spans="1:3" x14ac:dyDescent="0.3">
      <c r="A940" s="37" t="s">
        <v>2</v>
      </c>
      <c r="B940" s="55">
        <v>44943.583541666667</v>
      </c>
      <c r="C940" s="38">
        <v>97500</v>
      </c>
    </row>
    <row r="941" spans="1:3" x14ac:dyDescent="0.3">
      <c r="A941" s="37" t="s">
        <v>2</v>
      </c>
      <c r="B941" s="55">
        <v>44936.846168981479</v>
      </c>
      <c r="C941" s="38">
        <v>113000</v>
      </c>
    </row>
    <row r="942" spans="1:3" x14ac:dyDescent="0.3">
      <c r="A942" s="37" t="s">
        <v>2</v>
      </c>
      <c r="B942" s="55">
        <v>44947.667060185187</v>
      </c>
      <c r="C942" s="38">
        <v>118162</v>
      </c>
    </row>
    <row r="943" spans="1:3" x14ac:dyDescent="0.3">
      <c r="A943" s="37" t="s">
        <v>2</v>
      </c>
      <c r="B943" s="55">
        <v>44937.615972222222</v>
      </c>
      <c r="C943" s="38"/>
    </row>
    <row r="944" spans="1:3" x14ac:dyDescent="0.3">
      <c r="A944" s="37" t="s">
        <v>2</v>
      </c>
      <c r="B944" s="55">
        <v>44952.336192129631</v>
      </c>
      <c r="C944" s="38">
        <v>115000</v>
      </c>
    </row>
    <row r="945" spans="1:3" x14ac:dyDescent="0.3">
      <c r="A945" s="37" t="s">
        <v>2</v>
      </c>
      <c r="B945" s="55">
        <v>44937.907731481479</v>
      </c>
      <c r="C945" s="38"/>
    </row>
    <row r="946" spans="1:3" x14ac:dyDescent="0.3">
      <c r="A946" s="37" t="s">
        <v>2</v>
      </c>
      <c r="B946" s="55">
        <v>44954.792916666673</v>
      </c>
      <c r="C946" s="38"/>
    </row>
    <row r="947" spans="1:3" x14ac:dyDescent="0.3">
      <c r="A947" s="37" t="s">
        <v>2</v>
      </c>
      <c r="B947" s="55">
        <v>44931.249907407408</v>
      </c>
      <c r="C947" s="38">
        <v>68328.546875</v>
      </c>
    </row>
    <row r="948" spans="1:3" x14ac:dyDescent="0.3">
      <c r="A948" s="37" t="s">
        <v>2</v>
      </c>
      <c r="B948" s="55">
        <v>44944.71775462963</v>
      </c>
      <c r="C948" s="38">
        <v>111175</v>
      </c>
    </row>
    <row r="949" spans="1:3" x14ac:dyDescent="0.3">
      <c r="A949" s="37" t="s">
        <v>2</v>
      </c>
      <c r="B949" s="55">
        <v>44944.709456018521</v>
      </c>
      <c r="C949" s="38"/>
    </row>
    <row r="950" spans="1:3" x14ac:dyDescent="0.3">
      <c r="A950" s="37" t="s">
        <v>2</v>
      </c>
      <c r="B950" s="55">
        <v>44929.893912037027</v>
      </c>
      <c r="C950" s="38">
        <v>127500</v>
      </c>
    </row>
    <row r="951" spans="1:3" x14ac:dyDescent="0.3">
      <c r="A951" s="37" t="s">
        <v>2</v>
      </c>
      <c r="B951" s="55">
        <v>44931.334733796299</v>
      </c>
      <c r="C951" s="38">
        <v>110000</v>
      </c>
    </row>
    <row r="952" spans="1:3" x14ac:dyDescent="0.3">
      <c r="A952" s="37" t="s">
        <v>2</v>
      </c>
      <c r="B952" s="55">
        <v>44945.928668981483</v>
      </c>
      <c r="C952" s="38"/>
    </row>
    <row r="953" spans="1:3" x14ac:dyDescent="0.3">
      <c r="A953" s="37" t="s">
        <v>2</v>
      </c>
      <c r="B953" s="55">
        <v>44938.333796296298</v>
      </c>
      <c r="C953" s="38">
        <v>71850</v>
      </c>
    </row>
    <row r="954" spans="1:3" x14ac:dyDescent="0.3">
      <c r="A954" s="37" t="s">
        <v>2</v>
      </c>
      <c r="B954" s="55">
        <v>44939.013680555552</v>
      </c>
      <c r="C954" s="38"/>
    </row>
    <row r="955" spans="1:3" x14ac:dyDescent="0.3">
      <c r="A955" s="37" t="s">
        <v>2</v>
      </c>
      <c r="B955" s="55">
        <v>44951.961631944447</v>
      </c>
      <c r="C955" s="38"/>
    </row>
    <row r="956" spans="1:3" x14ac:dyDescent="0.3">
      <c r="A956" s="37" t="s">
        <v>2</v>
      </c>
      <c r="B956" s="55">
        <v>44952.544409722221</v>
      </c>
      <c r="C956" s="38">
        <v>110000</v>
      </c>
    </row>
    <row r="957" spans="1:3" x14ac:dyDescent="0.3">
      <c r="A957" s="37" t="s">
        <v>2</v>
      </c>
      <c r="B957" s="55">
        <v>44939.791747685187</v>
      </c>
      <c r="C957" s="38"/>
    </row>
    <row r="958" spans="1:3" x14ac:dyDescent="0.3">
      <c r="A958" s="37" t="s">
        <v>2</v>
      </c>
      <c r="B958" s="55">
        <v>44931.66679398148</v>
      </c>
      <c r="C958" s="38">
        <v>65500.6640625</v>
      </c>
    </row>
    <row r="959" spans="1:3" x14ac:dyDescent="0.3">
      <c r="A959" s="37" t="s">
        <v>2</v>
      </c>
      <c r="B959" s="55">
        <v>44945.803668981483</v>
      </c>
      <c r="C959" s="38">
        <v>75000</v>
      </c>
    </row>
    <row r="960" spans="1:3" x14ac:dyDescent="0.3">
      <c r="A960" s="37" t="s">
        <v>2</v>
      </c>
      <c r="B960" s="55">
        <v>44931.9999537037</v>
      </c>
      <c r="C960" s="38"/>
    </row>
    <row r="961" spans="1:3" x14ac:dyDescent="0.3">
      <c r="A961" s="37" t="s">
        <v>2</v>
      </c>
      <c r="B961" s="55">
        <v>44949.585405092592</v>
      </c>
      <c r="C961" s="38">
        <v>105000</v>
      </c>
    </row>
    <row r="962" spans="1:3" x14ac:dyDescent="0.3">
      <c r="A962" s="37" t="s">
        <v>2</v>
      </c>
      <c r="B962" s="55">
        <v>44951.708865740737</v>
      </c>
      <c r="C962" s="38">
        <v>115000</v>
      </c>
    </row>
    <row r="963" spans="1:3" x14ac:dyDescent="0.3">
      <c r="A963" s="37" t="s">
        <v>2</v>
      </c>
      <c r="B963" s="55">
        <v>44951.833368055559</v>
      </c>
      <c r="C963" s="38"/>
    </row>
    <row r="964" spans="1:3" x14ac:dyDescent="0.3">
      <c r="A964" s="37" t="s">
        <v>2</v>
      </c>
      <c r="B964" s="55">
        <v>44935.750497685192</v>
      </c>
      <c r="C964" s="38">
        <v>102500</v>
      </c>
    </row>
    <row r="965" spans="1:3" x14ac:dyDescent="0.3">
      <c r="A965" s="37" t="s">
        <v>2</v>
      </c>
      <c r="B965" s="55">
        <v>44946.959282407413</v>
      </c>
      <c r="C965" s="38"/>
    </row>
    <row r="966" spans="1:3" x14ac:dyDescent="0.3">
      <c r="A966" s="37" t="s">
        <v>2</v>
      </c>
      <c r="B966" s="55">
        <v>44945.720405092587</v>
      </c>
      <c r="C966" s="38"/>
    </row>
    <row r="967" spans="1:3" x14ac:dyDescent="0.3">
      <c r="A967" s="37" t="s">
        <v>2</v>
      </c>
      <c r="B967" s="55">
        <v>44929.97928240741</v>
      </c>
      <c r="C967" s="38"/>
    </row>
    <row r="968" spans="1:3" x14ac:dyDescent="0.3">
      <c r="A968" s="37" t="s">
        <v>2</v>
      </c>
      <c r="B968" s="55">
        <v>44945.896574074082</v>
      </c>
      <c r="C968" s="38">
        <v>56745</v>
      </c>
    </row>
    <row r="969" spans="1:3" x14ac:dyDescent="0.3">
      <c r="A969" s="37" t="s">
        <v>2</v>
      </c>
      <c r="B969" s="55">
        <v>44930.06144675926</v>
      </c>
      <c r="C969" s="38">
        <v>90000</v>
      </c>
    </row>
    <row r="970" spans="1:3" x14ac:dyDescent="0.3">
      <c r="A970" s="37" t="s">
        <v>2</v>
      </c>
      <c r="B970" s="55">
        <v>44942.348506944443</v>
      </c>
      <c r="C970" s="38">
        <v>125000</v>
      </c>
    </row>
    <row r="971" spans="1:3" x14ac:dyDescent="0.3">
      <c r="A971" s="37" t="s">
        <v>2</v>
      </c>
      <c r="B971" s="55">
        <v>44933.583344907413</v>
      </c>
      <c r="C971" s="38">
        <v>64140</v>
      </c>
    </row>
    <row r="972" spans="1:3" x14ac:dyDescent="0.3">
      <c r="A972" s="37" t="s">
        <v>2</v>
      </c>
      <c r="B972" s="55">
        <v>44950.167615740742</v>
      </c>
      <c r="C972" s="38"/>
    </row>
    <row r="973" spans="1:3" x14ac:dyDescent="0.3">
      <c r="A973" s="37" t="s">
        <v>2</v>
      </c>
      <c r="B973" s="55">
        <v>44932.835196759261</v>
      </c>
      <c r="C973" s="38">
        <v>80000</v>
      </c>
    </row>
    <row r="974" spans="1:3" x14ac:dyDescent="0.3">
      <c r="A974" s="37" t="s">
        <v>2</v>
      </c>
      <c r="B974" s="55">
        <v>44954.019097222219</v>
      </c>
      <c r="C974" s="38"/>
    </row>
    <row r="975" spans="1:3" x14ac:dyDescent="0.3">
      <c r="A975" s="37" t="s">
        <v>2</v>
      </c>
      <c r="B975" s="55">
        <v>44940.667916666673</v>
      </c>
      <c r="C975" s="38"/>
    </row>
    <row r="976" spans="1:3" x14ac:dyDescent="0.3">
      <c r="A976" s="37" t="s">
        <v>2</v>
      </c>
      <c r="B976" s="55">
        <v>44952.459467592591</v>
      </c>
      <c r="C976" s="38"/>
    </row>
    <row r="977" spans="1:3" x14ac:dyDescent="0.3">
      <c r="A977" s="37" t="s">
        <v>2</v>
      </c>
      <c r="B977" s="55">
        <v>44931.624907407408</v>
      </c>
      <c r="C977" s="38"/>
    </row>
    <row r="978" spans="1:3" x14ac:dyDescent="0.3">
      <c r="A978" s="37" t="s">
        <v>2</v>
      </c>
      <c r="B978" s="55">
        <v>44942.666678240741</v>
      </c>
      <c r="C978" s="38"/>
    </row>
    <row r="979" spans="1:3" x14ac:dyDescent="0.3">
      <c r="A979" s="37" t="s">
        <v>2</v>
      </c>
      <c r="B979" s="55">
        <v>44956.001087962963</v>
      </c>
      <c r="C979" s="38"/>
    </row>
    <row r="980" spans="1:3" x14ac:dyDescent="0.3">
      <c r="A980" s="37" t="s">
        <v>2</v>
      </c>
      <c r="B980" s="55">
        <v>44944.960625</v>
      </c>
      <c r="C980" s="38">
        <v>55000</v>
      </c>
    </row>
    <row r="981" spans="1:3" x14ac:dyDescent="0.3">
      <c r="A981" s="37" t="s">
        <v>2</v>
      </c>
      <c r="B981" s="55">
        <v>44935.694699074083</v>
      </c>
      <c r="C981" s="38"/>
    </row>
    <row r="982" spans="1:3" x14ac:dyDescent="0.3">
      <c r="A982" s="37" t="s">
        <v>2</v>
      </c>
      <c r="B982" s="55">
        <v>44952.001377314817</v>
      </c>
      <c r="C982" s="38"/>
    </row>
    <row r="983" spans="1:3" x14ac:dyDescent="0.3">
      <c r="A983" s="37" t="s">
        <v>2</v>
      </c>
      <c r="B983" s="55">
        <v>44943.834155092591</v>
      </c>
      <c r="C983" s="38">
        <v>52500</v>
      </c>
    </row>
    <row r="984" spans="1:3" x14ac:dyDescent="0.3">
      <c r="A984" s="37" t="s">
        <v>2</v>
      </c>
      <c r="B984" s="55">
        <v>44943.015289351853</v>
      </c>
      <c r="C984" s="38">
        <v>55000</v>
      </c>
    </row>
    <row r="985" spans="1:3" x14ac:dyDescent="0.3">
      <c r="A985" s="37" t="s">
        <v>2</v>
      </c>
      <c r="B985" s="55">
        <v>44939.000787037039</v>
      </c>
      <c r="C985" s="38">
        <v>81350</v>
      </c>
    </row>
    <row r="986" spans="1:3" x14ac:dyDescent="0.3">
      <c r="A986" s="37" t="s">
        <v>2</v>
      </c>
      <c r="B986" s="55">
        <v>44930.019884259258</v>
      </c>
      <c r="C986" s="38"/>
    </row>
    <row r="987" spans="1:3" x14ac:dyDescent="0.3">
      <c r="A987" s="37" t="s">
        <v>2</v>
      </c>
      <c r="B987" s="55">
        <v>44944.834189814806</v>
      </c>
      <c r="C987" s="38"/>
    </row>
    <row r="988" spans="1:3" x14ac:dyDescent="0.3">
      <c r="A988" s="37" t="s">
        <v>2</v>
      </c>
      <c r="B988" s="55">
        <v>44932.792581018519</v>
      </c>
      <c r="C988" s="38">
        <v>92500</v>
      </c>
    </row>
    <row r="989" spans="1:3" x14ac:dyDescent="0.3">
      <c r="A989" s="37" t="s">
        <v>2</v>
      </c>
      <c r="B989" s="55">
        <v>44953.167245370372</v>
      </c>
      <c r="C989" s="38">
        <v>65037.5</v>
      </c>
    </row>
    <row r="990" spans="1:3" x14ac:dyDescent="0.3">
      <c r="A990" s="37" t="s">
        <v>2</v>
      </c>
      <c r="B990" s="55">
        <v>44951.583761574067</v>
      </c>
      <c r="C990" s="38"/>
    </row>
    <row r="991" spans="1:3" x14ac:dyDescent="0.3">
      <c r="A991" s="37" t="s">
        <v>2</v>
      </c>
      <c r="B991" s="55">
        <v>44935.625057870369</v>
      </c>
      <c r="C991" s="38"/>
    </row>
    <row r="992" spans="1:3" x14ac:dyDescent="0.3">
      <c r="A992" s="37" t="s">
        <v>2</v>
      </c>
      <c r="B992" s="55">
        <v>44945.637881944444</v>
      </c>
      <c r="C992" s="38">
        <v>75000</v>
      </c>
    </row>
    <row r="993" spans="1:3" x14ac:dyDescent="0.3">
      <c r="A993" s="37" t="s">
        <v>2</v>
      </c>
      <c r="B993" s="55">
        <v>44951.652002314811</v>
      </c>
      <c r="C993" s="38"/>
    </row>
    <row r="994" spans="1:3" x14ac:dyDescent="0.3">
      <c r="A994" s="37" t="s">
        <v>2</v>
      </c>
      <c r="B994" s="55">
        <v>44950.667905092603</v>
      </c>
      <c r="C994" s="38"/>
    </row>
    <row r="995" spans="1:3" x14ac:dyDescent="0.3">
      <c r="A995" s="37" t="s">
        <v>2</v>
      </c>
      <c r="B995" s="55">
        <v>44933.427569444437</v>
      </c>
      <c r="C995" s="38">
        <v>45000</v>
      </c>
    </row>
    <row r="996" spans="1:3" x14ac:dyDescent="0.3">
      <c r="A996" s="37" t="s">
        <v>2</v>
      </c>
      <c r="B996" s="55">
        <v>44931.667233796303</v>
      </c>
      <c r="C996" s="38">
        <v>95680</v>
      </c>
    </row>
    <row r="997" spans="1:3" x14ac:dyDescent="0.3">
      <c r="A997" s="37" t="s">
        <v>2</v>
      </c>
      <c r="B997" s="55">
        <v>44953.894085648149</v>
      </c>
      <c r="C997" s="38"/>
    </row>
    <row r="998" spans="1:3" x14ac:dyDescent="0.3">
      <c r="A998" s="37" t="s">
        <v>2</v>
      </c>
      <c r="B998" s="55">
        <v>44931.10728009259</v>
      </c>
      <c r="C998" s="38">
        <v>100500</v>
      </c>
    </row>
    <row r="999" spans="1:3" x14ac:dyDescent="0.3">
      <c r="A999" s="37" t="s">
        <v>2</v>
      </c>
      <c r="B999" s="55">
        <v>44928.220324074071</v>
      </c>
      <c r="C999" s="38">
        <v>90000</v>
      </c>
    </row>
    <row r="1000" spans="1:3" x14ac:dyDescent="0.3">
      <c r="A1000" s="37" t="s">
        <v>2</v>
      </c>
      <c r="B1000" s="55">
        <v>44949.874965277777</v>
      </c>
      <c r="C1000" s="38">
        <v>85000</v>
      </c>
    </row>
    <row r="1001" spans="1:3" x14ac:dyDescent="0.3">
      <c r="A1001" s="37" t="s">
        <v>2</v>
      </c>
      <c r="B1001" s="55">
        <v>44937.907465277778</v>
      </c>
      <c r="C1001" s="38">
        <v>52500</v>
      </c>
    </row>
    <row r="1002" spans="1:3" x14ac:dyDescent="0.3">
      <c r="A1002" s="37" t="s">
        <v>2</v>
      </c>
      <c r="B1002" s="55">
        <v>44951.335173611107</v>
      </c>
      <c r="C1002" s="38">
        <v>120710</v>
      </c>
    </row>
    <row r="1003" spans="1:3" x14ac:dyDescent="0.3">
      <c r="A1003" s="37" t="s">
        <v>2</v>
      </c>
      <c r="B1003" s="55">
        <v>44956.710069444453</v>
      </c>
      <c r="C1003" s="38">
        <v>82500</v>
      </c>
    </row>
    <row r="1004" spans="1:3" x14ac:dyDescent="0.3">
      <c r="A1004" s="37" t="s">
        <v>2</v>
      </c>
      <c r="B1004" s="55">
        <v>44952.000532407408</v>
      </c>
      <c r="C1004" s="38"/>
    </row>
    <row r="1005" spans="1:3" x14ac:dyDescent="0.3">
      <c r="A1005" s="37" t="s">
        <v>2</v>
      </c>
      <c r="B1005" s="55">
        <v>44945.845868055563</v>
      </c>
      <c r="C1005" s="38">
        <v>85000</v>
      </c>
    </row>
    <row r="1006" spans="1:3" x14ac:dyDescent="0.3">
      <c r="A1006" s="37" t="s">
        <v>2</v>
      </c>
      <c r="B1006" s="55">
        <v>44948.918298611112</v>
      </c>
      <c r="C1006" s="38">
        <v>65000</v>
      </c>
    </row>
    <row r="1007" spans="1:3" x14ac:dyDescent="0.3">
      <c r="A1007" s="37" t="s">
        <v>2</v>
      </c>
      <c r="B1007" s="55">
        <v>44948.999988425923</v>
      </c>
      <c r="C1007" s="38">
        <v>80000</v>
      </c>
    </row>
    <row r="1008" spans="1:3" x14ac:dyDescent="0.3">
      <c r="A1008" s="37" t="s">
        <v>2</v>
      </c>
      <c r="B1008" s="55">
        <v>44944.541805555556</v>
      </c>
      <c r="C1008" s="38">
        <v>142500</v>
      </c>
    </row>
    <row r="1009" spans="1:3" x14ac:dyDescent="0.3">
      <c r="A1009" s="37" t="s">
        <v>2</v>
      </c>
      <c r="B1009" s="55">
        <v>44935.583414351851</v>
      </c>
      <c r="C1009" s="38"/>
    </row>
    <row r="1010" spans="1:3" x14ac:dyDescent="0.3">
      <c r="A1010" s="37" t="s">
        <v>2</v>
      </c>
      <c r="B1010" s="55">
        <v>44946.013009259259</v>
      </c>
      <c r="C1010" s="38"/>
    </row>
    <row r="1011" spans="1:3" x14ac:dyDescent="0.3">
      <c r="A1011" s="37" t="s">
        <v>2</v>
      </c>
      <c r="B1011" s="55">
        <v>44932.750416666669</v>
      </c>
      <c r="C1011" s="38"/>
    </row>
    <row r="1012" spans="1:3" x14ac:dyDescent="0.3">
      <c r="A1012" s="37" t="s">
        <v>2</v>
      </c>
      <c r="B1012" s="55">
        <v>44953.583819444437</v>
      </c>
      <c r="C1012" s="38">
        <v>75500</v>
      </c>
    </row>
    <row r="1013" spans="1:3" x14ac:dyDescent="0.3">
      <c r="A1013" s="37" t="s">
        <v>2</v>
      </c>
      <c r="B1013" s="55">
        <v>44945.596192129633</v>
      </c>
      <c r="C1013" s="38"/>
    </row>
    <row r="1014" spans="1:3" x14ac:dyDescent="0.3">
      <c r="A1014" s="37" t="s">
        <v>2</v>
      </c>
      <c r="B1014" s="55">
        <v>44932.792604166672</v>
      </c>
      <c r="C1014" s="38">
        <v>95000</v>
      </c>
    </row>
    <row r="1015" spans="1:3" x14ac:dyDescent="0.3">
      <c r="A1015" s="37" t="s">
        <v>2</v>
      </c>
      <c r="B1015" s="55">
        <v>44943.959803240738</v>
      </c>
      <c r="C1015" s="38">
        <v>65000</v>
      </c>
    </row>
    <row r="1016" spans="1:3" x14ac:dyDescent="0.3">
      <c r="A1016" s="37" t="s">
        <v>2</v>
      </c>
      <c r="B1016" s="55">
        <v>44952.041770833333</v>
      </c>
      <c r="C1016" s="38">
        <v>56212.5</v>
      </c>
    </row>
    <row r="1017" spans="1:3" x14ac:dyDescent="0.3">
      <c r="A1017" s="37" t="s">
        <v>2</v>
      </c>
      <c r="B1017" s="55">
        <v>44933.749976851846</v>
      </c>
      <c r="C1017" s="38"/>
    </row>
    <row r="1018" spans="1:3" x14ac:dyDescent="0.3">
      <c r="A1018" s="37" t="s">
        <v>2</v>
      </c>
      <c r="B1018" s="55">
        <v>44942.42931712963</v>
      </c>
      <c r="C1018" s="38">
        <v>115000</v>
      </c>
    </row>
    <row r="1019" spans="1:3" x14ac:dyDescent="0.3">
      <c r="A1019" s="37" t="s">
        <v>2</v>
      </c>
      <c r="B1019" s="55">
        <v>44948.918171296304</v>
      </c>
      <c r="C1019" s="38">
        <v>65000</v>
      </c>
    </row>
    <row r="1020" spans="1:3" x14ac:dyDescent="0.3">
      <c r="A1020" s="37" t="s">
        <v>2</v>
      </c>
      <c r="B1020" s="55">
        <v>44949.001643518517</v>
      </c>
      <c r="C1020" s="38"/>
    </row>
    <row r="1021" spans="1:3" x14ac:dyDescent="0.3">
      <c r="A1021" s="37" t="s">
        <v>2</v>
      </c>
      <c r="B1021" s="55">
        <v>44950.958958333344</v>
      </c>
      <c r="C1021" s="38"/>
    </row>
    <row r="1022" spans="1:3" x14ac:dyDescent="0.3">
      <c r="A1022" s="37" t="s">
        <v>2</v>
      </c>
      <c r="B1022" s="55">
        <v>44941.998599537037</v>
      </c>
      <c r="C1022" s="38"/>
    </row>
    <row r="1023" spans="1:3" x14ac:dyDescent="0.3">
      <c r="A1023" s="37" t="s">
        <v>2</v>
      </c>
      <c r="B1023" s="55">
        <v>44931.710185185177</v>
      </c>
      <c r="C1023" s="38">
        <v>105000</v>
      </c>
    </row>
    <row r="1024" spans="1:3" x14ac:dyDescent="0.3">
      <c r="A1024" s="37" t="s">
        <v>2</v>
      </c>
      <c r="B1024" s="55">
        <v>44935.876863425918</v>
      </c>
      <c r="C1024" s="38"/>
    </row>
    <row r="1025" spans="1:3" x14ac:dyDescent="0.3">
      <c r="A1025" s="37" t="s">
        <v>2</v>
      </c>
      <c r="B1025" s="55">
        <v>44932.07130787037</v>
      </c>
      <c r="C1025" s="38">
        <v>56700</v>
      </c>
    </row>
    <row r="1026" spans="1:3" x14ac:dyDescent="0.3">
      <c r="A1026" s="37" t="s">
        <v>2</v>
      </c>
      <c r="B1026" s="55">
        <v>44930.061354166668</v>
      </c>
      <c r="C1026" s="38"/>
    </row>
    <row r="1027" spans="1:3" x14ac:dyDescent="0.3">
      <c r="A1027" s="37" t="s">
        <v>2</v>
      </c>
      <c r="B1027" s="55">
        <v>44949.001956018517</v>
      </c>
      <c r="C1027" s="38">
        <v>76579</v>
      </c>
    </row>
    <row r="1028" spans="1:3" x14ac:dyDescent="0.3">
      <c r="A1028" s="37" t="s">
        <v>2</v>
      </c>
      <c r="B1028" s="55">
        <v>44932.667627314811</v>
      </c>
      <c r="C1028" s="38">
        <v>115791.5</v>
      </c>
    </row>
    <row r="1029" spans="1:3" x14ac:dyDescent="0.3">
      <c r="A1029" s="37" t="s">
        <v>2</v>
      </c>
      <c r="B1029" s="55">
        <v>44929.980046296303</v>
      </c>
      <c r="C1029" s="38"/>
    </row>
    <row r="1030" spans="1:3" x14ac:dyDescent="0.3">
      <c r="A1030" s="37" t="s">
        <v>2</v>
      </c>
      <c r="B1030" s="55">
        <v>44946.542673611111</v>
      </c>
      <c r="C1030" s="38">
        <v>79928.40625</v>
      </c>
    </row>
    <row r="1031" spans="1:3" x14ac:dyDescent="0.3">
      <c r="A1031" s="37" t="s">
        <v>2</v>
      </c>
      <c r="B1031" s="55">
        <v>44951.081631944442</v>
      </c>
      <c r="C1031" s="38">
        <v>56500</v>
      </c>
    </row>
    <row r="1032" spans="1:3" x14ac:dyDescent="0.3">
      <c r="A1032" s="37" t="s">
        <v>2</v>
      </c>
      <c r="B1032" s="55">
        <v>44930.020601851851</v>
      </c>
      <c r="C1032" s="38"/>
    </row>
    <row r="1033" spans="1:3" x14ac:dyDescent="0.3">
      <c r="A1033" s="37" t="s">
        <v>4</v>
      </c>
      <c r="B1033" s="55">
        <v>44938.864351851851</v>
      </c>
      <c r="C1033" s="38">
        <v>98301.5</v>
      </c>
    </row>
    <row r="1034" spans="1:3" x14ac:dyDescent="0.3">
      <c r="A1034" s="37" t="s">
        <v>4</v>
      </c>
      <c r="B1034" s="55">
        <v>44939.798032407409</v>
      </c>
      <c r="C1034" s="38">
        <v>102500</v>
      </c>
    </row>
    <row r="1035" spans="1:3" x14ac:dyDescent="0.3">
      <c r="A1035" s="37" t="s">
        <v>4</v>
      </c>
      <c r="B1035" s="55">
        <v>44952.675335648149</v>
      </c>
      <c r="C1035" s="38">
        <v>75000</v>
      </c>
    </row>
    <row r="1036" spans="1:3" x14ac:dyDescent="0.3">
      <c r="A1036" s="37" t="s">
        <v>4</v>
      </c>
      <c r="B1036" s="55">
        <v>44944.634004629632</v>
      </c>
      <c r="C1036" s="38">
        <v>105000</v>
      </c>
    </row>
    <row r="1037" spans="1:3" x14ac:dyDescent="0.3">
      <c r="A1037" s="37" t="s">
        <v>4</v>
      </c>
      <c r="B1037" s="55">
        <v>44935.086574074077</v>
      </c>
      <c r="C1037" s="38">
        <v>90000</v>
      </c>
    </row>
    <row r="1038" spans="1:3" x14ac:dyDescent="0.3">
      <c r="A1038" s="37" t="s">
        <v>4</v>
      </c>
      <c r="B1038" s="55">
        <v>44952.328252314823</v>
      </c>
      <c r="C1038" s="38">
        <v>105000</v>
      </c>
    </row>
    <row r="1039" spans="1:3" x14ac:dyDescent="0.3">
      <c r="A1039" s="37" t="s">
        <v>4</v>
      </c>
      <c r="B1039" s="55">
        <v>44947.598182870373</v>
      </c>
      <c r="C1039" s="38">
        <v>164500</v>
      </c>
    </row>
    <row r="1040" spans="1:3" x14ac:dyDescent="0.3">
      <c r="A1040" s="37" t="s">
        <v>4</v>
      </c>
      <c r="B1040" s="55">
        <v>44951.975243055553</v>
      </c>
      <c r="C1040" s="38">
        <v>149874</v>
      </c>
    </row>
    <row r="1041" spans="1:3" x14ac:dyDescent="0.3">
      <c r="A1041" s="37" t="s">
        <v>4</v>
      </c>
      <c r="B1041" s="55">
        <v>44950.632337962961</v>
      </c>
      <c r="C1041" s="38">
        <v>155000</v>
      </c>
    </row>
    <row r="1042" spans="1:3" x14ac:dyDescent="0.3">
      <c r="A1042" s="37" t="s">
        <v>4</v>
      </c>
      <c r="B1042" s="55">
        <v>44941.582916666674</v>
      </c>
      <c r="C1042" s="38">
        <v>145000</v>
      </c>
    </row>
    <row r="1043" spans="1:3" x14ac:dyDescent="0.3">
      <c r="A1043" s="37" t="s">
        <v>4</v>
      </c>
      <c r="B1043" s="55">
        <v>44937.839039351849</v>
      </c>
      <c r="C1043" s="38">
        <v>147500</v>
      </c>
    </row>
    <row r="1044" spans="1:3" x14ac:dyDescent="0.3">
      <c r="A1044" s="37" t="s">
        <v>4</v>
      </c>
      <c r="B1044" s="55">
        <v>44935.862546296303</v>
      </c>
      <c r="C1044" s="38">
        <v>70000</v>
      </c>
    </row>
    <row r="1045" spans="1:3" x14ac:dyDescent="0.3">
      <c r="A1045" s="37" t="s">
        <v>4</v>
      </c>
      <c r="B1045" s="55">
        <v>44951.915694444448</v>
      </c>
      <c r="C1045" s="38">
        <v>125000</v>
      </c>
    </row>
    <row r="1046" spans="1:3" x14ac:dyDescent="0.3">
      <c r="A1046" s="37" t="s">
        <v>4</v>
      </c>
      <c r="B1046" s="55">
        <v>44932.797962962963</v>
      </c>
      <c r="C1046" s="38">
        <v>127500</v>
      </c>
    </row>
    <row r="1047" spans="1:3" x14ac:dyDescent="0.3">
      <c r="A1047" s="37" t="s">
        <v>4</v>
      </c>
      <c r="B1047" s="55">
        <v>44935.483148148152</v>
      </c>
      <c r="C1047" s="38">
        <v>150000</v>
      </c>
    </row>
    <row r="1048" spans="1:3" x14ac:dyDescent="0.3">
      <c r="A1048" s="37" t="s">
        <v>4</v>
      </c>
      <c r="B1048" s="55">
        <v>44956.797777777778</v>
      </c>
      <c r="C1048" s="38"/>
    </row>
    <row r="1049" spans="1:3" x14ac:dyDescent="0.3">
      <c r="A1049" s="37" t="s">
        <v>4</v>
      </c>
      <c r="B1049" s="55">
        <v>44928.505671296298</v>
      </c>
      <c r="C1049" s="38">
        <v>115000</v>
      </c>
    </row>
    <row r="1050" spans="1:3" x14ac:dyDescent="0.3">
      <c r="A1050" s="37" t="s">
        <v>4</v>
      </c>
      <c r="B1050" s="55">
        <v>44951.569363425922</v>
      </c>
      <c r="C1050" s="38">
        <v>155000</v>
      </c>
    </row>
    <row r="1051" spans="1:3" x14ac:dyDescent="0.3">
      <c r="A1051" s="37" t="s">
        <v>4</v>
      </c>
      <c r="B1051" s="55">
        <v>44936.048020833332</v>
      </c>
      <c r="C1051" s="38">
        <v>145000</v>
      </c>
    </row>
    <row r="1052" spans="1:3" x14ac:dyDescent="0.3">
      <c r="A1052" s="37" t="s">
        <v>4</v>
      </c>
      <c r="B1052" s="55">
        <v>44931.354224537034</v>
      </c>
      <c r="C1052" s="38">
        <v>90000</v>
      </c>
    </row>
    <row r="1053" spans="1:3" x14ac:dyDescent="0.3">
      <c r="A1053" s="37" t="s">
        <v>4</v>
      </c>
      <c r="B1053" s="55">
        <v>44936.710451388892</v>
      </c>
      <c r="C1053" s="38">
        <v>80000</v>
      </c>
    </row>
    <row r="1054" spans="1:3" x14ac:dyDescent="0.3">
      <c r="A1054" s="37" t="s">
        <v>4</v>
      </c>
      <c r="B1054" s="55">
        <v>44935.587939814817</v>
      </c>
      <c r="C1054" s="38">
        <v>140000</v>
      </c>
    </row>
    <row r="1055" spans="1:3" x14ac:dyDescent="0.3">
      <c r="A1055" s="37" t="s">
        <v>4</v>
      </c>
      <c r="B1055" s="55">
        <v>44957.67087962963</v>
      </c>
      <c r="C1055" s="38">
        <v>85000</v>
      </c>
    </row>
    <row r="1056" spans="1:3" x14ac:dyDescent="0.3">
      <c r="A1056" s="37" t="s">
        <v>4</v>
      </c>
      <c r="B1056" s="55">
        <v>44950.010266203702</v>
      </c>
      <c r="C1056" s="38">
        <v>124000</v>
      </c>
    </row>
    <row r="1057" spans="1:3" x14ac:dyDescent="0.3">
      <c r="A1057" s="37" t="s">
        <v>4</v>
      </c>
      <c r="B1057" s="55">
        <v>44930.879976851851</v>
      </c>
      <c r="C1057" s="38"/>
    </row>
    <row r="1058" spans="1:3" x14ac:dyDescent="0.3">
      <c r="A1058" s="37" t="s">
        <v>4</v>
      </c>
      <c r="B1058" s="55">
        <v>44957.587500000001</v>
      </c>
      <c r="C1058" s="38">
        <v>110000</v>
      </c>
    </row>
    <row r="1059" spans="1:3" x14ac:dyDescent="0.3">
      <c r="A1059" s="37" t="s">
        <v>4</v>
      </c>
      <c r="B1059" s="55">
        <v>44952.925127314818</v>
      </c>
      <c r="C1059" s="38">
        <v>165000</v>
      </c>
    </row>
    <row r="1060" spans="1:3" x14ac:dyDescent="0.3">
      <c r="A1060" s="37" t="s">
        <v>4</v>
      </c>
      <c r="B1060" s="55">
        <v>44932.186249999999</v>
      </c>
      <c r="C1060" s="38"/>
    </row>
    <row r="1061" spans="1:3" x14ac:dyDescent="0.3">
      <c r="A1061" s="37" t="s">
        <v>4</v>
      </c>
      <c r="B1061" s="55">
        <v>44928.63071759259</v>
      </c>
      <c r="C1061" s="38">
        <v>123600</v>
      </c>
    </row>
    <row r="1062" spans="1:3" x14ac:dyDescent="0.3">
      <c r="A1062" s="37" t="s">
        <v>4</v>
      </c>
      <c r="B1062" s="55">
        <v>44937.245046296302</v>
      </c>
      <c r="C1062" s="38">
        <v>147500</v>
      </c>
    </row>
    <row r="1063" spans="1:3" x14ac:dyDescent="0.3">
      <c r="A1063" s="37" t="s">
        <v>4</v>
      </c>
      <c r="B1063" s="55">
        <v>44953.674699074072</v>
      </c>
      <c r="C1063" s="38">
        <v>208114</v>
      </c>
    </row>
    <row r="1064" spans="1:3" x14ac:dyDescent="0.3">
      <c r="A1064" s="37" t="s">
        <v>4</v>
      </c>
      <c r="B1064" s="55">
        <v>44945.268379629633</v>
      </c>
      <c r="C1064" s="38">
        <v>175000</v>
      </c>
    </row>
    <row r="1065" spans="1:3" x14ac:dyDescent="0.3">
      <c r="A1065" s="37" t="s">
        <v>4</v>
      </c>
      <c r="B1065" s="55">
        <v>44929.733865740738</v>
      </c>
      <c r="C1065" s="38">
        <v>160000</v>
      </c>
    </row>
    <row r="1066" spans="1:3" x14ac:dyDescent="0.3">
      <c r="A1066" s="37" t="s">
        <v>4</v>
      </c>
      <c r="B1066" s="55">
        <v>44947.299097222232</v>
      </c>
      <c r="C1066" s="38">
        <v>165000</v>
      </c>
    </row>
    <row r="1067" spans="1:3" x14ac:dyDescent="0.3">
      <c r="A1067" s="37" t="s">
        <v>4</v>
      </c>
      <c r="B1067" s="55">
        <v>44937.840810185182</v>
      </c>
      <c r="C1067" s="38">
        <v>127500</v>
      </c>
    </row>
    <row r="1068" spans="1:3" x14ac:dyDescent="0.3">
      <c r="A1068" s="37" t="s">
        <v>4</v>
      </c>
      <c r="B1068" s="55">
        <v>44929.900034722217</v>
      </c>
      <c r="C1068" s="38">
        <v>160000</v>
      </c>
    </row>
    <row r="1069" spans="1:3" x14ac:dyDescent="0.3">
      <c r="A1069" s="37" t="s">
        <v>4</v>
      </c>
      <c r="B1069" s="55">
        <v>44935.737673611111</v>
      </c>
      <c r="C1069" s="38"/>
    </row>
    <row r="1070" spans="1:3" x14ac:dyDescent="0.3">
      <c r="A1070" s="37" t="s">
        <v>4</v>
      </c>
      <c r="B1070" s="55">
        <v>44956.674490740741</v>
      </c>
      <c r="C1070" s="38">
        <v>147500</v>
      </c>
    </row>
    <row r="1071" spans="1:3" x14ac:dyDescent="0.3">
      <c r="A1071" s="37" t="s">
        <v>4</v>
      </c>
      <c r="B1071" s="55">
        <v>44955.588831018518</v>
      </c>
      <c r="C1071" s="38">
        <v>125000</v>
      </c>
    </row>
    <row r="1072" spans="1:3" x14ac:dyDescent="0.3">
      <c r="A1072" s="37" t="s">
        <v>4</v>
      </c>
      <c r="B1072" s="55">
        <v>44929.019826388889</v>
      </c>
      <c r="C1072" s="38">
        <v>98301.5</v>
      </c>
    </row>
    <row r="1073" spans="1:3" x14ac:dyDescent="0.3">
      <c r="A1073" s="37" t="s">
        <v>4</v>
      </c>
      <c r="B1073" s="55">
        <v>44953.716400462959</v>
      </c>
      <c r="C1073" s="38">
        <v>90000</v>
      </c>
    </row>
    <row r="1074" spans="1:3" x14ac:dyDescent="0.3">
      <c r="A1074" s="37" t="s">
        <v>4</v>
      </c>
      <c r="B1074" s="55">
        <v>44932.838831018518</v>
      </c>
      <c r="C1074" s="38">
        <v>102500</v>
      </c>
    </row>
    <row r="1075" spans="1:3" x14ac:dyDescent="0.3">
      <c r="A1075" s="37" t="s">
        <v>4</v>
      </c>
      <c r="B1075" s="55">
        <v>44930.652777777781</v>
      </c>
      <c r="C1075" s="38">
        <v>120000</v>
      </c>
    </row>
    <row r="1076" spans="1:3" x14ac:dyDescent="0.3">
      <c r="A1076" s="37" t="s">
        <v>4</v>
      </c>
      <c r="B1076" s="55">
        <v>44935.695787037039</v>
      </c>
      <c r="C1076" s="38">
        <v>120000</v>
      </c>
    </row>
    <row r="1077" spans="1:3" x14ac:dyDescent="0.3">
      <c r="A1077" s="37" t="s">
        <v>4</v>
      </c>
      <c r="B1077" s="55">
        <v>44946.978530092587</v>
      </c>
      <c r="C1077" s="38">
        <v>160060.234375</v>
      </c>
    </row>
    <row r="1078" spans="1:3" x14ac:dyDescent="0.3">
      <c r="A1078" s="37" t="s">
        <v>4</v>
      </c>
      <c r="B1078" s="55">
        <v>44943.546793981477</v>
      </c>
      <c r="C1078" s="38">
        <v>90000</v>
      </c>
    </row>
    <row r="1079" spans="1:3" x14ac:dyDescent="0.3">
      <c r="A1079" s="37" t="s">
        <v>4</v>
      </c>
      <c r="B1079" s="55">
        <v>44936.401666666658</v>
      </c>
      <c r="C1079" s="38">
        <v>147500</v>
      </c>
    </row>
    <row r="1080" spans="1:3" x14ac:dyDescent="0.3">
      <c r="A1080" s="37" t="s">
        <v>4</v>
      </c>
      <c r="B1080" s="55">
        <v>44935.320625</v>
      </c>
      <c r="C1080" s="38">
        <v>127500</v>
      </c>
    </row>
    <row r="1081" spans="1:3" x14ac:dyDescent="0.3">
      <c r="A1081" s="37" t="s">
        <v>4</v>
      </c>
      <c r="B1081" s="55">
        <v>44950.299131944441</v>
      </c>
      <c r="C1081" s="38">
        <v>90000</v>
      </c>
    </row>
    <row r="1082" spans="1:3" x14ac:dyDescent="0.3">
      <c r="A1082" s="37" t="s">
        <v>4</v>
      </c>
      <c r="B1082" s="55">
        <v>44946.47729166667</v>
      </c>
      <c r="C1082" s="38">
        <v>96500</v>
      </c>
    </row>
    <row r="1083" spans="1:3" x14ac:dyDescent="0.3">
      <c r="A1083" s="37" t="s">
        <v>4</v>
      </c>
      <c r="B1083" s="55">
        <v>44957.13</v>
      </c>
      <c r="C1083" s="38">
        <v>112500</v>
      </c>
    </row>
    <row r="1084" spans="1:3" x14ac:dyDescent="0.3">
      <c r="A1084" s="37" t="s">
        <v>4</v>
      </c>
      <c r="B1084" s="55">
        <v>44933.262465277781</v>
      </c>
      <c r="C1084" s="38">
        <v>98301.5</v>
      </c>
    </row>
    <row r="1085" spans="1:3" x14ac:dyDescent="0.3">
      <c r="A1085" s="37" t="s">
        <v>4</v>
      </c>
      <c r="B1085" s="55">
        <v>44928.462187500001</v>
      </c>
      <c r="C1085" s="38">
        <v>150000</v>
      </c>
    </row>
    <row r="1086" spans="1:3" x14ac:dyDescent="0.3">
      <c r="A1086" s="37" t="s">
        <v>4</v>
      </c>
      <c r="B1086" s="55">
        <v>44951.540763888886</v>
      </c>
      <c r="C1086" s="38">
        <v>125000</v>
      </c>
    </row>
    <row r="1087" spans="1:3" x14ac:dyDescent="0.3">
      <c r="A1087" s="37" t="s">
        <v>4</v>
      </c>
      <c r="B1087" s="55">
        <v>44928.304479166669</v>
      </c>
      <c r="C1087" s="38">
        <v>125000</v>
      </c>
    </row>
    <row r="1088" spans="1:3" x14ac:dyDescent="0.3">
      <c r="A1088" s="37" t="s">
        <v>4</v>
      </c>
      <c r="B1088" s="55">
        <v>44954.50540509259</v>
      </c>
      <c r="C1088" s="38">
        <v>90000</v>
      </c>
    </row>
    <row r="1089" spans="1:3" x14ac:dyDescent="0.3">
      <c r="A1089" s="37" t="s">
        <v>4</v>
      </c>
      <c r="B1089" s="55">
        <v>44937.267187500001</v>
      </c>
      <c r="C1089" s="38">
        <v>125000</v>
      </c>
    </row>
    <row r="1090" spans="1:3" x14ac:dyDescent="0.3">
      <c r="A1090" s="37" t="s">
        <v>4</v>
      </c>
      <c r="B1090" s="55">
        <v>44933.503587962958</v>
      </c>
      <c r="C1090" s="38">
        <v>98301.5</v>
      </c>
    </row>
    <row r="1091" spans="1:3" x14ac:dyDescent="0.3">
      <c r="A1091" s="37" t="s">
        <v>4</v>
      </c>
      <c r="B1091" s="55">
        <v>44955.840497685182</v>
      </c>
      <c r="C1091" s="38">
        <v>160000</v>
      </c>
    </row>
    <row r="1092" spans="1:3" x14ac:dyDescent="0.3">
      <c r="A1092" s="37" t="s">
        <v>4</v>
      </c>
      <c r="B1092" s="55">
        <v>44956.673125000001</v>
      </c>
      <c r="C1092" s="38"/>
    </row>
    <row r="1093" spans="1:3" x14ac:dyDescent="0.3">
      <c r="A1093" s="37" t="s">
        <v>4</v>
      </c>
      <c r="B1093" s="55">
        <v>44930.673645833333</v>
      </c>
      <c r="C1093" s="38">
        <v>115000</v>
      </c>
    </row>
    <row r="1094" spans="1:3" x14ac:dyDescent="0.3">
      <c r="A1094" s="37" t="s">
        <v>4</v>
      </c>
      <c r="B1094" s="55">
        <v>44930.707199074073</v>
      </c>
      <c r="C1094" s="38"/>
    </row>
    <row r="1095" spans="1:3" x14ac:dyDescent="0.3">
      <c r="A1095" s="37" t="s">
        <v>4</v>
      </c>
      <c r="B1095" s="55">
        <v>44949.796620370369</v>
      </c>
      <c r="C1095" s="38">
        <v>90000</v>
      </c>
    </row>
    <row r="1096" spans="1:3" x14ac:dyDescent="0.3">
      <c r="A1096" s="37" t="s">
        <v>4</v>
      </c>
      <c r="B1096" s="55">
        <v>44936.83390046296</v>
      </c>
      <c r="C1096" s="38">
        <v>50000</v>
      </c>
    </row>
    <row r="1097" spans="1:3" x14ac:dyDescent="0.3">
      <c r="A1097" s="37" t="s">
        <v>4</v>
      </c>
      <c r="B1097" s="55">
        <v>44937.924803240741</v>
      </c>
      <c r="C1097" s="38">
        <v>172500</v>
      </c>
    </row>
    <row r="1098" spans="1:3" x14ac:dyDescent="0.3">
      <c r="A1098" s="37" t="s">
        <v>4</v>
      </c>
      <c r="B1098" s="55">
        <v>44937.32539351852</v>
      </c>
      <c r="C1098" s="38">
        <v>105000</v>
      </c>
    </row>
    <row r="1099" spans="1:3" x14ac:dyDescent="0.3">
      <c r="A1099" s="37" t="s">
        <v>4</v>
      </c>
      <c r="B1099" s="55">
        <v>44936.517025462963</v>
      </c>
      <c r="C1099" s="38">
        <v>144481.5</v>
      </c>
    </row>
    <row r="1100" spans="1:3" x14ac:dyDescent="0.3">
      <c r="A1100" s="37" t="s">
        <v>4</v>
      </c>
      <c r="B1100" s="55">
        <v>44944.908668981479</v>
      </c>
      <c r="C1100" s="38">
        <v>110000</v>
      </c>
    </row>
    <row r="1101" spans="1:3" x14ac:dyDescent="0.3">
      <c r="A1101" s="37" t="s">
        <v>4</v>
      </c>
      <c r="B1101" s="55">
        <v>44951.138865740737</v>
      </c>
      <c r="C1101" s="38">
        <v>147500</v>
      </c>
    </row>
    <row r="1102" spans="1:3" x14ac:dyDescent="0.3">
      <c r="A1102" s="37" t="s">
        <v>4</v>
      </c>
      <c r="B1102" s="55">
        <v>44936.309976851851</v>
      </c>
      <c r="C1102" s="38">
        <v>115000</v>
      </c>
    </row>
    <row r="1103" spans="1:3" x14ac:dyDescent="0.3">
      <c r="A1103" s="37" t="s">
        <v>4</v>
      </c>
      <c r="B1103" s="55">
        <v>44942.947222222218</v>
      </c>
      <c r="C1103" s="38"/>
    </row>
    <row r="1104" spans="1:3" x14ac:dyDescent="0.3">
      <c r="A1104" s="37" t="s">
        <v>4</v>
      </c>
      <c r="B1104" s="55">
        <v>44942.349629629629</v>
      </c>
      <c r="C1104" s="38">
        <v>175000</v>
      </c>
    </row>
    <row r="1105" spans="1:3" x14ac:dyDescent="0.3">
      <c r="A1105" s="37" t="s">
        <v>4</v>
      </c>
      <c r="B1105" s="55">
        <v>44939.298518518517</v>
      </c>
      <c r="C1105" s="38">
        <v>115000</v>
      </c>
    </row>
    <row r="1106" spans="1:3" x14ac:dyDescent="0.3">
      <c r="A1106" s="37" t="s">
        <v>4</v>
      </c>
      <c r="B1106" s="55">
        <v>44949.756608796299</v>
      </c>
      <c r="C1106" s="38"/>
    </row>
    <row r="1107" spans="1:3" x14ac:dyDescent="0.3">
      <c r="A1107" s="37" t="s">
        <v>4</v>
      </c>
      <c r="B1107" s="55">
        <v>44931.896701388891</v>
      </c>
      <c r="C1107" s="38">
        <v>157500</v>
      </c>
    </row>
    <row r="1108" spans="1:3" x14ac:dyDescent="0.3">
      <c r="A1108" s="37" t="s">
        <v>4</v>
      </c>
      <c r="B1108" s="55">
        <v>44954.683645833327</v>
      </c>
      <c r="C1108" s="38">
        <v>133900</v>
      </c>
    </row>
    <row r="1109" spans="1:3" x14ac:dyDescent="0.3">
      <c r="A1109" s="37" t="s">
        <v>4</v>
      </c>
      <c r="B1109" s="55">
        <v>44942.216319444437</v>
      </c>
      <c r="C1109" s="38">
        <v>125000</v>
      </c>
    </row>
    <row r="1110" spans="1:3" x14ac:dyDescent="0.3">
      <c r="A1110" s="37" t="s">
        <v>4</v>
      </c>
      <c r="B1110" s="55">
        <v>44939.009039351848</v>
      </c>
      <c r="C1110" s="38">
        <v>120000</v>
      </c>
    </row>
    <row r="1111" spans="1:3" x14ac:dyDescent="0.3">
      <c r="A1111" s="37" t="s">
        <v>4</v>
      </c>
      <c r="B1111" s="55">
        <v>44930.772835648153</v>
      </c>
      <c r="C1111" s="38">
        <v>160000</v>
      </c>
    </row>
    <row r="1112" spans="1:3" x14ac:dyDescent="0.3">
      <c r="A1112" s="37" t="s">
        <v>4</v>
      </c>
      <c r="B1112" s="55">
        <v>44942.000532407408</v>
      </c>
      <c r="C1112" s="38"/>
    </row>
    <row r="1113" spans="1:3" x14ac:dyDescent="0.3">
      <c r="A1113" s="37" t="s">
        <v>4</v>
      </c>
      <c r="B1113" s="55">
        <v>44932.613703703697</v>
      </c>
      <c r="C1113" s="38">
        <v>96760.5</v>
      </c>
    </row>
    <row r="1114" spans="1:3" x14ac:dyDescent="0.3">
      <c r="A1114" s="37" t="s">
        <v>4</v>
      </c>
      <c r="B1114" s="55">
        <v>44938.881585648152</v>
      </c>
      <c r="C1114" s="38">
        <v>98301.5</v>
      </c>
    </row>
    <row r="1115" spans="1:3" x14ac:dyDescent="0.3">
      <c r="A1115" s="37" t="s">
        <v>4</v>
      </c>
      <c r="B1115" s="55">
        <v>44942.132557870369</v>
      </c>
      <c r="C1115" s="38">
        <v>140000</v>
      </c>
    </row>
    <row r="1116" spans="1:3" x14ac:dyDescent="0.3">
      <c r="A1116" s="37" t="s">
        <v>4</v>
      </c>
      <c r="B1116" s="55">
        <v>44949.006041666667</v>
      </c>
      <c r="C1116" s="38">
        <v>214000</v>
      </c>
    </row>
    <row r="1117" spans="1:3" x14ac:dyDescent="0.3">
      <c r="A1117" s="37" t="s">
        <v>4</v>
      </c>
      <c r="B1117" s="55">
        <v>44940.546678240738</v>
      </c>
      <c r="C1117" s="38">
        <v>119037.5</v>
      </c>
    </row>
    <row r="1118" spans="1:3" x14ac:dyDescent="0.3">
      <c r="A1118" s="37" t="s">
        <v>4</v>
      </c>
      <c r="B1118" s="55">
        <v>44955.573020833333</v>
      </c>
      <c r="C1118" s="38">
        <v>215000</v>
      </c>
    </row>
    <row r="1119" spans="1:3" x14ac:dyDescent="0.3">
      <c r="A1119" s="37" t="s">
        <v>4</v>
      </c>
      <c r="B1119" s="55">
        <v>44954.625497685192</v>
      </c>
      <c r="C1119" s="38">
        <v>249000</v>
      </c>
    </row>
    <row r="1120" spans="1:3" x14ac:dyDescent="0.3">
      <c r="A1120" s="37" t="s">
        <v>4</v>
      </c>
      <c r="B1120" s="55">
        <v>44934.018726851849</v>
      </c>
      <c r="C1120" s="38">
        <v>112500</v>
      </c>
    </row>
    <row r="1121" spans="1:3" x14ac:dyDescent="0.3">
      <c r="A1121" s="37" t="s">
        <v>4</v>
      </c>
      <c r="B1121" s="55">
        <v>44935.712962962964</v>
      </c>
      <c r="C1121" s="38">
        <v>130000</v>
      </c>
    </row>
    <row r="1122" spans="1:3" x14ac:dyDescent="0.3">
      <c r="A1122" s="37" t="s">
        <v>4</v>
      </c>
      <c r="B1122" s="55">
        <v>44952.826469907413</v>
      </c>
      <c r="C1122" s="38">
        <v>155000</v>
      </c>
    </row>
    <row r="1123" spans="1:3" x14ac:dyDescent="0.3">
      <c r="A1123" s="37" t="s">
        <v>4</v>
      </c>
      <c r="B1123" s="55">
        <v>44957.481770833343</v>
      </c>
      <c r="C1123" s="38">
        <v>175000</v>
      </c>
    </row>
    <row r="1124" spans="1:3" x14ac:dyDescent="0.3">
      <c r="A1124" s="37" t="s">
        <v>4</v>
      </c>
      <c r="B1124" s="55">
        <v>44954.723009259258</v>
      </c>
      <c r="C1124" s="38">
        <v>145000</v>
      </c>
    </row>
    <row r="1125" spans="1:3" x14ac:dyDescent="0.3">
      <c r="A1125" s="37" t="s">
        <v>4</v>
      </c>
      <c r="B1125" s="55">
        <v>44950.707858796297</v>
      </c>
      <c r="C1125" s="38">
        <v>131000</v>
      </c>
    </row>
    <row r="1126" spans="1:3" x14ac:dyDescent="0.3">
      <c r="A1126" s="37" t="s">
        <v>4</v>
      </c>
      <c r="B1126" s="55">
        <v>44938.383032407408</v>
      </c>
      <c r="C1126" s="38">
        <v>90000</v>
      </c>
    </row>
    <row r="1127" spans="1:3" x14ac:dyDescent="0.3">
      <c r="A1127" s="37" t="s">
        <v>4</v>
      </c>
      <c r="B1127" s="55">
        <v>44957.857835648138</v>
      </c>
      <c r="C1127" s="38">
        <v>151000</v>
      </c>
    </row>
    <row r="1128" spans="1:3" x14ac:dyDescent="0.3">
      <c r="A1128" s="37" t="s">
        <v>4</v>
      </c>
      <c r="B1128" s="55">
        <v>44944.630983796298</v>
      </c>
      <c r="C1128" s="38">
        <v>117500</v>
      </c>
    </row>
    <row r="1129" spans="1:3" x14ac:dyDescent="0.3">
      <c r="A1129" s="37" t="s">
        <v>4</v>
      </c>
      <c r="B1129" s="55">
        <v>44931.065636574072</v>
      </c>
      <c r="C1129" s="38">
        <v>96760.5</v>
      </c>
    </row>
    <row r="1130" spans="1:3" x14ac:dyDescent="0.3">
      <c r="A1130" s="37" t="s">
        <v>4</v>
      </c>
      <c r="B1130" s="55">
        <v>44945.539236111108</v>
      </c>
      <c r="C1130" s="38">
        <v>98283</v>
      </c>
    </row>
    <row r="1131" spans="1:3" x14ac:dyDescent="0.3">
      <c r="A1131" s="37" t="s">
        <v>4</v>
      </c>
      <c r="B1131" s="55">
        <v>44933.795624999999</v>
      </c>
      <c r="C1131" s="38">
        <v>193562.5</v>
      </c>
    </row>
    <row r="1132" spans="1:3" x14ac:dyDescent="0.3">
      <c r="A1132" s="37" t="s">
        <v>4</v>
      </c>
      <c r="B1132" s="55">
        <v>44940.507743055547</v>
      </c>
      <c r="C1132" s="38">
        <v>90000</v>
      </c>
    </row>
    <row r="1133" spans="1:3" x14ac:dyDescent="0.3">
      <c r="A1133" s="37" t="s">
        <v>4</v>
      </c>
      <c r="B1133" s="55">
        <v>44953.078263888892</v>
      </c>
      <c r="C1133" s="38"/>
    </row>
    <row r="1134" spans="1:3" x14ac:dyDescent="0.3">
      <c r="A1134" s="37" t="s">
        <v>4</v>
      </c>
      <c r="B1134" s="55">
        <v>44930.923298611109</v>
      </c>
      <c r="C1134" s="38">
        <v>105000</v>
      </c>
    </row>
    <row r="1135" spans="1:3" x14ac:dyDescent="0.3">
      <c r="A1135" s="37" t="s">
        <v>4</v>
      </c>
      <c r="B1135" s="55">
        <v>44933.79378472222</v>
      </c>
      <c r="C1135" s="38">
        <v>80000</v>
      </c>
    </row>
    <row r="1136" spans="1:3" x14ac:dyDescent="0.3">
      <c r="A1136" s="37" t="s">
        <v>4</v>
      </c>
      <c r="B1136" s="55">
        <v>44929.699664351851</v>
      </c>
      <c r="C1136" s="38">
        <v>98301.5</v>
      </c>
    </row>
    <row r="1137" spans="1:3" x14ac:dyDescent="0.3">
      <c r="A1137" s="37" t="s">
        <v>4</v>
      </c>
      <c r="B1137" s="55">
        <v>44954.434814814813</v>
      </c>
      <c r="C1137" s="38">
        <v>140000</v>
      </c>
    </row>
    <row r="1138" spans="1:3" x14ac:dyDescent="0.3">
      <c r="A1138" s="37" t="s">
        <v>4</v>
      </c>
      <c r="B1138" s="55">
        <v>44947.208032407398</v>
      </c>
      <c r="C1138" s="38">
        <v>147500</v>
      </c>
    </row>
    <row r="1139" spans="1:3" x14ac:dyDescent="0.3">
      <c r="A1139" s="37" t="s">
        <v>4</v>
      </c>
      <c r="B1139" s="55">
        <v>44957.410567129627</v>
      </c>
      <c r="C1139" s="38">
        <v>89100</v>
      </c>
    </row>
    <row r="1140" spans="1:3" x14ac:dyDescent="0.3">
      <c r="A1140" s="37" t="s">
        <v>4</v>
      </c>
      <c r="B1140" s="55">
        <v>44939.506412037037</v>
      </c>
      <c r="C1140" s="38">
        <v>122500</v>
      </c>
    </row>
    <row r="1141" spans="1:3" x14ac:dyDescent="0.3">
      <c r="A1141" s="37" t="s">
        <v>4</v>
      </c>
      <c r="B1141" s="55">
        <v>44951.173726851863</v>
      </c>
      <c r="C1141" s="38">
        <v>110000</v>
      </c>
    </row>
    <row r="1142" spans="1:3" x14ac:dyDescent="0.3">
      <c r="A1142" s="37" t="s">
        <v>4</v>
      </c>
      <c r="B1142" s="55">
        <v>44933.049398148149</v>
      </c>
      <c r="C1142" s="38">
        <v>105000</v>
      </c>
    </row>
    <row r="1143" spans="1:3" x14ac:dyDescent="0.3">
      <c r="A1143" s="37" t="s">
        <v>4</v>
      </c>
      <c r="B1143" s="55">
        <v>44944.672476851847</v>
      </c>
      <c r="C1143" s="38">
        <v>99800</v>
      </c>
    </row>
    <row r="1144" spans="1:3" x14ac:dyDescent="0.3">
      <c r="A1144" s="37" t="s">
        <v>4</v>
      </c>
      <c r="B1144" s="55">
        <v>44944.923055555562</v>
      </c>
      <c r="C1144" s="38"/>
    </row>
    <row r="1145" spans="1:3" x14ac:dyDescent="0.3">
      <c r="A1145" s="37" t="s">
        <v>4</v>
      </c>
      <c r="B1145" s="55">
        <v>44953.423344907409</v>
      </c>
      <c r="C1145" s="38">
        <v>200000</v>
      </c>
    </row>
    <row r="1146" spans="1:3" x14ac:dyDescent="0.3">
      <c r="A1146" s="37" t="s">
        <v>4</v>
      </c>
      <c r="B1146" s="55">
        <v>44953.423900462964</v>
      </c>
      <c r="C1146" s="38">
        <v>200000</v>
      </c>
    </row>
    <row r="1147" spans="1:3" x14ac:dyDescent="0.3">
      <c r="A1147" s="37" t="s">
        <v>4</v>
      </c>
      <c r="B1147" s="55">
        <v>44930.150821759264</v>
      </c>
      <c r="C1147" s="38">
        <v>105000</v>
      </c>
    </row>
    <row r="1148" spans="1:3" x14ac:dyDescent="0.3">
      <c r="A1148" s="37" t="s">
        <v>4</v>
      </c>
      <c r="B1148" s="55">
        <v>44930.688356481478</v>
      </c>
      <c r="C1148" s="38">
        <v>106256.8984375</v>
      </c>
    </row>
    <row r="1149" spans="1:3" x14ac:dyDescent="0.3">
      <c r="A1149" s="37" t="s">
        <v>4</v>
      </c>
      <c r="B1149" s="55">
        <v>44948.715138888889</v>
      </c>
      <c r="C1149" s="38">
        <v>58926</v>
      </c>
    </row>
    <row r="1150" spans="1:3" x14ac:dyDescent="0.3">
      <c r="A1150" s="37" t="s">
        <v>4</v>
      </c>
      <c r="B1150" s="55">
        <v>44951.934108796297</v>
      </c>
      <c r="C1150" s="38">
        <v>105000</v>
      </c>
    </row>
    <row r="1151" spans="1:3" x14ac:dyDescent="0.3">
      <c r="A1151" s="37" t="s">
        <v>4</v>
      </c>
      <c r="B1151" s="55">
        <v>44946.357546296298</v>
      </c>
      <c r="C1151" s="38">
        <v>105000</v>
      </c>
    </row>
    <row r="1152" spans="1:3" x14ac:dyDescent="0.3">
      <c r="A1152" s="37" t="s">
        <v>4</v>
      </c>
      <c r="B1152" s="55">
        <v>44956.523541666669</v>
      </c>
      <c r="C1152" s="38">
        <v>64800</v>
      </c>
    </row>
    <row r="1153" spans="1:3" x14ac:dyDescent="0.3">
      <c r="A1153" s="37" t="s">
        <v>4</v>
      </c>
      <c r="B1153" s="55">
        <v>44936.807592592602</v>
      </c>
      <c r="C1153" s="38"/>
    </row>
    <row r="1154" spans="1:3" x14ac:dyDescent="0.3">
      <c r="A1154" s="37" t="s">
        <v>4</v>
      </c>
      <c r="B1154" s="55">
        <v>44939.340231481481</v>
      </c>
      <c r="C1154" s="38">
        <v>190950</v>
      </c>
    </row>
    <row r="1155" spans="1:3" x14ac:dyDescent="0.3">
      <c r="A1155" s="37" t="s">
        <v>4</v>
      </c>
      <c r="B1155" s="55">
        <v>44931.705439814818</v>
      </c>
      <c r="C1155" s="38">
        <v>122500</v>
      </c>
    </row>
    <row r="1156" spans="1:3" x14ac:dyDescent="0.3">
      <c r="A1156" s="37" t="s">
        <v>4</v>
      </c>
      <c r="B1156" s="55">
        <v>44934.628321759257</v>
      </c>
      <c r="C1156" s="38">
        <v>245000</v>
      </c>
    </row>
    <row r="1157" spans="1:3" x14ac:dyDescent="0.3">
      <c r="A1157" s="37" t="s">
        <v>4</v>
      </c>
      <c r="B1157" s="55">
        <v>44927.603090277778</v>
      </c>
      <c r="C1157" s="38">
        <v>165000</v>
      </c>
    </row>
    <row r="1158" spans="1:3" x14ac:dyDescent="0.3">
      <c r="A1158" s="37" t="s">
        <v>4</v>
      </c>
      <c r="B1158" s="55">
        <v>44938.422696759262</v>
      </c>
      <c r="C1158" s="38">
        <v>133000</v>
      </c>
    </row>
    <row r="1159" spans="1:3" x14ac:dyDescent="0.3">
      <c r="A1159" s="37" t="s">
        <v>4</v>
      </c>
      <c r="B1159" s="55">
        <v>44943.353842592587</v>
      </c>
      <c r="C1159" s="38">
        <v>98283</v>
      </c>
    </row>
    <row r="1160" spans="1:3" x14ac:dyDescent="0.3">
      <c r="A1160" s="37" t="s">
        <v>4</v>
      </c>
      <c r="B1160" s="55">
        <v>44957.048495370371</v>
      </c>
      <c r="C1160" s="38"/>
    </row>
    <row r="1161" spans="1:3" x14ac:dyDescent="0.3">
      <c r="A1161" s="37" t="s">
        <v>4</v>
      </c>
      <c r="B1161" s="55">
        <v>44928.546041666668</v>
      </c>
      <c r="C1161" s="38"/>
    </row>
    <row r="1162" spans="1:3" x14ac:dyDescent="0.3">
      <c r="A1162" s="37" t="s">
        <v>4</v>
      </c>
      <c r="B1162" s="55">
        <v>44955.672164351847</v>
      </c>
      <c r="C1162" s="38">
        <v>147500</v>
      </c>
    </row>
    <row r="1163" spans="1:3" x14ac:dyDescent="0.3">
      <c r="A1163" s="37" t="s">
        <v>4</v>
      </c>
      <c r="B1163" s="55">
        <v>44957.962673611109</v>
      </c>
      <c r="C1163" s="38"/>
    </row>
    <row r="1164" spans="1:3" x14ac:dyDescent="0.3">
      <c r="A1164" s="37" t="s">
        <v>4</v>
      </c>
      <c r="B1164" s="55">
        <v>44928.781446759262</v>
      </c>
      <c r="C1164" s="38">
        <v>137320.3125</v>
      </c>
    </row>
    <row r="1165" spans="1:3" x14ac:dyDescent="0.3">
      <c r="A1165" s="37" t="s">
        <v>4</v>
      </c>
      <c r="B1165" s="55">
        <v>44937.784861111111</v>
      </c>
      <c r="C1165" s="38">
        <v>98275.5</v>
      </c>
    </row>
    <row r="1166" spans="1:3" x14ac:dyDescent="0.3">
      <c r="A1166" s="37" t="s">
        <v>4</v>
      </c>
      <c r="B1166" s="55">
        <v>44928.546435185177</v>
      </c>
      <c r="C1166" s="38">
        <v>122470.5</v>
      </c>
    </row>
    <row r="1167" spans="1:3" x14ac:dyDescent="0.3">
      <c r="A1167" s="37" t="s">
        <v>4</v>
      </c>
      <c r="B1167" s="55">
        <v>44938.674490740741</v>
      </c>
      <c r="C1167" s="38"/>
    </row>
    <row r="1168" spans="1:3" x14ac:dyDescent="0.3">
      <c r="A1168" s="37" t="s">
        <v>4</v>
      </c>
      <c r="B1168" s="55">
        <v>44937.951168981483</v>
      </c>
      <c r="C1168" s="38"/>
    </row>
    <row r="1169" spans="1:3" x14ac:dyDescent="0.3">
      <c r="A1169" s="37" t="s">
        <v>4</v>
      </c>
      <c r="B1169" s="55">
        <v>44943.88212962963</v>
      </c>
      <c r="C1169" s="38">
        <v>117500</v>
      </c>
    </row>
    <row r="1170" spans="1:3" x14ac:dyDescent="0.3">
      <c r="A1170" s="37" t="s">
        <v>4</v>
      </c>
      <c r="B1170" s="55">
        <v>44943.422500000001</v>
      </c>
      <c r="C1170" s="38">
        <v>125000</v>
      </c>
    </row>
    <row r="1171" spans="1:3" x14ac:dyDescent="0.3">
      <c r="A1171" s="37" t="s">
        <v>4</v>
      </c>
      <c r="B1171" s="55">
        <v>44941.423622685194</v>
      </c>
      <c r="C1171" s="38">
        <v>190950</v>
      </c>
    </row>
    <row r="1172" spans="1:3" x14ac:dyDescent="0.3">
      <c r="A1172" s="37" t="s">
        <v>4</v>
      </c>
      <c r="B1172" s="55">
        <v>44957.170624999999</v>
      </c>
      <c r="C1172" s="38"/>
    </row>
    <row r="1173" spans="1:3" x14ac:dyDescent="0.3">
      <c r="A1173" s="37" t="s">
        <v>4</v>
      </c>
      <c r="B1173" s="55">
        <v>44942.343645833331</v>
      </c>
      <c r="C1173" s="38">
        <v>147500</v>
      </c>
    </row>
    <row r="1174" spans="1:3" x14ac:dyDescent="0.3">
      <c r="A1174" s="37" t="s">
        <v>4</v>
      </c>
      <c r="B1174" s="55">
        <v>44949.643078703702</v>
      </c>
      <c r="C1174" s="38"/>
    </row>
    <row r="1175" spans="1:3" x14ac:dyDescent="0.3">
      <c r="A1175" s="37" t="s">
        <v>4</v>
      </c>
      <c r="B1175" s="55">
        <v>44951.918541666673</v>
      </c>
      <c r="C1175" s="38"/>
    </row>
    <row r="1176" spans="1:3" x14ac:dyDescent="0.3">
      <c r="A1176" s="37" t="s">
        <v>4</v>
      </c>
      <c r="B1176" s="55">
        <v>44956.755208333343</v>
      </c>
      <c r="C1176" s="38"/>
    </row>
    <row r="1177" spans="1:3" x14ac:dyDescent="0.3">
      <c r="A1177" s="37" t="s">
        <v>4</v>
      </c>
      <c r="B1177" s="55">
        <v>44944.632094907407</v>
      </c>
      <c r="C1177" s="38">
        <v>110144.390625</v>
      </c>
    </row>
    <row r="1178" spans="1:3" x14ac:dyDescent="0.3">
      <c r="A1178" s="37" t="s">
        <v>4</v>
      </c>
      <c r="B1178" s="55">
        <v>44952.672500000001</v>
      </c>
      <c r="C1178" s="38">
        <v>109750</v>
      </c>
    </row>
    <row r="1179" spans="1:3" x14ac:dyDescent="0.3">
      <c r="A1179" s="37" t="s">
        <v>4</v>
      </c>
      <c r="B1179" s="55">
        <v>44936.918310185189</v>
      </c>
      <c r="C1179" s="38"/>
    </row>
    <row r="1180" spans="1:3" x14ac:dyDescent="0.3">
      <c r="A1180" s="37" t="s">
        <v>4</v>
      </c>
      <c r="B1180" s="55">
        <v>44953.922951388893</v>
      </c>
      <c r="C1180" s="38"/>
    </row>
    <row r="1181" spans="1:3" x14ac:dyDescent="0.3">
      <c r="A1181" s="37" t="s">
        <v>4</v>
      </c>
      <c r="B1181" s="55">
        <v>44951.582604166673</v>
      </c>
      <c r="C1181" s="38">
        <v>135000</v>
      </c>
    </row>
    <row r="1182" spans="1:3" x14ac:dyDescent="0.3">
      <c r="A1182" s="37" t="s">
        <v>4</v>
      </c>
      <c r="B1182" s="55">
        <v>44943.472569444442</v>
      </c>
      <c r="C1182" s="38">
        <v>96773</v>
      </c>
    </row>
    <row r="1183" spans="1:3" x14ac:dyDescent="0.3">
      <c r="A1183" s="37" t="s">
        <v>4</v>
      </c>
      <c r="B1183" s="55">
        <v>44938.922719907408</v>
      </c>
      <c r="C1183" s="38">
        <v>136000</v>
      </c>
    </row>
    <row r="1184" spans="1:3" x14ac:dyDescent="0.3">
      <c r="A1184" s="37" t="s">
        <v>4</v>
      </c>
      <c r="B1184" s="55">
        <v>44946.442280092589</v>
      </c>
      <c r="C1184" s="38">
        <v>131580</v>
      </c>
    </row>
    <row r="1185" spans="1:3" x14ac:dyDescent="0.3">
      <c r="A1185" s="37" t="s">
        <v>4</v>
      </c>
      <c r="B1185" s="55">
        <v>44935.171759259261</v>
      </c>
      <c r="C1185" s="38">
        <v>125000</v>
      </c>
    </row>
    <row r="1186" spans="1:3" x14ac:dyDescent="0.3">
      <c r="A1186" s="37" t="s">
        <v>4</v>
      </c>
      <c r="B1186" s="55">
        <v>44935.925266203703</v>
      </c>
      <c r="C1186" s="38">
        <v>147500</v>
      </c>
    </row>
    <row r="1187" spans="1:3" x14ac:dyDescent="0.3">
      <c r="A1187" s="37" t="s">
        <v>4</v>
      </c>
      <c r="B1187" s="55">
        <v>44957.89947916667</v>
      </c>
      <c r="C1187" s="38">
        <v>180000</v>
      </c>
    </row>
    <row r="1188" spans="1:3" x14ac:dyDescent="0.3">
      <c r="A1188" s="37" t="s">
        <v>4</v>
      </c>
      <c r="B1188" s="55">
        <v>44932.269571759258</v>
      </c>
      <c r="C1188" s="38">
        <v>175000</v>
      </c>
    </row>
    <row r="1189" spans="1:3" x14ac:dyDescent="0.3">
      <c r="A1189" s="37" t="s">
        <v>4</v>
      </c>
      <c r="B1189" s="55">
        <v>44943.765694444453</v>
      </c>
      <c r="C1189" s="38">
        <v>96773</v>
      </c>
    </row>
    <row r="1190" spans="1:3" x14ac:dyDescent="0.3">
      <c r="A1190" s="37" t="s">
        <v>4</v>
      </c>
      <c r="B1190" s="55">
        <v>44929.691886574074</v>
      </c>
      <c r="C1190" s="38"/>
    </row>
    <row r="1191" spans="1:3" x14ac:dyDescent="0.3">
      <c r="A1191" s="37" t="s">
        <v>4</v>
      </c>
      <c r="B1191" s="55">
        <v>44932.000439814823</v>
      </c>
      <c r="C1191" s="38">
        <v>154000</v>
      </c>
    </row>
    <row r="1192" spans="1:3" x14ac:dyDescent="0.3">
      <c r="A1192" s="37" t="s">
        <v>4</v>
      </c>
      <c r="B1192" s="55">
        <v>44931.980081018519</v>
      </c>
      <c r="C1192" s="38"/>
    </row>
    <row r="1193" spans="1:3" x14ac:dyDescent="0.3">
      <c r="A1193" s="37" t="s">
        <v>4</v>
      </c>
      <c r="B1193" s="55">
        <v>44953.67291666667</v>
      </c>
      <c r="C1193" s="38">
        <v>208114</v>
      </c>
    </row>
    <row r="1194" spans="1:3" x14ac:dyDescent="0.3">
      <c r="A1194" s="37" t="s">
        <v>4</v>
      </c>
      <c r="B1194" s="55">
        <v>44927.263020833343</v>
      </c>
      <c r="C1194" s="38">
        <v>175000</v>
      </c>
    </row>
    <row r="1195" spans="1:3" x14ac:dyDescent="0.3">
      <c r="A1195" s="37" t="s">
        <v>4</v>
      </c>
      <c r="B1195" s="55">
        <v>44935.464120370372</v>
      </c>
      <c r="C1195" s="38">
        <v>90000</v>
      </c>
    </row>
    <row r="1196" spans="1:3" x14ac:dyDescent="0.3">
      <c r="A1196" s="37" t="s">
        <v>4</v>
      </c>
      <c r="B1196" s="55">
        <v>44941.632847222223</v>
      </c>
      <c r="C1196" s="38"/>
    </row>
    <row r="1197" spans="1:3" x14ac:dyDescent="0.3">
      <c r="A1197" s="37" t="s">
        <v>4</v>
      </c>
      <c r="B1197" s="55">
        <v>44957.463680555556</v>
      </c>
      <c r="C1197" s="38">
        <v>115000</v>
      </c>
    </row>
    <row r="1198" spans="1:3" x14ac:dyDescent="0.3">
      <c r="A1198" s="37" t="s">
        <v>4</v>
      </c>
      <c r="B1198" s="55">
        <v>44928.054525462961</v>
      </c>
      <c r="C1198" s="38">
        <v>144481.5</v>
      </c>
    </row>
    <row r="1199" spans="1:3" x14ac:dyDescent="0.3">
      <c r="A1199" s="37" t="s">
        <v>4</v>
      </c>
      <c r="B1199" s="55">
        <v>44957.006898148153</v>
      </c>
      <c r="C1199" s="38"/>
    </row>
    <row r="1200" spans="1:3" x14ac:dyDescent="0.3">
      <c r="A1200" s="37" t="s">
        <v>4</v>
      </c>
      <c r="B1200" s="55">
        <v>44937.713530092587</v>
      </c>
      <c r="C1200" s="38"/>
    </row>
    <row r="1201" spans="1:3" x14ac:dyDescent="0.3">
      <c r="A1201" s="37" t="s">
        <v>4</v>
      </c>
      <c r="B1201" s="55">
        <v>44953.632592592592</v>
      </c>
      <c r="C1201" s="38"/>
    </row>
    <row r="1202" spans="1:3" x14ac:dyDescent="0.3">
      <c r="A1202" s="37" t="s">
        <v>4</v>
      </c>
      <c r="B1202" s="55">
        <v>44948.255011574067</v>
      </c>
      <c r="C1202" s="38">
        <v>115000</v>
      </c>
    </row>
    <row r="1203" spans="1:3" x14ac:dyDescent="0.3">
      <c r="A1203" s="37" t="s">
        <v>4</v>
      </c>
      <c r="B1203" s="55">
        <v>44943.951620370368</v>
      </c>
      <c r="C1203" s="38"/>
    </row>
    <row r="1204" spans="1:3" x14ac:dyDescent="0.3">
      <c r="A1204" s="37" t="s">
        <v>4</v>
      </c>
      <c r="B1204" s="55">
        <v>44952.3</v>
      </c>
      <c r="C1204" s="38">
        <v>146000</v>
      </c>
    </row>
    <row r="1205" spans="1:3" x14ac:dyDescent="0.3">
      <c r="A1205" s="37" t="s">
        <v>4</v>
      </c>
      <c r="B1205" s="55">
        <v>44950.010127314818</v>
      </c>
      <c r="C1205" s="38">
        <v>50400</v>
      </c>
    </row>
    <row r="1206" spans="1:3" x14ac:dyDescent="0.3">
      <c r="A1206" s="37" t="s">
        <v>4</v>
      </c>
      <c r="B1206" s="55">
        <v>44951.642071759263</v>
      </c>
      <c r="C1206" s="38">
        <v>160000</v>
      </c>
    </row>
    <row r="1207" spans="1:3" x14ac:dyDescent="0.3">
      <c r="A1207" s="37" t="s">
        <v>4</v>
      </c>
      <c r="B1207" s="55">
        <v>44956.755347222221</v>
      </c>
      <c r="C1207" s="38">
        <v>155000</v>
      </c>
    </row>
    <row r="1208" spans="1:3" x14ac:dyDescent="0.3">
      <c r="A1208" s="37" t="s">
        <v>4</v>
      </c>
      <c r="B1208" s="55">
        <v>44937.588368055563</v>
      </c>
      <c r="C1208" s="38">
        <v>187500</v>
      </c>
    </row>
    <row r="1209" spans="1:3" x14ac:dyDescent="0.3">
      <c r="A1209" s="37" t="s">
        <v>4</v>
      </c>
      <c r="B1209" s="55">
        <v>44935.797349537039</v>
      </c>
      <c r="C1209" s="38">
        <v>137290.484375</v>
      </c>
    </row>
    <row r="1210" spans="1:3" x14ac:dyDescent="0.3">
      <c r="A1210" s="37" t="s">
        <v>4</v>
      </c>
      <c r="B1210" s="55">
        <v>44950.339699074073</v>
      </c>
      <c r="C1210" s="38">
        <v>172500</v>
      </c>
    </row>
    <row r="1211" spans="1:3" x14ac:dyDescent="0.3">
      <c r="A1211" s="37" t="s">
        <v>4</v>
      </c>
      <c r="B1211" s="55">
        <v>44952.951793981483</v>
      </c>
      <c r="C1211" s="38">
        <v>89500</v>
      </c>
    </row>
    <row r="1212" spans="1:3" x14ac:dyDescent="0.3">
      <c r="A1212" s="37" t="s">
        <v>4</v>
      </c>
      <c r="B1212" s="55">
        <v>44944.215416666673</v>
      </c>
      <c r="C1212" s="38">
        <v>125000</v>
      </c>
    </row>
    <row r="1213" spans="1:3" x14ac:dyDescent="0.3">
      <c r="A1213" s="37" t="s">
        <v>4</v>
      </c>
      <c r="B1213" s="55">
        <v>44932.796481481477</v>
      </c>
      <c r="C1213" s="38">
        <v>180000</v>
      </c>
    </row>
    <row r="1214" spans="1:3" x14ac:dyDescent="0.3">
      <c r="A1214" s="37" t="s">
        <v>4</v>
      </c>
      <c r="B1214" s="55">
        <v>44949.934814814813</v>
      </c>
      <c r="C1214" s="38">
        <v>87500</v>
      </c>
    </row>
    <row r="1215" spans="1:3" x14ac:dyDescent="0.3">
      <c r="A1215" s="37" t="s">
        <v>4</v>
      </c>
      <c r="B1215" s="55">
        <v>44931.912476851852</v>
      </c>
      <c r="C1215" s="38">
        <v>96760.5</v>
      </c>
    </row>
    <row r="1216" spans="1:3" x14ac:dyDescent="0.3">
      <c r="A1216" s="37" t="s">
        <v>4</v>
      </c>
      <c r="B1216" s="55">
        <v>44940.258506944447</v>
      </c>
      <c r="C1216" s="38">
        <v>147500</v>
      </c>
    </row>
    <row r="1217" spans="1:3" x14ac:dyDescent="0.3">
      <c r="A1217" s="37" t="s">
        <v>4</v>
      </c>
      <c r="B1217" s="55">
        <v>44942.989293981482</v>
      </c>
      <c r="C1217" s="38">
        <v>112500</v>
      </c>
    </row>
    <row r="1218" spans="1:3" x14ac:dyDescent="0.3">
      <c r="A1218" s="37" t="s">
        <v>4</v>
      </c>
      <c r="B1218" s="55">
        <v>44952.798564814817</v>
      </c>
      <c r="C1218" s="38">
        <v>95000</v>
      </c>
    </row>
    <row r="1219" spans="1:3" x14ac:dyDescent="0.3">
      <c r="A1219" s="37" t="s">
        <v>4</v>
      </c>
      <c r="B1219" s="55">
        <v>44957.713900462957</v>
      </c>
      <c r="C1219" s="38">
        <v>95000</v>
      </c>
    </row>
    <row r="1220" spans="1:3" x14ac:dyDescent="0.3">
      <c r="A1220" s="37" t="s">
        <v>4</v>
      </c>
      <c r="B1220" s="55">
        <v>44942.892546296287</v>
      </c>
      <c r="C1220" s="38">
        <v>99500</v>
      </c>
    </row>
    <row r="1221" spans="1:3" x14ac:dyDescent="0.3">
      <c r="A1221" s="37" t="s">
        <v>4</v>
      </c>
      <c r="B1221" s="55">
        <v>44932.757986111108</v>
      </c>
      <c r="C1221" s="38"/>
    </row>
    <row r="1222" spans="1:3" x14ac:dyDescent="0.3">
      <c r="A1222" s="37" t="s">
        <v>4</v>
      </c>
      <c r="B1222" s="55">
        <v>44951.93408564815</v>
      </c>
      <c r="C1222" s="38">
        <v>150000</v>
      </c>
    </row>
    <row r="1223" spans="1:3" x14ac:dyDescent="0.3">
      <c r="A1223" s="37" t="s">
        <v>4</v>
      </c>
      <c r="B1223" s="55">
        <v>44931.522615740738</v>
      </c>
      <c r="C1223" s="38">
        <v>147500</v>
      </c>
    </row>
    <row r="1224" spans="1:3" x14ac:dyDescent="0.3">
      <c r="A1224" s="37" t="s">
        <v>4</v>
      </c>
      <c r="B1224" s="55">
        <v>44952.142418981479</v>
      </c>
      <c r="C1224" s="38"/>
    </row>
    <row r="1225" spans="1:3" x14ac:dyDescent="0.3">
      <c r="A1225" s="37" t="s">
        <v>4</v>
      </c>
      <c r="B1225" s="55">
        <v>44936.005810185183</v>
      </c>
      <c r="C1225" s="38">
        <v>190950</v>
      </c>
    </row>
    <row r="1226" spans="1:3" x14ac:dyDescent="0.3">
      <c r="A1226" s="37" t="s">
        <v>4</v>
      </c>
      <c r="B1226" s="55">
        <v>44947.062106481477</v>
      </c>
      <c r="C1226" s="38">
        <v>145000</v>
      </c>
    </row>
    <row r="1227" spans="1:3" x14ac:dyDescent="0.3">
      <c r="A1227" s="37" t="s">
        <v>4</v>
      </c>
      <c r="B1227" s="55">
        <v>44939.922418981478</v>
      </c>
      <c r="C1227" s="38"/>
    </row>
    <row r="1228" spans="1:3" x14ac:dyDescent="0.3">
      <c r="A1228" s="37" t="s">
        <v>4</v>
      </c>
      <c r="B1228" s="55">
        <v>44932.922824074078</v>
      </c>
      <c r="C1228" s="38"/>
    </row>
    <row r="1229" spans="1:3" x14ac:dyDescent="0.3">
      <c r="A1229" s="37" t="s">
        <v>4</v>
      </c>
      <c r="B1229" s="55">
        <v>44929.047337962962</v>
      </c>
      <c r="C1229" s="38">
        <v>102500</v>
      </c>
    </row>
    <row r="1230" spans="1:3" x14ac:dyDescent="0.3">
      <c r="A1230" s="37" t="s">
        <v>4</v>
      </c>
      <c r="B1230" s="55">
        <v>44940.591215277767</v>
      </c>
      <c r="C1230" s="38"/>
    </row>
    <row r="1231" spans="1:3" x14ac:dyDescent="0.3">
      <c r="A1231" s="37" t="s">
        <v>4</v>
      </c>
      <c r="B1231" s="55">
        <v>44954.47210648148</v>
      </c>
      <c r="C1231" s="38">
        <v>80000</v>
      </c>
    </row>
    <row r="1232" spans="1:3" x14ac:dyDescent="0.3">
      <c r="A1232" s="37" t="s">
        <v>4</v>
      </c>
      <c r="B1232" s="55">
        <v>44945.787592592591</v>
      </c>
      <c r="C1232" s="38">
        <v>130000</v>
      </c>
    </row>
    <row r="1233" spans="1:3" x14ac:dyDescent="0.3">
      <c r="A1233" s="37" t="s">
        <v>4</v>
      </c>
      <c r="B1233" s="55">
        <v>44949.79891203704</v>
      </c>
      <c r="C1233" s="38">
        <v>147500</v>
      </c>
    </row>
    <row r="1234" spans="1:3" x14ac:dyDescent="0.3">
      <c r="A1234" s="37" t="s">
        <v>4</v>
      </c>
      <c r="B1234" s="55">
        <v>44944.659953703696</v>
      </c>
      <c r="C1234" s="38">
        <v>165000</v>
      </c>
    </row>
    <row r="1235" spans="1:3" x14ac:dyDescent="0.3">
      <c r="A1235" s="37" t="s">
        <v>4</v>
      </c>
      <c r="B1235" s="55">
        <v>44936.667245370372</v>
      </c>
      <c r="C1235" s="38"/>
    </row>
    <row r="1236" spans="1:3" x14ac:dyDescent="0.3">
      <c r="A1236" s="37" t="s">
        <v>4</v>
      </c>
      <c r="B1236" s="55">
        <v>44940.68372685185</v>
      </c>
      <c r="C1236" s="38">
        <v>147500</v>
      </c>
    </row>
    <row r="1237" spans="1:3" x14ac:dyDescent="0.3">
      <c r="A1237" s="37" t="s">
        <v>4</v>
      </c>
      <c r="B1237" s="55">
        <v>44930.623692129629</v>
      </c>
      <c r="C1237" s="38"/>
    </row>
    <row r="1238" spans="1:3" x14ac:dyDescent="0.3">
      <c r="A1238" s="37" t="s">
        <v>4</v>
      </c>
      <c r="B1238" s="55">
        <v>44944.130300925928</v>
      </c>
      <c r="C1238" s="38">
        <v>117500</v>
      </c>
    </row>
    <row r="1239" spans="1:3" x14ac:dyDescent="0.3">
      <c r="A1239" s="37" t="s">
        <v>4</v>
      </c>
      <c r="B1239" s="55">
        <v>44932.338263888887</v>
      </c>
      <c r="C1239" s="38">
        <v>150000</v>
      </c>
    </row>
    <row r="1240" spans="1:3" x14ac:dyDescent="0.3">
      <c r="A1240" s="37" t="s">
        <v>4</v>
      </c>
      <c r="B1240" s="55">
        <v>44949.769201388888</v>
      </c>
      <c r="C1240" s="38">
        <v>90000</v>
      </c>
    </row>
    <row r="1241" spans="1:3" x14ac:dyDescent="0.3">
      <c r="A1241" s="37" t="s">
        <v>4</v>
      </c>
      <c r="B1241" s="55">
        <v>44943.756724537037</v>
      </c>
      <c r="C1241" s="38"/>
    </row>
    <row r="1242" spans="1:3" x14ac:dyDescent="0.3">
      <c r="A1242" s="37" t="s">
        <v>4</v>
      </c>
      <c r="B1242" s="55">
        <v>44944.856319444443</v>
      </c>
      <c r="C1242" s="38">
        <v>72960</v>
      </c>
    </row>
    <row r="1243" spans="1:3" x14ac:dyDescent="0.3">
      <c r="A1243" s="37" t="s">
        <v>4</v>
      </c>
      <c r="B1243" s="55">
        <v>44933.128206018519</v>
      </c>
      <c r="C1243" s="38">
        <v>80000</v>
      </c>
    </row>
    <row r="1244" spans="1:3" x14ac:dyDescent="0.3">
      <c r="A1244" s="37" t="s">
        <v>4</v>
      </c>
      <c r="B1244" s="55">
        <v>44944.40965277778</v>
      </c>
      <c r="C1244" s="38">
        <v>150000</v>
      </c>
    </row>
    <row r="1245" spans="1:3" x14ac:dyDescent="0.3">
      <c r="A1245" s="37" t="s">
        <v>4</v>
      </c>
      <c r="B1245" s="55">
        <v>44952.967129629629</v>
      </c>
      <c r="C1245" s="38">
        <v>200256</v>
      </c>
    </row>
    <row r="1246" spans="1:3" x14ac:dyDescent="0.3">
      <c r="A1246" s="37" t="s">
        <v>4</v>
      </c>
      <c r="B1246" s="55">
        <v>44942.615393518521</v>
      </c>
      <c r="C1246" s="38">
        <v>145000</v>
      </c>
    </row>
    <row r="1247" spans="1:3" x14ac:dyDescent="0.3">
      <c r="A1247" s="37" t="s">
        <v>4</v>
      </c>
      <c r="B1247" s="55">
        <v>44945.795474537037</v>
      </c>
      <c r="C1247" s="38">
        <v>56700</v>
      </c>
    </row>
    <row r="1248" spans="1:3" x14ac:dyDescent="0.3">
      <c r="A1248" s="37" t="s">
        <v>4</v>
      </c>
      <c r="B1248" s="55">
        <v>44928.617546296293</v>
      </c>
      <c r="C1248" s="38"/>
    </row>
    <row r="1249" spans="1:3" x14ac:dyDescent="0.3">
      <c r="A1249" s="37" t="s">
        <v>4</v>
      </c>
      <c r="B1249" s="55">
        <v>44938.758055555547</v>
      </c>
      <c r="C1249" s="38"/>
    </row>
    <row r="1250" spans="1:3" x14ac:dyDescent="0.3">
      <c r="A1250" s="37" t="s">
        <v>4</v>
      </c>
      <c r="B1250" s="55">
        <v>44939.88071759259</v>
      </c>
      <c r="C1250" s="38">
        <v>145000</v>
      </c>
    </row>
    <row r="1251" spans="1:3" x14ac:dyDescent="0.3">
      <c r="A1251" s="37" t="s">
        <v>4</v>
      </c>
      <c r="B1251" s="55">
        <v>44933.382361111107</v>
      </c>
      <c r="C1251" s="38">
        <v>80850</v>
      </c>
    </row>
    <row r="1252" spans="1:3" x14ac:dyDescent="0.3">
      <c r="A1252" s="37" t="s">
        <v>4</v>
      </c>
      <c r="B1252" s="55">
        <v>44946.843738425923</v>
      </c>
      <c r="C1252" s="38">
        <v>98283</v>
      </c>
    </row>
    <row r="1253" spans="1:3" x14ac:dyDescent="0.3">
      <c r="A1253" s="37" t="s">
        <v>4</v>
      </c>
      <c r="B1253" s="55">
        <v>44943.646041666667</v>
      </c>
      <c r="C1253" s="38">
        <v>96773</v>
      </c>
    </row>
    <row r="1254" spans="1:3" x14ac:dyDescent="0.3">
      <c r="A1254" s="37" t="s">
        <v>4</v>
      </c>
      <c r="B1254" s="55">
        <v>44936.935011574067</v>
      </c>
      <c r="C1254" s="38">
        <v>142500</v>
      </c>
    </row>
    <row r="1255" spans="1:3" x14ac:dyDescent="0.3">
      <c r="A1255" s="37" t="s">
        <v>4</v>
      </c>
      <c r="B1255" s="55">
        <v>44949.58929398148</v>
      </c>
      <c r="C1255" s="38"/>
    </row>
    <row r="1256" spans="1:3" x14ac:dyDescent="0.3">
      <c r="A1256" s="37" t="s">
        <v>4</v>
      </c>
      <c r="B1256" s="55">
        <v>44957.754236111112</v>
      </c>
      <c r="C1256" s="38">
        <v>169000</v>
      </c>
    </row>
    <row r="1257" spans="1:3" x14ac:dyDescent="0.3">
      <c r="A1257" s="37" t="s">
        <v>4</v>
      </c>
      <c r="B1257" s="55">
        <v>44932.755474537043</v>
      </c>
      <c r="C1257" s="38">
        <v>135600</v>
      </c>
    </row>
    <row r="1258" spans="1:3" x14ac:dyDescent="0.3">
      <c r="A1258" s="37" t="s">
        <v>4</v>
      </c>
      <c r="B1258" s="55">
        <v>44931.075219907398</v>
      </c>
      <c r="C1258" s="38">
        <v>147500</v>
      </c>
    </row>
    <row r="1259" spans="1:3" x14ac:dyDescent="0.3">
      <c r="A1259" s="37" t="s">
        <v>4</v>
      </c>
      <c r="B1259" s="55">
        <v>44942.000856481478</v>
      </c>
      <c r="C1259" s="38">
        <v>106358</v>
      </c>
    </row>
    <row r="1260" spans="1:3" x14ac:dyDescent="0.3">
      <c r="A1260" s="37" t="s">
        <v>4</v>
      </c>
      <c r="B1260" s="55">
        <v>44940.089594907397</v>
      </c>
      <c r="C1260" s="38"/>
    </row>
    <row r="1261" spans="1:3" x14ac:dyDescent="0.3">
      <c r="A1261" s="37" t="s">
        <v>4</v>
      </c>
      <c r="B1261" s="55">
        <v>44957.670486111107</v>
      </c>
      <c r="C1261" s="38"/>
    </row>
    <row r="1262" spans="1:3" x14ac:dyDescent="0.3">
      <c r="A1262" s="37" t="s">
        <v>4</v>
      </c>
      <c r="B1262" s="55">
        <v>44936.892187500001</v>
      </c>
      <c r="C1262" s="38"/>
    </row>
    <row r="1263" spans="1:3" x14ac:dyDescent="0.3">
      <c r="A1263" s="37" t="s">
        <v>4</v>
      </c>
      <c r="B1263" s="55">
        <v>44947.593900462962</v>
      </c>
      <c r="C1263" s="38">
        <v>205000</v>
      </c>
    </row>
    <row r="1264" spans="1:3" x14ac:dyDescent="0.3">
      <c r="A1264" s="37" t="s">
        <v>4</v>
      </c>
      <c r="B1264" s="55">
        <v>44938.299768518518</v>
      </c>
      <c r="C1264" s="38">
        <v>90000</v>
      </c>
    </row>
    <row r="1265" spans="1:3" x14ac:dyDescent="0.3">
      <c r="A1265" s="37" t="s">
        <v>4</v>
      </c>
      <c r="B1265" s="55">
        <v>44935.674386574072</v>
      </c>
      <c r="C1265" s="38">
        <v>127500</v>
      </c>
    </row>
    <row r="1266" spans="1:3" x14ac:dyDescent="0.3">
      <c r="A1266" s="37" t="s">
        <v>4</v>
      </c>
      <c r="B1266" s="55">
        <v>44930.873703703714</v>
      </c>
      <c r="C1266" s="38"/>
    </row>
    <row r="1267" spans="1:3" x14ac:dyDescent="0.3">
      <c r="A1267" s="37" t="s">
        <v>4</v>
      </c>
      <c r="B1267" s="55">
        <v>44930.527453703697</v>
      </c>
      <c r="C1267" s="38">
        <v>147500</v>
      </c>
    </row>
    <row r="1268" spans="1:3" x14ac:dyDescent="0.3">
      <c r="A1268" s="37" t="s">
        <v>4</v>
      </c>
      <c r="B1268" s="55">
        <v>44939.673587962963</v>
      </c>
      <c r="C1268" s="38">
        <v>87500</v>
      </c>
    </row>
    <row r="1269" spans="1:3" x14ac:dyDescent="0.3">
      <c r="A1269" s="37" t="s">
        <v>4</v>
      </c>
      <c r="B1269" s="55">
        <v>44936.852037037039</v>
      </c>
      <c r="C1269" s="38"/>
    </row>
    <row r="1270" spans="1:3" x14ac:dyDescent="0.3">
      <c r="A1270" s="37" t="s">
        <v>4</v>
      </c>
      <c r="B1270" s="55">
        <v>44953.050104166658</v>
      </c>
      <c r="C1270" s="38">
        <v>144000</v>
      </c>
    </row>
    <row r="1271" spans="1:3" x14ac:dyDescent="0.3">
      <c r="A1271" s="37" t="s">
        <v>4</v>
      </c>
      <c r="B1271" s="55">
        <v>44956.632094907407</v>
      </c>
      <c r="C1271" s="38"/>
    </row>
    <row r="1272" spans="1:3" x14ac:dyDescent="0.3">
      <c r="A1272" s="37" t="s">
        <v>4</v>
      </c>
      <c r="B1272" s="55">
        <v>44945.492847222216</v>
      </c>
      <c r="C1272" s="38">
        <v>112500</v>
      </c>
    </row>
    <row r="1273" spans="1:3" x14ac:dyDescent="0.3">
      <c r="A1273" s="37" t="s">
        <v>4</v>
      </c>
      <c r="B1273" s="55">
        <v>44930.797037037039</v>
      </c>
      <c r="C1273" s="38"/>
    </row>
    <row r="1274" spans="1:3" x14ac:dyDescent="0.3">
      <c r="A1274" s="37" t="s">
        <v>4</v>
      </c>
      <c r="B1274" s="55">
        <v>44937.798495370371</v>
      </c>
      <c r="C1274" s="38">
        <v>130000</v>
      </c>
    </row>
    <row r="1275" spans="1:3" x14ac:dyDescent="0.3">
      <c r="A1275" s="37" t="s">
        <v>4</v>
      </c>
      <c r="B1275" s="55">
        <v>44937.491759259261</v>
      </c>
      <c r="C1275" s="38">
        <v>120000</v>
      </c>
    </row>
    <row r="1276" spans="1:3" x14ac:dyDescent="0.3">
      <c r="A1276" s="37" t="s">
        <v>4</v>
      </c>
      <c r="B1276" s="55">
        <v>44928.755497685182</v>
      </c>
      <c r="C1276" s="38">
        <v>146100</v>
      </c>
    </row>
    <row r="1277" spans="1:3" x14ac:dyDescent="0.3">
      <c r="A1277" s="37" t="s">
        <v>4</v>
      </c>
      <c r="B1277" s="55">
        <v>44945.60050925926</v>
      </c>
      <c r="C1277" s="38"/>
    </row>
    <row r="1278" spans="1:3" x14ac:dyDescent="0.3">
      <c r="A1278" s="37" t="s">
        <v>4</v>
      </c>
      <c r="B1278" s="55">
        <v>44951.958067129628</v>
      </c>
      <c r="C1278" s="38">
        <v>147500</v>
      </c>
    </row>
    <row r="1279" spans="1:3" x14ac:dyDescent="0.3">
      <c r="A1279" s="37" t="s">
        <v>4</v>
      </c>
      <c r="B1279" s="55">
        <v>44934.323553240742</v>
      </c>
      <c r="C1279" s="38">
        <v>120000</v>
      </c>
    </row>
    <row r="1280" spans="1:3" x14ac:dyDescent="0.3">
      <c r="A1280" s="37" t="s">
        <v>4</v>
      </c>
      <c r="B1280" s="55">
        <v>44947.846736111111</v>
      </c>
      <c r="C1280" s="38">
        <v>89100</v>
      </c>
    </row>
    <row r="1281" spans="1:3" x14ac:dyDescent="0.3">
      <c r="A1281" s="37" t="s">
        <v>4</v>
      </c>
      <c r="B1281" s="55">
        <v>44953.757951388892</v>
      </c>
      <c r="C1281" s="38">
        <v>147500</v>
      </c>
    </row>
    <row r="1282" spans="1:3" x14ac:dyDescent="0.3">
      <c r="A1282" s="37" t="s">
        <v>4</v>
      </c>
      <c r="B1282" s="55">
        <v>44939.922384259262</v>
      </c>
      <c r="C1282" s="38">
        <v>112500</v>
      </c>
    </row>
    <row r="1283" spans="1:3" x14ac:dyDescent="0.3">
      <c r="A1283" s="37" t="s">
        <v>4</v>
      </c>
      <c r="B1283" s="55">
        <v>44939.877164351848</v>
      </c>
      <c r="C1283" s="38">
        <v>99150</v>
      </c>
    </row>
    <row r="1284" spans="1:3" x14ac:dyDescent="0.3">
      <c r="A1284" s="37" t="s">
        <v>4</v>
      </c>
      <c r="B1284" s="55">
        <v>44949.090613425928</v>
      </c>
      <c r="C1284" s="38">
        <v>175000</v>
      </c>
    </row>
    <row r="1285" spans="1:3" x14ac:dyDescent="0.3">
      <c r="A1285" s="37" t="s">
        <v>4</v>
      </c>
      <c r="B1285" s="55">
        <v>44938.301145833328</v>
      </c>
      <c r="C1285" s="38">
        <v>150000</v>
      </c>
    </row>
    <row r="1286" spans="1:3" x14ac:dyDescent="0.3">
      <c r="A1286" s="37" t="s">
        <v>4</v>
      </c>
      <c r="B1286" s="55">
        <v>44950.625416666669</v>
      </c>
      <c r="C1286" s="38">
        <v>125000</v>
      </c>
    </row>
    <row r="1287" spans="1:3" x14ac:dyDescent="0.3">
      <c r="A1287" s="37" t="s">
        <v>4</v>
      </c>
      <c r="B1287" s="55">
        <v>44951.684895833343</v>
      </c>
      <c r="C1287" s="38">
        <v>95000</v>
      </c>
    </row>
    <row r="1288" spans="1:3" x14ac:dyDescent="0.3">
      <c r="A1288" s="37" t="s">
        <v>4</v>
      </c>
      <c r="B1288" s="55">
        <v>44936.891944444447</v>
      </c>
      <c r="C1288" s="38">
        <v>105000</v>
      </c>
    </row>
    <row r="1289" spans="1:3" x14ac:dyDescent="0.3">
      <c r="A1289" s="37" t="s">
        <v>4</v>
      </c>
      <c r="B1289" s="55">
        <v>44942.955578703702</v>
      </c>
      <c r="C1289" s="38">
        <v>133000</v>
      </c>
    </row>
    <row r="1290" spans="1:3" x14ac:dyDescent="0.3">
      <c r="A1290" s="37" t="s">
        <v>4</v>
      </c>
      <c r="B1290" s="55">
        <v>44931.728877314818</v>
      </c>
      <c r="C1290" s="38">
        <v>130000</v>
      </c>
    </row>
    <row r="1291" spans="1:3" x14ac:dyDescent="0.3">
      <c r="A1291" s="37" t="s">
        <v>4</v>
      </c>
      <c r="B1291" s="55">
        <v>44931.629120370373</v>
      </c>
      <c r="C1291" s="38">
        <v>110000</v>
      </c>
    </row>
    <row r="1292" spans="1:3" x14ac:dyDescent="0.3">
      <c r="A1292" s="37" t="s">
        <v>4</v>
      </c>
      <c r="B1292" s="55">
        <v>44954.679305555554</v>
      </c>
      <c r="C1292" s="38">
        <v>102150</v>
      </c>
    </row>
    <row r="1293" spans="1:3" x14ac:dyDescent="0.3">
      <c r="A1293" s="37" t="s">
        <v>4</v>
      </c>
      <c r="B1293" s="55">
        <v>44941.549629629633</v>
      </c>
      <c r="C1293" s="38">
        <v>130000</v>
      </c>
    </row>
    <row r="1294" spans="1:3" x14ac:dyDescent="0.3">
      <c r="A1294" s="37" t="s">
        <v>4</v>
      </c>
      <c r="B1294" s="55">
        <v>44951.707233796304</v>
      </c>
      <c r="C1294" s="38">
        <v>107500</v>
      </c>
    </row>
    <row r="1295" spans="1:3" x14ac:dyDescent="0.3">
      <c r="A1295" s="37" t="s">
        <v>4</v>
      </c>
      <c r="B1295" s="55">
        <v>44932.548483796287</v>
      </c>
      <c r="C1295" s="38">
        <v>130000</v>
      </c>
    </row>
    <row r="1296" spans="1:3" x14ac:dyDescent="0.3">
      <c r="A1296" s="37" t="s">
        <v>4</v>
      </c>
      <c r="B1296" s="55">
        <v>44952.300023148149</v>
      </c>
      <c r="C1296" s="38">
        <v>146000</v>
      </c>
    </row>
    <row r="1297" spans="1:3" x14ac:dyDescent="0.3">
      <c r="A1297" s="37" t="s">
        <v>4</v>
      </c>
      <c r="B1297" s="55">
        <v>44949.68472222222</v>
      </c>
      <c r="C1297" s="38">
        <v>255000</v>
      </c>
    </row>
    <row r="1298" spans="1:3" x14ac:dyDescent="0.3">
      <c r="A1298" s="37" t="s">
        <v>4</v>
      </c>
      <c r="B1298" s="55">
        <v>44957.816782407397</v>
      </c>
      <c r="C1298" s="38"/>
    </row>
    <row r="1299" spans="1:3" x14ac:dyDescent="0.3">
      <c r="A1299" s="37" t="s">
        <v>4</v>
      </c>
      <c r="B1299" s="55">
        <v>44947.063437500001</v>
      </c>
      <c r="C1299" s="38">
        <v>117500</v>
      </c>
    </row>
    <row r="1300" spans="1:3" x14ac:dyDescent="0.3">
      <c r="A1300" s="37" t="s">
        <v>4</v>
      </c>
      <c r="B1300" s="55">
        <v>44953.443171296298</v>
      </c>
      <c r="C1300" s="38">
        <v>131580</v>
      </c>
    </row>
    <row r="1301" spans="1:3" x14ac:dyDescent="0.3">
      <c r="A1301" s="37" t="s">
        <v>4</v>
      </c>
      <c r="B1301" s="55">
        <v>44936.006365740737</v>
      </c>
      <c r="C1301" s="38"/>
    </row>
    <row r="1302" spans="1:3" x14ac:dyDescent="0.3">
      <c r="A1302" s="37" t="s">
        <v>4</v>
      </c>
      <c r="B1302" s="55">
        <v>44953.003750000003</v>
      </c>
      <c r="C1302" s="38"/>
    </row>
    <row r="1303" spans="1:3" x14ac:dyDescent="0.3">
      <c r="A1303" s="37" t="s">
        <v>4</v>
      </c>
      <c r="B1303" s="55">
        <v>44956.797013888892</v>
      </c>
      <c r="C1303" s="38"/>
    </row>
    <row r="1304" spans="1:3" x14ac:dyDescent="0.3">
      <c r="A1304" s="37" t="s">
        <v>4</v>
      </c>
      <c r="B1304" s="55">
        <v>44949.840196759258</v>
      </c>
      <c r="C1304" s="38"/>
    </row>
    <row r="1305" spans="1:3" x14ac:dyDescent="0.3">
      <c r="A1305" s="37" t="s">
        <v>4</v>
      </c>
      <c r="B1305" s="55">
        <v>44949.88113425926</v>
      </c>
      <c r="C1305" s="38">
        <v>130000</v>
      </c>
    </row>
    <row r="1306" spans="1:3" x14ac:dyDescent="0.3">
      <c r="A1306" s="37" t="s">
        <v>4</v>
      </c>
      <c r="B1306" s="55">
        <v>44952.591377314813</v>
      </c>
      <c r="C1306" s="38">
        <v>127500</v>
      </c>
    </row>
    <row r="1307" spans="1:3" x14ac:dyDescent="0.3">
      <c r="A1307" s="37" t="s">
        <v>4</v>
      </c>
      <c r="B1307" s="55">
        <v>44930.98064814815</v>
      </c>
      <c r="C1307" s="38">
        <v>207500</v>
      </c>
    </row>
    <row r="1308" spans="1:3" x14ac:dyDescent="0.3">
      <c r="A1308" s="37" t="s">
        <v>4</v>
      </c>
      <c r="B1308" s="55">
        <v>44943.038113425922</v>
      </c>
      <c r="C1308" s="38">
        <v>45000</v>
      </c>
    </row>
    <row r="1309" spans="1:3" x14ac:dyDescent="0.3">
      <c r="A1309" s="37" t="s">
        <v>4</v>
      </c>
      <c r="B1309" s="55">
        <v>44936.934444444443</v>
      </c>
      <c r="C1309" s="38"/>
    </row>
    <row r="1310" spans="1:3" x14ac:dyDescent="0.3">
      <c r="A1310" s="37" t="s">
        <v>4</v>
      </c>
      <c r="B1310" s="55">
        <v>44936.684756944444</v>
      </c>
      <c r="C1310" s="38"/>
    </row>
    <row r="1311" spans="1:3" x14ac:dyDescent="0.3">
      <c r="A1311" s="37" t="s">
        <v>4</v>
      </c>
      <c r="B1311" s="55">
        <v>44937.300439814811</v>
      </c>
      <c r="C1311" s="38">
        <v>98301.5</v>
      </c>
    </row>
    <row r="1312" spans="1:3" x14ac:dyDescent="0.3">
      <c r="A1312" s="37" t="s">
        <v>4</v>
      </c>
      <c r="B1312" s="55">
        <v>44936.750567129631</v>
      </c>
      <c r="C1312" s="38"/>
    </row>
    <row r="1313" spans="1:3" x14ac:dyDescent="0.3">
      <c r="A1313" s="37" t="s">
        <v>4</v>
      </c>
      <c r="B1313" s="55">
        <v>44938.756006944437</v>
      </c>
      <c r="C1313" s="38">
        <v>135000</v>
      </c>
    </row>
    <row r="1314" spans="1:3" x14ac:dyDescent="0.3">
      <c r="A1314" s="37" t="s">
        <v>4</v>
      </c>
      <c r="B1314" s="55">
        <v>44951.174791666657</v>
      </c>
      <c r="C1314" s="38">
        <v>100000</v>
      </c>
    </row>
    <row r="1315" spans="1:3" x14ac:dyDescent="0.3">
      <c r="A1315" s="37" t="s">
        <v>4</v>
      </c>
      <c r="B1315" s="55">
        <v>44952.755810185183</v>
      </c>
      <c r="C1315" s="38"/>
    </row>
    <row r="1316" spans="1:3" x14ac:dyDescent="0.3">
      <c r="A1316" s="37" t="s">
        <v>4</v>
      </c>
      <c r="B1316" s="55">
        <v>44928.255844907413</v>
      </c>
      <c r="C1316" s="38">
        <v>125000</v>
      </c>
    </row>
    <row r="1317" spans="1:3" x14ac:dyDescent="0.3">
      <c r="A1317" s="37" t="s">
        <v>4</v>
      </c>
      <c r="B1317" s="55">
        <v>44939.339085648149</v>
      </c>
      <c r="C1317" s="38">
        <v>90000</v>
      </c>
    </row>
    <row r="1318" spans="1:3" x14ac:dyDescent="0.3">
      <c r="A1318" s="37" t="s">
        <v>4</v>
      </c>
      <c r="B1318" s="55">
        <v>44937.38009259259</v>
      </c>
      <c r="C1318" s="38">
        <v>99150</v>
      </c>
    </row>
    <row r="1319" spans="1:3" x14ac:dyDescent="0.3">
      <c r="A1319" s="37" t="s">
        <v>4</v>
      </c>
      <c r="B1319" s="55">
        <v>44951.348854166667</v>
      </c>
      <c r="C1319" s="38"/>
    </row>
    <row r="1320" spans="1:3" x14ac:dyDescent="0.3">
      <c r="A1320" s="37" t="s">
        <v>4</v>
      </c>
      <c r="B1320" s="55">
        <v>44932.731273148151</v>
      </c>
      <c r="C1320" s="38">
        <v>98301.5</v>
      </c>
    </row>
    <row r="1321" spans="1:3" x14ac:dyDescent="0.3">
      <c r="A1321" s="37" t="s">
        <v>4</v>
      </c>
      <c r="B1321" s="55">
        <v>44942.462893518517</v>
      </c>
      <c r="C1321" s="38">
        <v>98283</v>
      </c>
    </row>
    <row r="1322" spans="1:3" x14ac:dyDescent="0.3">
      <c r="A1322" s="37" t="s">
        <v>4</v>
      </c>
      <c r="B1322" s="55">
        <v>44928.992685185192</v>
      </c>
      <c r="C1322" s="38">
        <v>130000</v>
      </c>
    </row>
    <row r="1323" spans="1:3" x14ac:dyDescent="0.3">
      <c r="A1323" s="37" t="s">
        <v>4</v>
      </c>
      <c r="B1323" s="55">
        <v>44928.713113425933</v>
      </c>
      <c r="C1323" s="38">
        <v>123600</v>
      </c>
    </row>
    <row r="1324" spans="1:3" x14ac:dyDescent="0.3">
      <c r="A1324" s="37" t="s">
        <v>4</v>
      </c>
      <c r="B1324" s="55">
        <v>44943.037986111107</v>
      </c>
      <c r="C1324" s="38">
        <v>147500</v>
      </c>
    </row>
    <row r="1325" spans="1:3" x14ac:dyDescent="0.3">
      <c r="A1325" s="37" t="s">
        <v>4</v>
      </c>
      <c r="B1325" s="55">
        <v>44951.666354166657</v>
      </c>
      <c r="C1325" s="38">
        <v>200000</v>
      </c>
    </row>
    <row r="1326" spans="1:3" x14ac:dyDescent="0.3">
      <c r="A1326" s="37" t="s">
        <v>4</v>
      </c>
      <c r="B1326" s="55">
        <v>44944.965752314813</v>
      </c>
      <c r="C1326" s="38"/>
    </row>
    <row r="1327" spans="1:3" x14ac:dyDescent="0.3">
      <c r="A1327" s="37" t="s">
        <v>4</v>
      </c>
      <c r="B1327" s="55">
        <v>44957.672175925924</v>
      </c>
      <c r="C1327" s="38">
        <v>125000</v>
      </c>
    </row>
    <row r="1328" spans="1:3" x14ac:dyDescent="0.3">
      <c r="A1328" s="37" t="s">
        <v>4</v>
      </c>
      <c r="B1328" s="55">
        <v>44954.126030092593</v>
      </c>
      <c r="C1328" s="38">
        <v>45000</v>
      </c>
    </row>
    <row r="1329" spans="1:3" x14ac:dyDescent="0.3">
      <c r="A1329" s="37" t="s">
        <v>4</v>
      </c>
      <c r="B1329" s="55">
        <v>44945.596979166658</v>
      </c>
      <c r="C1329" s="38"/>
    </row>
    <row r="1330" spans="1:3" x14ac:dyDescent="0.3">
      <c r="A1330" s="37" t="s">
        <v>4</v>
      </c>
      <c r="B1330" s="55">
        <v>44951.89298611111</v>
      </c>
      <c r="C1330" s="38"/>
    </row>
    <row r="1331" spans="1:3" x14ac:dyDescent="0.3">
      <c r="A1331" s="37" t="s">
        <v>4</v>
      </c>
      <c r="B1331" s="55">
        <v>44942.257986111108</v>
      </c>
      <c r="C1331" s="38">
        <v>125000</v>
      </c>
    </row>
    <row r="1332" spans="1:3" x14ac:dyDescent="0.3">
      <c r="A1332" s="37" t="s">
        <v>4</v>
      </c>
      <c r="B1332" s="55">
        <v>44949.921087962961</v>
      </c>
      <c r="C1332" s="38">
        <v>122500</v>
      </c>
    </row>
    <row r="1333" spans="1:3" x14ac:dyDescent="0.3">
      <c r="A1333" s="37" t="s">
        <v>4</v>
      </c>
      <c r="B1333" s="55">
        <v>44952.660173611112</v>
      </c>
      <c r="C1333" s="38">
        <v>105000</v>
      </c>
    </row>
    <row r="1334" spans="1:3" x14ac:dyDescent="0.3">
      <c r="A1334" s="37" t="s">
        <v>4</v>
      </c>
      <c r="B1334" s="55">
        <v>44937.194733796299</v>
      </c>
      <c r="C1334" s="38">
        <v>147500</v>
      </c>
    </row>
    <row r="1335" spans="1:3" x14ac:dyDescent="0.3">
      <c r="A1335" s="37" t="s">
        <v>4</v>
      </c>
      <c r="B1335" s="55">
        <v>44956.465648148151</v>
      </c>
      <c r="C1335" s="38">
        <v>251000</v>
      </c>
    </row>
    <row r="1336" spans="1:3" x14ac:dyDescent="0.3">
      <c r="A1336" s="37" t="s">
        <v>4</v>
      </c>
      <c r="B1336" s="55">
        <v>44946.937326388892</v>
      </c>
      <c r="C1336" s="38">
        <v>109500</v>
      </c>
    </row>
    <row r="1337" spans="1:3" x14ac:dyDescent="0.3">
      <c r="A1337" s="37" t="s">
        <v>4</v>
      </c>
      <c r="B1337" s="55">
        <v>44949.935752314806</v>
      </c>
      <c r="C1337" s="38"/>
    </row>
    <row r="1338" spans="1:3" x14ac:dyDescent="0.3">
      <c r="A1338" s="37" t="s">
        <v>4</v>
      </c>
      <c r="B1338" s="55">
        <v>44931.662546296298</v>
      </c>
      <c r="C1338" s="38">
        <v>89100</v>
      </c>
    </row>
    <row r="1339" spans="1:3" x14ac:dyDescent="0.3">
      <c r="A1339" s="37" t="s">
        <v>4</v>
      </c>
      <c r="B1339" s="55">
        <v>44937.2265625</v>
      </c>
      <c r="C1339" s="38">
        <v>185000</v>
      </c>
    </row>
    <row r="1340" spans="1:3" x14ac:dyDescent="0.3">
      <c r="A1340" s="37" t="s">
        <v>4</v>
      </c>
      <c r="B1340" s="55">
        <v>44947.42287037037</v>
      </c>
      <c r="C1340" s="38">
        <v>80000</v>
      </c>
    </row>
    <row r="1341" spans="1:3" x14ac:dyDescent="0.3">
      <c r="A1341" s="37" t="s">
        <v>4</v>
      </c>
      <c r="B1341" s="55">
        <v>44937.631493055553</v>
      </c>
      <c r="C1341" s="38"/>
    </row>
    <row r="1342" spans="1:3" x14ac:dyDescent="0.3">
      <c r="A1342" s="37" t="s">
        <v>4</v>
      </c>
      <c r="B1342" s="55">
        <v>44944.632939814823</v>
      </c>
      <c r="C1342" s="38">
        <v>230000</v>
      </c>
    </row>
    <row r="1343" spans="1:3" x14ac:dyDescent="0.3">
      <c r="A1343" s="37" t="s">
        <v>4</v>
      </c>
      <c r="B1343" s="55">
        <v>44943.524074074077</v>
      </c>
      <c r="C1343" s="38">
        <v>147500</v>
      </c>
    </row>
    <row r="1344" spans="1:3" x14ac:dyDescent="0.3">
      <c r="A1344" s="37" t="s">
        <v>4</v>
      </c>
      <c r="B1344" s="55">
        <v>44948.50277777778</v>
      </c>
      <c r="C1344" s="38"/>
    </row>
    <row r="1345" spans="1:3" x14ac:dyDescent="0.3">
      <c r="A1345" s="37" t="s">
        <v>4</v>
      </c>
      <c r="B1345" s="55">
        <v>44956.519884259258</v>
      </c>
      <c r="C1345" s="38">
        <v>96773</v>
      </c>
    </row>
    <row r="1346" spans="1:3" x14ac:dyDescent="0.3">
      <c r="A1346" s="37" t="s">
        <v>4</v>
      </c>
      <c r="B1346" s="55">
        <v>44948.756643518522</v>
      </c>
      <c r="C1346" s="38">
        <v>180000</v>
      </c>
    </row>
    <row r="1347" spans="1:3" x14ac:dyDescent="0.3">
      <c r="A1347" s="37" t="s">
        <v>4</v>
      </c>
      <c r="B1347" s="55">
        <v>44957.732986111107</v>
      </c>
      <c r="C1347" s="38">
        <v>165000</v>
      </c>
    </row>
    <row r="1348" spans="1:3" x14ac:dyDescent="0.3">
      <c r="A1348" s="37" t="s">
        <v>4</v>
      </c>
      <c r="B1348" s="55">
        <v>44953.968877314823</v>
      </c>
      <c r="C1348" s="38">
        <v>98283</v>
      </c>
    </row>
    <row r="1349" spans="1:3" x14ac:dyDescent="0.3">
      <c r="A1349" s="37" t="s">
        <v>4</v>
      </c>
      <c r="B1349" s="55">
        <v>44948.334930555553</v>
      </c>
      <c r="C1349" s="38">
        <v>114500</v>
      </c>
    </row>
    <row r="1350" spans="1:3" x14ac:dyDescent="0.3">
      <c r="A1350" s="37" t="s">
        <v>4</v>
      </c>
      <c r="B1350" s="55">
        <v>44944.506354166668</v>
      </c>
      <c r="C1350" s="38">
        <v>145000</v>
      </c>
    </row>
    <row r="1351" spans="1:3" x14ac:dyDescent="0.3">
      <c r="A1351" s="37" t="s">
        <v>4</v>
      </c>
      <c r="B1351" s="55">
        <v>44943.288472222222</v>
      </c>
      <c r="C1351" s="38">
        <v>90000</v>
      </c>
    </row>
    <row r="1352" spans="1:3" x14ac:dyDescent="0.3">
      <c r="A1352" s="37" t="s">
        <v>4</v>
      </c>
      <c r="B1352" s="55">
        <v>44945.743113425917</v>
      </c>
      <c r="C1352" s="38">
        <v>130000</v>
      </c>
    </row>
    <row r="1353" spans="1:3" x14ac:dyDescent="0.3">
      <c r="A1353" s="37" t="s">
        <v>4</v>
      </c>
      <c r="B1353" s="55">
        <v>44944.842372685183</v>
      </c>
      <c r="C1353" s="38"/>
    </row>
    <row r="1354" spans="1:3" x14ac:dyDescent="0.3">
      <c r="A1354" s="37" t="s">
        <v>4</v>
      </c>
      <c r="B1354" s="55">
        <v>44956.879942129628</v>
      </c>
      <c r="C1354" s="38">
        <v>215000</v>
      </c>
    </row>
    <row r="1355" spans="1:3" x14ac:dyDescent="0.3">
      <c r="A1355" s="37" t="s">
        <v>4</v>
      </c>
      <c r="B1355" s="55">
        <v>44929.734212962961</v>
      </c>
      <c r="C1355" s="38">
        <v>119523</v>
      </c>
    </row>
    <row r="1356" spans="1:3" x14ac:dyDescent="0.3">
      <c r="A1356" s="37" t="s">
        <v>4</v>
      </c>
      <c r="B1356" s="55">
        <v>44935.399004629631</v>
      </c>
      <c r="C1356" s="38">
        <v>133000</v>
      </c>
    </row>
    <row r="1357" spans="1:3" x14ac:dyDescent="0.3">
      <c r="A1357" s="37" t="s">
        <v>4</v>
      </c>
      <c r="B1357" s="55">
        <v>44950.623993055553</v>
      </c>
      <c r="C1357" s="38">
        <v>145000</v>
      </c>
    </row>
    <row r="1358" spans="1:3" x14ac:dyDescent="0.3">
      <c r="A1358" s="37" t="s">
        <v>4</v>
      </c>
      <c r="B1358" s="55">
        <v>44944.839085648149</v>
      </c>
      <c r="C1358" s="38">
        <v>110144.390625</v>
      </c>
    </row>
    <row r="1359" spans="1:3" x14ac:dyDescent="0.3">
      <c r="A1359" s="37" t="s">
        <v>4</v>
      </c>
      <c r="B1359" s="55">
        <v>44933.761331018519</v>
      </c>
      <c r="C1359" s="38">
        <v>98301.5</v>
      </c>
    </row>
    <row r="1360" spans="1:3" x14ac:dyDescent="0.3">
      <c r="A1360" s="37" t="s">
        <v>4</v>
      </c>
      <c r="B1360" s="55">
        <v>44936.150405092587</v>
      </c>
      <c r="C1360" s="38">
        <v>93600</v>
      </c>
    </row>
    <row r="1361" spans="1:3" x14ac:dyDescent="0.3">
      <c r="A1361" s="37" t="s">
        <v>4</v>
      </c>
      <c r="B1361" s="55">
        <v>44928.921805555547</v>
      </c>
      <c r="C1361" s="38">
        <v>192500</v>
      </c>
    </row>
    <row r="1362" spans="1:3" x14ac:dyDescent="0.3">
      <c r="A1362" s="37" t="s">
        <v>4</v>
      </c>
      <c r="B1362" s="55">
        <v>44940.754548611112</v>
      </c>
      <c r="C1362" s="38">
        <v>96500</v>
      </c>
    </row>
    <row r="1363" spans="1:3" x14ac:dyDescent="0.3">
      <c r="A1363" s="37" t="s">
        <v>4</v>
      </c>
      <c r="B1363" s="55">
        <v>44957.128738425927</v>
      </c>
      <c r="C1363" s="38">
        <v>110000</v>
      </c>
    </row>
    <row r="1364" spans="1:3" x14ac:dyDescent="0.3">
      <c r="A1364" s="37" t="s">
        <v>4</v>
      </c>
      <c r="B1364" s="55">
        <v>44938.759768518517</v>
      </c>
      <c r="C1364" s="38">
        <v>147500</v>
      </c>
    </row>
    <row r="1365" spans="1:3" x14ac:dyDescent="0.3">
      <c r="A1365" s="37" t="s">
        <v>4</v>
      </c>
      <c r="B1365" s="55">
        <v>44939.639872685177</v>
      </c>
      <c r="C1365" s="38"/>
    </row>
    <row r="1366" spans="1:3" x14ac:dyDescent="0.3">
      <c r="A1366" s="37" t="s">
        <v>4</v>
      </c>
      <c r="B1366" s="55">
        <v>44953.677905092591</v>
      </c>
      <c r="C1366" s="38">
        <v>98283</v>
      </c>
    </row>
    <row r="1367" spans="1:3" x14ac:dyDescent="0.3">
      <c r="A1367" s="37" t="s">
        <v>4</v>
      </c>
      <c r="B1367" s="55">
        <v>44950.129953703698</v>
      </c>
      <c r="C1367" s="38">
        <v>152500</v>
      </c>
    </row>
    <row r="1368" spans="1:3" x14ac:dyDescent="0.3">
      <c r="A1368" s="37" t="s">
        <v>4</v>
      </c>
      <c r="B1368" s="55">
        <v>44930.647534722222</v>
      </c>
      <c r="C1368" s="38"/>
    </row>
    <row r="1369" spans="1:3" x14ac:dyDescent="0.3">
      <c r="A1369" s="37" t="s">
        <v>4</v>
      </c>
      <c r="B1369" s="55">
        <v>44934.211921296293</v>
      </c>
      <c r="C1369" s="38">
        <v>190950</v>
      </c>
    </row>
    <row r="1370" spans="1:3" x14ac:dyDescent="0.3">
      <c r="A1370" s="37" t="s">
        <v>4</v>
      </c>
      <c r="B1370" s="55">
        <v>44952.839143518519</v>
      </c>
      <c r="C1370" s="38">
        <v>150000</v>
      </c>
    </row>
    <row r="1371" spans="1:3" x14ac:dyDescent="0.3">
      <c r="A1371" s="37" t="s">
        <v>4</v>
      </c>
      <c r="B1371" s="55">
        <v>44936.620729166672</v>
      </c>
      <c r="C1371" s="38">
        <v>50500</v>
      </c>
    </row>
    <row r="1372" spans="1:3" x14ac:dyDescent="0.3">
      <c r="A1372" s="37" t="s">
        <v>4</v>
      </c>
      <c r="B1372" s="55">
        <v>44952.326527777783</v>
      </c>
      <c r="C1372" s="38">
        <v>99150</v>
      </c>
    </row>
    <row r="1373" spans="1:3" x14ac:dyDescent="0.3">
      <c r="A1373" s="37" t="s">
        <v>4</v>
      </c>
      <c r="B1373" s="55">
        <v>44947.096666666657</v>
      </c>
      <c r="C1373" s="38">
        <v>96773</v>
      </c>
    </row>
    <row r="1374" spans="1:3" x14ac:dyDescent="0.3">
      <c r="A1374" s="37" t="s">
        <v>4</v>
      </c>
      <c r="B1374" s="55">
        <v>44942.44866898148</v>
      </c>
      <c r="C1374" s="38">
        <v>184500</v>
      </c>
    </row>
    <row r="1375" spans="1:3" x14ac:dyDescent="0.3">
      <c r="A1375" s="37" t="s">
        <v>4</v>
      </c>
      <c r="B1375" s="55">
        <v>44944.010046296287</v>
      </c>
      <c r="C1375" s="38">
        <v>131580</v>
      </c>
    </row>
    <row r="1376" spans="1:3" x14ac:dyDescent="0.3">
      <c r="A1376" s="37" t="s">
        <v>4</v>
      </c>
      <c r="B1376" s="55">
        <v>44950.29109953704</v>
      </c>
      <c r="C1376" s="38">
        <v>136125</v>
      </c>
    </row>
    <row r="1377" spans="1:3" x14ac:dyDescent="0.3">
      <c r="A1377" s="37" t="s">
        <v>4</v>
      </c>
      <c r="B1377" s="55">
        <v>44932.46435185185</v>
      </c>
      <c r="C1377" s="38">
        <v>172475.5</v>
      </c>
    </row>
    <row r="1378" spans="1:3" x14ac:dyDescent="0.3">
      <c r="A1378" s="37" t="s">
        <v>4</v>
      </c>
      <c r="B1378" s="55">
        <v>44957.744027777779</v>
      </c>
      <c r="C1378" s="38">
        <v>131580</v>
      </c>
    </row>
    <row r="1379" spans="1:3" x14ac:dyDescent="0.3">
      <c r="A1379" s="37" t="s">
        <v>4</v>
      </c>
      <c r="B1379" s="55">
        <v>44939.590532407397</v>
      </c>
      <c r="C1379" s="38"/>
    </row>
    <row r="1380" spans="1:3" x14ac:dyDescent="0.3">
      <c r="A1380" s="37" t="s">
        <v>4</v>
      </c>
      <c r="B1380" s="55">
        <v>44956.5466087963</v>
      </c>
      <c r="C1380" s="38">
        <v>140000</v>
      </c>
    </row>
    <row r="1381" spans="1:3" x14ac:dyDescent="0.3">
      <c r="A1381" s="37" t="s">
        <v>4</v>
      </c>
      <c r="B1381" s="55">
        <v>44945.335740740738</v>
      </c>
      <c r="C1381" s="38">
        <v>98283</v>
      </c>
    </row>
    <row r="1382" spans="1:3" x14ac:dyDescent="0.3">
      <c r="A1382" s="37" t="s">
        <v>4</v>
      </c>
      <c r="B1382" s="55">
        <v>44942.589270833327</v>
      </c>
      <c r="C1382" s="38">
        <v>147500</v>
      </c>
    </row>
    <row r="1383" spans="1:3" x14ac:dyDescent="0.3">
      <c r="A1383" s="37" t="s">
        <v>4</v>
      </c>
      <c r="B1383" s="55">
        <v>44934.490254629629</v>
      </c>
      <c r="C1383" s="38">
        <v>115000</v>
      </c>
    </row>
    <row r="1384" spans="1:3" x14ac:dyDescent="0.3">
      <c r="A1384" s="37" t="s">
        <v>4</v>
      </c>
      <c r="B1384" s="55">
        <v>44928.629826388889</v>
      </c>
      <c r="C1384" s="38"/>
    </row>
    <row r="1385" spans="1:3" x14ac:dyDescent="0.3">
      <c r="A1385" s="37" t="s">
        <v>4</v>
      </c>
      <c r="B1385" s="55">
        <v>44941.838414351849</v>
      </c>
      <c r="C1385" s="38">
        <v>135000</v>
      </c>
    </row>
    <row r="1386" spans="1:3" x14ac:dyDescent="0.3">
      <c r="A1386" s="37" t="s">
        <v>4</v>
      </c>
      <c r="B1386" s="55">
        <v>44937.631678240738</v>
      </c>
      <c r="C1386" s="38"/>
    </row>
    <row r="1387" spans="1:3" x14ac:dyDescent="0.3">
      <c r="A1387" s="37" t="s">
        <v>4</v>
      </c>
      <c r="B1387" s="55">
        <v>44929.943842592591</v>
      </c>
      <c r="C1387" s="38">
        <v>105000</v>
      </c>
    </row>
    <row r="1388" spans="1:3" x14ac:dyDescent="0.3">
      <c r="A1388" s="37" t="s">
        <v>4</v>
      </c>
      <c r="B1388" s="55">
        <v>44955.614421296297</v>
      </c>
      <c r="C1388" s="38">
        <v>177500</v>
      </c>
    </row>
    <row r="1389" spans="1:3" x14ac:dyDescent="0.3">
      <c r="A1389" s="37" t="s">
        <v>4</v>
      </c>
      <c r="B1389" s="55">
        <v>44938.360960648148</v>
      </c>
      <c r="C1389" s="38">
        <v>110000</v>
      </c>
    </row>
    <row r="1390" spans="1:3" x14ac:dyDescent="0.3">
      <c r="A1390" s="37" t="s">
        <v>4</v>
      </c>
      <c r="B1390" s="55">
        <v>44951.871377314812</v>
      </c>
      <c r="C1390" s="38">
        <v>98283</v>
      </c>
    </row>
    <row r="1391" spans="1:3" x14ac:dyDescent="0.3">
      <c r="A1391" s="37" t="s">
        <v>4</v>
      </c>
      <c r="B1391" s="55">
        <v>44932.31490740741</v>
      </c>
      <c r="C1391" s="38">
        <v>90000</v>
      </c>
    </row>
    <row r="1392" spans="1:3" x14ac:dyDescent="0.3">
      <c r="A1392" s="37" t="s">
        <v>4</v>
      </c>
      <c r="B1392" s="55">
        <v>44938.610335648147</v>
      </c>
      <c r="C1392" s="38">
        <v>131580</v>
      </c>
    </row>
    <row r="1393" spans="1:3" x14ac:dyDescent="0.3">
      <c r="A1393" s="37" t="s">
        <v>4</v>
      </c>
      <c r="B1393" s="55">
        <v>44954.33798611111</v>
      </c>
      <c r="C1393" s="38">
        <v>152650</v>
      </c>
    </row>
    <row r="1394" spans="1:3" x14ac:dyDescent="0.3">
      <c r="A1394" s="37" t="s">
        <v>4</v>
      </c>
      <c r="B1394" s="55">
        <v>44954.006203703713</v>
      </c>
      <c r="C1394" s="38"/>
    </row>
    <row r="1395" spans="1:3" x14ac:dyDescent="0.3">
      <c r="A1395" s="37" t="s">
        <v>4</v>
      </c>
      <c r="B1395" s="55">
        <v>44931.750543981478</v>
      </c>
      <c r="C1395" s="38"/>
    </row>
    <row r="1396" spans="1:3" x14ac:dyDescent="0.3">
      <c r="A1396" s="37" t="s">
        <v>4</v>
      </c>
      <c r="B1396" s="55">
        <v>44940.7971412037</v>
      </c>
      <c r="C1396" s="38">
        <v>140000</v>
      </c>
    </row>
    <row r="1397" spans="1:3" x14ac:dyDescent="0.3">
      <c r="A1397" s="37" t="s">
        <v>4</v>
      </c>
      <c r="B1397" s="55">
        <v>44940.991284722222</v>
      </c>
      <c r="C1397" s="38">
        <v>90000</v>
      </c>
    </row>
    <row r="1398" spans="1:3" x14ac:dyDescent="0.3">
      <c r="A1398" s="37" t="s">
        <v>4</v>
      </c>
      <c r="B1398" s="55">
        <v>44939.589085648149</v>
      </c>
      <c r="C1398" s="38"/>
    </row>
    <row r="1399" spans="1:3" x14ac:dyDescent="0.3">
      <c r="A1399" s="37" t="s">
        <v>4</v>
      </c>
      <c r="B1399" s="55">
        <v>44938.723078703697</v>
      </c>
      <c r="C1399" s="38"/>
    </row>
    <row r="1400" spans="1:3" x14ac:dyDescent="0.3">
      <c r="A1400" s="37" t="s">
        <v>4</v>
      </c>
      <c r="B1400" s="55">
        <v>44931.458877314813</v>
      </c>
      <c r="C1400" s="38">
        <v>125000</v>
      </c>
    </row>
    <row r="1401" spans="1:3" x14ac:dyDescent="0.3">
      <c r="A1401" s="37" t="s">
        <v>4</v>
      </c>
      <c r="B1401" s="55">
        <v>44928.785416666673</v>
      </c>
      <c r="C1401" s="38">
        <v>96760.5</v>
      </c>
    </row>
    <row r="1402" spans="1:3" x14ac:dyDescent="0.3">
      <c r="A1402" s="37" t="s">
        <v>4</v>
      </c>
      <c r="B1402" s="55">
        <v>44931.729270833333</v>
      </c>
      <c r="C1402" s="38"/>
    </row>
    <row r="1403" spans="1:3" x14ac:dyDescent="0.3">
      <c r="A1403" s="37" t="s">
        <v>4</v>
      </c>
      <c r="B1403" s="55">
        <v>44949.385555555556</v>
      </c>
      <c r="C1403" s="38">
        <v>90000</v>
      </c>
    </row>
    <row r="1404" spans="1:3" x14ac:dyDescent="0.3">
      <c r="A1404" s="37" t="s">
        <v>4</v>
      </c>
      <c r="B1404" s="55">
        <v>44945.007094907407</v>
      </c>
      <c r="C1404" s="38"/>
    </row>
    <row r="1405" spans="1:3" x14ac:dyDescent="0.3">
      <c r="A1405" s="37" t="s">
        <v>4</v>
      </c>
      <c r="B1405" s="55">
        <v>44943.288460648153</v>
      </c>
      <c r="C1405" s="38">
        <v>125000</v>
      </c>
    </row>
    <row r="1406" spans="1:3" x14ac:dyDescent="0.3">
      <c r="A1406" s="37" t="s">
        <v>4</v>
      </c>
      <c r="B1406" s="55">
        <v>44954.429305555554</v>
      </c>
      <c r="C1406" s="38">
        <v>208114</v>
      </c>
    </row>
    <row r="1407" spans="1:3" x14ac:dyDescent="0.3">
      <c r="A1407" s="37" t="s">
        <v>4</v>
      </c>
      <c r="B1407" s="55">
        <v>44930.689062500001</v>
      </c>
      <c r="C1407" s="38">
        <v>150000</v>
      </c>
    </row>
    <row r="1408" spans="1:3" x14ac:dyDescent="0.3">
      <c r="A1408" s="37" t="s">
        <v>4</v>
      </c>
      <c r="B1408" s="55">
        <v>44929.993807870371</v>
      </c>
      <c r="C1408" s="38"/>
    </row>
    <row r="1409" spans="1:3" x14ac:dyDescent="0.3">
      <c r="A1409" s="37" t="s">
        <v>4</v>
      </c>
      <c r="B1409" s="55">
        <v>44953.05841435185</v>
      </c>
      <c r="C1409" s="38">
        <v>98283</v>
      </c>
    </row>
    <row r="1410" spans="1:3" x14ac:dyDescent="0.3">
      <c r="A1410" s="37" t="s">
        <v>4</v>
      </c>
      <c r="B1410" s="55">
        <v>44935.761736111112</v>
      </c>
      <c r="C1410" s="38">
        <v>235000</v>
      </c>
    </row>
    <row r="1411" spans="1:3" x14ac:dyDescent="0.3">
      <c r="A1411" s="37" t="s">
        <v>4</v>
      </c>
      <c r="B1411" s="55">
        <v>44957.510034722232</v>
      </c>
      <c r="C1411" s="38">
        <v>90000</v>
      </c>
    </row>
    <row r="1412" spans="1:3" x14ac:dyDescent="0.3">
      <c r="A1412" s="37" t="s">
        <v>4</v>
      </c>
      <c r="B1412" s="55">
        <v>44944.38045138889</v>
      </c>
      <c r="C1412" s="38">
        <v>125000</v>
      </c>
    </row>
    <row r="1413" spans="1:3" x14ac:dyDescent="0.3">
      <c r="A1413" s="37" t="s">
        <v>4</v>
      </c>
      <c r="B1413" s="55">
        <v>44940.4065162037</v>
      </c>
      <c r="C1413" s="38">
        <v>115000</v>
      </c>
    </row>
    <row r="1414" spans="1:3" x14ac:dyDescent="0.3">
      <c r="A1414" s="37" t="s">
        <v>4</v>
      </c>
      <c r="B1414" s="55">
        <v>44957.478865740741</v>
      </c>
      <c r="C1414" s="38">
        <v>147500</v>
      </c>
    </row>
    <row r="1415" spans="1:3" x14ac:dyDescent="0.3">
      <c r="A1415" s="37" t="s">
        <v>4</v>
      </c>
      <c r="B1415" s="55">
        <v>44954.017083333332</v>
      </c>
      <c r="C1415" s="38">
        <v>133000</v>
      </c>
    </row>
    <row r="1416" spans="1:3" x14ac:dyDescent="0.3">
      <c r="A1416" s="37" t="s">
        <v>4</v>
      </c>
      <c r="B1416" s="55">
        <v>44943.783773148149</v>
      </c>
      <c r="C1416" s="38"/>
    </row>
    <row r="1417" spans="1:3" x14ac:dyDescent="0.3">
      <c r="A1417" s="37" t="s">
        <v>4</v>
      </c>
      <c r="B1417" s="55">
        <v>44949.755532407413</v>
      </c>
      <c r="C1417" s="38"/>
    </row>
    <row r="1418" spans="1:3" x14ac:dyDescent="0.3">
      <c r="A1418" s="37" t="s">
        <v>4</v>
      </c>
      <c r="B1418" s="55">
        <v>44951.328240740739</v>
      </c>
      <c r="C1418" s="38">
        <v>99150</v>
      </c>
    </row>
    <row r="1419" spans="1:3" x14ac:dyDescent="0.3">
      <c r="A1419" s="37" t="s">
        <v>4</v>
      </c>
      <c r="B1419" s="55">
        <v>44934.254548611112</v>
      </c>
      <c r="C1419" s="38">
        <v>150000</v>
      </c>
    </row>
    <row r="1420" spans="1:3" x14ac:dyDescent="0.3">
      <c r="A1420" s="37" t="s">
        <v>4</v>
      </c>
      <c r="B1420" s="55">
        <v>44928.81454861111</v>
      </c>
      <c r="C1420" s="38">
        <v>98301.5</v>
      </c>
    </row>
    <row r="1421" spans="1:3" x14ac:dyDescent="0.3">
      <c r="A1421" s="37" t="s">
        <v>4</v>
      </c>
      <c r="B1421" s="55">
        <v>44952.086076388892</v>
      </c>
      <c r="C1421" s="38">
        <v>147500</v>
      </c>
    </row>
    <row r="1422" spans="1:3" x14ac:dyDescent="0.3">
      <c r="A1422" s="37" t="s">
        <v>4</v>
      </c>
      <c r="B1422" s="55">
        <v>44938.54215277778</v>
      </c>
      <c r="C1422" s="38"/>
    </row>
    <row r="1423" spans="1:3" x14ac:dyDescent="0.3">
      <c r="A1423" s="37" t="s">
        <v>4</v>
      </c>
      <c r="B1423" s="55">
        <v>44932.27484953704</v>
      </c>
      <c r="C1423" s="38">
        <v>147500</v>
      </c>
    </row>
    <row r="1424" spans="1:3" x14ac:dyDescent="0.3">
      <c r="A1424" s="37" t="s">
        <v>4</v>
      </c>
      <c r="B1424" s="55">
        <v>44943.889120370368</v>
      </c>
      <c r="C1424" s="38">
        <v>133000</v>
      </c>
    </row>
    <row r="1425" spans="1:3" x14ac:dyDescent="0.3">
      <c r="A1425" s="37" t="s">
        <v>4</v>
      </c>
      <c r="B1425" s="55">
        <v>44956.298067129632</v>
      </c>
      <c r="C1425" s="38">
        <v>115000</v>
      </c>
    </row>
    <row r="1426" spans="1:3" x14ac:dyDescent="0.3">
      <c r="A1426" s="37" t="s">
        <v>4</v>
      </c>
      <c r="B1426" s="55">
        <v>44950.087083333332</v>
      </c>
      <c r="C1426" s="38">
        <v>90000</v>
      </c>
    </row>
    <row r="1427" spans="1:3" x14ac:dyDescent="0.3">
      <c r="A1427" s="37" t="s">
        <v>4</v>
      </c>
      <c r="B1427" s="55">
        <v>44950.429502314822</v>
      </c>
      <c r="C1427" s="38">
        <v>90000</v>
      </c>
    </row>
    <row r="1428" spans="1:3" x14ac:dyDescent="0.3">
      <c r="A1428" s="37" t="s">
        <v>4</v>
      </c>
      <c r="B1428" s="55">
        <v>44945.189317129632</v>
      </c>
      <c r="C1428" s="38">
        <v>131580</v>
      </c>
    </row>
    <row r="1429" spans="1:3" x14ac:dyDescent="0.3">
      <c r="A1429" s="37" t="s">
        <v>4</v>
      </c>
      <c r="B1429" s="55">
        <v>44950.512824074067</v>
      </c>
      <c r="C1429" s="38">
        <v>90000</v>
      </c>
    </row>
    <row r="1430" spans="1:3" x14ac:dyDescent="0.3">
      <c r="A1430" s="37" t="s">
        <v>4</v>
      </c>
      <c r="B1430" s="55">
        <v>44953.340011574073</v>
      </c>
      <c r="C1430" s="38">
        <v>175000</v>
      </c>
    </row>
    <row r="1431" spans="1:3" x14ac:dyDescent="0.3">
      <c r="A1431" s="37" t="s">
        <v>4</v>
      </c>
      <c r="B1431" s="55">
        <v>44936.34784722222</v>
      </c>
      <c r="C1431" s="38">
        <v>269500</v>
      </c>
    </row>
    <row r="1432" spans="1:3" x14ac:dyDescent="0.3">
      <c r="A1432" s="37" t="s">
        <v>4</v>
      </c>
      <c r="B1432" s="55">
        <v>44931.978831018518</v>
      </c>
      <c r="C1432" s="38"/>
    </row>
    <row r="1433" spans="1:3" x14ac:dyDescent="0.3">
      <c r="A1433" s="37" t="s">
        <v>4</v>
      </c>
      <c r="B1433" s="55">
        <v>44944.432615740741</v>
      </c>
      <c r="C1433" s="38">
        <v>98283</v>
      </c>
    </row>
    <row r="1434" spans="1:3" x14ac:dyDescent="0.3">
      <c r="A1434" s="37" t="s">
        <v>4</v>
      </c>
      <c r="B1434" s="55">
        <v>44938.190046296288</v>
      </c>
      <c r="C1434" s="38">
        <v>147500</v>
      </c>
    </row>
    <row r="1435" spans="1:3" x14ac:dyDescent="0.3">
      <c r="A1435" s="37" t="s">
        <v>4</v>
      </c>
      <c r="B1435" s="55">
        <v>44929.693229166667</v>
      </c>
      <c r="C1435" s="38"/>
    </row>
    <row r="1436" spans="1:3" x14ac:dyDescent="0.3">
      <c r="A1436" s="37" t="s">
        <v>4</v>
      </c>
      <c r="B1436" s="55">
        <v>44944.009814814817</v>
      </c>
      <c r="C1436" s="38">
        <v>89100</v>
      </c>
    </row>
    <row r="1437" spans="1:3" x14ac:dyDescent="0.3">
      <c r="A1437" s="37" t="s">
        <v>4</v>
      </c>
      <c r="B1437" s="55">
        <v>44951.475081018521</v>
      </c>
      <c r="C1437" s="38">
        <v>125000</v>
      </c>
    </row>
    <row r="1438" spans="1:3" x14ac:dyDescent="0.3">
      <c r="A1438" s="37" t="s">
        <v>4</v>
      </c>
      <c r="B1438" s="55">
        <v>44957.712430555563</v>
      </c>
      <c r="C1438" s="38"/>
    </row>
    <row r="1439" spans="1:3" x14ac:dyDescent="0.3">
      <c r="A1439" s="37" t="s">
        <v>4</v>
      </c>
      <c r="B1439" s="55">
        <v>44950.269062500003</v>
      </c>
      <c r="C1439" s="38">
        <v>175000</v>
      </c>
    </row>
    <row r="1440" spans="1:3" x14ac:dyDescent="0.3">
      <c r="A1440" s="37" t="s">
        <v>4</v>
      </c>
      <c r="B1440" s="55">
        <v>44957.19017361111</v>
      </c>
      <c r="C1440" s="38">
        <v>79200</v>
      </c>
    </row>
    <row r="1441" spans="1:3" x14ac:dyDescent="0.3">
      <c r="A1441" s="37" t="s">
        <v>4</v>
      </c>
      <c r="B1441" s="55">
        <v>44950.418078703697</v>
      </c>
      <c r="C1441" s="38">
        <v>147500</v>
      </c>
    </row>
    <row r="1442" spans="1:3" x14ac:dyDescent="0.3">
      <c r="A1442" s="37" t="s">
        <v>4</v>
      </c>
      <c r="B1442" s="55">
        <v>44945.7893287037</v>
      </c>
      <c r="C1442" s="38">
        <v>147500</v>
      </c>
    </row>
    <row r="1443" spans="1:3" x14ac:dyDescent="0.3">
      <c r="A1443" s="37" t="s">
        <v>4</v>
      </c>
      <c r="B1443" s="55">
        <v>44953.757708333331</v>
      </c>
      <c r="C1443" s="38">
        <v>325000</v>
      </c>
    </row>
    <row r="1444" spans="1:3" x14ac:dyDescent="0.3">
      <c r="A1444" s="37" t="s">
        <v>4</v>
      </c>
      <c r="B1444" s="55">
        <v>44929.983518518522</v>
      </c>
      <c r="C1444" s="38"/>
    </row>
    <row r="1445" spans="1:3" x14ac:dyDescent="0.3">
      <c r="A1445" s="37" t="s">
        <v>4</v>
      </c>
      <c r="B1445" s="55">
        <v>44957.295381944437</v>
      </c>
      <c r="C1445" s="38">
        <v>90000</v>
      </c>
    </row>
    <row r="1446" spans="1:3" x14ac:dyDescent="0.3">
      <c r="A1446" s="37" t="s">
        <v>4</v>
      </c>
      <c r="B1446" s="55">
        <v>44951.25267361111</v>
      </c>
      <c r="C1446" s="38">
        <v>125000</v>
      </c>
    </row>
    <row r="1447" spans="1:3" x14ac:dyDescent="0.3">
      <c r="A1447" s="37" t="s">
        <v>4</v>
      </c>
      <c r="B1447" s="55">
        <v>44929.130358796298</v>
      </c>
      <c r="C1447" s="38">
        <v>137610</v>
      </c>
    </row>
    <row r="1448" spans="1:3" x14ac:dyDescent="0.3">
      <c r="A1448" s="37" t="s">
        <v>4</v>
      </c>
      <c r="B1448" s="55">
        <v>44946.927060185182</v>
      </c>
      <c r="C1448" s="38">
        <v>98283</v>
      </c>
    </row>
    <row r="1449" spans="1:3" x14ac:dyDescent="0.3">
      <c r="A1449" s="37" t="s">
        <v>4</v>
      </c>
      <c r="B1449" s="55">
        <v>44953.29891203704</v>
      </c>
      <c r="C1449" s="38">
        <v>101001.5</v>
      </c>
    </row>
    <row r="1450" spans="1:3" x14ac:dyDescent="0.3">
      <c r="A1450" s="37" t="s">
        <v>4</v>
      </c>
      <c r="B1450" s="55">
        <v>44929.985960648148</v>
      </c>
      <c r="C1450" s="38"/>
    </row>
    <row r="1451" spans="1:3" x14ac:dyDescent="0.3">
      <c r="A1451" s="37" t="s">
        <v>4</v>
      </c>
      <c r="B1451" s="55">
        <v>44951.045416666668</v>
      </c>
      <c r="C1451" s="38">
        <v>209500</v>
      </c>
    </row>
    <row r="1452" spans="1:3" x14ac:dyDescent="0.3">
      <c r="A1452" s="37" t="s">
        <v>4</v>
      </c>
      <c r="B1452" s="55">
        <v>44932.714560185188</v>
      </c>
      <c r="C1452" s="38">
        <v>89100</v>
      </c>
    </row>
    <row r="1453" spans="1:3" x14ac:dyDescent="0.3">
      <c r="A1453" s="37" t="s">
        <v>4</v>
      </c>
      <c r="B1453" s="55">
        <v>44942.658182870371</v>
      </c>
      <c r="C1453" s="38">
        <v>105000</v>
      </c>
    </row>
    <row r="1454" spans="1:3" x14ac:dyDescent="0.3">
      <c r="A1454" s="37" t="s">
        <v>4</v>
      </c>
      <c r="B1454" s="55">
        <v>44938.365416666667</v>
      </c>
      <c r="C1454" s="38">
        <v>133000</v>
      </c>
    </row>
    <row r="1455" spans="1:3" x14ac:dyDescent="0.3">
      <c r="A1455" s="37" t="s">
        <v>4</v>
      </c>
      <c r="B1455" s="55">
        <v>44932.339837962973</v>
      </c>
      <c r="C1455" s="38">
        <v>165000</v>
      </c>
    </row>
    <row r="1456" spans="1:3" x14ac:dyDescent="0.3">
      <c r="A1456" s="37" t="s">
        <v>4</v>
      </c>
      <c r="B1456" s="55">
        <v>44936.893090277779</v>
      </c>
      <c r="C1456" s="38">
        <v>97500</v>
      </c>
    </row>
    <row r="1457" spans="1:3" x14ac:dyDescent="0.3">
      <c r="A1457" s="37" t="s">
        <v>4</v>
      </c>
      <c r="B1457" s="55">
        <v>44957.858136574083</v>
      </c>
      <c r="C1457" s="38">
        <v>112500</v>
      </c>
    </row>
    <row r="1458" spans="1:3" x14ac:dyDescent="0.3">
      <c r="A1458" s="37" t="s">
        <v>4</v>
      </c>
      <c r="B1458" s="55">
        <v>44951.783368055563</v>
      </c>
      <c r="C1458" s="38">
        <v>147500</v>
      </c>
    </row>
    <row r="1459" spans="1:3" x14ac:dyDescent="0.3">
      <c r="A1459" s="37" t="s">
        <v>4</v>
      </c>
      <c r="B1459" s="55">
        <v>44928.992638888893</v>
      </c>
      <c r="C1459" s="38">
        <v>135000</v>
      </c>
    </row>
    <row r="1460" spans="1:3" x14ac:dyDescent="0.3">
      <c r="A1460" s="37" t="s">
        <v>4</v>
      </c>
      <c r="B1460" s="55">
        <v>44931.990879629629</v>
      </c>
      <c r="C1460" s="38">
        <v>50400</v>
      </c>
    </row>
    <row r="1461" spans="1:3" x14ac:dyDescent="0.3">
      <c r="A1461" s="37" t="s">
        <v>4</v>
      </c>
      <c r="B1461" s="55">
        <v>44936.933749999997</v>
      </c>
      <c r="C1461" s="38"/>
    </row>
    <row r="1462" spans="1:3" x14ac:dyDescent="0.3">
      <c r="A1462" s="37" t="s">
        <v>4</v>
      </c>
      <c r="B1462" s="55">
        <v>44927.018634259257</v>
      </c>
      <c r="C1462" s="38">
        <v>300000</v>
      </c>
    </row>
    <row r="1463" spans="1:3" x14ac:dyDescent="0.3">
      <c r="A1463" s="37" t="s">
        <v>4</v>
      </c>
      <c r="B1463" s="55">
        <v>44936.405648148153</v>
      </c>
      <c r="C1463" s="38">
        <v>98301.5</v>
      </c>
    </row>
    <row r="1464" spans="1:3" x14ac:dyDescent="0.3">
      <c r="A1464" s="37" t="s">
        <v>4</v>
      </c>
      <c r="B1464" s="55">
        <v>44948.299930555557</v>
      </c>
      <c r="C1464" s="38">
        <v>147500</v>
      </c>
    </row>
    <row r="1465" spans="1:3" x14ac:dyDescent="0.3">
      <c r="A1465" s="37" t="s">
        <v>4</v>
      </c>
      <c r="B1465" s="55">
        <v>44929.817708333343</v>
      </c>
      <c r="C1465" s="38">
        <v>56700</v>
      </c>
    </row>
    <row r="1466" spans="1:3" x14ac:dyDescent="0.3">
      <c r="A1466" s="37" t="s">
        <v>4</v>
      </c>
      <c r="B1466" s="55">
        <v>44955.461944444447</v>
      </c>
      <c r="C1466" s="38">
        <v>99150</v>
      </c>
    </row>
    <row r="1467" spans="1:3" x14ac:dyDescent="0.3">
      <c r="A1467" s="37" t="s">
        <v>4</v>
      </c>
      <c r="B1467" s="55">
        <v>44936.308912037042</v>
      </c>
      <c r="C1467" s="38">
        <v>90000</v>
      </c>
    </row>
    <row r="1468" spans="1:3" x14ac:dyDescent="0.3">
      <c r="A1468" s="37" t="s">
        <v>4</v>
      </c>
      <c r="B1468" s="55">
        <v>44950.758101851847</v>
      </c>
      <c r="C1468" s="38">
        <v>87500</v>
      </c>
    </row>
    <row r="1469" spans="1:3" x14ac:dyDescent="0.3">
      <c r="A1469" s="37" t="s">
        <v>4</v>
      </c>
      <c r="B1469" s="55">
        <v>44952.480162037027</v>
      </c>
      <c r="C1469" s="38">
        <v>72900</v>
      </c>
    </row>
    <row r="1470" spans="1:3" x14ac:dyDescent="0.3">
      <c r="A1470" s="37" t="s">
        <v>4</v>
      </c>
      <c r="B1470" s="55">
        <v>44933.067326388889</v>
      </c>
      <c r="C1470" s="38">
        <v>147500</v>
      </c>
    </row>
    <row r="1471" spans="1:3" x14ac:dyDescent="0.3">
      <c r="A1471" s="37" t="s">
        <v>4</v>
      </c>
      <c r="B1471" s="55">
        <v>44930.797893518517</v>
      </c>
      <c r="C1471" s="38">
        <v>177500</v>
      </c>
    </row>
    <row r="1472" spans="1:3" x14ac:dyDescent="0.3">
      <c r="A1472" s="37" t="s">
        <v>4</v>
      </c>
      <c r="B1472" s="55">
        <v>44929.869733796288</v>
      </c>
      <c r="C1472" s="38">
        <v>98301.5</v>
      </c>
    </row>
    <row r="1473" spans="1:3" x14ac:dyDescent="0.3">
      <c r="A1473" s="37" t="s">
        <v>4</v>
      </c>
      <c r="B1473" s="55">
        <v>44946.961469907408</v>
      </c>
      <c r="C1473" s="38">
        <v>249000</v>
      </c>
    </row>
    <row r="1474" spans="1:3" x14ac:dyDescent="0.3">
      <c r="A1474" s="37" t="s">
        <v>4</v>
      </c>
      <c r="B1474" s="55">
        <v>44943.01761574074</v>
      </c>
      <c r="C1474" s="38">
        <v>80000</v>
      </c>
    </row>
    <row r="1475" spans="1:3" x14ac:dyDescent="0.3">
      <c r="A1475" s="37" t="s">
        <v>4</v>
      </c>
      <c r="B1475" s="55">
        <v>44937.505011574067</v>
      </c>
      <c r="C1475" s="38">
        <v>125000</v>
      </c>
    </row>
    <row r="1476" spans="1:3" x14ac:dyDescent="0.3">
      <c r="A1476" s="37" t="s">
        <v>4</v>
      </c>
      <c r="B1476" s="55">
        <v>44939.509745370371</v>
      </c>
      <c r="C1476" s="38">
        <v>147500</v>
      </c>
    </row>
    <row r="1477" spans="1:3" x14ac:dyDescent="0.3">
      <c r="A1477" s="37" t="s">
        <v>4</v>
      </c>
      <c r="B1477" s="55">
        <v>44945.884930555563</v>
      </c>
      <c r="C1477" s="38">
        <v>45000</v>
      </c>
    </row>
    <row r="1478" spans="1:3" x14ac:dyDescent="0.3">
      <c r="A1478" s="37" t="s">
        <v>4</v>
      </c>
      <c r="B1478" s="55">
        <v>44956.345856481479</v>
      </c>
      <c r="C1478" s="38">
        <v>125000</v>
      </c>
    </row>
    <row r="1479" spans="1:3" x14ac:dyDescent="0.3">
      <c r="A1479" s="37" t="s">
        <v>4</v>
      </c>
      <c r="B1479" s="55">
        <v>44946.438518518517</v>
      </c>
      <c r="C1479" s="38">
        <v>147500</v>
      </c>
    </row>
    <row r="1480" spans="1:3" x14ac:dyDescent="0.3">
      <c r="A1480" s="37" t="s">
        <v>4</v>
      </c>
      <c r="B1480" s="55">
        <v>44933.300567129627</v>
      </c>
      <c r="C1480" s="38">
        <v>90000</v>
      </c>
    </row>
    <row r="1481" spans="1:3" x14ac:dyDescent="0.3">
      <c r="A1481" s="37" t="s">
        <v>4</v>
      </c>
      <c r="B1481" s="55">
        <v>44944.742951388893</v>
      </c>
      <c r="C1481" s="38">
        <v>157000</v>
      </c>
    </row>
    <row r="1482" spans="1:3" x14ac:dyDescent="0.3">
      <c r="A1482" s="37" t="s">
        <v>4</v>
      </c>
      <c r="B1482" s="55">
        <v>44957.974224537043</v>
      </c>
      <c r="C1482" s="38">
        <v>147500</v>
      </c>
    </row>
    <row r="1483" spans="1:3" x14ac:dyDescent="0.3">
      <c r="A1483" s="37" t="s">
        <v>4</v>
      </c>
      <c r="B1483" s="55">
        <v>44933.143738425933</v>
      </c>
      <c r="C1483" s="38">
        <v>79200</v>
      </c>
    </row>
    <row r="1484" spans="1:3" x14ac:dyDescent="0.3">
      <c r="A1484" s="37" t="s">
        <v>4</v>
      </c>
      <c r="B1484" s="55">
        <v>44946.775324074071</v>
      </c>
      <c r="C1484" s="38">
        <v>79200</v>
      </c>
    </row>
    <row r="1485" spans="1:3" x14ac:dyDescent="0.3">
      <c r="A1485" s="37" t="s">
        <v>4</v>
      </c>
      <c r="B1485" s="55">
        <v>44930.83861111111</v>
      </c>
      <c r="C1485" s="38"/>
    </row>
    <row r="1486" spans="1:3" x14ac:dyDescent="0.3">
      <c r="A1486" s="37" t="s">
        <v>4</v>
      </c>
      <c r="B1486" s="55">
        <v>44935.847083333327</v>
      </c>
      <c r="C1486" s="38">
        <v>147500</v>
      </c>
    </row>
    <row r="1487" spans="1:3" x14ac:dyDescent="0.3">
      <c r="A1487" s="37" t="s">
        <v>4</v>
      </c>
      <c r="B1487" s="55">
        <v>44937.22378472222</v>
      </c>
      <c r="C1487" s="38">
        <v>110000</v>
      </c>
    </row>
    <row r="1488" spans="1:3" x14ac:dyDescent="0.3">
      <c r="A1488" s="37" t="s">
        <v>4</v>
      </c>
      <c r="B1488" s="55">
        <v>44945.968460648153</v>
      </c>
      <c r="C1488" s="38">
        <v>96773</v>
      </c>
    </row>
    <row r="1489" spans="1:3" x14ac:dyDescent="0.3">
      <c r="A1489" s="37" t="s">
        <v>4</v>
      </c>
      <c r="B1489" s="55">
        <v>44945.972060185188</v>
      </c>
      <c r="C1489" s="38">
        <v>133000</v>
      </c>
    </row>
    <row r="1490" spans="1:3" x14ac:dyDescent="0.3">
      <c r="A1490" s="37" t="s">
        <v>4</v>
      </c>
      <c r="B1490" s="55">
        <v>44927.004224537042</v>
      </c>
      <c r="C1490" s="38">
        <v>65000</v>
      </c>
    </row>
    <row r="1491" spans="1:3" x14ac:dyDescent="0.3">
      <c r="A1491" s="37" t="s">
        <v>4</v>
      </c>
      <c r="B1491" s="55">
        <v>44951.376076388893</v>
      </c>
      <c r="C1491" s="38">
        <v>125000</v>
      </c>
    </row>
    <row r="1492" spans="1:3" x14ac:dyDescent="0.3">
      <c r="A1492" s="37" t="s">
        <v>4</v>
      </c>
      <c r="B1492" s="55">
        <v>44950.34615740741</v>
      </c>
      <c r="C1492" s="38">
        <v>90000</v>
      </c>
    </row>
    <row r="1493" spans="1:3" x14ac:dyDescent="0.3">
      <c r="A1493" s="37" t="s">
        <v>4</v>
      </c>
      <c r="B1493" s="55">
        <v>44934.7184375</v>
      </c>
      <c r="C1493" s="38">
        <v>190000</v>
      </c>
    </row>
    <row r="1494" spans="1:3" x14ac:dyDescent="0.3">
      <c r="A1494" s="37" t="s">
        <v>4</v>
      </c>
      <c r="B1494" s="55">
        <v>44931.819756944453</v>
      </c>
      <c r="C1494" s="38">
        <v>147500</v>
      </c>
    </row>
    <row r="1495" spans="1:3" x14ac:dyDescent="0.3">
      <c r="A1495" s="37" t="s">
        <v>4</v>
      </c>
      <c r="B1495" s="55">
        <v>44932.359583333331</v>
      </c>
      <c r="C1495" s="38">
        <v>147500</v>
      </c>
    </row>
    <row r="1496" spans="1:3" x14ac:dyDescent="0.3">
      <c r="A1496" s="37" t="s">
        <v>4</v>
      </c>
      <c r="B1496" s="55">
        <v>44936.764722222222</v>
      </c>
      <c r="C1496" s="38">
        <v>162500</v>
      </c>
    </row>
    <row r="1497" spans="1:3" x14ac:dyDescent="0.3">
      <c r="A1497" s="37" t="s">
        <v>4</v>
      </c>
      <c r="B1497" s="55">
        <v>44955.051168981481</v>
      </c>
      <c r="C1497" s="38">
        <v>208114</v>
      </c>
    </row>
    <row r="1498" spans="1:3" x14ac:dyDescent="0.3">
      <c r="A1498" s="37" t="s">
        <v>4</v>
      </c>
      <c r="B1498" s="55">
        <v>44953.776782407411</v>
      </c>
      <c r="C1498" s="38"/>
    </row>
    <row r="1499" spans="1:3" x14ac:dyDescent="0.3">
      <c r="A1499" s="37" t="s">
        <v>4</v>
      </c>
      <c r="B1499" s="55">
        <v>44950.174409722233</v>
      </c>
      <c r="C1499" s="38">
        <v>147500</v>
      </c>
    </row>
    <row r="1500" spans="1:3" x14ac:dyDescent="0.3">
      <c r="A1500" s="37" t="s">
        <v>4</v>
      </c>
      <c r="B1500" s="55">
        <v>44943.658622685187</v>
      </c>
      <c r="C1500" s="38"/>
    </row>
    <row r="1501" spans="1:3" x14ac:dyDescent="0.3">
      <c r="A1501" s="37" t="s">
        <v>4</v>
      </c>
      <c r="B1501" s="55">
        <v>44938.614629629628</v>
      </c>
      <c r="C1501" s="38">
        <v>147500</v>
      </c>
    </row>
    <row r="1502" spans="1:3" x14ac:dyDescent="0.3">
      <c r="A1502" s="37" t="s">
        <v>4</v>
      </c>
      <c r="B1502" s="55">
        <v>44944.353078703702</v>
      </c>
      <c r="C1502" s="38">
        <v>115000</v>
      </c>
    </row>
    <row r="1503" spans="1:3" x14ac:dyDescent="0.3">
      <c r="A1503" s="37" t="s">
        <v>4</v>
      </c>
      <c r="B1503" s="55">
        <v>44927.97760416667</v>
      </c>
      <c r="C1503" s="38"/>
    </row>
    <row r="1504" spans="1:3" x14ac:dyDescent="0.3">
      <c r="A1504" s="37" t="s">
        <v>4</v>
      </c>
      <c r="B1504" s="55">
        <v>44944.178564814807</v>
      </c>
      <c r="C1504" s="38"/>
    </row>
    <row r="1505" spans="1:3" x14ac:dyDescent="0.3">
      <c r="A1505" s="37" t="s">
        <v>4</v>
      </c>
      <c r="B1505" s="55">
        <v>44935.862754629627</v>
      </c>
      <c r="C1505" s="38">
        <v>205000</v>
      </c>
    </row>
    <row r="1506" spans="1:3" x14ac:dyDescent="0.3">
      <c r="A1506" s="37" t="s">
        <v>4</v>
      </c>
      <c r="B1506" s="55">
        <v>44945.974143518521</v>
      </c>
      <c r="C1506" s="38">
        <v>102500</v>
      </c>
    </row>
    <row r="1507" spans="1:3" x14ac:dyDescent="0.3">
      <c r="A1507" s="37" t="s">
        <v>4</v>
      </c>
      <c r="B1507" s="55">
        <v>44936.987303240741</v>
      </c>
      <c r="C1507" s="38">
        <v>147500</v>
      </c>
    </row>
    <row r="1508" spans="1:3" x14ac:dyDescent="0.3">
      <c r="A1508" s="37" t="s">
        <v>4</v>
      </c>
      <c r="B1508" s="55">
        <v>44950.681631944448</v>
      </c>
      <c r="C1508" s="38">
        <v>147500</v>
      </c>
    </row>
    <row r="1509" spans="1:3" x14ac:dyDescent="0.3">
      <c r="A1509" s="37" t="s">
        <v>4</v>
      </c>
      <c r="B1509" s="55">
        <v>44936.772060185183</v>
      </c>
      <c r="C1509" s="38">
        <v>147500</v>
      </c>
    </row>
    <row r="1510" spans="1:3" x14ac:dyDescent="0.3">
      <c r="A1510" s="37" t="s">
        <v>4</v>
      </c>
      <c r="B1510" s="55">
        <v>44930.338148148148</v>
      </c>
      <c r="C1510" s="38">
        <v>105000</v>
      </c>
    </row>
    <row r="1511" spans="1:3" x14ac:dyDescent="0.3">
      <c r="A1511" s="37" t="s">
        <v>4</v>
      </c>
      <c r="B1511" s="55">
        <v>44946.988217592603</v>
      </c>
      <c r="C1511" s="38">
        <v>91000</v>
      </c>
    </row>
    <row r="1512" spans="1:3" x14ac:dyDescent="0.3">
      <c r="A1512" s="37" t="s">
        <v>4</v>
      </c>
      <c r="B1512" s="55">
        <v>44936.353067129632</v>
      </c>
      <c r="C1512" s="38">
        <v>96760.5</v>
      </c>
    </row>
    <row r="1513" spans="1:3" x14ac:dyDescent="0.3">
      <c r="A1513" s="37" t="s">
        <v>4</v>
      </c>
      <c r="B1513" s="55">
        <v>44931.921064814807</v>
      </c>
      <c r="C1513" s="38">
        <v>106000</v>
      </c>
    </row>
    <row r="1514" spans="1:3" x14ac:dyDescent="0.3">
      <c r="A1514" s="37" t="s">
        <v>4</v>
      </c>
      <c r="B1514" s="55">
        <v>44937.021493055552</v>
      </c>
      <c r="C1514" s="38">
        <v>96760.5</v>
      </c>
    </row>
    <row r="1515" spans="1:3" x14ac:dyDescent="0.3">
      <c r="A1515" s="37" t="s">
        <v>4</v>
      </c>
      <c r="B1515" s="55">
        <v>44929.994479166657</v>
      </c>
      <c r="C1515" s="38"/>
    </row>
    <row r="1516" spans="1:3" x14ac:dyDescent="0.3">
      <c r="A1516" s="37" t="s">
        <v>4</v>
      </c>
      <c r="B1516" s="55">
        <v>44951.998611111107</v>
      </c>
      <c r="C1516" s="38">
        <v>120000</v>
      </c>
    </row>
    <row r="1517" spans="1:3" x14ac:dyDescent="0.3">
      <c r="A1517" s="37" t="s">
        <v>4</v>
      </c>
      <c r="B1517" s="55">
        <v>44929.981562499997</v>
      </c>
      <c r="C1517" s="38"/>
    </row>
    <row r="1518" spans="1:3" x14ac:dyDescent="0.3">
      <c r="A1518" s="37" t="s">
        <v>4</v>
      </c>
      <c r="B1518" s="55">
        <v>44957.220659722218</v>
      </c>
      <c r="C1518" s="38">
        <v>147500</v>
      </c>
    </row>
    <row r="1519" spans="1:3" x14ac:dyDescent="0.3">
      <c r="A1519" s="37" t="s">
        <v>4</v>
      </c>
      <c r="B1519" s="55">
        <v>44938.340358796297</v>
      </c>
      <c r="C1519" s="38">
        <v>138200</v>
      </c>
    </row>
    <row r="1520" spans="1:3" x14ac:dyDescent="0.3">
      <c r="A1520" s="37" t="s">
        <v>4</v>
      </c>
      <c r="B1520" s="55">
        <v>44957.379421296297</v>
      </c>
      <c r="C1520" s="38">
        <v>221000</v>
      </c>
    </row>
    <row r="1521" spans="1:3" x14ac:dyDescent="0.3">
      <c r="A1521" s="37" t="s">
        <v>4</v>
      </c>
      <c r="B1521" s="55">
        <v>44951.652789351851</v>
      </c>
      <c r="C1521" s="38">
        <v>98283</v>
      </c>
    </row>
    <row r="1522" spans="1:3" x14ac:dyDescent="0.3">
      <c r="A1522" s="37" t="s">
        <v>4</v>
      </c>
      <c r="B1522" s="55">
        <v>44927.254664351851</v>
      </c>
      <c r="C1522" s="38">
        <v>165000</v>
      </c>
    </row>
    <row r="1523" spans="1:3" x14ac:dyDescent="0.3">
      <c r="A1523" s="37" t="s">
        <v>4</v>
      </c>
      <c r="B1523" s="55">
        <v>44939.469247685192</v>
      </c>
      <c r="C1523" s="38">
        <v>96760.5</v>
      </c>
    </row>
    <row r="1524" spans="1:3" x14ac:dyDescent="0.3">
      <c r="A1524" s="37" t="s">
        <v>4</v>
      </c>
      <c r="B1524" s="55">
        <v>44943.511041666658</v>
      </c>
      <c r="C1524" s="38">
        <v>96773</v>
      </c>
    </row>
    <row r="1525" spans="1:3" x14ac:dyDescent="0.3">
      <c r="A1525" s="37" t="s">
        <v>4</v>
      </c>
      <c r="B1525" s="55">
        <v>44945.333819444437</v>
      </c>
      <c r="C1525" s="38">
        <v>90000</v>
      </c>
    </row>
    <row r="1526" spans="1:3" x14ac:dyDescent="0.3">
      <c r="A1526" s="37" t="s">
        <v>4</v>
      </c>
      <c r="B1526" s="55">
        <v>44936.45894675926</v>
      </c>
      <c r="C1526" s="38">
        <v>243000</v>
      </c>
    </row>
    <row r="1527" spans="1:3" x14ac:dyDescent="0.3">
      <c r="A1527" s="37" t="s">
        <v>4</v>
      </c>
      <c r="B1527" s="55">
        <v>44929.993842592587</v>
      </c>
      <c r="C1527" s="38"/>
    </row>
    <row r="1528" spans="1:3" x14ac:dyDescent="0.3">
      <c r="A1528" s="37" t="s">
        <v>4</v>
      </c>
      <c r="B1528" s="55">
        <v>44931.566805555558</v>
      </c>
      <c r="C1528" s="38">
        <v>96760.5</v>
      </c>
    </row>
    <row r="1529" spans="1:3" x14ac:dyDescent="0.3">
      <c r="A1529" s="37" t="s">
        <v>4</v>
      </c>
      <c r="B1529" s="55">
        <v>44936.91615740741</v>
      </c>
      <c r="C1529" s="38">
        <v>103000</v>
      </c>
    </row>
    <row r="1530" spans="1:3" x14ac:dyDescent="0.3">
      <c r="A1530" s="37" t="s">
        <v>4</v>
      </c>
      <c r="B1530" s="55">
        <v>44937.767812500002</v>
      </c>
      <c r="C1530" s="38">
        <v>96760.5</v>
      </c>
    </row>
    <row r="1531" spans="1:3" x14ac:dyDescent="0.3">
      <c r="A1531" s="37" t="s">
        <v>4</v>
      </c>
      <c r="B1531" s="55">
        <v>44956.59584490741</v>
      </c>
      <c r="C1531" s="38"/>
    </row>
    <row r="1532" spans="1:3" x14ac:dyDescent="0.3">
      <c r="A1532" s="37" t="s">
        <v>4</v>
      </c>
      <c r="B1532" s="55">
        <v>44938.880810185183</v>
      </c>
      <c r="C1532" s="38">
        <v>87500</v>
      </c>
    </row>
    <row r="1533" spans="1:3" x14ac:dyDescent="0.3">
      <c r="A1533" s="37" t="s">
        <v>4</v>
      </c>
      <c r="B1533" s="55">
        <v>44952.036574074067</v>
      </c>
      <c r="C1533" s="38">
        <v>147500</v>
      </c>
    </row>
    <row r="1534" spans="1:3" x14ac:dyDescent="0.3">
      <c r="A1534" s="37" t="s">
        <v>4</v>
      </c>
      <c r="B1534" s="55">
        <v>44944.284687500003</v>
      </c>
      <c r="C1534" s="38">
        <v>115000</v>
      </c>
    </row>
    <row r="1535" spans="1:3" x14ac:dyDescent="0.3">
      <c r="A1535" s="37" t="s">
        <v>4</v>
      </c>
      <c r="B1535" s="55">
        <v>44935.285613425927</v>
      </c>
      <c r="C1535" s="38">
        <v>90000</v>
      </c>
    </row>
    <row r="1536" spans="1:3" x14ac:dyDescent="0.3">
      <c r="A1536" s="37" t="s">
        <v>4</v>
      </c>
      <c r="B1536" s="55">
        <v>44931.115868055553</v>
      </c>
      <c r="C1536" s="38">
        <v>98301.5</v>
      </c>
    </row>
    <row r="1537" spans="1:3" x14ac:dyDescent="0.3">
      <c r="A1537" s="37" t="s">
        <v>4</v>
      </c>
      <c r="B1537" s="55">
        <v>44929.993819444448</v>
      </c>
      <c r="C1537" s="38"/>
    </row>
    <row r="1538" spans="1:3" x14ac:dyDescent="0.3">
      <c r="A1538" s="37" t="s">
        <v>4</v>
      </c>
      <c r="B1538" s="55">
        <v>44941.303055555552</v>
      </c>
      <c r="C1538" s="38">
        <v>90000</v>
      </c>
    </row>
    <row r="1539" spans="1:3" x14ac:dyDescent="0.3">
      <c r="A1539" s="37" t="s">
        <v>4</v>
      </c>
      <c r="B1539" s="55">
        <v>44938.614351851851</v>
      </c>
      <c r="C1539" s="38">
        <v>98301.5</v>
      </c>
    </row>
    <row r="1540" spans="1:3" x14ac:dyDescent="0.3">
      <c r="A1540" s="37" t="s">
        <v>4</v>
      </c>
      <c r="B1540" s="55">
        <v>44930.793310185189</v>
      </c>
      <c r="C1540" s="38"/>
    </row>
    <row r="1541" spans="1:3" x14ac:dyDescent="0.3">
      <c r="A1541" s="37" t="s">
        <v>4</v>
      </c>
      <c r="B1541" s="55">
        <v>44935.670694444438</v>
      </c>
      <c r="C1541" s="38">
        <v>130000</v>
      </c>
    </row>
    <row r="1542" spans="1:3" x14ac:dyDescent="0.3">
      <c r="A1542" s="37" t="s">
        <v>4</v>
      </c>
      <c r="B1542" s="55">
        <v>44938.211712962962</v>
      </c>
      <c r="C1542" s="38">
        <v>209000</v>
      </c>
    </row>
    <row r="1543" spans="1:3" x14ac:dyDescent="0.3">
      <c r="A1543" s="37" t="s">
        <v>4</v>
      </c>
      <c r="B1543" s="55">
        <v>44950.762094907397</v>
      </c>
      <c r="C1543" s="38">
        <v>50000</v>
      </c>
    </row>
    <row r="1544" spans="1:3" x14ac:dyDescent="0.3">
      <c r="A1544" s="37" t="s">
        <v>4</v>
      </c>
      <c r="B1544" s="55">
        <v>44945.29215277778</v>
      </c>
      <c r="C1544" s="38">
        <v>125000</v>
      </c>
    </row>
    <row r="1545" spans="1:3" x14ac:dyDescent="0.3">
      <c r="A1545" s="37" t="s">
        <v>4</v>
      </c>
      <c r="B1545" s="55">
        <v>44939.884722222218</v>
      </c>
      <c r="C1545" s="38">
        <v>45000</v>
      </c>
    </row>
    <row r="1546" spans="1:3" x14ac:dyDescent="0.3">
      <c r="A1546" s="37" t="s">
        <v>4</v>
      </c>
      <c r="B1546" s="55">
        <v>44938.641296296293</v>
      </c>
      <c r="C1546" s="38">
        <v>140000</v>
      </c>
    </row>
    <row r="1547" spans="1:3" x14ac:dyDescent="0.3">
      <c r="A1547" s="37" t="s">
        <v>4</v>
      </c>
      <c r="B1547" s="55">
        <v>44943.34033564815</v>
      </c>
      <c r="C1547" s="38">
        <v>125000</v>
      </c>
    </row>
    <row r="1548" spans="1:3" x14ac:dyDescent="0.3">
      <c r="A1548" s="37" t="s">
        <v>4</v>
      </c>
      <c r="B1548" s="55">
        <v>44940.34202546296</v>
      </c>
      <c r="C1548" s="38">
        <v>147500</v>
      </c>
    </row>
    <row r="1549" spans="1:3" x14ac:dyDescent="0.3">
      <c r="A1549" s="37" t="s">
        <v>4</v>
      </c>
      <c r="B1549" s="55">
        <v>44953.318472222221</v>
      </c>
      <c r="C1549" s="38">
        <v>125000</v>
      </c>
    </row>
    <row r="1550" spans="1:3" x14ac:dyDescent="0.3">
      <c r="A1550" s="37" t="s">
        <v>4</v>
      </c>
      <c r="B1550" s="55">
        <v>44952.96980324074</v>
      </c>
      <c r="C1550" s="38">
        <v>98283</v>
      </c>
    </row>
    <row r="1551" spans="1:3" x14ac:dyDescent="0.3">
      <c r="A1551" s="37" t="s">
        <v>4</v>
      </c>
      <c r="B1551" s="55">
        <v>44957.589236111111</v>
      </c>
      <c r="C1551" s="38">
        <v>208114</v>
      </c>
    </row>
    <row r="1552" spans="1:3" x14ac:dyDescent="0.3">
      <c r="A1552" s="37" t="s">
        <v>4</v>
      </c>
      <c r="B1552" s="55">
        <v>44931.29210648148</v>
      </c>
      <c r="C1552" s="38">
        <v>208114</v>
      </c>
    </row>
    <row r="1553" spans="1:3" x14ac:dyDescent="0.3">
      <c r="A1553" s="37" t="s">
        <v>4</v>
      </c>
      <c r="B1553" s="55">
        <v>44953.835289351853</v>
      </c>
      <c r="C1553" s="38">
        <v>147500</v>
      </c>
    </row>
    <row r="1554" spans="1:3" x14ac:dyDescent="0.3">
      <c r="A1554" s="37" t="s">
        <v>4</v>
      </c>
      <c r="B1554" s="55">
        <v>44944.050532407397</v>
      </c>
      <c r="C1554" s="38">
        <v>147500</v>
      </c>
    </row>
    <row r="1555" spans="1:3" x14ac:dyDescent="0.3">
      <c r="A1555" s="37" t="s">
        <v>0</v>
      </c>
      <c r="B1555" s="55">
        <v>44928.62572916667</v>
      </c>
      <c r="C1555" s="38">
        <v>224500</v>
      </c>
    </row>
    <row r="1556" spans="1:3" x14ac:dyDescent="0.3">
      <c r="A1556" s="37" t="s">
        <v>0</v>
      </c>
      <c r="B1556" s="55">
        <v>44938.17</v>
      </c>
      <c r="C1556" s="38">
        <v>157500</v>
      </c>
    </row>
    <row r="1557" spans="1:3" x14ac:dyDescent="0.3">
      <c r="A1557" s="37" t="s">
        <v>0</v>
      </c>
      <c r="B1557" s="55">
        <v>44956.342997685177</v>
      </c>
      <c r="C1557" s="38">
        <v>88128</v>
      </c>
    </row>
    <row r="1558" spans="1:3" x14ac:dyDescent="0.3">
      <c r="A1558" s="37" t="s">
        <v>0</v>
      </c>
      <c r="B1558" s="55">
        <v>44953.003946759258</v>
      </c>
      <c r="C1558" s="38"/>
    </row>
    <row r="1559" spans="1:3" x14ac:dyDescent="0.3">
      <c r="A1559" s="37" t="s">
        <v>0</v>
      </c>
      <c r="B1559" s="55">
        <v>44955.420057870368</v>
      </c>
      <c r="C1559" s="38">
        <v>105800</v>
      </c>
    </row>
    <row r="1560" spans="1:3" x14ac:dyDescent="0.3">
      <c r="A1560" s="37" t="s">
        <v>0</v>
      </c>
      <c r="B1560" s="55">
        <v>44950.668113425927</v>
      </c>
      <c r="C1560" s="38">
        <v>115000</v>
      </c>
    </row>
    <row r="1561" spans="1:3" x14ac:dyDescent="0.3">
      <c r="A1561" s="37" t="s">
        <v>0</v>
      </c>
      <c r="B1561" s="55">
        <v>44946.514837962961</v>
      </c>
      <c r="C1561" s="38">
        <v>200000</v>
      </c>
    </row>
    <row r="1562" spans="1:3" x14ac:dyDescent="0.3">
      <c r="A1562" s="37" t="s">
        <v>0</v>
      </c>
      <c r="B1562" s="55">
        <v>44931.66883101852</v>
      </c>
      <c r="C1562" s="38">
        <v>57500</v>
      </c>
    </row>
    <row r="1563" spans="1:3" x14ac:dyDescent="0.3">
      <c r="A1563" s="37" t="s">
        <v>0</v>
      </c>
      <c r="B1563" s="55">
        <v>44936.751516203702</v>
      </c>
      <c r="C1563" s="38">
        <v>77500</v>
      </c>
    </row>
    <row r="1564" spans="1:3" x14ac:dyDescent="0.3">
      <c r="A1564" s="37" t="s">
        <v>0</v>
      </c>
      <c r="B1564" s="55">
        <v>44953.378587962958</v>
      </c>
      <c r="C1564" s="38"/>
    </row>
    <row r="1565" spans="1:3" x14ac:dyDescent="0.3">
      <c r="A1565" s="37" t="s">
        <v>0</v>
      </c>
      <c r="B1565" s="55">
        <v>44935.753368055557</v>
      </c>
      <c r="C1565" s="38"/>
    </row>
    <row r="1566" spans="1:3" x14ac:dyDescent="0.3">
      <c r="A1566" s="37" t="s">
        <v>0</v>
      </c>
      <c r="B1566" s="55">
        <v>44939.890717592592</v>
      </c>
      <c r="C1566" s="38">
        <v>110000</v>
      </c>
    </row>
    <row r="1567" spans="1:3" x14ac:dyDescent="0.3">
      <c r="A1567" s="37" t="s">
        <v>0</v>
      </c>
      <c r="B1567" s="55">
        <v>44942.003437500003</v>
      </c>
      <c r="C1567" s="38"/>
    </row>
    <row r="1568" spans="1:3" x14ac:dyDescent="0.3">
      <c r="A1568" s="37" t="s">
        <v>0</v>
      </c>
      <c r="B1568" s="55">
        <v>44941.251863425918</v>
      </c>
      <c r="C1568" s="38">
        <v>350000</v>
      </c>
    </row>
    <row r="1569" spans="1:3" x14ac:dyDescent="0.3">
      <c r="A1569" s="37" t="s">
        <v>0</v>
      </c>
      <c r="B1569" s="55">
        <v>44928.793657407397</v>
      </c>
      <c r="C1569" s="38">
        <v>202500</v>
      </c>
    </row>
    <row r="1570" spans="1:3" x14ac:dyDescent="0.3">
      <c r="A1570" s="37" t="s">
        <v>0</v>
      </c>
      <c r="B1570" s="55">
        <v>44946.080694444441</v>
      </c>
      <c r="C1570" s="38">
        <v>265500</v>
      </c>
    </row>
    <row r="1571" spans="1:3" x14ac:dyDescent="0.3">
      <c r="A1571" s="37" t="s">
        <v>0</v>
      </c>
      <c r="B1571" s="55">
        <v>44944.001215277778</v>
      </c>
      <c r="C1571" s="38">
        <v>135000</v>
      </c>
    </row>
    <row r="1572" spans="1:3" x14ac:dyDescent="0.3">
      <c r="A1572" s="37" t="s">
        <v>0</v>
      </c>
      <c r="B1572" s="55">
        <v>44930.581377314818</v>
      </c>
      <c r="C1572" s="38">
        <v>215000</v>
      </c>
    </row>
    <row r="1573" spans="1:3" x14ac:dyDescent="0.3">
      <c r="A1573" s="37" t="s">
        <v>0</v>
      </c>
      <c r="B1573" s="55">
        <v>44946.723113425927</v>
      </c>
      <c r="C1573" s="38">
        <v>160000</v>
      </c>
    </row>
    <row r="1574" spans="1:3" x14ac:dyDescent="0.3">
      <c r="A1574" s="37" t="s">
        <v>0</v>
      </c>
      <c r="B1574" s="55">
        <v>44937.379282407397</v>
      </c>
      <c r="C1574" s="38">
        <v>143910.5</v>
      </c>
    </row>
    <row r="1575" spans="1:3" x14ac:dyDescent="0.3">
      <c r="A1575" s="37" t="s">
        <v>0</v>
      </c>
      <c r="B1575" s="55">
        <v>44939.921261574083</v>
      </c>
      <c r="C1575" s="38">
        <v>75000</v>
      </c>
    </row>
    <row r="1576" spans="1:3" x14ac:dyDescent="0.3">
      <c r="A1576" s="37" t="s">
        <v>0</v>
      </c>
      <c r="B1576" s="55">
        <v>44937.450891203713</v>
      </c>
      <c r="C1576" s="38">
        <v>137110</v>
      </c>
    </row>
    <row r="1577" spans="1:3" x14ac:dyDescent="0.3">
      <c r="A1577" s="37" t="s">
        <v>0</v>
      </c>
      <c r="B1577" s="55">
        <v>44953.715312499997</v>
      </c>
      <c r="C1577" s="38">
        <v>56700</v>
      </c>
    </row>
    <row r="1578" spans="1:3" x14ac:dyDescent="0.3">
      <c r="A1578" s="37" t="s">
        <v>0</v>
      </c>
      <c r="B1578" s="55">
        <v>44939.098749999997</v>
      </c>
      <c r="C1578" s="38">
        <v>99790</v>
      </c>
    </row>
    <row r="1579" spans="1:3" x14ac:dyDescent="0.3">
      <c r="A1579" s="37" t="s">
        <v>0</v>
      </c>
      <c r="B1579" s="55">
        <v>44940.75240740741</v>
      </c>
      <c r="C1579" s="38">
        <v>128500</v>
      </c>
    </row>
    <row r="1580" spans="1:3" x14ac:dyDescent="0.3">
      <c r="A1580" s="37" t="s">
        <v>0</v>
      </c>
      <c r="B1580" s="55">
        <v>44953.461805555547</v>
      </c>
      <c r="C1580" s="38">
        <v>209955.5</v>
      </c>
    </row>
    <row r="1581" spans="1:3" x14ac:dyDescent="0.3">
      <c r="A1581" s="37" t="s">
        <v>0</v>
      </c>
      <c r="B1581" s="55">
        <v>44933.6330787037</v>
      </c>
      <c r="C1581" s="38">
        <v>105300</v>
      </c>
    </row>
    <row r="1582" spans="1:3" x14ac:dyDescent="0.3">
      <c r="A1582" s="37" t="s">
        <v>0</v>
      </c>
      <c r="B1582" s="55">
        <v>44938.671875</v>
      </c>
      <c r="C1582" s="38">
        <v>107500</v>
      </c>
    </row>
    <row r="1583" spans="1:3" x14ac:dyDescent="0.3">
      <c r="A1583" s="37" t="s">
        <v>0</v>
      </c>
      <c r="B1583" s="55">
        <v>44943.670254629629</v>
      </c>
      <c r="C1583" s="38"/>
    </row>
    <row r="1584" spans="1:3" x14ac:dyDescent="0.3">
      <c r="A1584" s="37" t="s">
        <v>0</v>
      </c>
      <c r="B1584" s="55">
        <v>44930.335775462961</v>
      </c>
      <c r="C1584" s="38">
        <v>120000.5</v>
      </c>
    </row>
    <row r="1585" spans="1:3" x14ac:dyDescent="0.3">
      <c r="A1585" s="37" t="s">
        <v>0</v>
      </c>
      <c r="B1585" s="55">
        <v>44951.377766203703</v>
      </c>
      <c r="C1585" s="38">
        <v>115000</v>
      </c>
    </row>
    <row r="1586" spans="1:3" x14ac:dyDescent="0.3">
      <c r="A1586" s="37" t="s">
        <v>0</v>
      </c>
      <c r="B1586" s="55">
        <v>44934.326909722222</v>
      </c>
      <c r="C1586" s="38">
        <v>115000</v>
      </c>
    </row>
    <row r="1587" spans="1:3" x14ac:dyDescent="0.3">
      <c r="A1587" s="37" t="s">
        <v>0</v>
      </c>
      <c r="B1587" s="55">
        <v>44948.544560185182</v>
      </c>
      <c r="C1587" s="38">
        <v>250000</v>
      </c>
    </row>
    <row r="1588" spans="1:3" x14ac:dyDescent="0.3">
      <c r="A1588" s="37" t="s">
        <v>0</v>
      </c>
      <c r="B1588" s="55">
        <v>44952.74417824074</v>
      </c>
      <c r="C1588" s="38"/>
    </row>
    <row r="1589" spans="1:3" x14ac:dyDescent="0.3">
      <c r="A1589" s="37" t="s">
        <v>0</v>
      </c>
      <c r="B1589" s="55">
        <v>44944.380335648151</v>
      </c>
      <c r="C1589" s="38">
        <v>175000</v>
      </c>
    </row>
    <row r="1590" spans="1:3" x14ac:dyDescent="0.3">
      <c r="A1590" s="37" t="s">
        <v>0</v>
      </c>
      <c r="B1590" s="55">
        <v>44949.434386574067</v>
      </c>
      <c r="C1590" s="38">
        <v>130000</v>
      </c>
    </row>
    <row r="1591" spans="1:3" x14ac:dyDescent="0.3">
      <c r="A1591" s="37" t="s">
        <v>0</v>
      </c>
      <c r="B1591" s="55">
        <v>44946.851666666669</v>
      </c>
      <c r="C1591" s="38"/>
    </row>
    <row r="1592" spans="1:3" x14ac:dyDescent="0.3">
      <c r="A1592" s="37" t="s">
        <v>0</v>
      </c>
      <c r="B1592" s="55">
        <v>44953.96199074074</v>
      </c>
      <c r="C1592" s="38"/>
    </row>
    <row r="1593" spans="1:3" x14ac:dyDescent="0.3">
      <c r="A1593" s="37" t="s">
        <v>0</v>
      </c>
      <c r="B1593" s="55">
        <v>44957.128645833327</v>
      </c>
      <c r="C1593" s="38"/>
    </row>
    <row r="1594" spans="1:3" x14ac:dyDescent="0.3">
      <c r="A1594" s="37" t="s">
        <v>0</v>
      </c>
      <c r="B1594" s="55">
        <v>44942.32167824074</v>
      </c>
      <c r="C1594" s="38">
        <v>150000</v>
      </c>
    </row>
    <row r="1595" spans="1:3" x14ac:dyDescent="0.3">
      <c r="A1595" s="37" t="s">
        <v>0</v>
      </c>
      <c r="B1595" s="55">
        <v>44930.58734953704</v>
      </c>
      <c r="C1595" s="38">
        <v>120000.5</v>
      </c>
    </row>
    <row r="1596" spans="1:3" x14ac:dyDescent="0.3">
      <c r="A1596" s="37" t="s">
        <v>0</v>
      </c>
      <c r="B1596" s="55">
        <v>44935.961562500001</v>
      </c>
      <c r="C1596" s="38">
        <v>105000</v>
      </c>
    </row>
    <row r="1597" spans="1:3" x14ac:dyDescent="0.3">
      <c r="A1597" s="37" t="s">
        <v>0</v>
      </c>
      <c r="B1597" s="55">
        <v>44929.772581018522</v>
      </c>
      <c r="C1597" s="38">
        <v>250000</v>
      </c>
    </row>
    <row r="1598" spans="1:3" x14ac:dyDescent="0.3">
      <c r="A1598" s="37" t="s">
        <v>0</v>
      </c>
      <c r="B1598" s="55">
        <v>44931.961238425924</v>
      </c>
      <c r="C1598" s="38"/>
    </row>
    <row r="1599" spans="1:3" x14ac:dyDescent="0.3">
      <c r="A1599" s="37" t="s">
        <v>0</v>
      </c>
      <c r="B1599" s="55">
        <v>44950.628750000003</v>
      </c>
      <c r="C1599" s="38">
        <v>100000</v>
      </c>
    </row>
    <row r="1600" spans="1:3" x14ac:dyDescent="0.3">
      <c r="A1600" s="37" t="s">
        <v>0</v>
      </c>
      <c r="B1600" s="55">
        <v>44950.921087962961</v>
      </c>
      <c r="C1600" s="38">
        <v>140000</v>
      </c>
    </row>
    <row r="1601" spans="1:3" x14ac:dyDescent="0.3">
      <c r="A1601" s="37" t="s">
        <v>0</v>
      </c>
      <c r="B1601" s="55">
        <v>44940.139386574083</v>
      </c>
      <c r="C1601" s="38">
        <v>160000</v>
      </c>
    </row>
    <row r="1602" spans="1:3" x14ac:dyDescent="0.3">
      <c r="A1602" s="37" t="s">
        <v>0</v>
      </c>
      <c r="B1602" s="55">
        <v>44953.4846875</v>
      </c>
      <c r="C1602" s="38">
        <v>99150</v>
      </c>
    </row>
    <row r="1603" spans="1:3" x14ac:dyDescent="0.3">
      <c r="A1603" s="37" t="s">
        <v>0</v>
      </c>
      <c r="B1603" s="55">
        <v>44929.981145833342</v>
      </c>
      <c r="C1603" s="38"/>
    </row>
    <row r="1604" spans="1:3" x14ac:dyDescent="0.3">
      <c r="A1604" s="37" t="s">
        <v>0</v>
      </c>
      <c r="B1604" s="55">
        <v>44953.461898148147</v>
      </c>
      <c r="C1604" s="38">
        <v>125000</v>
      </c>
    </row>
    <row r="1605" spans="1:3" x14ac:dyDescent="0.3">
      <c r="A1605" s="37" t="s">
        <v>0</v>
      </c>
      <c r="B1605" s="55">
        <v>44953.836875000001</v>
      </c>
      <c r="C1605" s="38">
        <v>182000</v>
      </c>
    </row>
    <row r="1606" spans="1:3" x14ac:dyDescent="0.3">
      <c r="A1606" s="37" t="s">
        <v>0</v>
      </c>
      <c r="B1606" s="55">
        <v>44946.682037037041</v>
      </c>
      <c r="C1606" s="38"/>
    </row>
    <row r="1607" spans="1:3" x14ac:dyDescent="0.3">
      <c r="A1607" s="37" t="s">
        <v>0</v>
      </c>
      <c r="B1607" s="55">
        <v>44950.373912037037</v>
      </c>
      <c r="C1607" s="38">
        <v>190000</v>
      </c>
    </row>
    <row r="1608" spans="1:3" x14ac:dyDescent="0.3">
      <c r="A1608" s="37" t="s">
        <v>0</v>
      </c>
      <c r="B1608" s="55">
        <v>44933.354571759257</v>
      </c>
      <c r="C1608" s="38">
        <v>150000</v>
      </c>
    </row>
    <row r="1609" spans="1:3" x14ac:dyDescent="0.3">
      <c r="A1609" s="37" t="s">
        <v>0</v>
      </c>
      <c r="B1609" s="55">
        <v>44930.523078703707</v>
      </c>
      <c r="C1609" s="38">
        <v>212500</v>
      </c>
    </row>
    <row r="1610" spans="1:3" x14ac:dyDescent="0.3">
      <c r="A1610" s="37" t="s">
        <v>0</v>
      </c>
      <c r="B1610" s="55">
        <v>44945.681006944447</v>
      </c>
      <c r="C1610" s="38">
        <v>135000</v>
      </c>
    </row>
    <row r="1611" spans="1:3" x14ac:dyDescent="0.3">
      <c r="A1611" s="37" t="s">
        <v>0</v>
      </c>
      <c r="B1611" s="55">
        <v>44938.921249999999</v>
      </c>
      <c r="C1611" s="38"/>
    </row>
    <row r="1612" spans="1:3" x14ac:dyDescent="0.3">
      <c r="A1612" s="37" t="s">
        <v>0</v>
      </c>
      <c r="B1612" s="55">
        <v>44939.182175925933</v>
      </c>
      <c r="C1612" s="38">
        <v>146383</v>
      </c>
    </row>
    <row r="1613" spans="1:3" x14ac:dyDescent="0.3">
      <c r="A1613" s="37" t="s">
        <v>0</v>
      </c>
      <c r="B1613" s="55">
        <v>44949.585717592592</v>
      </c>
      <c r="C1613" s="38"/>
    </row>
    <row r="1614" spans="1:3" x14ac:dyDescent="0.3">
      <c r="A1614" s="37" t="s">
        <v>0</v>
      </c>
      <c r="B1614" s="55">
        <v>44939.921655092592</v>
      </c>
      <c r="C1614" s="38"/>
    </row>
    <row r="1615" spans="1:3" x14ac:dyDescent="0.3">
      <c r="A1615" s="37" t="s">
        <v>0</v>
      </c>
      <c r="B1615" s="55">
        <v>44937.066261574073</v>
      </c>
      <c r="C1615" s="38">
        <v>132500</v>
      </c>
    </row>
    <row r="1616" spans="1:3" x14ac:dyDescent="0.3">
      <c r="A1616" s="37" t="s">
        <v>0</v>
      </c>
      <c r="B1616" s="55">
        <v>44929.001817129632</v>
      </c>
      <c r="C1616" s="38">
        <v>134000</v>
      </c>
    </row>
    <row r="1617" spans="1:3" x14ac:dyDescent="0.3">
      <c r="A1617" s="37" t="s">
        <v>0</v>
      </c>
      <c r="B1617" s="55">
        <v>44947.295682870368</v>
      </c>
      <c r="C1617" s="38">
        <v>79200</v>
      </c>
    </row>
    <row r="1618" spans="1:3" x14ac:dyDescent="0.3">
      <c r="A1618" s="37" t="s">
        <v>0</v>
      </c>
      <c r="B1618" s="55">
        <v>44957.794745370367</v>
      </c>
      <c r="C1618" s="38">
        <v>120000</v>
      </c>
    </row>
    <row r="1619" spans="1:3" x14ac:dyDescent="0.3">
      <c r="A1619" s="37" t="s">
        <v>0</v>
      </c>
      <c r="B1619" s="55">
        <v>44952.045254629629</v>
      </c>
      <c r="C1619" s="38"/>
    </row>
    <row r="1620" spans="1:3" x14ac:dyDescent="0.3">
      <c r="A1620" s="37" t="s">
        <v>0</v>
      </c>
      <c r="B1620" s="55">
        <v>44931.628460648149</v>
      </c>
      <c r="C1620" s="38">
        <v>130000</v>
      </c>
    </row>
    <row r="1621" spans="1:3" x14ac:dyDescent="0.3">
      <c r="A1621" s="37" t="s">
        <v>0</v>
      </c>
      <c r="B1621" s="55">
        <v>44952.02747685185</v>
      </c>
      <c r="C1621" s="38">
        <v>145000</v>
      </c>
    </row>
    <row r="1622" spans="1:3" x14ac:dyDescent="0.3">
      <c r="A1622" s="37" t="s">
        <v>0</v>
      </c>
      <c r="B1622" s="55">
        <v>44939.271516203713</v>
      </c>
      <c r="C1622" s="38">
        <v>64821.5</v>
      </c>
    </row>
    <row r="1623" spans="1:3" x14ac:dyDescent="0.3">
      <c r="A1623" s="37" t="s">
        <v>0</v>
      </c>
      <c r="B1623" s="55">
        <v>44932.337025462963</v>
      </c>
      <c r="C1623" s="38">
        <v>90000</v>
      </c>
    </row>
    <row r="1624" spans="1:3" x14ac:dyDescent="0.3">
      <c r="A1624" s="37" t="s">
        <v>0</v>
      </c>
      <c r="B1624" s="55">
        <v>44953.003113425933</v>
      </c>
      <c r="C1624" s="38">
        <v>112500</v>
      </c>
    </row>
    <row r="1625" spans="1:3" x14ac:dyDescent="0.3">
      <c r="A1625" s="37" t="s">
        <v>0</v>
      </c>
      <c r="B1625" s="55">
        <v>44955.003449074073</v>
      </c>
      <c r="C1625" s="38">
        <v>155000</v>
      </c>
    </row>
    <row r="1626" spans="1:3" x14ac:dyDescent="0.3">
      <c r="A1626" s="37" t="s">
        <v>0</v>
      </c>
      <c r="B1626" s="55">
        <v>44937.014814814807</v>
      </c>
      <c r="C1626" s="38">
        <v>157500</v>
      </c>
    </row>
    <row r="1627" spans="1:3" x14ac:dyDescent="0.3">
      <c r="A1627" s="37" t="s">
        <v>0</v>
      </c>
      <c r="B1627" s="55">
        <v>44937.797673611109</v>
      </c>
      <c r="C1627" s="38"/>
    </row>
    <row r="1628" spans="1:3" x14ac:dyDescent="0.3">
      <c r="A1628" s="37" t="s">
        <v>0</v>
      </c>
      <c r="B1628" s="55">
        <v>44929.940509259257</v>
      </c>
      <c r="C1628" s="38"/>
    </row>
    <row r="1629" spans="1:3" x14ac:dyDescent="0.3">
      <c r="A1629" s="37" t="s">
        <v>0</v>
      </c>
      <c r="B1629" s="55">
        <v>44945.639837962961</v>
      </c>
      <c r="C1629" s="38"/>
    </row>
    <row r="1630" spans="1:3" x14ac:dyDescent="0.3">
      <c r="A1630" s="37" t="s">
        <v>0</v>
      </c>
      <c r="B1630" s="55">
        <v>44928.667604166672</v>
      </c>
      <c r="C1630" s="38">
        <v>115000</v>
      </c>
    </row>
    <row r="1631" spans="1:3" x14ac:dyDescent="0.3">
      <c r="A1631" s="37" t="s">
        <v>0</v>
      </c>
      <c r="B1631" s="55">
        <v>44933.877974537027</v>
      </c>
      <c r="C1631" s="38">
        <v>169500</v>
      </c>
    </row>
    <row r="1632" spans="1:3" x14ac:dyDescent="0.3">
      <c r="A1632" s="37" t="s">
        <v>0</v>
      </c>
      <c r="B1632" s="55">
        <v>44956.625358796293</v>
      </c>
      <c r="C1632" s="38">
        <v>72500</v>
      </c>
    </row>
    <row r="1633" spans="1:3" x14ac:dyDescent="0.3">
      <c r="A1633" s="37" t="s">
        <v>0</v>
      </c>
      <c r="B1633" s="55">
        <v>44949.002442129633</v>
      </c>
      <c r="C1633" s="38">
        <v>100000</v>
      </c>
    </row>
    <row r="1634" spans="1:3" x14ac:dyDescent="0.3">
      <c r="A1634" s="37" t="s">
        <v>0</v>
      </c>
      <c r="B1634" s="55">
        <v>44935.794895833344</v>
      </c>
      <c r="C1634" s="38">
        <v>90000</v>
      </c>
    </row>
    <row r="1635" spans="1:3" x14ac:dyDescent="0.3">
      <c r="A1635" s="37" t="s">
        <v>0</v>
      </c>
      <c r="B1635" s="55">
        <v>44946.097650462973</v>
      </c>
      <c r="C1635" s="38">
        <v>85050</v>
      </c>
    </row>
    <row r="1636" spans="1:3" x14ac:dyDescent="0.3">
      <c r="A1636" s="37" t="s">
        <v>0</v>
      </c>
      <c r="B1636" s="55">
        <v>44942.362372685187</v>
      </c>
      <c r="C1636" s="38">
        <v>225000</v>
      </c>
    </row>
    <row r="1637" spans="1:3" x14ac:dyDescent="0.3">
      <c r="A1637" s="37" t="s">
        <v>0</v>
      </c>
      <c r="B1637" s="55">
        <v>44953.003993055558</v>
      </c>
      <c r="C1637" s="38"/>
    </row>
    <row r="1638" spans="1:3" x14ac:dyDescent="0.3">
      <c r="A1638" s="37" t="s">
        <v>0</v>
      </c>
      <c r="B1638" s="55">
        <v>44940.585787037038</v>
      </c>
      <c r="C1638" s="38">
        <v>130000</v>
      </c>
    </row>
    <row r="1639" spans="1:3" x14ac:dyDescent="0.3">
      <c r="A1639" s="37" t="s">
        <v>0</v>
      </c>
      <c r="B1639" s="55">
        <v>44935.504155092603</v>
      </c>
      <c r="C1639" s="38">
        <v>150000</v>
      </c>
    </row>
    <row r="1640" spans="1:3" x14ac:dyDescent="0.3">
      <c r="A1640" s="37" t="s">
        <v>0</v>
      </c>
      <c r="B1640" s="55">
        <v>44930.794363425928</v>
      </c>
      <c r="C1640" s="38">
        <v>185000</v>
      </c>
    </row>
    <row r="1641" spans="1:3" x14ac:dyDescent="0.3">
      <c r="A1641" s="37" t="s">
        <v>0</v>
      </c>
      <c r="B1641" s="55">
        <v>44951.210844907408</v>
      </c>
      <c r="C1641" s="38">
        <v>168018.5</v>
      </c>
    </row>
    <row r="1642" spans="1:3" x14ac:dyDescent="0.3">
      <c r="A1642" s="37" t="s">
        <v>0</v>
      </c>
      <c r="B1642" s="55">
        <v>44946.01666666667</v>
      </c>
      <c r="C1642" s="38"/>
    </row>
    <row r="1643" spans="1:3" x14ac:dyDescent="0.3">
      <c r="A1643" s="37" t="s">
        <v>0</v>
      </c>
      <c r="B1643" s="55">
        <v>44945.336770833332</v>
      </c>
      <c r="C1643" s="38">
        <v>109500</v>
      </c>
    </row>
    <row r="1644" spans="1:3" x14ac:dyDescent="0.3">
      <c r="A1644" s="37" t="s">
        <v>0</v>
      </c>
      <c r="B1644" s="55">
        <v>44939.336724537039</v>
      </c>
      <c r="C1644" s="38">
        <v>150000</v>
      </c>
    </row>
    <row r="1645" spans="1:3" x14ac:dyDescent="0.3">
      <c r="A1645" s="37" t="s">
        <v>0</v>
      </c>
      <c r="B1645" s="55">
        <v>44937.659259259257</v>
      </c>
      <c r="C1645" s="38">
        <v>145000</v>
      </c>
    </row>
    <row r="1646" spans="1:3" x14ac:dyDescent="0.3">
      <c r="A1646" s="37" t="s">
        <v>0</v>
      </c>
      <c r="B1646" s="55">
        <v>44944.003530092603</v>
      </c>
      <c r="C1646" s="38">
        <v>250000</v>
      </c>
    </row>
    <row r="1647" spans="1:3" x14ac:dyDescent="0.3">
      <c r="A1647" s="37" t="s">
        <v>0</v>
      </c>
      <c r="B1647" s="55">
        <v>44939.63009259259</v>
      </c>
      <c r="C1647" s="38">
        <v>146383</v>
      </c>
    </row>
    <row r="1648" spans="1:3" x14ac:dyDescent="0.3">
      <c r="A1648" s="37" t="s">
        <v>0</v>
      </c>
      <c r="B1648" s="55">
        <v>44937.701064814813</v>
      </c>
      <c r="C1648" s="38">
        <v>200000</v>
      </c>
    </row>
    <row r="1649" spans="1:3" x14ac:dyDescent="0.3">
      <c r="A1649" s="37" t="s">
        <v>0</v>
      </c>
      <c r="B1649" s="55">
        <v>44953.985462962963</v>
      </c>
      <c r="C1649" s="38">
        <v>88128</v>
      </c>
    </row>
    <row r="1650" spans="1:3" x14ac:dyDescent="0.3">
      <c r="A1650" s="37" t="s">
        <v>0</v>
      </c>
      <c r="B1650" s="55">
        <v>44937.264247685183</v>
      </c>
      <c r="C1650" s="38">
        <v>224500</v>
      </c>
    </row>
    <row r="1651" spans="1:3" x14ac:dyDescent="0.3">
      <c r="A1651" s="37" t="s">
        <v>0</v>
      </c>
      <c r="B1651" s="55">
        <v>44936.321400462963</v>
      </c>
      <c r="C1651" s="38">
        <v>157500</v>
      </c>
    </row>
    <row r="1652" spans="1:3" x14ac:dyDescent="0.3">
      <c r="A1652" s="37" t="s">
        <v>0</v>
      </c>
      <c r="B1652" s="55">
        <v>44932.038136574083</v>
      </c>
      <c r="C1652" s="38">
        <v>100000</v>
      </c>
    </row>
    <row r="1653" spans="1:3" x14ac:dyDescent="0.3">
      <c r="A1653" s="37" t="s">
        <v>0</v>
      </c>
      <c r="B1653" s="55">
        <v>44944.086550925917</v>
      </c>
      <c r="C1653" s="38">
        <v>115000</v>
      </c>
    </row>
    <row r="1654" spans="1:3" x14ac:dyDescent="0.3">
      <c r="A1654" s="37" t="s">
        <v>0</v>
      </c>
      <c r="B1654" s="55">
        <v>44950.837222222217</v>
      </c>
      <c r="C1654" s="38">
        <v>140000</v>
      </c>
    </row>
    <row r="1655" spans="1:3" x14ac:dyDescent="0.3">
      <c r="A1655" s="37" t="s">
        <v>0</v>
      </c>
      <c r="B1655" s="55">
        <v>44932.378761574073</v>
      </c>
      <c r="C1655" s="38">
        <v>90000</v>
      </c>
    </row>
    <row r="1656" spans="1:3" x14ac:dyDescent="0.3">
      <c r="A1656" s="37" t="s">
        <v>0</v>
      </c>
      <c r="B1656" s="55">
        <v>44929.994432870371</v>
      </c>
      <c r="C1656" s="38"/>
    </row>
    <row r="1657" spans="1:3" x14ac:dyDescent="0.3">
      <c r="A1657" s="37" t="s">
        <v>0</v>
      </c>
      <c r="B1657" s="55">
        <v>44938.459305555552</v>
      </c>
      <c r="C1657" s="38">
        <v>165000</v>
      </c>
    </row>
    <row r="1658" spans="1:3" x14ac:dyDescent="0.3">
      <c r="A1658" s="37" t="s">
        <v>0</v>
      </c>
      <c r="B1658" s="55">
        <v>44955.322002314817</v>
      </c>
      <c r="C1658" s="38">
        <v>152700</v>
      </c>
    </row>
    <row r="1659" spans="1:3" x14ac:dyDescent="0.3">
      <c r="A1659" s="37" t="s">
        <v>0</v>
      </c>
      <c r="B1659" s="55">
        <v>44938.338912037027</v>
      </c>
      <c r="C1659" s="38">
        <v>125000</v>
      </c>
    </row>
    <row r="1660" spans="1:3" x14ac:dyDescent="0.3">
      <c r="A1660" s="37" t="s">
        <v>0</v>
      </c>
      <c r="B1660" s="55">
        <v>44949.000821759262</v>
      </c>
      <c r="C1660" s="38"/>
    </row>
    <row r="1661" spans="1:3" x14ac:dyDescent="0.3">
      <c r="A1661" s="37" t="s">
        <v>0</v>
      </c>
      <c r="B1661" s="55">
        <v>44937.253587962958</v>
      </c>
      <c r="C1661" s="38">
        <v>224500</v>
      </c>
    </row>
    <row r="1662" spans="1:3" x14ac:dyDescent="0.3">
      <c r="A1662" s="37" t="s">
        <v>0</v>
      </c>
      <c r="B1662" s="55">
        <v>44930.753530092603</v>
      </c>
      <c r="C1662" s="38">
        <v>165000</v>
      </c>
    </row>
    <row r="1663" spans="1:3" x14ac:dyDescent="0.3">
      <c r="A1663" s="37" t="s">
        <v>0</v>
      </c>
      <c r="B1663" s="55">
        <v>44934.69798611111</v>
      </c>
      <c r="C1663" s="38"/>
    </row>
    <row r="1664" spans="1:3" x14ac:dyDescent="0.3">
      <c r="A1664" s="37" t="s">
        <v>0</v>
      </c>
      <c r="B1664" s="55">
        <v>44938.169548611113</v>
      </c>
      <c r="C1664" s="38">
        <v>99150</v>
      </c>
    </row>
    <row r="1665" spans="1:3" x14ac:dyDescent="0.3">
      <c r="A1665" s="37" t="s">
        <v>0</v>
      </c>
      <c r="B1665" s="55">
        <v>44929.964004629634</v>
      </c>
      <c r="C1665" s="38">
        <v>237500</v>
      </c>
    </row>
    <row r="1666" spans="1:3" x14ac:dyDescent="0.3">
      <c r="A1666" s="37" t="s">
        <v>0</v>
      </c>
      <c r="B1666" s="55">
        <v>44932.962002314824</v>
      </c>
      <c r="C1666" s="38"/>
    </row>
    <row r="1667" spans="1:3" x14ac:dyDescent="0.3">
      <c r="A1667" s="37" t="s">
        <v>0</v>
      </c>
      <c r="B1667" s="55">
        <v>44930.147615740738</v>
      </c>
      <c r="C1667" s="38">
        <v>115000</v>
      </c>
    </row>
    <row r="1668" spans="1:3" x14ac:dyDescent="0.3">
      <c r="A1668" s="37" t="s">
        <v>0</v>
      </c>
      <c r="B1668" s="55">
        <v>44944.668749999997</v>
      </c>
      <c r="C1668" s="38"/>
    </row>
    <row r="1669" spans="1:3" x14ac:dyDescent="0.3">
      <c r="A1669" s="37" t="s">
        <v>0</v>
      </c>
      <c r="B1669" s="55">
        <v>44945.212106481478</v>
      </c>
      <c r="C1669" s="38">
        <v>167500</v>
      </c>
    </row>
    <row r="1670" spans="1:3" x14ac:dyDescent="0.3">
      <c r="A1670" s="37" t="s">
        <v>0</v>
      </c>
      <c r="B1670" s="55">
        <v>44929.982349537036</v>
      </c>
      <c r="C1670" s="38"/>
    </row>
    <row r="1671" spans="1:3" x14ac:dyDescent="0.3">
      <c r="A1671" s="37" t="s">
        <v>0</v>
      </c>
      <c r="B1671" s="55">
        <v>44937.15283564815</v>
      </c>
      <c r="C1671" s="38">
        <v>89100</v>
      </c>
    </row>
    <row r="1672" spans="1:3" x14ac:dyDescent="0.3">
      <c r="A1672" s="37" t="s">
        <v>0</v>
      </c>
      <c r="B1672" s="55">
        <v>44957.059120370373</v>
      </c>
      <c r="C1672" s="38">
        <v>157500</v>
      </c>
    </row>
    <row r="1673" spans="1:3" x14ac:dyDescent="0.3">
      <c r="A1673" s="37" t="s">
        <v>0</v>
      </c>
      <c r="B1673" s="55">
        <v>44942.946250000001</v>
      </c>
      <c r="C1673" s="38">
        <v>130000</v>
      </c>
    </row>
    <row r="1674" spans="1:3" x14ac:dyDescent="0.3">
      <c r="A1674" s="37" t="s">
        <v>0</v>
      </c>
      <c r="B1674" s="55">
        <v>44951.045937499999</v>
      </c>
      <c r="C1674" s="38">
        <v>105000</v>
      </c>
    </row>
    <row r="1675" spans="1:3" x14ac:dyDescent="0.3">
      <c r="A1675" s="37" t="s">
        <v>0</v>
      </c>
      <c r="B1675" s="55">
        <v>44943.617569444446</v>
      </c>
      <c r="C1675" s="38">
        <v>195500</v>
      </c>
    </row>
    <row r="1676" spans="1:3" x14ac:dyDescent="0.3">
      <c r="A1676" s="37" t="s">
        <v>0</v>
      </c>
      <c r="B1676" s="55">
        <v>44957.004652777781</v>
      </c>
      <c r="C1676" s="38"/>
    </row>
    <row r="1677" spans="1:3" x14ac:dyDescent="0.3">
      <c r="A1677" s="37" t="s">
        <v>0</v>
      </c>
      <c r="B1677" s="55">
        <v>44939.889444444438</v>
      </c>
      <c r="C1677" s="38"/>
    </row>
    <row r="1678" spans="1:3" x14ac:dyDescent="0.3">
      <c r="A1678" s="37" t="s">
        <v>0</v>
      </c>
      <c r="B1678" s="55">
        <v>44942.363391203697</v>
      </c>
      <c r="C1678" s="38">
        <v>90000</v>
      </c>
    </row>
    <row r="1679" spans="1:3" x14ac:dyDescent="0.3">
      <c r="A1679" s="37" t="s">
        <v>0</v>
      </c>
      <c r="B1679" s="55">
        <v>44928.543344907397</v>
      </c>
      <c r="C1679" s="38">
        <v>90000</v>
      </c>
    </row>
    <row r="1680" spans="1:3" x14ac:dyDescent="0.3">
      <c r="A1680" s="37" t="s">
        <v>0</v>
      </c>
      <c r="B1680" s="55">
        <v>44957.376516203702</v>
      </c>
      <c r="C1680" s="38">
        <v>90000</v>
      </c>
    </row>
    <row r="1681" spans="1:3" x14ac:dyDescent="0.3">
      <c r="A1681" s="37" t="s">
        <v>0</v>
      </c>
      <c r="B1681" s="55">
        <v>44939.129872685182</v>
      </c>
      <c r="C1681" s="38">
        <v>125000</v>
      </c>
    </row>
    <row r="1682" spans="1:3" x14ac:dyDescent="0.3">
      <c r="A1682" s="37" t="s">
        <v>0</v>
      </c>
      <c r="B1682" s="55">
        <v>44936.514814814807</v>
      </c>
      <c r="C1682" s="38">
        <v>135720</v>
      </c>
    </row>
    <row r="1683" spans="1:3" x14ac:dyDescent="0.3">
      <c r="A1683" s="37" t="s">
        <v>0</v>
      </c>
      <c r="B1683" s="55">
        <v>44944.177106481482</v>
      </c>
      <c r="C1683" s="38">
        <v>89100</v>
      </c>
    </row>
    <row r="1684" spans="1:3" x14ac:dyDescent="0.3">
      <c r="A1684" s="37" t="s">
        <v>0</v>
      </c>
      <c r="B1684" s="55">
        <v>44930.502881944441</v>
      </c>
      <c r="C1684" s="38">
        <v>225000</v>
      </c>
    </row>
    <row r="1685" spans="1:3" x14ac:dyDescent="0.3">
      <c r="A1685" s="37" t="s">
        <v>0</v>
      </c>
      <c r="B1685" s="55">
        <v>44957.352731481478</v>
      </c>
      <c r="C1685" s="38">
        <v>157500</v>
      </c>
    </row>
    <row r="1686" spans="1:3" x14ac:dyDescent="0.3">
      <c r="A1686" s="37" t="s">
        <v>0</v>
      </c>
      <c r="B1686" s="55">
        <v>44946.095347222217</v>
      </c>
      <c r="C1686" s="38">
        <v>109500</v>
      </c>
    </row>
    <row r="1687" spans="1:3" x14ac:dyDescent="0.3">
      <c r="A1687" s="37" t="s">
        <v>0</v>
      </c>
      <c r="B1687" s="55">
        <v>44955.00203703704</v>
      </c>
      <c r="C1687" s="38">
        <v>155000</v>
      </c>
    </row>
    <row r="1688" spans="1:3" x14ac:dyDescent="0.3">
      <c r="A1688" s="37" t="s">
        <v>0</v>
      </c>
      <c r="B1688" s="55">
        <v>44942.987928240742</v>
      </c>
      <c r="C1688" s="38">
        <v>84620</v>
      </c>
    </row>
    <row r="1689" spans="1:3" x14ac:dyDescent="0.3">
      <c r="A1689" s="37" t="s">
        <v>0</v>
      </c>
      <c r="B1689" s="55">
        <v>44938.200856481482</v>
      </c>
      <c r="C1689" s="38"/>
    </row>
    <row r="1690" spans="1:3" x14ac:dyDescent="0.3">
      <c r="A1690" s="37" t="s">
        <v>0</v>
      </c>
      <c r="B1690" s="55">
        <v>44935.504155092603</v>
      </c>
      <c r="C1690" s="38">
        <v>115000</v>
      </c>
    </row>
    <row r="1691" spans="1:3" x14ac:dyDescent="0.3">
      <c r="A1691" s="37" t="s">
        <v>0</v>
      </c>
      <c r="B1691" s="55">
        <v>44956.461053240739</v>
      </c>
      <c r="C1691" s="38">
        <v>115000</v>
      </c>
    </row>
    <row r="1692" spans="1:3" x14ac:dyDescent="0.3">
      <c r="A1692" s="37" t="s">
        <v>0</v>
      </c>
      <c r="B1692" s="55">
        <v>44938.427499999998</v>
      </c>
      <c r="C1692" s="38">
        <v>64821.5</v>
      </c>
    </row>
    <row r="1693" spans="1:3" x14ac:dyDescent="0.3">
      <c r="A1693" s="37" t="s">
        <v>0</v>
      </c>
      <c r="B1693" s="55">
        <v>44930.273877314823</v>
      </c>
      <c r="C1693" s="38">
        <v>81000</v>
      </c>
    </row>
    <row r="1694" spans="1:3" x14ac:dyDescent="0.3">
      <c r="A1694" s="37" t="s">
        <v>0</v>
      </c>
      <c r="B1694" s="55">
        <v>44943.409363425933</v>
      </c>
      <c r="C1694" s="38">
        <v>115000</v>
      </c>
    </row>
    <row r="1695" spans="1:3" x14ac:dyDescent="0.3">
      <c r="A1695" s="37" t="s">
        <v>0</v>
      </c>
      <c r="B1695" s="55">
        <v>44937.742662037039</v>
      </c>
      <c r="C1695" s="38">
        <v>105000</v>
      </c>
    </row>
    <row r="1696" spans="1:3" x14ac:dyDescent="0.3">
      <c r="A1696" s="37" t="s">
        <v>0</v>
      </c>
      <c r="B1696" s="55">
        <v>44932.715891203698</v>
      </c>
      <c r="C1696" s="38">
        <v>165000</v>
      </c>
    </row>
    <row r="1697" spans="1:3" x14ac:dyDescent="0.3">
      <c r="A1697" s="37" t="s">
        <v>0</v>
      </c>
      <c r="B1697" s="55">
        <v>44932.045555555553</v>
      </c>
      <c r="C1697" s="38">
        <v>105000</v>
      </c>
    </row>
    <row r="1698" spans="1:3" x14ac:dyDescent="0.3">
      <c r="A1698" s="37" t="s">
        <v>0</v>
      </c>
      <c r="B1698" s="55">
        <v>44932.670173611114</v>
      </c>
      <c r="C1698" s="38">
        <v>135000</v>
      </c>
    </row>
    <row r="1699" spans="1:3" x14ac:dyDescent="0.3">
      <c r="A1699" s="37" t="s">
        <v>0</v>
      </c>
      <c r="B1699" s="55">
        <v>44957.251921296287</v>
      </c>
      <c r="C1699" s="38">
        <v>115000</v>
      </c>
    </row>
    <row r="1700" spans="1:3" x14ac:dyDescent="0.3">
      <c r="A1700" s="37" t="s">
        <v>0</v>
      </c>
      <c r="B1700" s="55">
        <v>44936.004155092603</v>
      </c>
      <c r="C1700" s="38">
        <v>140000</v>
      </c>
    </row>
    <row r="1701" spans="1:3" x14ac:dyDescent="0.3">
      <c r="A1701" s="37" t="s">
        <v>0</v>
      </c>
      <c r="B1701" s="55">
        <v>44937.992569444446</v>
      </c>
      <c r="C1701" s="38">
        <v>113500</v>
      </c>
    </row>
    <row r="1702" spans="1:3" x14ac:dyDescent="0.3">
      <c r="A1702" s="37" t="s">
        <v>0</v>
      </c>
      <c r="B1702" s="55">
        <v>44946.973749999997</v>
      </c>
      <c r="C1702" s="38"/>
    </row>
    <row r="1703" spans="1:3" x14ac:dyDescent="0.3">
      <c r="A1703" s="37" t="s">
        <v>0</v>
      </c>
      <c r="B1703" s="55">
        <v>44936.721956018519</v>
      </c>
      <c r="C1703" s="38"/>
    </row>
    <row r="1704" spans="1:3" x14ac:dyDescent="0.3">
      <c r="A1704" s="37" t="s">
        <v>0</v>
      </c>
      <c r="B1704" s="55">
        <v>44945.2346412037</v>
      </c>
      <c r="C1704" s="38">
        <v>166941.5</v>
      </c>
    </row>
    <row r="1705" spans="1:3" x14ac:dyDescent="0.3">
      <c r="A1705" s="37" t="s">
        <v>0</v>
      </c>
      <c r="B1705" s="55">
        <v>44932.711840277778</v>
      </c>
      <c r="C1705" s="38">
        <v>130000</v>
      </c>
    </row>
    <row r="1706" spans="1:3" x14ac:dyDescent="0.3">
      <c r="A1706" s="37" t="s">
        <v>0</v>
      </c>
      <c r="B1706" s="55">
        <v>44939.754571759258</v>
      </c>
      <c r="C1706" s="38"/>
    </row>
    <row r="1707" spans="1:3" x14ac:dyDescent="0.3">
      <c r="A1707" s="37" t="s">
        <v>0</v>
      </c>
      <c r="B1707" s="55">
        <v>44954.58693287037</v>
      </c>
      <c r="C1707" s="38">
        <v>119550</v>
      </c>
    </row>
    <row r="1708" spans="1:3" x14ac:dyDescent="0.3">
      <c r="A1708" s="37" t="s">
        <v>0</v>
      </c>
      <c r="B1708" s="55">
        <v>44929.897511574083</v>
      </c>
      <c r="C1708" s="38">
        <v>152500</v>
      </c>
    </row>
    <row r="1709" spans="1:3" x14ac:dyDescent="0.3">
      <c r="A1709" s="37" t="s">
        <v>0</v>
      </c>
      <c r="B1709" s="55">
        <v>44942.404988425929</v>
      </c>
      <c r="C1709" s="38">
        <v>225000</v>
      </c>
    </row>
    <row r="1710" spans="1:3" x14ac:dyDescent="0.3">
      <c r="A1710" s="37" t="s">
        <v>0</v>
      </c>
      <c r="B1710" s="55">
        <v>44945.348495370366</v>
      </c>
      <c r="C1710" s="38">
        <v>90000</v>
      </c>
    </row>
    <row r="1711" spans="1:3" x14ac:dyDescent="0.3">
      <c r="A1711" s="37" t="s">
        <v>0</v>
      </c>
      <c r="B1711" s="55">
        <v>44944.628055555557</v>
      </c>
      <c r="C1711" s="38">
        <v>120000</v>
      </c>
    </row>
    <row r="1712" spans="1:3" x14ac:dyDescent="0.3">
      <c r="A1712" s="37" t="s">
        <v>0</v>
      </c>
      <c r="B1712" s="55">
        <v>44954.003506944442</v>
      </c>
      <c r="C1712" s="38"/>
    </row>
    <row r="1713" spans="1:3" x14ac:dyDescent="0.3">
      <c r="A1713" s="37" t="s">
        <v>0</v>
      </c>
      <c r="B1713" s="55">
        <v>44936.58452546296</v>
      </c>
      <c r="C1713" s="38"/>
    </row>
    <row r="1714" spans="1:3" x14ac:dyDescent="0.3">
      <c r="A1714" s="37" t="s">
        <v>0</v>
      </c>
      <c r="B1714" s="55">
        <v>44942.654108796298</v>
      </c>
      <c r="C1714" s="38"/>
    </row>
    <row r="1715" spans="1:3" x14ac:dyDescent="0.3">
      <c r="A1715" s="37" t="s">
        <v>0</v>
      </c>
      <c r="B1715" s="55">
        <v>44954.335358796299</v>
      </c>
      <c r="C1715" s="38">
        <v>152650</v>
      </c>
    </row>
    <row r="1716" spans="1:3" x14ac:dyDescent="0.3">
      <c r="A1716" s="37" t="s">
        <v>0</v>
      </c>
      <c r="B1716" s="55">
        <v>44928.709236111114</v>
      </c>
      <c r="C1716" s="38">
        <v>101950</v>
      </c>
    </row>
    <row r="1717" spans="1:3" x14ac:dyDescent="0.3">
      <c r="A1717" s="37" t="s">
        <v>0</v>
      </c>
      <c r="B1717" s="55">
        <v>44931.668715277781</v>
      </c>
      <c r="C1717" s="38">
        <v>130000</v>
      </c>
    </row>
    <row r="1718" spans="1:3" x14ac:dyDescent="0.3">
      <c r="A1718" s="37" t="s">
        <v>0</v>
      </c>
      <c r="B1718" s="55">
        <v>44942.596967592603</v>
      </c>
      <c r="C1718" s="38">
        <v>110000</v>
      </c>
    </row>
    <row r="1719" spans="1:3" x14ac:dyDescent="0.3">
      <c r="A1719" s="37" t="s">
        <v>0</v>
      </c>
      <c r="B1719" s="55">
        <v>44946.057152777779</v>
      </c>
      <c r="C1719" s="38">
        <v>127390</v>
      </c>
    </row>
    <row r="1720" spans="1:3" x14ac:dyDescent="0.3">
      <c r="A1720" s="37" t="s">
        <v>0</v>
      </c>
      <c r="B1720" s="55">
        <v>44951.878530092603</v>
      </c>
      <c r="C1720" s="38"/>
    </row>
    <row r="1721" spans="1:3" x14ac:dyDescent="0.3">
      <c r="A1721" s="37" t="s">
        <v>0</v>
      </c>
      <c r="B1721" s="55">
        <v>44936.044872685183</v>
      </c>
      <c r="C1721" s="38">
        <v>135233.34375</v>
      </c>
    </row>
    <row r="1722" spans="1:3" x14ac:dyDescent="0.3">
      <c r="A1722" s="37" t="s">
        <v>0</v>
      </c>
      <c r="B1722" s="55">
        <v>44928.044409722221</v>
      </c>
      <c r="C1722" s="38">
        <v>123500</v>
      </c>
    </row>
    <row r="1723" spans="1:3" x14ac:dyDescent="0.3">
      <c r="A1723" s="37" t="s">
        <v>0</v>
      </c>
      <c r="B1723" s="55">
        <v>44944.408101851863</v>
      </c>
      <c r="C1723" s="38">
        <v>90000</v>
      </c>
    </row>
    <row r="1724" spans="1:3" x14ac:dyDescent="0.3">
      <c r="A1724" s="37" t="s">
        <v>0</v>
      </c>
      <c r="B1724" s="55">
        <v>44957.3362037037</v>
      </c>
      <c r="C1724" s="38">
        <v>90000</v>
      </c>
    </row>
    <row r="1725" spans="1:3" x14ac:dyDescent="0.3">
      <c r="A1725" s="37" t="s">
        <v>0</v>
      </c>
      <c r="B1725" s="55">
        <v>44951.077604166669</v>
      </c>
      <c r="C1725" s="38">
        <v>64821.5</v>
      </c>
    </row>
    <row r="1726" spans="1:3" x14ac:dyDescent="0.3">
      <c r="A1726" s="37" t="s">
        <v>0</v>
      </c>
      <c r="B1726" s="55">
        <v>44937.001377314817</v>
      </c>
      <c r="C1726" s="38">
        <v>114500</v>
      </c>
    </row>
    <row r="1727" spans="1:3" x14ac:dyDescent="0.3">
      <c r="A1727" s="37" t="s">
        <v>0</v>
      </c>
      <c r="B1727" s="55">
        <v>44938.680671296293</v>
      </c>
      <c r="C1727" s="38"/>
    </row>
    <row r="1728" spans="1:3" x14ac:dyDescent="0.3">
      <c r="A1728" s="37" t="s">
        <v>0</v>
      </c>
      <c r="B1728" s="55">
        <v>44953.294722222221</v>
      </c>
      <c r="C1728" s="38"/>
    </row>
    <row r="1729" spans="1:3" x14ac:dyDescent="0.3">
      <c r="A1729" s="37" t="s">
        <v>0</v>
      </c>
      <c r="B1729" s="55">
        <v>44929.98133101852</v>
      </c>
      <c r="C1729" s="38"/>
    </row>
    <row r="1730" spans="1:3" x14ac:dyDescent="0.3">
      <c r="A1730" s="37" t="s">
        <v>0</v>
      </c>
      <c r="B1730" s="55">
        <v>44942.988020833327</v>
      </c>
      <c r="C1730" s="38">
        <v>63977</v>
      </c>
    </row>
    <row r="1731" spans="1:3" x14ac:dyDescent="0.3">
      <c r="A1731" s="37" t="s">
        <v>0</v>
      </c>
      <c r="B1731" s="55">
        <v>44936.846909722219</v>
      </c>
      <c r="C1731" s="38">
        <v>112500</v>
      </c>
    </row>
    <row r="1732" spans="1:3" x14ac:dyDescent="0.3">
      <c r="A1732" s="37" t="s">
        <v>0</v>
      </c>
      <c r="B1732" s="55">
        <v>44946.849409722221</v>
      </c>
      <c r="C1732" s="38"/>
    </row>
    <row r="1733" spans="1:3" x14ac:dyDescent="0.3">
      <c r="A1733" s="37" t="s">
        <v>0</v>
      </c>
      <c r="B1733" s="55">
        <v>44936.514386574083</v>
      </c>
      <c r="C1733" s="38">
        <v>186000</v>
      </c>
    </row>
    <row r="1734" spans="1:3" x14ac:dyDescent="0.3">
      <c r="A1734" s="37" t="s">
        <v>0</v>
      </c>
      <c r="B1734" s="55">
        <v>44943.961898148147</v>
      </c>
      <c r="C1734" s="38"/>
    </row>
    <row r="1735" spans="1:3" x14ac:dyDescent="0.3">
      <c r="A1735" s="37" t="s">
        <v>0</v>
      </c>
      <c r="B1735" s="55">
        <v>44933.335821759261</v>
      </c>
      <c r="C1735" s="38">
        <v>90000</v>
      </c>
    </row>
    <row r="1736" spans="1:3" x14ac:dyDescent="0.3">
      <c r="A1736" s="37" t="s">
        <v>0</v>
      </c>
      <c r="B1736" s="55">
        <v>44929.982708333337</v>
      </c>
      <c r="C1736" s="38"/>
    </row>
    <row r="1737" spans="1:3" x14ac:dyDescent="0.3">
      <c r="A1737" s="37" t="s">
        <v>0</v>
      </c>
      <c r="B1737" s="55">
        <v>44943.112500000003</v>
      </c>
      <c r="C1737" s="38">
        <v>109450</v>
      </c>
    </row>
    <row r="1738" spans="1:3" x14ac:dyDescent="0.3">
      <c r="A1738" s="37" t="s">
        <v>0</v>
      </c>
      <c r="B1738" s="55">
        <v>44933.877314814818</v>
      </c>
      <c r="C1738" s="38">
        <v>195500</v>
      </c>
    </row>
    <row r="1739" spans="1:3" x14ac:dyDescent="0.3">
      <c r="A1739" s="37" t="s">
        <v>0</v>
      </c>
      <c r="B1739" s="55">
        <v>44929.981041666673</v>
      </c>
      <c r="C1739" s="38"/>
    </row>
    <row r="1740" spans="1:3" x14ac:dyDescent="0.3">
      <c r="A1740" s="37" t="s">
        <v>0</v>
      </c>
      <c r="B1740" s="55">
        <v>44946.354502314818</v>
      </c>
      <c r="C1740" s="38">
        <v>79200</v>
      </c>
    </row>
    <row r="1741" spans="1:3" x14ac:dyDescent="0.3">
      <c r="A1741" s="37" t="s">
        <v>0</v>
      </c>
      <c r="B1741" s="55">
        <v>44938.879432870373</v>
      </c>
      <c r="C1741" s="38">
        <v>187000</v>
      </c>
    </row>
    <row r="1742" spans="1:3" x14ac:dyDescent="0.3">
      <c r="A1742" s="37" t="s">
        <v>0</v>
      </c>
      <c r="B1742" s="55">
        <v>44951.444016203714</v>
      </c>
      <c r="C1742" s="38">
        <v>115000</v>
      </c>
    </row>
    <row r="1743" spans="1:3" x14ac:dyDescent="0.3">
      <c r="A1743" s="37" t="s">
        <v>0</v>
      </c>
      <c r="B1743" s="55">
        <v>44949.543946759259</v>
      </c>
      <c r="C1743" s="38">
        <v>145000</v>
      </c>
    </row>
    <row r="1744" spans="1:3" x14ac:dyDescent="0.3">
      <c r="A1744" s="37" t="s">
        <v>0</v>
      </c>
      <c r="B1744" s="55">
        <v>44935.337361111109</v>
      </c>
      <c r="C1744" s="38">
        <v>115000</v>
      </c>
    </row>
    <row r="1745" spans="1:3" x14ac:dyDescent="0.3">
      <c r="A1745" s="37" t="s">
        <v>0</v>
      </c>
      <c r="B1745" s="55">
        <v>44953.160682870373</v>
      </c>
      <c r="C1745" s="38">
        <v>157000</v>
      </c>
    </row>
    <row r="1746" spans="1:3" x14ac:dyDescent="0.3">
      <c r="A1746" s="37" t="s">
        <v>0</v>
      </c>
      <c r="B1746" s="55">
        <v>44952.994085648148</v>
      </c>
      <c r="C1746" s="38">
        <v>59480</v>
      </c>
    </row>
    <row r="1747" spans="1:3" x14ac:dyDescent="0.3">
      <c r="A1747" s="37" t="s">
        <v>0</v>
      </c>
      <c r="B1747" s="55">
        <v>44937.961076388892</v>
      </c>
      <c r="C1747" s="38">
        <v>205000</v>
      </c>
    </row>
    <row r="1748" spans="1:3" x14ac:dyDescent="0.3">
      <c r="A1748" s="37" t="s">
        <v>0</v>
      </c>
      <c r="B1748" s="55">
        <v>44949.002326388887</v>
      </c>
      <c r="C1748" s="38">
        <v>158500</v>
      </c>
    </row>
    <row r="1749" spans="1:3" x14ac:dyDescent="0.3">
      <c r="A1749" s="37" t="s">
        <v>0</v>
      </c>
      <c r="B1749" s="55">
        <v>44945.763993055552</v>
      </c>
      <c r="C1749" s="38">
        <v>210000</v>
      </c>
    </row>
    <row r="1750" spans="1:3" x14ac:dyDescent="0.3">
      <c r="A1750" s="37" t="s">
        <v>0</v>
      </c>
      <c r="B1750" s="55">
        <v>44953.970208333332</v>
      </c>
      <c r="C1750" s="38">
        <v>157500</v>
      </c>
    </row>
    <row r="1751" spans="1:3" x14ac:dyDescent="0.3">
      <c r="A1751" s="37" t="s">
        <v>0</v>
      </c>
      <c r="B1751" s="55">
        <v>44937.264270833337</v>
      </c>
      <c r="C1751" s="38">
        <v>234500</v>
      </c>
    </row>
    <row r="1752" spans="1:3" x14ac:dyDescent="0.3">
      <c r="A1752" s="37" t="s">
        <v>0</v>
      </c>
      <c r="B1752" s="55">
        <v>44947.015509259261</v>
      </c>
      <c r="C1752" s="38"/>
    </row>
    <row r="1753" spans="1:3" x14ac:dyDescent="0.3">
      <c r="A1753" s="37" t="s">
        <v>0</v>
      </c>
      <c r="B1753" s="55">
        <v>44938.796944444453</v>
      </c>
      <c r="C1753" s="38">
        <v>157500</v>
      </c>
    </row>
    <row r="1754" spans="1:3" x14ac:dyDescent="0.3">
      <c r="A1754" s="37" t="s">
        <v>0</v>
      </c>
      <c r="B1754" s="55">
        <v>44949.877442129633</v>
      </c>
      <c r="C1754" s="38"/>
    </row>
    <row r="1755" spans="1:3" x14ac:dyDescent="0.3">
      <c r="A1755" s="37" t="s">
        <v>0</v>
      </c>
      <c r="B1755" s="55">
        <v>44930.377951388888</v>
      </c>
      <c r="C1755" s="38">
        <v>255000</v>
      </c>
    </row>
    <row r="1756" spans="1:3" x14ac:dyDescent="0.3">
      <c r="A1756" s="37" t="s">
        <v>0</v>
      </c>
      <c r="B1756" s="55">
        <v>44951.826944444438</v>
      </c>
      <c r="C1756" s="38">
        <v>89100</v>
      </c>
    </row>
    <row r="1757" spans="1:3" x14ac:dyDescent="0.3">
      <c r="A1757" s="37" t="s">
        <v>0</v>
      </c>
      <c r="B1757" s="55">
        <v>44941.457337962973</v>
      </c>
      <c r="C1757" s="38">
        <v>169500</v>
      </c>
    </row>
    <row r="1758" spans="1:3" x14ac:dyDescent="0.3">
      <c r="A1758" s="37" t="s">
        <v>0</v>
      </c>
      <c r="B1758" s="55">
        <v>44932.753981481481</v>
      </c>
      <c r="C1758" s="38">
        <v>200000</v>
      </c>
    </row>
    <row r="1759" spans="1:3" x14ac:dyDescent="0.3">
      <c r="A1759" s="37" t="s">
        <v>0</v>
      </c>
      <c r="B1759" s="55">
        <v>44956.712673611109</v>
      </c>
      <c r="C1759" s="38">
        <v>84692</v>
      </c>
    </row>
    <row r="1760" spans="1:3" x14ac:dyDescent="0.3">
      <c r="A1760" s="37" t="s">
        <v>0</v>
      </c>
      <c r="B1760" s="55">
        <v>44950.128611111111</v>
      </c>
      <c r="C1760" s="38"/>
    </row>
    <row r="1761" spans="1:3" x14ac:dyDescent="0.3">
      <c r="A1761" s="37" t="s">
        <v>0</v>
      </c>
      <c r="B1761" s="55">
        <v>44939.338321759264</v>
      </c>
      <c r="C1761" s="38">
        <v>90000</v>
      </c>
    </row>
    <row r="1762" spans="1:3" x14ac:dyDescent="0.3">
      <c r="A1762" s="37" t="s">
        <v>0</v>
      </c>
      <c r="B1762" s="55">
        <v>44929.981087962973</v>
      </c>
      <c r="C1762" s="38"/>
    </row>
    <row r="1763" spans="1:3" x14ac:dyDescent="0.3">
      <c r="A1763" s="37" t="s">
        <v>0</v>
      </c>
      <c r="B1763" s="55">
        <v>44929.982974537037</v>
      </c>
      <c r="C1763" s="38"/>
    </row>
    <row r="1764" spans="1:3" x14ac:dyDescent="0.3">
      <c r="A1764" s="37" t="s">
        <v>0</v>
      </c>
      <c r="B1764" s="55">
        <v>44956.671099537038</v>
      </c>
      <c r="C1764" s="38">
        <v>150000</v>
      </c>
    </row>
    <row r="1765" spans="1:3" x14ac:dyDescent="0.3">
      <c r="A1765" s="37" t="s">
        <v>0</v>
      </c>
      <c r="B1765" s="55">
        <v>44945.847326388888</v>
      </c>
      <c r="C1765" s="38">
        <v>205000</v>
      </c>
    </row>
    <row r="1766" spans="1:3" x14ac:dyDescent="0.3">
      <c r="A1766" s="37" t="s">
        <v>0</v>
      </c>
      <c r="B1766" s="55">
        <v>44952.796076388891</v>
      </c>
      <c r="C1766" s="38">
        <v>182500</v>
      </c>
    </row>
    <row r="1767" spans="1:3" x14ac:dyDescent="0.3">
      <c r="A1767" s="37" t="s">
        <v>0</v>
      </c>
      <c r="B1767" s="55">
        <v>44949.503877314812</v>
      </c>
      <c r="C1767" s="38">
        <v>160000</v>
      </c>
    </row>
    <row r="1768" spans="1:3" x14ac:dyDescent="0.3">
      <c r="A1768" s="37" t="s">
        <v>0</v>
      </c>
      <c r="B1768" s="55">
        <v>44935.920011574082</v>
      </c>
      <c r="C1768" s="38">
        <v>150000</v>
      </c>
    </row>
    <row r="1769" spans="1:3" x14ac:dyDescent="0.3">
      <c r="A1769" s="37" t="s">
        <v>0</v>
      </c>
      <c r="B1769" s="55">
        <v>44927.012743055559</v>
      </c>
      <c r="C1769" s="38"/>
    </row>
    <row r="1770" spans="1:3" x14ac:dyDescent="0.3">
      <c r="A1770" s="37" t="s">
        <v>0</v>
      </c>
      <c r="B1770" s="55">
        <v>44950.916979166657</v>
      </c>
      <c r="C1770" s="38">
        <v>180000</v>
      </c>
    </row>
    <row r="1771" spans="1:3" x14ac:dyDescent="0.3">
      <c r="A1771" s="37" t="s">
        <v>0</v>
      </c>
      <c r="B1771" s="55">
        <v>44939.588472222233</v>
      </c>
      <c r="C1771" s="38">
        <v>225000</v>
      </c>
    </row>
    <row r="1772" spans="1:3" x14ac:dyDescent="0.3">
      <c r="A1772" s="37" t="s">
        <v>0</v>
      </c>
      <c r="B1772" s="55">
        <v>44957.523958333331</v>
      </c>
      <c r="C1772" s="38"/>
    </row>
    <row r="1773" spans="1:3" x14ac:dyDescent="0.3">
      <c r="A1773" s="37" t="s">
        <v>0</v>
      </c>
      <c r="B1773" s="55">
        <v>44929.994432870371</v>
      </c>
      <c r="C1773" s="38"/>
    </row>
    <row r="1774" spans="1:3" x14ac:dyDescent="0.3">
      <c r="A1774" s="37" t="s">
        <v>0</v>
      </c>
      <c r="B1774" s="55">
        <v>44950.583506944437</v>
      </c>
      <c r="C1774" s="38">
        <v>132500</v>
      </c>
    </row>
    <row r="1775" spans="1:3" x14ac:dyDescent="0.3">
      <c r="A1775" s="37" t="s">
        <v>0</v>
      </c>
      <c r="B1775" s="55">
        <v>44935.62773148148</v>
      </c>
      <c r="C1775" s="38">
        <v>143500</v>
      </c>
    </row>
    <row r="1776" spans="1:3" x14ac:dyDescent="0.3">
      <c r="A1776" s="37" t="s">
        <v>0</v>
      </c>
      <c r="B1776" s="55">
        <v>44929.814837962957</v>
      </c>
      <c r="C1776" s="38"/>
    </row>
    <row r="1777" spans="1:3" x14ac:dyDescent="0.3">
      <c r="A1777" s="37" t="s">
        <v>0</v>
      </c>
      <c r="B1777" s="55">
        <v>44932.691435185188</v>
      </c>
      <c r="C1777" s="38">
        <v>157500</v>
      </c>
    </row>
    <row r="1778" spans="1:3" x14ac:dyDescent="0.3">
      <c r="A1778" s="37" t="s">
        <v>0</v>
      </c>
      <c r="B1778" s="55">
        <v>44953.71297453704</v>
      </c>
      <c r="C1778" s="38"/>
    </row>
    <row r="1779" spans="1:3" x14ac:dyDescent="0.3">
      <c r="A1779" s="37" t="s">
        <v>0</v>
      </c>
      <c r="B1779" s="55">
        <v>44931.127766203703</v>
      </c>
      <c r="C1779" s="38"/>
    </row>
    <row r="1780" spans="1:3" x14ac:dyDescent="0.3">
      <c r="A1780" s="37" t="s">
        <v>0</v>
      </c>
      <c r="B1780" s="55">
        <v>44953.296273148153</v>
      </c>
      <c r="C1780" s="38">
        <v>157375</v>
      </c>
    </row>
    <row r="1781" spans="1:3" x14ac:dyDescent="0.3">
      <c r="A1781" s="37" t="s">
        <v>0</v>
      </c>
      <c r="B1781" s="55">
        <v>44937.586805555547</v>
      </c>
      <c r="C1781" s="38">
        <v>220000</v>
      </c>
    </row>
    <row r="1782" spans="1:3" x14ac:dyDescent="0.3">
      <c r="A1782" s="37" t="s">
        <v>0</v>
      </c>
      <c r="B1782" s="55">
        <v>44938.003912037027</v>
      </c>
      <c r="C1782" s="38">
        <v>190000</v>
      </c>
    </row>
    <row r="1783" spans="1:3" x14ac:dyDescent="0.3">
      <c r="A1783" s="37" t="s">
        <v>0</v>
      </c>
      <c r="B1783" s="55">
        <v>44945.890543981477</v>
      </c>
      <c r="C1783" s="38">
        <v>125000</v>
      </c>
    </row>
    <row r="1784" spans="1:3" x14ac:dyDescent="0.3">
      <c r="A1784" s="37" t="s">
        <v>0</v>
      </c>
      <c r="B1784" s="55">
        <v>44957.293622685182</v>
      </c>
      <c r="C1784" s="38">
        <v>178500</v>
      </c>
    </row>
    <row r="1785" spans="1:3" x14ac:dyDescent="0.3">
      <c r="A1785" s="37" t="s">
        <v>0</v>
      </c>
      <c r="B1785" s="55">
        <v>44950.670590277783</v>
      </c>
      <c r="C1785" s="38">
        <v>106000</v>
      </c>
    </row>
    <row r="1786" spans="1:3" x14ac:dyDescent="0.3">
      <c r="A1786" s="37" t="s">
        <v>0</v>
      </c>
      <c r="B1786" s="55">
        <v>44946.097743055558</v>
      </c>
      <c r="C1786" s="38">
        <v>119550</v>
      </c>
    </row>
    <row r="1787" spans="1:3" x14ac:dyDescent="0.3">
      <c r="A1787" s="37" t="s">
        <v>0</v>
      </c>
      <c r="B1787" s="55">
        <v>44949.003738425927</v>
      </c>
      <c r="C1787" s="38">
        <v>120000</v>
      </c>
    </row>
    <row r="1788" spans="1:3" x14ac:dyDescent="0.3">
      <c r="A1788" s="37" t="s">
        <v>0</v>
      </c>
      <c r="B1788" s="55">
        <v>44932.753553240742</v>
      </c>
      <c r="C1788" s="38">
        <v>165000</v>
      </c>
    </row>
    <row r="1789" spans="1:3" x14ac:dyDescent="0.3">
      <c r="A1789" s="37" t="s">
        <v>0</v>
      </c>
      <c r="B1789" s="55">
        <v>44944.602349537039</v>
      </c>
      <c r="C1789" s="38">
        <v>56700</v>
      </c>
    </row>
    <row r="1790" spans="1:3" x14ac:dyDescent="0.3">
      <c r="A1790" s="37" t="s">
        <v>0</v>
      </c>
      <c r="B1790" s="55">
        <v>44930.314664351848</v>
      </c>
      <c r="C1790" s="38">
        <v>115000</v>
      </c>
    </row>
    <row r="1791" spans="1:3" x14ac:dyDescent="0.3">
      <c r="A1791" s="37" t="s">
        <v>0</v>
      </c>
      <c r="B1791" s="55">
        <v>44949.003784722219</v>
      </c>
      <c r="C1791" s="38"/>
    </row>
    <row r="1792" spans="1:3" x14ac:dyDescent="0.3">
      <c r="A1792" s="37" t="s">
        <v>0</v>
      </c>
      <c r="B1792" s="55">
        <v>44953.727766203701</v>
      </c>
      <c r="C1792" s="38">
        <v>79000</v>
      </c>
    </row>
    <row r="1793" spans="1:3" x14ac:dyDescent="0.3">
      <c r="A1793" s="37" t="s">
        <v>0</v>
      </c>
      <c r="B1793" s="55">
        <v>44937.253564814811</v>
      </c>
      <c r="C1793" s="38">
        <v>224500</v>
      </c>
    </row>
    <row r="1794" spans="1:3" x14ac:dyDescent="0.3">
      <c r="A1794" s="37" t="s">
        <v>0</v>
      </c>
      <c r="B1794" s="55">
        <v>44931.742175925923</v>
      </c>
      <c r="C1794" s="38">
        <v>157500</v>
      </c>
    </row>
    <row r="1795" spans="1:3" x14ac:dyDescent="0.3">
      <c r="A1795" s="37" t="s">
        <v>0</v>
      </c>
      <c r="B1795" s="55">
        <v>44951.208449074067</v>
      </c>
      <c r="C1795" s="38">
        <v>90000</v>
      </c>
    </row>
    <row r="1796" spans="1:3" x14ac:dyDescent="0.3">
      <c r="A1796" s="37" t="s">
        <v>0</v>
      </c>
      <c r="B1796" s="55">
        <v>44947.431446759263</v>
      </c>
      <c r="C1796" s="38">
        <v>64821.5</v>
      </c>
    </row>
    <row r="1797" spans="1:3" x14ac:dyDescent="0.3">
      <c r="A1797" s="37" t="s">
        <v>0</v>
      </c>
      <c r="B1797" s="55">
        <v>44933.501932870371</v>
      </c>
      <c r="C1797" s="38">
        <v>245000</v>
      </c>
    </row>
    <row r="1798" spans="1:3" x14ac:dyDescent="0.3">
      <c r="A1798" s="37" t="s">
        <v>0</v>
      </c>
      <c r="B1798" s="55">
        <v>44938.46234953704</v>
      </c>
      <c r="C1798" s="38">
        <v>207560</v>
      </c>
    </row>
    <row r="1799" spans="1:3" x14ac:dyDescent="0.3">
      <c r="A1799" s="37" t="s">
        <v>0</v>
      </c>
      <c r="B1799" s="55">
        <v>44952.295370370368</v>
      </c>
      <c r="C1799" s="38">
        <v>245000</v>
      </c>
    </row>
    <row r="1800" spans="1:3" x14ac:dyDescent="0.3">
      <c r="A1800" s="37" t="s">
        <v>0</v>
      </c>
      <c r="B1800" s="55">
        <v>44931.627847222233</v>
      </c>
      <c r="C1800" s="38"/>
    </row>
    <row r="1801" spans="1:3" x14ac:dyDescent="0.3">
      <c r="A1801" s="37" t="s">
        <v>0</v>
      </c>
      <c r="B1801" s="55">
        <v>44949.002002314817</v>
      </c>
      <c r="C1801" s="38"/>
    </row>
    <row r="1802" spans="1:3" x14ac:dyDescent="0.3">
      <c r="A1802" s="37" t="s">
        <v>0</v>
      </c>
      <c r="B1802" s="55">
        <v>44945.745439814818</v>
      </c>
      <c r="C1802" s="38">
        <v>74235</v>
      </c>
    </row>
    <row r="1803" spans="1:3" x14ac:dyDescent="0.3">
      <c r="A1803" s="37" t="s">
        <v>0</v>
      </c>
      <c r="B1803" s="55">
        <v>44951.699837962973</v>
      </c>
      <c r="C1803" s="38">
        <v>79200</v>
      </c>
    </row>
    <row r="1804" spans="1:3" x14ac:dyDescent="0.3">
      <c r="A1804" s="37" t="s">
        <v>0</v>
      </c>
      <c r="B1804" s="55">
        <v>44957.004652777781</v>
      </c>
      <c r="C1804" s="38">
        <v>104830</v>
      </c>
    </row>
    <row r="1805" spans="1:3" x14ac:dyDescent="0.3">
      <c r="A1805" s="37" t="s">
        <v>0</v>
      </c>
      <c r="B1805" s="55">
        <v>44945.786793981482</v>
      </c>
      <c r="C1805" s="38">
        <v>130000</v>
      </c>
    </row>
    <row r="1806" spans="1:3" x14ac:dyDescent="0.3">
      <c r="A1806" s="37" t="s">
        <v>0</v>
      </c>
      <c r="B1806" s="55">
        <v>44929.982997685183</v>
      </c>
      <c r="C1806" s="38"/>
    </row>
    <row r="1807" spans="1:3" x14ac:dyDescent="0.3">
      <c r="A1807" s="37" t="s">
        <v>0</v>
      </c>
      <c r="B1807" s="55">
        <v>44942.514201388891</v>
      </c>
      <c r="C1807" s="38">
        <v>190000</v>
      </c>
    </row>
    <row r="1808" spans="1:3" x14ac:dyDescent="0.3">
      <c r="A1808" s="37" t="s">
        <v>0</v>
      </c>
      <c r="B1808" s="55">
        <v>44939.963784722233</v>
      </c>
      <c r="C1808" s="38"/>
    </row>
    <row r="1809" spans="1:3" x14ac:dyDescent="0.3">
      <c r="A1809" s="37" t="s">
        <v>0</v>
      </c>
      <c r="B1809" s="55">
        <v>44944.617546296293</v>
      </c>
      <c r="C1809" s="38">
        <v>225000</v>
      </c>
    </row>
    <row r="1810" spans="1:3" x14ac:dyDescent="0.3">
      <c r="A1810" s="37" t="s">
        <v>0</v>
      </c>
      <c r="B1810" s="55">
        <v>44956.627696759257</v>
      </c>
      <c r="C1810" s="38"/>
    </row>
    <row r="1811" spans="1:3" x14ac:dyDescent="0.3">
      <c r="A1811" s="37" t="s">
        <v>0</v>
      </c>
      <c r="B1811" s="55">
        <v>44950.017500000002</v>
      </c>
      <c r="C1811" s="38">
        <v>115000</v>
      </c>
    </row>
    <row r="1812" spans="1:3" x14ac:dyDescent="0.3">
      <c r="A1812" s="37" t="s">
        <v>0</v>
      </c>
      <c r="B1812" s="55">
        <v>44929.982442129629</v>
      </c>
      <c r="C1812" s="38"/>
    </row>
    <row r="1813" spans="1:3" x14ac:dyDescent="0.3">
      <c r="A1813" s="37" t="s">
        <v>0</v>
      </c>
      <c r="B1813" s="55">
        <v>44929.982094907413</v>
      </c>
      <c r="C1813" s="38"/>
    </row>
    <row r="1814" spans="1:3" x14ac:dyDescent="0.3">
      <c r="A1814" s="37" t="s">
        <v>0</v>
      </c>
      <c r="B1814" s="55">
        <v>44951.986990740741</v>
      </c>
      <c r="C1814" s="38"/>
    </row>
    <row r="1815" spans="1:3" x14ac:dyDescent="0.3">
      <c r="A1815" s="37" t="s">
        <v>0</v>
      </c>
      <c r="B1815" s="55">
        <v>44945.599143518521</v>
      </c>
      <c r="C1815" s="38">
        <v>130000</v>
      </c>
    </row>
    <row r="1816" spans="1:3" x14ac:dyDescent="0.3">
      <c r="A1816" s="37" t="s">
        <v>0</v>
      </c>
      <c r="B1816" s="55">
        <v>44944.825798611113</v>
      </c>
      <c r="C1816" s="38"/>
    </row>
    <row r="1817" spans="1:3" x14ac:dyDescent="0.3">
      <c r="A1817" s="37" t="s">
        <v>0</v>
      </c>
      <c r="B1817" s="55">
        <v>44950.628680555557</v>
      </c>
      <c r="C1817" s="38"/>
    </row>
    <row r="1818" spans="1:3" x14ac:dyDescent="0.3">
      <c r="A1818" s="37" t="s">
        <v>0</v>
      </c>
      <c r="B1818" s="55">
        <v>44929.982974537037</v>
      </c>
      <c r="C1818" s="38"/>
    </row>
    <row r="1819" spans="1:3" x14ac:dyDescent="0.3">
      <c r="A1819" s="37" t="s">
        <v>0</v>
      </c>
      <c r="B1819" s="55">
        <v>44946.750810185193</v>
      </c>
      <c r="C1819" s="38">
        <v>89100</v>
      </c>
    </row>
    <row r="1820" spans="1:3" x14ac:dyDescent="0.3">
      <c r="A1820" s="37" t="s">
        <v>0</v>
      </c>
      <c r="B1820" s="55">
        <v>44945.005416666667</v>
      </c>
      <c r="C1820" s="38">
        <v>129500</v>
      </c>
    </row>
    <row r="1821" spans="1:3" x14ac:dyDescent="0.3">
      <c r="A1821" s="37" t="s">
        <v>0</v>
      </c>
      <c r="B1821" s="55">
        <v>44936.27239583333</v>
      </c>
      <c r="C1821" s="38">
        <v>55000</v>
      </c>
    </row>
    <row r="1822" spans="1:3" x14ac:dyDescent="0.3">
      <c r="A1822" s="37" t="s">
        <v>0</v>
      </c>
      <c r="B1822" s="55">
        <v>44936.087164351848</v>
      </c>
      <c r="C1822" s="38">
        <v>117500</v>
      </c>
    </row>
    <row r="1823" spans="1:3" x14ac:dyDescent="0.3">
      <c r="A1823" s="37" t="s">
        <v>0</v>
      </c>
      <c r="B1823" s="55">
        <v>44938.735034722216</v>
      </c>
      <c r="C1823" s="38">
        <v>157500</v>
      </c>
    </row>
    <row r="1824" spans="1:3" x14ac:dyDescent="0.3">
      <c r="A1824" s="37" t="s">
        <v>0</v>
      </c>
      <c r="B1824" s="55">
        <v>44937.056111111109</v>
      </c>
      <c r="C1824" s="38">
        <v>105000</v>
      </c>
    </row>
    <row r="1825" spans="1:3" x14ac:dyDescent="0.3">
      <c r="A1825" s="37" t="s">
        <v>0</v>
      </c>
      <c r="B1825" s="55">
        <v>44944.671550925923</v>
      </c>
      <c r="C1825" s="38"/>
    </row>
    <row r="1826" spans="1:3" x14ac:dyDescent="0.3">
      <c r="A1826" s="37" t="s">
        <v>0</v>
      </c>
      <c r="B1826" s="55">
        <v>44955.014953703707</v>
      </c>
      <c r="C1826" s="38"/>
    </row>
    <row r="1827" spans="1:3" x14ac:dyDescent="0.3">
      <c r="A1827" s="37" t="s">
        <v>0</v>
      </c>
      <c r="B1827" s="55">
        <v>44948.461331018523</v>
      </c>
      <c r="C1827" s="38">
        <v>136000</v>
      </c>
    </row>
    <row r="1828" spans="1:3" x14ac:dyDescent="0.3">
      <c r="A1828" s="37" t="s">
        <v>0</v>
      </c>
      <c r="B1828" s="55">
        <v>44939.212002314824</v>
      </c>
      <c r="C1828" s="38">
        <v>63000</v>
      </c>
    </row>
    <row r="1829" spans="1:3" x14ac:dyDescent="0.3">
      <c r="A1829" s="37" t="s">
        <v>0</v>
      </c>
      <c r="B1829" s="55">
        <v>44937.264247685183</v>
      </c>
      <c r="C1829" s="38">
        <v>224500</v>
      </c>
    </row>
    <row r="1830" spans="1:3" x14ac:dyDescent="0.3">
      <c r="A1830" s="37" t="s">
        <v>0</v>
      </c>
      <c r="B1830" s="55">
        <v>44951.501747685194</v>
      </c>
      <c r="C1830" s="38">
        <v>131867</v>
      </c>
    </row>
    <row r="1831" spans="1:3" x14ac:dyDescent="0.3">
      <c r="A1831" s="37" t="s">
        <v>0</v>
      </c>
      <c r="B1831" s="55">
        <v>44946.124826388892</v>
      </c>
      <c r="C1831" s="38">
        <v>139216</v>
      </c>
    </row>
    <row r="1832" spans="1:3" x14ac:dyDescent="0.3">
      <c r="A1832" s="37" t="s">
        <v>0</v>
      </c>
      <c r="B1832" s="55">
        <v>44956.168668981481</v>
      </c>
      <c r="C1832" s="38">
        <v>95303.5</v>
      </c>
    </row>
    <row r="1833" spans="1:3" x14ac:dyDescent="0.3">
      <c r="A1833" s="37" t="s">
        <v>0</v>
      </c>
      <c r="B1833" s="55">
        <v>44927.179340277777</v>
      </c>
      <c r="C1833" s="38">
        <v>133500</v>
      </c>
    </row>
    <row r="1834" spans="1:3" x14ac:dyDescent="0.3">
      <c r="A1834" s="37" t="s">
        <v>0</v>
      </c>
      <c r="B1834" s="55">
        <v>44945.251284722217</v>
      </c>
      <c r="C1834" s="38"/>
    </row>
    <row r="1835" spans="1:3" x14ac:dyDescent="0.3">
      <c r="A1835" s="37" t="s">
        <v>0</v>
      </c>
      <c r="B1835" s="55">
        <v>44937.097812499997</v>
      </c>
      <c r="C1835" s="38"/>
    </row>
    <row r="1836" spans="1:3" x14ac:dyDescent="0.3">
      <c r="A1836" s="37" t="s">
        <v>0</v>
      </c>
      <c r="B1836" s="55">
        <v>44950.877175925933</v>
      </c>
      <c r="C1836" s="38">
        <v>205000</v>
      </c>
    </row>
    <row r="1837" spans="1:3" x14ac:dyDescent="0.3">
      <c r="A1837" s="37" t="s">
        <v>0</v>
      </c>
      <c r="B1837" s="55">
        <v>44937.991435185177</v>
      </c>
      <c r="C1837" s="38"/>
    </row>
    <row r="1838" spans="1:3" x14ac:dyDescent="0.3">
      <c r="A1838" s="37" t="s">
        <v>0</v>
      </c>
      <c r="B1838" s="55">
        <v>44930.956562500003</v>
      </c>
      <c r="C1838" s="38">
        <v>162500</v>
      </c>
    </row>
    <row r="1839" spans="1:3" x14ac:dyDescent="0.3">
      <c r="A1839" s="37" t="s">
        <v>0</v>
      </c>
      <c r="B1839" s="55">
        <v>44930.420972222222</v>
      </c>
      <c r="C1839" s="38">
        <v>90000</v>
      </c>
    </row>
    <row r="1840" spans="1:3" x14ac:dyDescent="0.3">
      <c r="A1840" s="37" t="s">
        <v>0</v>
      </c>
      <c r="B1840" s="55">
        <v>44930.159247685187</v>
      </c>
      <c r="C1840" s="38">
        <v>90000</v>
      </c>
    </row>
    <row r="1841" spans="1:3" x14ac:dyDescent="0.3">
      <c r="A1841" s="37" t="s">
        <v>0</v>
      </c>
      <c r="B1841" s="55">
        <v>44944.544745370367</v>
      </c>
      <c r="C1841" s="38">
        <v>137500</v>
      </c>
    </row>
    <row r="1842" spans="1:3" x14ac:dyDescent="0.3">
      <c r="A1842" s="37" t="s">
        <v>0</v>
      </c>
      <c r="B1842" s="55">
        <v>44928.668310185189</v>
      </c>
      <c r="C1842" s="38">
        <v>162000</v>
      </c>
    </row>
    <row r="1843" spans="1:3" x14ac:dyDescent="0.3">
      <c r="A1843" s="37" t="s">
        <v>0</v>
      </c>
      <c r="B1843" s="55">
        <v>44929.981145833342</v>
      </c>
      <c r="C1843" s="38"/>
    </row>
    <row r="1844" spans="1:3" x14ac:dyDescent="0.3">
      <c r="A1844" s="37" t="s">
        <v>0</v>
      </c>
      <c r="B1844" s="55">
        <v>44954.67796296296</v>
      </c>
      <c r="C1844" s="38">
        <v>125000</v>
      </c>
    </row>
    <row r="1845" spans="1:3" x14ac:dyDescent="0.3">
      <c r="A1845" s="37" t="s">
        <v>0</v>
      </c>
      <c r="B1845" s="55">
        <v>44947.293981481482</v>
      </c>
      <c r="C1845" s="38">
        <v>195249.5</v>
      </c>
    </row>
    <row r="1846" spans="1:3" x14ac:dyDescent="0.3">
      <c r="A1846" s="37" t="s">
        <v>0</v>
      </c>
      <c r="B1846" s="55">
        <v>44929.981458333343</v>
      </c>
      <c r="C1846" s="38"/>
    </row>
    <row r="1847" spans="1:3" x14ac:dyDescent="0.3">
      <c r="A1847" s="37" t="s">
        <v>0</v>
      </c>
      <c r="B1847" s="55">
        <v>44946.988275462973</v>
      </c>
      <c r="C1847" s="38">
        <v>245000</v>
      </c>
    </row>
    <row r="1848" spans="1:3" x14ac:dyDescent="0.3">
      <c r="A1848" s="37" t="s">
        <v>0</v>
      </c>
      <c r="B1848" s="55">
        <v>44943.055</v>
      </c>
      <c r="C1848" s="38">
        <v>110000</v>
      </c>
    </row>
    <row r="1849" spans="1:3" x14ac:dyDescent="0.3">
      <c r="A1849" s="37" t="s">
        <v>0</v>
      </c>
      <c r="B1849" s="55">
        <v>44932.795775462961</v>
      </c>
      <c r="C1849" s="38"/>
    </row>
    <row r="1850" spans="1:3" x14ac:dyDescent="0.3">
      <c r="A1850" s="37" t="s">
        <v>0</v>
      </c>
      <c r="B1850" s="55">
        <v>44931.794594907413</v>
      </c>
      <c r="C1850" s="38">
        <v>130000</v>
      </c>
    </row>
    <row r="1851" spans="1:3" x14ac:dyDescent="0.3">
      <c r="A1851" s="37" t="s">
        <v>0</v>
      </c>
      <c r="B1851" s="55">
        <v>44947.029918981483</v>
      </c>
      <c r="C1851" s="38">
        <v>165000</v>
      </c>
    </row>
    <row r="1852" spans="1:3" x14ac:dyDescent="0.3">
      <c r="A1852" s="37" t="s">
        <v>0</v>
      </c>
      <c r="B1852" s="55">
        <v>44937.961747685193</v>
      </c>
      <c r="C1852" s="38">
        <v>99876.2734375</v>
      </c>
    </row>
    <row r="1853" spans="1:3" x14ac:dyDescent="0.3">
      <c r="A1853" s="37" t="s">
        <v>0</v>
      </c>
      <c r="B1853" s="55">
        <v>44937.253541666672</v>
      </c>
      <c r="C1853" s="38">
        <v>196800</v>
      </c>
    </row>
    <row r="1854" spans="1:3" x14ac:dyDescent="0.3">
      <c r="A1854" s="37" t="s">
        <v>0</v>
      </c>
      <c r="B1854" s="55">
        <v>44932.753981481481</v>
      </c>
      <c r="C1854" s="38"/>
    </row>
    <row r="1855" spans="1:3" x14ac:dyDescent="0.3">
      <c r="A1855" s="37" t="s">
        <v>0</v>
      </c>
      <c r="B1855" s="55">
        <v>44931.579664351862</v>
      </c>
      <c r="C1855" s="38">
        <v>145000</v>
      </c>
    </row>
    <row r="1856" spans="1:3" x14ac:dyDescent="0.3">
      <c r="A1856" s="37" t="s">
        <v>0</v>
      </c>
      <c r="B1856" s="55">
        <v>44937.282847222217</v>
      </c>
      <c r="C1856" s="38">
        <v>125000</v>
      </c>
    </row>
    <row r="1857" spans="1:3" x14ac:dyDescent="0.3">
      <c r="A1857" s="37" t="s">
        <v>0</v>
      </c>
      <c r="B1857" s="55">
        <v>44950.333541666667</v>
      </c>
      <c r="C1857" s="38">
        <v>210000</v>
      </c>
    </row>
    <row r="1858" spans="1:3" x14ac:dyDescent="0.3">
      <c r="A1858" s="37" t="s">
        <v>0</v>
      </c>
      <c r="B1858" s="55">
        <v>44951.129155092603</v>
      </c>
      <c r="C1858" s="38">
        <v>192000</v>
      </c>
    </row>
    <row r="1859" spans="1:3" x14ac:dyDescent="0.3">
      <c r="A1859" s="37" t="s">
        <v>0</v>
      </c>
      <c r="B1859" s="55">
        <v>44948.877384259264</v>
      </c>
      <c r="C1859" s="38">
        <v>125000</v>
      </c>
    </row>
    <row r="1860" spans="1:3" x14ac:dyDescent="0.3">
      <c r="A1860" s="37" t="s">
        <v>0</v>
      </c>
      <c r="B1860" s="55">
        <v>44929.730243055557</v>
      </c>
      <c r="C1860" s="38">
        <v>190000</v>
      </c>
    </row>
    <row r="1861" spans="1:3" x14ac:dyDescent="0.3">
      <c r="A1861" s="37" t="s">
        <v>0</v>
      </c>
      <c r="B1861" s="55">
        <v>44933.377858796302</v>
      </c>
      <c r="C1861" s="38">
        <v>86000</v>
      </c>
    </row>
    <row r="1862" spans="1:3" x14ac:dyDescent="0.3">
      <c r="A1862" s="37" t="s">
        <v>0</v>
      </c>
      <c r="B1862" s="55">
        <v>44941.003032407411</v>
      </c>
      <c r="C1862" s="38">
        <v>110000</v>
      </c>
    </row>
    <row r="1863" spans="1:3" x14ac:dyDescent="0.3">
      <c r="A1863" s="37" t="s">
        <v>0</v>
      </c>
      <c r="B1863" s="55">
        <v>44949.913171296299</v>
      </c>
      <c r="C1863" s="38">
        <v>64821.5</v>
      </c>
    </row>
    <row r="1864" spans="1:3" x14ac:dyDescent="0.3">
      <c r="A1864" s="37" t="s">
        <v>0</v>
      </c>
      <c r="B1864" s="55">
        <v>44954.628263888888</v>
      </c>
      <c r="C1864" s="38"/>
    </row>
    <row r="1865" spans="1:3" x14ac:dyDescent="0.3">
      <c r="A1865" s="37" t="s">
        <v>0</v>
      </c>
      <c r="B1865" s="55">
        <v>44939.089166666658</v>
      </c>
      <c r="C1865" s="38">
        <v>120000</v>
      </c>
    </row>
    <row r="1866" spans="1:3" x14ac:dyDescent="0.3">
      <c r="A1866" s="37" t="s">
        <v>0</v>
      </c>
      <c r="B1866" s="55">
        <v>44950.671307870369</v>
      </c>
      <c r="C1866" s="38">
        <v>150000</v>
      </c>
    </row>
    <row r="1867" spans="1:3" x14ac:dyDescent="0.3">
      <c r="A1867" s="37" t="s">
        <v>0</v>
      </c>
      <c r="B1867" s="55">
        <v>44938.6403587963</v>
      </c>
      <c r="C1867" s="38">
        <v>110000</v>
      </c>
    </row>
    <row r="1868" spans="1:3" x14ac:dyDescent="0.3">
      <c r="A1868" s="37" t="s">
        <v>0</v>
      </c>
      <c r="B1868" s="55">
        <v>44946.515092592592</v>
      </c>
      <c r="C1868" s="38">
        <v>160000</v>
      </c>
    </row>
    <row r="1869" spans="1:3" x14ac:dyDescent="0.3">
      <c r="A1869" s="37" t="s">
        <v>0</v>
      </c>
      <c r="B1869" s="55">
        <v>44950.960462962961</v>
      </c>
      <c r="C1869" s="38">
        <v>225000</v>
      </c>
    </row>
    <row r="1870" spans="1:3" x14ac:dyDescent="0.3">
      <c r="A1870" s="37" t="s">
        <v>0</v>
      </c>
      <c r="B1870" s="55">
        <v>44930.836631944447</v>
      </c>
      <c r="C1870" s="38">
        <v>222500</v>
      </c>
    </row>
    <row r="1871" spans="1:3" x14ac:dyDescent="0.3">
      <c r="A1871" s="37" t="s">
        <v>0</v>
      </c>
      <c r="B1871" s="55">
        <v>44949.002141203702</v>
      </c>
      <c r="C1871" s="38">
        <v>103330</v>
      </c>
    </row>
    <row r="1872" spans="1:3" x14ac:dyDescent="0.3">
      <c r="A1872" s="37" t="s">
        <v>0</v>
      </c>
      <c r="B1872" s="55">
        <v>44938.33693287037</v>
      </c>
      <c r="C1872" s="38">
        <v>90000</v>
      </c>
    </row>
    <row r="1873" spans="1:3" x14ac:dyDescent="0.3">
      <c r="A1873" s="37" t="s">
        <v>0</v>
      </c>
      <c r="B1873" s="55">
        <v>44946.932395833333</v>
      </c>
      <c r="C1873" s="38">
        <v>140000</v>
      </c>
    </row>
    <row r="1874" spans="1:3" x14ac:dyDescent="0.3">
      <c r="A1874" s="37" t="s">
        <v>0</v>
      </c>
      <c r="B1874" s="55">
        <v>44956.33766203704</v>
      </c>
      <c r="C1874" s="38">
        <v>150000</v>
      </c>
    </row>
    <row r="1875" spans="1:3" x14ac:dyDescent="0.3">
      <c r="A1875" s="37" t="s">
        <v>0</v>
      </c>
      <c r="B1875" s="55">
        <v>44929.981562499997</v>
      </c>
      <c r="C1875" s="38"/>
    </row>
    <row r="1876" spans="1:3" x14ac:dyDescent="0.3">
      <c r="A1876" s="37" t="s">
        <v>0</v>
      </c>
      <c r="B1876" s="55">
        <v>44942.680254629631</v>
      </c>
      <c r="C1876" s="38">
        <v>145000</v>
      </c>
    </row>
    <row r="1877" spans="1:3" x14ac:dyDescent="0.3">
      <c r="A1877" s="37" t="s">
        <v>0</v>
      </c>
      <c r="B1877" s="55">
        <v>44937.253587962958</v>
      </c>
      <c r="C1877" s="38">
        <v>158857.5</v>
      </c>
    </row>
    <row r="1878" spans="1:3" x14ac:dyDescent="0.3">
      <c r="A1878" s="37" t="s">
        <v>0</v>
      </c>
      <c r="B1878" s="55">
        <v>44934.002800925933</v>
      </c>
      <c r="C1878" s="38">
        <v>96103</v>
      </c>
    </row>
    <row r="1879" spans="1:3" x14ac:dyDescent="0.3">
      <c r="A1879" s="37" t="s">
        <v>0</v>
      </c>
      <c r="B1879" s="55">
        <v>44944.950856481482</v>
      </c>
      <c r="C1879" s="38"/>
    </row>
    <row r="1880" spans="1:3" x14ac:dyDescent="0.3">
      <c r="A1880" s="37" t="s">
        <v>0</v>
      </c>
      <c r="B1880" s="55">
        <v>44942.808854166673</v>
      </c>
      <c r="C1880" s="38">
        <v>140000</v>
      </c>
    </row>
    <row r="1881" spans="1:3" x14ac:dyDescent="0.3">
      <c r="A1881" s="37" t="s">
        <v>0</v>
      </c>
      <c r="B1881" s="55">
        <v>44939.014039351852</v>
      </c>
      <c r="C1881" s="38">
        <v>157500</v>
      </c>
    </row>
    <row r="1882" spans="1:3" x14ac:dyDescent="0.3">
      <c r="A1882" s="37" t="s">
        <v>0</v>
      </c>
      <c r="B1882" s="55">
        <v>44949.002106481479</v>
      </c>
      <c r="C1882" s="38"/>
    </row>
    <row r="1883" spans="1:3" x14ac:dyDescent="0.3">
      <c r="A1883" s="37" t="s">
        <v>0</v>
      </c>
      <c r="B1883" s="55">
        <v>44935.7112037037</v>
      </c>
      <c r="C1883" s="38">
        <v>212500</v>
      </c>
    </row>
    <row r="1884" spans="1:3" x14ac:dyDescent="0.3">
      <c r="A1884" s="37" t="s">
        <v>0</v>
      </c>
      <c r="B1884" s="55">
        <v>44938.723553240743</v>
      </c>
      <c r="C1884" s="38">
        <v>110000</v>
      </c>
    </row>
    <row r="1885" spans="1:3" x14ac:dyDescent="0.3">
      <c r="A1885" s="37" t="s">
        <v>0</v>
      </c>
      <c r="B1885" s="55">
        <v>44933.073506944442</v>
      </c>
      <c r="C1885" s="38">
        <v>81900</v>
      </c>
    </row>
    <row r="1886" spans="1:3" x14ac:dyDescent="0.3">
      <c r="A1886" s="37" t="s">
        <v>0</v>
      </c>
      <c r="B1886" s="55">
        <v>44938.07613425926</v>
      </c>
      <c r="C1886" s="38">
        <v>250000</v>
      </c>
    </row>
    <row r="1887" spans="1:3" x14ac:dyDescent="0.3">
      <c r="A1887" s="37" t="s">
        <v>0</v>
      </c>
      <c r="B1887" s="55">
        <v>44954.587118055562</v>
      </c>
      <c r="C1887" s="38">
        <v>119550</v>
      </c>
    </row>
    <row r="1888" spans="1:3" x14ac:dyDescent="0.3">
      <c r="A1888" s="37" t="s">
        <v>0</v>
      </c>
      <c r="B1888" s="55">
        <v>44952.42759259259</v>
      </c>
      <c r="C1888" s="38">
        <v>56700</v>
      </c>
    </row>
    <row r="1889" spans="1:3" x14ac:dyDescent="0.3">
      <c r="A1889" s="37" t="s">
        <v>0</v>
      </c>
      <c r="B1889" s="55">
        <v>44951.962430555563</v>
      </c>
      <c r="C1889" s="38">
        <v>150000</v>
      </c>
    </row>
    <row r="1890" spans="1:3" x14ac:dyDescent="0.3">
      <c r="A1890" s="37" t="s">
        <v>0</v>
      </c>
      <c r="B1890" s="55">
        <v>44937.377881944441</v>
      </c>
      <c r="C1890" s="38">
        <v>150000</v>
      </c>
    </row>
    <row r="1891" spans="1:3" x14ac:dyDescent="0.3">
      <c r="A1891" s="37" t="s">
        <v>0</v>
      </c>
      <c r="B1891" s="55">
        <v>44927.627754629633</v>
      </c>
      <c r="C1891" s="38">
        <v>113000</v>
      </c>
    </row>
    <row r="1892" spans="1:3" x14ac:dyDescent="0.3">
      <c r="A1892" s="37" t="s">
        <v>0</v>
      </c>
      <c r="B1892" s="55">
        <v>44939.754062499997</v>
      </c>
      <c r="C1892" s="38">
        <v>132500</v>
      </c>
    </row>
    <row r="1893" spans="1:3" x14ac:dyDescent="0.3">
      <c r="A1893" s="37" t="s">
        <v>0</v>
      </c>
      <c r="B1893" s="55">
        <v>44943.950798611113</v>
      </c>
      <c r="C1893" s="38"/>
    </row>
    <row r="1894" spans="1:3" x14ac:dyDescent="0.3">
      <c r="A1894" s="37" t="s">
        <v>0</v>
      </c>
      <c r="B1894" s="55">
        <v>44950.260972222219</v>
      </c>
      <c r="C1894" s="38">
        <v>88128</v>
      </c>
    </row>
    <row r="1895" spans="1:3" x14ac:dyDescent="0.3">
      <c r="A1895" s="37" t="s">
        <v>0</v>
      </c>
      <c r="B1895" s="55">
        <v>44945.803946759261</v>
      </c>
      <c r="C1895" s="38">
        <v>157500</v>
      </c>
    </row>
    <row r="1896" spans="1:3" x14ac:dyDescent="0.3">
      <c r="A1896" s="37" t="s">
        <v>0</v>
      </c>
      <c r="B1896" s="55">
        <v>44935.669722222221</v>
      </c>
      <c r="C1896" s="38"/>
    </row>
    <row r="1897" spans="1:3" x14ac:dyDescent="0.3">
      <c r="A1897" s="37" t="s">
        <v>0</v>
      </c>
      <c r="B1897" s="55">
        <v>44935.919988425929</v>
      </c>
      <c r="C1897" s="38">
        <v>232500</v>
      </c>
    </row>
    <row r="1898" spans="1:3" x14ac:dyDescent="0.3">
      <c r="A1898" s="37" t="s">
        <v>0</v>
      </c>
      <c r="B1898" s="55">
        <v>44956.712013888893</v>
      </c>
      <c r="C1898" s="38"/>
    </row>
    <row r="1899" spans="1:3" x14ac:dyDescent="0.3">
      <c r="A1899" s="37" t="s">
        <v>0</v>
      </c>
      <c r="B1899" s="55">
        <v>44944.212557870371</v>
      </c>
      <c r="C1899" s="38"/>
    </row>
    <row r="1900" spans="1:3" x14ac:dyDescent="0.3">
      <c r="A1900" s="37" t="s">
        <v>0</v>
      </c>
      <c r="B1900" s="55">
        <v>44933.66814814815</v>
      </c>
      <c r="C1900" s="38">
        <v>115000</v>
      </c>
    </row>
    <row r="1901" spans="1:3" x14ac:dyDescent="0.3">
      <c r="A1901" s="37" t="s">
        <v>0</v>
      </c>
      <c r="B1901" s="55">
        <v>44951.628622685188</v>
      </c>
      <c r="C1901" s="38">
        <v>135359.34375</v>
      </c>
    </row>
    <row r="1902" spans="1:3" x14ac:dyDescent="0.3">
      <c r="A1902" s="37" t="s">
        <v>0</v>
      </c>
      <c r="B1902" s="55">
        <v>44949.002511574072</v>
      </c>
      <c r="C1902" s="38">
        <v>108281</v>
      </c>
    </row>
    <row r="1903" spans="1:3" x14ac:dyDescent="0.3">
      <c r="A1903" s="37" t="s">
        <v>0</v>
      </c>
      <c r="B1903" s="55">
        <v>44943.783182870371</v>
      </c>
      <c r="C1903" s="38"/>
    </row>
    <row r="1904" spans="1:3" x14ac:dyDescent="0.3">
      <c r="A1904" s="37" t="s">
        <v>0</v>
      </c>
      <c r="B1904" s="55">
        <v>44931.829664351862</v>
      </c>
      <c r="C1904" s="38"/>
    </row>
    <row r="1905" spans="1:3" x14ac:dyDescent="0.3">
      <c r="A1905" s="37" t="s">
        <v>0</v>
      </c>
      <c r="B1905" s="55">
        <v>44954.348101851851</v>
      </c>
      <c r="C1905" s="38">
        <v>97500</v>
      </c>
    </row>
    <row r="1906" spans="1:3" x14ac:dyDescent="0.3">
      <c r="A1906" s="37" t="s">
        <v>0</v>
      </c>
      <c r="B1906" s="55">
        <v>44943.758460648147</v>
      </c>
      <c r="C1906" s="38">
        <v>79200</v>
      </c>
    </row>
    <row r="1907" spans="1:3" x14ac:dyDescent="0.3">
      <c r="A1907" s="37" t="s">
        <v>0</v>
      </c>
      <c r="B1907" s="55">
        <v>44950.837546296287</v>
      </c>
      <c r="C1907" s="38"/>
    </row>
    <row r="1908" spans="1:3" x14ac:dyDescent="0.3">
      <c r="A1908" s="37" t="s">
        <v>0</v>
      </c>
      <c r="B1908" s="55">
        <v>44935.899270833332</v>
      </c>
      <c r="C1908" s="38">
        <v>110000</v>
      </c>
    </row>
    <row r="1909" spans="1:3" x14ac:dyDescent="0.3">
      <c r="A1909" s="37" t="s">
        <v>0</v>
      </c>
      <c r="B1909" s="55">
        <v>44951.292407407411</v>
      </c>
      <c r="C1909" s="38">
        <v>185000</v>
      </c>
    </row>
    <row r="1910" spans="1:3" x14ac:dyDescent="0.3">
      <c r="A1910" s="37" t="s">
        <v>0</v>
      </c>
      <c r="B1910" s="55">
        <v>44934.293136574073</v>
      </c>
      <c r="C1910" s="38">
        <v>115000</v>
      </c>
    </row>
    <row r="1911" spans="1:3" x14ac:dyDescent="0.3">
      <c r="A1911" s="37" t="s">
        <v>0</v>
      </c>
      <c r="B1911" s="55">
        <v>44945.682500000003</v>
      </c>
      <c r="C1911" s="38">
        <v>197500</v>
      </c>
    </row>
    <row r="1912" spans="1:3" x14ac:dyDescent="0.3">
      <c r="A1912" s="37" t="s">
        <v>0</v>
      </c>
      <c r="B1912" s="55">
        <v>44942.433888888889</v>
      </c>
      <c r="C1912" s="38">
        <v>200000</v>
      </c>
    </row>
    <row r="1913" spans="1:3" x14ac:dyDescent="0.3">
      <c r="A1913" s="37" t="s">
        <v>0</v>
      </c>
      <c r="B1913" s="55">
        <v>44929.982175925928</v>
      </c>
      <c r="C1913" s="38"/>
    </row>
    <row r="1914" spans="1:3" x14ac:dyDescent="0.3">
      <c r="A1914" s="37" t="s">
        <v>0</v>
      </c>
      <c r="B1914" s="55">
        <v>44953.420173611114</v>
      </c>
      <c r="C1914" s="38">
        <v>80000</v>
      </c>
    </row>
    <row r="1915" spans="1:3" x14ac:dyDescent="0.3">
      <c r="A1915" s="37" t="s">
        <v>0</v>
      </c>
      <c r="B1915" s="55">
        <v>44929.98265046296</v>
      </c>
      <c r="C1915" s="38"/>
    </row>
    <row r="1916" spans="1:3" x14ac:dyDescent="0.3">
      <c r="A1916" s="37" t="s">
        <v>0</v>
      </c>
      <c r="B1916" s="55">
        <v>44934.060069444437</v>
      </c>
      <c r="C1916" s="38"/>
    </row>
    <row r="1917" spans="1:3" x14ac:dyDescent="0.3">
      <c r="A1917" s="37" t="s">
        <v>0</v>
      </c>
      <c r="B1917" s="55">
        <v>44936.085543981477</v>
      </c>
      <c r="C1917" s="38">
        <v>247500</v>
      </c>
    </row>
    <row r="1918" spans="1:3" x14ac:dyDescent="0.3">
      <c r="A1918" s="37" t="s">
        <v>0</v>
      </c>
      <c r="B1918" s="55">
        <v>44929.981412037043</v>
      </c>
      <c r="C1918" s="38"/>
    </row>
    <row r="1919" spans="1:3" x14ac:dyDescent="0.3">
      <c r="A1919" s="37" t="s">
        <v>0</v>
      </c>
      <c r="B1919" s="55">
        <v>44936.473749999997</v>
      </c>
      <c r="C1919" s="38">
        <v>200000</v>
      </c>
    </row>
    <row r="1920" spans="1:3" x14ac:dyDescent="0.3">
      <c r="A1920" s="37" t="s">
        <v>0</v>
      </c>
      <c r="B1920" s="55">
        <v>44930.873136574082</v>
      </c>
      <c r="C1920" s="38">
        <v>135000</v>
      </c>
    </row>
    <row r="1921" spans="1:3" x14ac:dyDescent="0.3">
      <c r="A1921" s="37" t="s">
        <v>0</v>
      </c>
      <c r="B1921" s="55">
        <v>44952.826192129629</v>
      </c>
      <c r="C1921" s="38">
        <v>107665</v>
      </c>
    </row>
    <row r="1922" spans="1:3" x14ac:dyDescent="0.3">
      <c r="A1922" s="37" t="s">
        <v>0</v>
      </c>
      <c r="B1922" s="55">
        <v>44936.889085648138</v>
      </c>
      <c r="C1922" s="38"/>
    </row>
    <row r="1923" spans="1:3" x14ac:dyDescent="0.3">
      <c r="A1923" s="37" t="s">
        <v>0</v>
      </c>
      <c r="B1923" s="55">
        <v>44935.668796296297</v>
      </c>
      <c r="C1923" s="38">
        <v>167500</v>
      </c>
    </row>
    <row r="1924" spans="1:3" x14ac:dyDescent="0.3">
      <c r="A1924" s="37" t="s">
        <v>0</v>
      </c>
      <c r="B1924" s="55">
        <v>44956.195902777778</v>
      </c>
      <c r="C1924" s="38">
        <v>119550</v>
      </c>
    </row>
    <row r="1925" spans="1:3" x14ac:dyDescent="0.3">
      <c r="A1925" s="37" t="s">
        <v>0</v>
      </c>
      <c r="B1925" s="55">
        <v>44930.314212962963</v>
      </c>
      <c r="C1925" s="38">
        <v>125000</v>
      </c>
    </row>
    <row r="1926" spans="1:3" x14ac:dyDescent="0.3">
      <c r="A1926" s="37" t="s">
        <v>0</v>
      </c>
      <c r="B1926" s="55">
        <v>44949.004652777781</v>
      </c>
      <c r="C1926" s="38">
        <v>111030</v>
      </c>
    </row>
    <row r="1927" spans="1:3" x14ac:dyDescent="0.3">
      <c r="A1927" s="37" t="s">
        <v>0</v>
      </c>
      <c r="B1927" s="55">
        <v>44942.452025462961</v>
      </c>
      <c r="C1927" s="38">
        <v>80850</v>
      </c>
    </row>
    <row r="1928" spans="1:3" x14ac:dyDescent="0.3">
      <c r="A1928" s="37" t="s">
        <v>0</v>
      </c>
      <c r="B1928" s="55">
        <v>44931.572233796287</v>
      </c>
      <c r="C1928" s="38">
        <v>50400</v>
      </c>
    </row>
    <row r="1929" spans="1:3" x14ac:dyDescent="0.3">
      <c r="A1929" s="37" t="s">
        <v>0</v>
      </c>
      <c r="B1929" s="55">
        <v>44942.546307870369</v>
      </c>
      <c r="C1929" s="38">
        <v>64821.5</v>
      </c>
    </row>
    <row r="1930" spans="1:3" x14ac:dyDescent="0.3">
      <c r="A1930" s="37" t="s">
        <v>0</v>
      </c>
      <c r="B1930" s="55">
        <v>44947.464606481481</v>
      </c>
      <c r="C1930" s="38">
        <v>300000</v>
      </c>
    </row>
    <row r="1931" spans="1:3" x14ac:dyDescent="0.3">
      <c r="A1931" s="37" t="s">
        <v>0</v>
      </c>
      <c r="B1931" s="55">
        <v>44944.420856481483</v>
      </c>
      <c r="C1931" s="38"/>
    </row>
    <row r="1932" spans="1:3" x14ac:dyDescent="0.3">
      <c r="A1932" s="37" t="s">
        <v>0</v>
      </c>
      <c r="B1932" s="55">
        <v>44955.004224537042</v>
      </c>
      <c r="C1932" s="38"/>
    </row>
    <row r="1933" spans="1:3" x14ac:dyDescent="0.3">
      <c r="A1933" s="37" t="s">
        <v>0</v>
      </c>
      <c r="B1933" s="55">
        <v>44934.710300925923</v>
      </c>
      <c r="C1933" s="38">
        <v>133340</v>
      </c>
    </row>
    <row r="1934" spans="1:3" x14ac:dyDescent="0.3">
      <c r="A1934" s="37" t="s">
        <v>0</v>
      </c>
      <c r="B1934" s="55">
        <v>44952.776458333326</v>
      </c>
      <c r="C1934" s="38">
        <v>131867</v>
      </c>
    </row>
    <row r="1935" spans="1:3" x14ac:dyDescent="0.3">
      <c r="A1935" s="37" t="s">
        <v>0</v>
      </c>
      <c r="B1935" s="55">
        <v>44929.981851851851</v>
      </c>
      <c r="C1935" s="38"/>
    </row>
    <row r="1936" spans="1:3" x14ac:dyDescent="0.3">
      <c r="A1936" s="37" t="s">
        <v>0</v>
      </c>
      <c r="B1936" s="55">
        <v>44948.22383101852</v>
      </c>
      <c r="C1936" s="38"/>
    </row>
    <row r="1937" spans="1:3" x14ac:dyDescent="0.3">
      <c r="A1937" s="37" t="s">
        <v>0</v>
      </c>
      <c r="B1937" s="55">
        <v>44955.003750000003</v>
      </c>
      <c r="C1937" s="38">
        <v>155000</v>
      </c>
    </row>
    <row r="1938" spans="1:3" x14ac:dyDescent="0.3">
      <c r="A1938" s="37" t="s">
        <v>0</v>
      </c>
      <c r="B1938" s="55">
        <v>44955.587905092587</v>
      </c>
      <c r="C1938" s="38">
        <v>136400</v>
      </c>
    </row>
    <row r="1939" spans="1:3" x14ac:dyDescent="0.3">
      <c r="A1939" s="37" t="s">
        <v>0</v>
      </c>
      <c r="B1939" s="55">
        <v>44953.795289351852</v>
      </c>
      <c r="C1939" s="38">
        <v>197000</v>
      </c>
    </row>
    <row r="1940" spans="1:3" x14ac:dyDescent="0.3">
      <c r="A1940" s="37" t="s">
        <v>0</v>
      </c>
      <c r="B1940" s="55">
        <v>44946.288958333331</v>
      </c>
      <c r="C1940" s="38"/>
    </row>
    <row r="1941" spans="1:3" x14ac:dyDescent="0.3">
      <c r="A1941" s="37" t="s">
        <v>0</v>
      </c>
      <c r="B1941" s="55">
        <v>44943.669270833343</v>
      </c>
      <c r="C1941" s="38">
        <v>130000</v>
      </c>
    </row>
    <row r="1942" spans="1:3" x14ac:dyDescent="0.3">
      <c r="A1942" s="37" t="s">
        <v>0</v>
      </c>
      <c r="B1942" s="55">
        <v>44948.460115740738</v>
      </c>
      <c r="C1942" s="38">
        <v>130000</v>
      </c>
    </row>
    <row r="1943" spans="1:3" x14ac:dyDescent="0.3">
      <c r="A1943" s="37" t="s">
        <v>0</v>
      </c>
      <c r="B1943" s="55">
        <v>44937.001597222217</v>
      </c>
      <c r="C1943" s="38">
        <v>132500</v>
      </c>
    </row>
    <row r="1944" spans="1:3" x14ac:dyDescent="0.3">
      <c r="A1944" s="37" t="s">
        <v>0</v>
      </c>
      <c r="B1944" s="55">
        <v>44939.754432870373</v>
      </c>
      <c r="C1944" s="38"/>
    </row>
    <row r="1945" spans="1:3" x14ac:dyDescent="0.3">
      <c r="A1945" s="37" t="s">
        <v>0</v>
      </c>
      <c r="B1945" s="55">
        <v>44929.226817129631</v>
      </c>
      <c r="C1945" s="38">
        <v>88128</v>
      </c>
    </row>
    <row r="1946" spans="1:3" x14ac:dyDescent="0.3">
      <c r="A1946" s="37" t="s">
        <v>0</v>
      </c>
      <c r="B1946" s="55">
        <v>44938.420335648138</v>
      </c>
      <c r="C1946" s="38">
        <v>90000</v>
      </c>
    </row>
    <row r="1947" spans="1:3" x14ac:dyDescent="0.3">
      <c r="A1947" s="37" t="s">
        <v>0</v>
      </c>
      <c r="B1947" s="55">
        <v>44950.878865740742</v>
      </c>
      <c r="C1947" s="38"/>
    </row>
    <row r="1948" spans="1:3" x14ac:dyDescent="0.3">
      <c r="A1948" s="37" t="s">
        <v>0</v>
      </c>
      <c r="B1948" s="55">
        <v>44932.674004629633</v>
      </c>
      <c r="C1948" s="38">
        <v>160000</v>
      </c>
    </row>
    <row r="1949" spans="1:3" x14ac:dyDescent="0.3">
      <c r="A1949" s="37" t="s">
        <v>0</v>
      </c>
      <c r="B1949" s="55">
        <v>44935.670381944437</v>
      </c>
      <c r="C1949" s="38">
        <v>117500</v>
      </c>
    </row>
    <row r="1950" spans="1:3" x14ac:dyDescent="0.3">
      <c r="A1950" s="37" t="s">
        <v>0</v>
      </c>
      <c r="B1950" s="55">
        <v>44936.639745370368</v>
      </c>
      <c r="C1950" s="38"/>
    </row>
    <row r="1951" spans="1:3" x14ac:dyDescent="0.3">
      <c r="A1951" s="37" t="s">
        <v>0</v>
      </c>
      <c r="B1951" s="55">
        <v>44949.084189814806</v>
      </c>
      <c r="C1951" s="38">
        <v>150500</v>
      </c>
    </row>
    <row r="1952" spans="1:3" x14ac:dyDescent="0.3">
      <c r="A1952" s="37" t="s">
        <v>0</v>
      </c>
      <c r="B1952" s="55">
        <v>44952.629131944443</v>
      </c>
      <c r="C1952" s="38">
        <v>106759</v>
      </c>
    </row>
    <row r="1953" spans="1:3" x14ac:dyDescent="0.3">
      <c r="A1953" s="37" t="s">
        <v>0</v>
      </c>
      <c r="B1953" s="55">
        <v>44929.981145833342</v>
      </c>
      <c r="C1953" s="38"/>
    </row>
    <row r="1954" spans="1:3" x14ac:dyDescent="0.3">
      <c r="A1954" s="37" t="s">
        <v>0</v>
      </c>
      <c r="B1954" s="55">
        <v>44929.982997685183</v>
      </c>
      <c r="C1954" s="38"/>
    </row>
    <row r="1955" spans="1:3" x14ac:dyDescent="0.3">
      <c r="A1955" s="37" t="s">
        <v>0</v>
      </c>
      <c r="B1955" s="55">
        <v>44946.891180555547</v>
      </c>
      <c r="C1955" s="38"/>
    </row>
    <row r="1956" spans="1:3" x14ac:dyDescent="0.3">
      <c r="A1956" s="37" t="s">
        <v>0</v>
      </c>
      <c r="B1956" s="55">
        <v>44939.182118055563</v>
      </c>
      <c r="C1956" s="38">
        <v>171000</v>
      </c>
    </row>
    <row r="1957" spans="1:3" x14ac:dyDescent="0.3">
      <c r="A1957" s="37" t="s">
        <v>0</v>
      </c>
      <c r="B1957" s="55">
        <v>44949.294050925928</v>
      </c>
      <c r="C1957" s="38">
        <v>90000</v>
      </c>
    </row>
    <row r="1958" spans="1:3" x14ac:dyDescent="0.3">
      <c r="A1958" s="37" t="s">
        <v>0</v>
      </c>
      <c r="B1958" s="55">
        <v>44954.003611111111</v>
      </c>
      <c r="C1958" s="38">
        <v>155000</v>
      </c>
    </row>
    <row r="1959" spans="1:3" x14ac:dyDescent="0.3">
      <c r="A1959" s="37" t="s">
        <v>0</v>
      </c>
      <c r="B1959" s="55">
        <v>44934.002881944441</v>
      </c>
      <c r="C1959" s="38">
        <v>157000</v>
      </c>
    </row>
    <row r="1960" spans="1:3" x14ac:dyDescent="0.3">
      <c r="A1960" s="37" t="s">
        <v>0</v>
      </c>
      <c r="B1960" s="55">
        <v>44931.333449074067</v>
      </c>
      <c r="C1960" s="38">
        <v>74235</v>
      </c>
    </row>
    <row r="1961" spans="1:3" x14ac:dyDescent="0.3">
      <c r="A1961" s="37" t="s">
        <v>0</v>
      </c>
      <c r="B1961" s="55">
        <v>44930.793761574067</v>
      </c>
      <c r="C1961" s="38">
        <v>100750</v>
      </c>
    </row>
    <row r="1962" spans="1:3" x14ac:dyDescent="0.3">
      <c r="A1962" s="37" t="s">
        <v>0</v>
      </c>
      <c r="B1962" s="55">
        <v>44950.711377314823</v>
      </c>
      <c r="C1962" s="38"/>
    </row>
    <row r="1963" spans="1:3" x14ac:dyDescent="0.3">
      <c r="A1963" s="37" t="s">
        <v>0</v>
      </c>
      <c r="B1963" s="55">
        <v>44930.147581018522</v>
      </c>
      <c r="C1963" s="38">
        <v>115000</v>
      </c>
    </row>
    <row r="1964" spans="1:3" x14ac:dyDescent="0.3">
      <c r="A1964" s="37" t="s">
        <v>0</v>
      </c>
      <c r="B1964" s="55">
        <v>44955.015011574083</v>
      </c>
      <c r="C1964" s="38"/>
    </row>
    <row r="1965" spans="1:3" x14ac:dyDescent="0.3">
      <c r="A1965" s="37" t="s">
        <v>0</v>
      </c>
      <c r="B1965" s="55">
        <v>44953.004282407397</v>
      </c>
      <c r="C1965" s="38"/>
    </row>
    <row r="1966" spans="1:3" x14ac:dyDescent="0.3">
      <c r="A1966" s="37" t="s">
        <v>0</v>
      </c>
      <c r="B1966" s="55">
        <v>44952.587627314817</v>
      </c>
      <c r="C1966" s="38">
        <v>122500</v>
      </c>
    </row>
    <row r="1967" spans="1:3" x14ac:dyDescent="0.3">
      <c r="A1967" s="37" t="s">
        <v>0</v>
      </c>
      <c r="B1967" s="55">
        <v>44944.836145833331</v>
      </c>
      <c r="C1967" s="38">
        <v>102500</v>
      </c>
    </row>
    <row r="1968" spans="1:3" x14ac:dyDescent="0.3">
      <c r="A1968" s="37" t="s">
        <v>0</v>
      </c>
      <c r="B1968" s="55">
        <v>44937.253587962958</v>
      </c>
      <c r="C1968" s="38">
        <v>199000</v>
      </c>
    </row>
    <row r="1969" spans="1:3" x14ac:dyDescent="0.3">
      <c r="A1969" s="37" t="s">
        <v>0</v>
      </c>
      <c r="B1969" s="55">
        <v>44957.982476851852</v>
      </c>
      <c r="C1969" s="38">
        <v>94157</v>
      </c>
    </row>
    <row r="1970" spans="1:3" x14ac:dyDescent="0.3">
      <c r="A1970" s="37" t="s">
        <v>0</v>
      </c>
      <c r="B1970" s="55">
        <v>44935.836458333331</v>
      </c>
      <c r="C1970" s="38">
        <v>70000</v>
      </c>
    </row>
    <row r="1971" spans="1:3" x14ac:dyDescent="0.3">
      <c r="A1971" s="37" t="s">
        <v>0</v>
      </c>
      <c r="B1971" s="55">
        <v>44950.35224537037</v>
      </c>
      <c r="C1971" s="38">
        <v>157500</v>
      </c>
    </row>
    <row r="1972" spans="1:3" x14ac:dyDescent="0.3">
      <c r="A1972" s="37" t="s">
        <v>0</v>
      </c>
      <c r="B1972" s="55">
        <v>44950.377488425933</v>
      </c>
      <c r="C1972" s="38"/>
    </row>
    <row r="1973" spans="1:3" x14ac:dyDescent="0.3">
      <c r="A1973" s="37" t="s">
        <v>0</v>
      </c>
      <c r="B1973" s="55">
        <v>44948.461238425924</v>
      </c>
      <c r="C1973" s="38">
        <v>92671.25</v>
      </c>
    </row>
    <row r="1974" spans="1:3" x14ac:dyDescent="0.3">
      <c r="A1974" s="37" t="s">
        <v>0</v>
      </c>
      <c r="B1974" s="55">
        <v>44930.065682870372</v>
      </c>
      <c r="C1974" s="38">
        <v>125000</v>
      </c>
    </row>
    <row r="1975" spans="1:3" x14ac:dyDescent="0.3">
      <c r="A1975" s="37" t="s">
        <v>0</v>
      </c>
      <c r="B1975" s="55">
        <v>44929.85732638889</v>
      </c>
      <c r="C1975" s="38">
        <v>132662</v>
      </c>
    </row>
    <row r="1976" spans="1:3" x14ac:dyDescent="0.3">
      <c r="A1976" s="37" t="s">
        <v>0</v>
      </c>
      <c r="B1976" s="55">
        <v>44938.991249999999</v>
      </c>
      <c r="C1976" s="38">
        <v>157500</v>
      </c>
    </row>
    <row r="1977" spans="1:3" x14ac:dyDescent="0.3">
      <c r="A1977" s="37" t="s">
        <v>0</v>
      </c>
      <c r="B1977" s="55">
        <v>44946.014780092592</v>
      </c>
      <c r="C1977" s="38">
        <v>154000</v>
      </c>
    </row>
    <row r="1978" spans="1:3" x14ac:dyDescent="0.3">
      <c r="A1978" s="37" t="s">
        <v>0</v>
      </c>
      <c r="B1978" s="55">
        <v>44929.856666666667</v>
      </c>
      <c r="C1978" s="38">
        <v>106500</v>
      </c>
    </row>
    <row r="1979" spans="1:3" x14ac:dyDescent="0.3">
      <c r="A1979" s="37" t="s">
        <v>0</v>
      </c>
      <c r="B1979" s="55">
        <v>44940.752511574072</v>
      </c>
      <c r="C1979" s="38">
        <v>143500</v>
      </c>
    </row>
    <row r="1980" spans="1:3" x14ac:dyDescent="0.3">
      <c r="A1980" s="37" t="s">
        <v>0</v>
      </c>
      <c r="B1980" s="55">
        <v>44945.640914351847</v>
      </c>
      <c r="C1980" s="38">
        <v>205000</v>
      </c>
    </row>
    <row r="1981" spans="1:3" x14ac:dyDescent="0.3">
      <c r="A1981" s="37" t="s">
        <v>0</v>
      </c>
      <c r="B1981" s="55">
        <v>44951.939398148148</v>
      </c>
      <c r="C1981" s="38">
        <v>157500</v>
      </c>
    </row>
    <row r="1982" spans="1:3" x14ac:dyDescent="0.3">
      <c r="A1982" s="37" t="s">
        <v>0</v>
      </c>
      <c r="B1982" s="55">
        <v>44935.982604166667</v>
      </c>
      <c r="C1982" s="38">
        <v>125000</v>
      </c>
    </row>
    <row r="1983" spans="1:3" x14ac:dyDescent="0.3">
      <c r="A1983" s="37" t="s">
        <v>0</v>
      </c>
      <c r="B1983" s="55">
        <v>44938.671099537038</v>
      </c>
      <c r="C1983" s="38"/>
    </row>
    <row r="1984" spans="1:3" x14ac:dyDescent="0.3">
      <c r="A1984" s="37" t="s">
        <v>0</v>
      </c>
      <c r="B1984" s="55">
        <v>44945.00545138889</v>
      </c>
      <c r="C1984" s="38">
        <v>101840</v>
      </c>
    </row>
    <row r="1985" spans="1:3" x14ac:dyDescent="0.3">
      <c r="A1985" s="37" t="s">
        <v>0</v>
      </c>
      <c r="B1985" s="55">
        <v>44948.01425925926</v>
      </c>
      <c r="C1985" s="38">
        <v>107330</v>
      </c>
    </row>
    <row r="1986" spans="1:3" x14ac:dyDescent="0.3">
      <c r="A1986" s="37" t="s">
        <v>0</v>
      </c>
      <c r="B1986" s="55">
        <v>44932.983425925922</v>
      </c>
      <c r="C1986" s="38"/>
    </row>
    <row r="1987" spans="1:3" x14ac:dyDescent="0.3">
      <c r="A1987" s="37" t="s">
        <v>0</v>
      </c>
      <c r="B1987" s="55">
        <v>44937.014699074083</v>
      </c>
      <c r="C1987" s="38"/>
    </row>
    <row r="1988" spans="1:3" x14ac:dyDescent="0.3">
      <c r="A1988" s="37" t="s">
        <v>0</v>
      </c>
      <c r="B1988" s="55">
        <v>44953.462638888886</v>
      </c>
      <c r="C1988" s="38">
        <v>265000</v>
      </c>
    </row>
    <row r="1989" spans="1:3" x14ac:dyDescent="0.3">
      <c r="A1989" s="37" t="s">
        <v>0</v>
      </c>
      <c r="B1989" s="55">
        <v>44933.231550925928</v>
      </c>
      <c r="C1989" s="38">
        <v>90000</v>
      </c>
    </row>
    <row r="1990" spans="1:3" x14ac:dyDescent="0.3">
      <c r="A1990" s="37" t="s">
        <v>0</v>
      </c>
      <c r="B1990" s="55">
        <v>44942.946180555547</v>
      </c>
      <c r="C1990" s="38">
        <v>130000</v>
      </c>
    </row>
    <row r="1991" spans="1:3" x14ac:dyDescent="0.3">
      <c r="A1991" s="37" t="s">
        <v>0</v>
      </c>
      <c r="B1991" s="55">
        <v>44942.683807870373</v>
      </c>
      <c r="C1991" s="38">
        <v>240000</v>
      </c>
    </row>
    <row r="1992" spans="1:3" x14ac:dyDescent="0.3">
      <c r="A1992" s="37" t="s">
        <v>0</v>
      </c>
      <c r="B1992" s="55">
        <v>44928.585300925923</v>
      </c>
      <c r="C1992" s="38">
        <v>230000</v>
      </c>
    </row>
    <row r="1993" spans="1:3" x14ac:dyDescent="0.3">
      <c r="A1993" s="37" t="s">
        <v>0</v>
      </c>
      <c r="B1993" s="55">
        <v>44930.064236111109</v>
      </c>
      <c r="C1993" s="38">
        <v>175000</v>
      </c>
    </row>
    <row r="1994" spans="1:3" x14ac:dyDescent="0.3">
      <c r="A1994" s="37" t="s">
        <v>0</v>
      </c>
      <c r="B1994" s="55">
        <v>44949.725787037038</v>
      </c>
      <c r="C1994" s="38">
        <v>110000</v>
      </c>
    </row>
    <row r="1995" spans="1:3" x14ac:dyDescent="0.3">
      <c r="A1995" s="37" t="s">
        <v>0</v>
      </c>
      <c r="B1995" s="55">
        <v>44930.60800925926</v>
      </c>
      <c r="C1995" s="38">
        <v>82500</v>
      </c>
    </row>
    <row r="1996" spans="1:3" x14ac:dyDescent="0.3">
      <c r="A1996" s="37" t="s">
        <v>0</v>
      </c>
      <c r="B1996" s="55">
        <v>44953.045949074083</v>
      </c>
      <c r="C1996" s="38">
        <v>136500</v>
      </c>
    </row>
    <row r="1997" spans="1:3" x14ac:dyDescent="0.3">
      <c r="A1997" s="37" t="s">
        <v>0</v>
      </c>
      <c r="B1997" s="55">
        <v>44935.384548611109</v>
      </c>
      <c r="C1997" s="38">
        <v>89100</v>
      </c>
    </row>
    <row r="1998" spans="1:3" x14ac:dyDescent="0.3">
      <c r="A1998" s="37" t="s">
        <v>0</v>
      </c>
      <c r="B1998" s="55">
        <v>44932.924097222232</v>
      </c>
      <c r="C1998" s="38">
        <v>65000</v>
      </c>
    </row>
    <row r="1999" spans="1:3" x14ac:dyDescent="0.3">
      <c r="A1999" s="37" t="s">
        <v>0</v>
      </c>
      <c r="B1999" s="55">
        <v>44933.802812499998</v>
      </c>
      <c r="C1999" s="38">
        <v>157500</v>
      </c>
    </row>
    <row r="2000" spans="1:3" x14ac:dyDescent="0.3">
      <c r="A2000" s="37" t="s">
        <v>0</v>
      </c>
      <c r="B2000" s="55">
        <v>44929.730983796297</v>
      </c>
      <c r="C2000" s="38">
        <v>99876.2734375</v>
      </c>
    </row>
    <row r="2001" spans="1:3" x14ac:dyDescent="0.3">
      <c r="A2001" s="37" t="s">
        <v>0</v>
      </c>
      <c r="B2001" s="55">
        <v>44950.627175925933</v>
      </c>
      <c r="C2001" s="38">
        <v>130000</v>
      </c>
    </row>
    <row r="2002" spans="1:3" x14ac:dyDescent="0.3">
      <c r="A2002" s="37" t="s">
        <v>0</v>
      </c>
      <c r="B2002" s="55">
        <v>44943.837002314824</v>
      </c>
      <c r="C2002" s="38">
        <v>55000</v>
      </c>
    </row>
    <row r="2003" spans="1:3" x14ac:dyDescent="0.3">
      <c r="A2003" s="37" t="s">
        <v>0</v>
      </c>
      <c r="B2003" s="55">
        <v>44953.650775462957</v>
      </c>
      <c r="C2003" s="38">
        <v>88128</v>
      </c>
    </row>
    <row r="2004" spans="1:3" x14ac:dyDescent="0.3">
      <c r="A2004" s="37" t="s">
        <v>0</v>
      </c>
      <c r="B2004" s="55">
        <v>44947.923263888893</v>
      </c>
      <c r="C2004" s="38"/>
    </row>
    <row r="2005" spans="1:3" x14ac:dyDescent="0.3">
      <c r="A2005" s="37" t="s">
        <v>0</v>
      </c>
      <c r="B2005" s="55">
        <v>44950.665625000001</v>
      </c>
      <c r="C2005" s="38"/>
    </row>
    <row r="2006" spans="1:3" x14ac:dyDescent="0.3">
      <c r="A2006" s="37" t="s">
        <v>0</v>
      </c>
      <c r="B2006" s="55">
        <v>44954.668668981481</v>
      </c>
      <c r="C2006" s="38">
        <v>149750</v>
      </c>
    </row>
    <row r="2007" spans="1:3" x14ac:dyDescent="0.3">
      <c r="A2007" s="37" t="s">
        <v>0</v>
      </c>
      <c r="B2007" s="55">
        <v>44935.837384259263</v>
      </c>
      <c r="C2007" s="38">
        <v>115000</v>
      </c>
    </row>
    <row r="2008" spans="1:3" x14ac:dyDescent="0.3">
      <c r="A2008" s="37" t="s">
        <v>0</v>
      </c>
      <c r="B2008" s="55">
        <v>44943.534155092602</v>
      </c>
      <c r="C2008" s="38"/>
    </row>
    <row r="2009" spans="1:3" x14ac:dyDescent="0.3">
      <c r="A2009" s="37" t="s">
        <v>0</v>
      </c>
      <c r="B2009" s="55">
        <v>44928.294814814813</v>
      </c>
      <c r="C2009" s="38">
        <v>141500</v>
      </c>
    </row>
    <row r="2010" spans="1:3" x14ac:dyDescent="0.3">
      <c r="A2010" s="37" t="s">
        <v>0</v>
      </c>
      <c r="B2010" s="55">
        <v>44936.691006944442</v>
      </c>
      <c r="C2010" s="38">
        <v>157500</v>
      </c>
    </row>
    <row r="2011" spans="1:3" x14ac:dyDescent="0.3">
      <c r="A2011" s="37" t="s">
        <v>0</v>
      </c>
      <c r="B2011" s="55">
        <v>44944.731435185182</v>
      </c>
      <c r="C2011" s="38">
        <v>157500</v>
      </c>
    </row>
    <row r="2012" spans="1:3" x14ac:dyDescent="0.3">
      <c r="A2012" s="37" t="s">
        <v>0</v>
      </c>
      <c r="B2012" s="55">
        <v>44934.701921296299</v>
      </c>
      <c r="C2012" s="38">
        <v>170500</v>
      </c>
    </row>
    <row r="2013" spans="1:3" x14ac:dyDescent="0.3">
      <c r="A2013" s="37" t="s">
        <v>0</v>
      </c>
      <c r="B2013" s="55">
        <v>44942.388842592591</v>
      </c>
      <c r="C2013" s="38">
        <v>90000</v>
      </c>
    </row>
    <row r="2014" spans="1:3" x14ac:dyDescent="0.3">
      <c r="A2014" s="37" t="s">
        <v>0</v>
      </c>
      <c r="B2014" s="55">
        <v>44943.909571759257</v>
      </c>
      <c r="C2014" s="38">
        <v>100000</v>
      </c>
    </row>
    <row r="2015" spans="1:3" x14ac:dyDescent="0.3">
      <c r="A2015" s="37" t="s">
        <v>0</v>
      </c>
      <c r="B2015" s="55">
        <v>44938.90662037037</v>
      </c>
      <c r="C2015" s="38">
        <v>87307.5</v>
      </c>
    </row>
    <row r="2016" spans="1:3" x14ac:dyDescent="0.3">
      <c r="A2016" s="37" t="s">
        <v>0</v>
      </c>
      <c r="B2016" s="55">
        <v>44946.921851851846</v>
      </c>
      <c r="C2016" s="38">
        <v>105650</v>
      </c>
    </row>
    <row r="2017" spans="1:3" x14ac:dyDescent="0.3">
      <c r="A2017" s="37" t="s">
        <v>0</v>
      </c>
      <c r="B2017" s="55">
        <v>44930.502569444441</v>
      </c>
      <c r="C2017" s="38">
        <v>175000</v>
      </c>
    </row>
    <row r="2018" spans="1:3" x14ac:dyDescent="0.3">
      <c r="A2018" s="37" t="s">
        <v>0</v>
      </c>
      <c r="B2018" s="55">
        <v>44952.962893518517</v>
      </c>
      <c r="C2018" s="38"/>
    </row>
    <row r="2019" spans="1:3" x14ac:dyDescent="0.3">
      <c r="A2019" s="37" t="s">
        <v>0</v>
      </c>
      <c r="B2019" s="55">
        <v>44937.62841435185</v>
      </c>
      <c r="C2019" s="38">
        <v>223000</v>
      </c>
    </row>
    <row r="2020" spans="1:3" x14ac:dyDescent="0.3">
      <c r="A2020" s="37" t="s">
        <v>0</v>
      </c>
      <c r="B2020" s="55">
        <v>44939.254305555558</v>
      </c>
      <c r="C2020" s="38">
        <v>90000</v>
      </c>
    </row>
    <row r="2021" spans="1:3" x14ac:dyDescent="0.3">
      <c r="A2021" s="37" t="s">
        <v>0</v>
      </c>
      <c r="B2021" s="55">
        <v>44940.99077546296</v>
      </c>
      <c r="C2021" s="38">
        <v>105138</v>
      </c>
    </row>
    <row r="2022" spans="1:3" x14ac:dyDescent="0.3">
      <c r="A2022" s="37" t="s">
        <v>0</v>
      </c>
      <c r="B2022" s="55">
        <v>44929.981886574067</v>
      </c>
      <c r="C2022" s="38"/>
    </row>
    <row r="2023" spans="1:3" x14ac:dyDescent="0.3">
      <c r="A2023" s="37" t="s">
        <v>0</v>
      </c>
      <c r="B2023" s="55">
        <v>44956.003055555557</v>
      </c>
      <c r="C2023" s="38">
        <v>92500</v>
      </c>
    </row>
    <row r="2024" spans="1:3" x14ac:dyDescent="0.3">
      <c r="A2024" s="37" t="s">
        <v>0</v>
      </c>
      <c r="B2024" s="55">
        <v>44938.639097222222</v>
      </c>
      <c r="C2024" s="38">
        <v>145000</v>
      </c>
    </row>
    <row r="2025" spans="1:3" x14ac:dyDescent="0.3">
      <c r="A2025" s="37" t="s">
        <v>0</v>
      </c>
      <c r="B2025" s="55">
        <v>44936.889560185176</v>
      </c>
      <c r="C2025" s="38">
        <v>140000</v>
      </c>
    </row>
    <row r="2026" spans="1:3" x14ac:dyDescent="0.3">
      <c r="A2026" s="37" t="s">
        <v>0</v>
      </c>
      <c r="B2026" s="55">
        <v>44936.646192129629</v>
      </c>
      <c r="C2026" s="38">
        <v>132500</v>
      </c>
    </row>
    <row r="2027" spans="1:3" x14ac:dyDescent="0.3">
      <c r="A2027" s="37" t="s">
        <v>0</v>
      </c>
      <c r="B2027" s="55">
        <v>44954.234074074076</v>
      </c>
      <c r="C2027" s="38">
        <v>88128</v>
      </c>
    </row>
    <row r="2028" spans="1:3" x14ac:dyDescent="0.3">
      <c r="A2028" s="37" t="s">
        <v>0</v>
      </c>
      <c r="B2028" s="55">
        <v>44938.379016203697</v>
      </c>
      <c r="C2028" s="38">
        <v>110000</v>
      </c>
    </row>
    <row r="2029" spans="1:3" x14ac:dyDescent="0.3">
      <c r="A2029" s="37" t="s">
        <v>0</v>
      </c>
      <c r="B2029" s="55">
        <v>44930.585856481477</v>
      </c>
      <c r="C2029" s="38">
        <v>92500</v>
      </c>
    </row>
    <row r="2030" spans="1:3" x14ac:dyDescent="0.3">
      <c r="A2030" s="37" t="s">
        <v>0</v>
      </c>
      <c r="B2030" s="55">
        <v>44932.069803240738</v>
      </c>
      <c r="C2030" s="38">
        <v>63321.5</v>
      </c>
    </row>
    <row r="2031" spans="1:3" x14ac:dyDescent="0.3">
      <c r="A2031" s="37" t="s">
        <v>0</v>
      </c>
      <c r="B2031" s="55">
        <v>44936.477523148147</v>
      </c>
      <c r="C2031" s="38">
        <v>157500</v>
      </c>
    </row>
    <row r="2032" spans="1:3" x14ac:dyDescent="0.3">
      <c r="A2032" s="37" t="s">
        <v>0</v>
      </c>
      <c r="B2032" s="55">
        <v>44950.018773148149</v>
      </c>
      <c r="C2032" s="38"/>
    </row>
    <row r="2033" spans="1:3" x14ac:dyDescent="0.3">
      <c r="A2033" s="37" t="s">
        <v>0</v>
      </c>
      <c r="B2033" s="55">
        <v>44949.893703703703</v>
      </c>
      <c r="C2033" s="38">
        <v>65000</v>
      </c>
    </row>
    <row r="2034" spans="1:3" x14ac:dyDescent="0.3">
      <c r="A2034" s="37" t="s">
        <v>0</v>
      </c>
      <c r="B2034" s="55">
        <v>44955.014675925922</v>
      </c>
      <c r="C2034" s="38">
        <v>155000</v>
      </c>
    </row>
    <row r="2035" spans="1:3" x14ac:dyDescent="0.3">
      <c r="A2035" s="37" t="s">
        <v>0</v>
      </c>
      <c r="B2035" s="55">
        <v>44943.294317129628</v>
      </c>
      <c r="C2035" s="38">
        <v>125000</v>
      </c>
    </row>
    <row r="2036" spans="1:3" x14ac:dyDescent="0.3">
      <c r="A2036" s="37" t="s">
        <v>0</v>
      </c>
      <c r="B2036" s="55">
        <v>44942.263854166667</v>
      </c>
      <c r="C2036" s="38">
        <v>202000</v>
      </c>
    </row>
    <row r="2037" spans="1:3" x14ac:dyDescent="0.3">
      <c r="A2037" s="37" t="s">
        <v>0</v>
      </c>
      <c r="B2037" s="55">
        <v>44938.468495370369</v>
      </c>
      <c r="C2037" s="38">
        <v>157500</v>
      </c>
    </row>
    <row r="2038" spans="1:3" x14ac:dyDescent="0.3">
      <c r="A2038" s="37" t="s">
        <v>0</v>
      </c>
      <c r="B2038" s="55">
        <v>44950.878136574072</v>
      </c>
      <c r="C2038" s="38"/>
    </row>
    <row r="2039" spans="1:3" x14ac:dyDescent="0.3">
      <c r="A2039" s="37" t="s">
        <v>0</v>
      </c>
      <c r="B2039" s="55">
        <v>44934.285254629627</v>
      </c>
      <c r="C2039" s="38">
        <v>115000</v>
      </c>
    </row>
    <row r="2040" spans="1:3" x14ac:dyDescent="0.3">
      <c r="A2040" s="37" t="s">
        <v>0</v>
      </c>
      <c r="B2040" s="55">
        <v>44947.505439814813</v>
      </c>
      <c r="C2040" s="38">
        <v>143500</v>
      </c>
    </row>
    <row r="2041" spans="1:3" x14ac:dyDescent="0.3">
      <c r="A2041" s="37" t="s">
        <v>0</v>
      </c>
      <c r="B2041" s="55">
        <v>44935.857673611114</v>
      </c>
      <c r="C2041" s="38">
        <v>175000</v>
      </c>
    </row>
    <row r="2042" spans="1:3" x14ac:dyDescent="0.3">
      <c r="A2042" s="37" t="s">
        <v>0</v>
      </c>
      <c r="B2042" s="55">
        <v>44930.589375000003</v>
      </c>
      <c r="C2042" s="38">
        <v>120000.5</v>
      </c>
    </row>
    <row r="2043" spans="1:3" x14ac:dyDescent="0.3">
      <c r="A2043" s="37" t="s">
        <v>0</v>
      </c>
      <c r="B2043" s="55">
        <v>44951.71502314815</v>
      </c>
      <c r="C2043" s="38">
        <v>64821.5</v>
      </c>
    </row>
    <row r="2044" spans="1:3" x14ac:dyDescent="0.3">
      <c r="A2044" s="37" t="s">
        <v>0</v>
      </c>
      <c r="B2044" s="55">
        <v>44942.588495370372</v>
      </c>
      <c r="C2044" s="38">
        <v>64821.5</v>
      </c>
    </row>
    <row r="2045" spans="1:3" x14ac:dyDescent="0.3">
      <c r="A2045" s="37" t="s">
        <v>0</v>
      </c>
      <c r="B2045" s="55">
        <v>44935.001932870371</v>
      </c>
      <c r="C2045" s="38">
        <v>75000</v>
      </c>
    </row>
    <row r="2046" spans="1:3" x14ac:dyDescent="0.3">
      <c r="A2046" s="37" t="s">
        <v>0</v>
      </c>
      <c r="B2046" s="55">
        <v>44943.77134259259</v>
      </c>
      <c r="C2046" s="38">
        <v>53416.5</v>
      </c>
    </row>
    <row r="2047" spans="1:3" x14ac:dyDescent="0.3">
      <c r="A2047" s="37" t="s">
        <v>0</v>
      </c>
      <c r="B2047" s="55">
        <v>44935.167002314818</v>
      </c>
      <c r="C2047" s="38">
        <v>234000</v>
      </c>
    </row>
    <row r="2048" spans="1:3" x14ac:dyDescent="0.3">
      <c r="A2048" s="37" t="s">
        <v>0</v>
      </c>
      <c r="B2048" s="55">
        <v>44943.171782407408</v>
      </c>
      <c r="C2048" s="38">
        <v>89100</v>
      </c>
    </row>
    <row r="2049" spans="1:3" x14ac:dyDescent="0.3">
      <c r="A2049" s="37" t="s">
        <v>0</v>
      </c>
      <c r="B2049" s="55">
        <v>44946.932199074072</v>
      </c>
      <c r="C2049" s="38"/>
    </row>
    <row r="2050" spans="1:3" x14ac:dyDescent="0.3">
      <c r="A2050" s="37" t="s">
        <v>0</v>
      </c>
      <c r="B2050" s="55">
        <v>44946.265509259261</v>
      </c>
      <c r="C2050" s="38"/>
    </row>
    <row r="2051" spans="1:3" x14ac:dyDescent="0.3">
      <c r="A2051" s="37" t="s">
        <v>0</v>
      </c>
      <c r="B2051" s="55">
        <v>44949.727152777778</v>
      </c>
      <c r="C2051" s="38"/>
    </row>
    <row r="2052" spans="1:3" x14ac:dyDescent="0.3">
      <c r="A2052" s="37" t="s">
        <v>0</v>
      </c>
      <c r="B2052" s="55">
        <v>44951.294236111113</v>
      </c>
      <c r="C2052" s="38">
        <v>150000</v>
      </c>
    </row>
    <row r="2053" spans="1:3" x14ac:dyDescent="0.3">
      <c r="A2053" s="37" t="s">
        <v>0</v>
      </c>
      <c r="B2053" s="55">
        <v>44947.79787037037</v>
      </c>
      <c r="C2053" s="38"/>
    </row>
    <row r="2054" spans="1:3" x14ac:dyDescent="0.3">
      <c r="A2054" s="37" t="s">
        <v>0</v>
      </c>
      <c r="B2054" s="55">
        <v>44949.002245370371</v>
      </c>
      <c r="C2054" s="38">
        <v>107030</v>
      </c>
    </row>
    <row r="2055" spans="1:3" x14ac:dyDescent="0.3">
      <c r="A2055" s="37" t="s">
        <v>0</v>
      </c>
      <c r="B2055" s="55">
        <v>44930.578263888892</v>
      </c>
      <c r="C2055" s="38">
        <v>56700</v>
      </c>
    </row>
    <row r="2056" spans="1:3" x14ac:dyDescent="0.3">
      <c r="A2056" s="37" t="s">
        <v>0</v>
      </c>
      <c r="B2056" s="55">
        <v>44937.391319444447</v>
      </c>
      <c r="C2056" s="38">
        <v>89100</v>
      </c>
    </row>
    <row r="2057" spans="1:3" x14ac:dyDescent="0.3">
      <c r="A2057" s="37" t="s">
        <v>0</v>
      </c>
      <c r="B2057" s="55">
        <v>44936.722060185188</v>
      </c>
      <c r="C2057" s="38">
        <v>130000</v>
      </c>
    </row>
    <row r="2058" spans="1:3" x14ac:dyDescent="0.3">
      <c r="A2058" s="37" t="s">
        <v>0</v>
      </c>
      <c r="B2058" s="55">
        <v>44930.589375000003</v>
      </c>
      <c r="C2058" s="38">
        <v>120000.5</v>
      </c>
    </row>
    <row r="2059" spans="1:3" x14ac:dyDescent="0.3">
      <c r="A2059" s="37" t="s">
        <v>0</v>
      </c>
      <c r="B2059" s="55">
        <v>44950.05909722222</v>
      </c>
      <c r="C2059" s="38">
        <v>35000</v>
      </c>
    </row>
    <row r="2060" spans="1:3" x14ac:dyDescent="0.3">
      <c r="A2060" s="37" t="s">
        <v>0</v>
      </c>
      <c r="B2060" s="55">
        <v>44950.708425925928</v>
      </c>
      <c r="C2060" s="38">
        <v>100000</v>
      </c>
    </row>
    <row r="2061" spans="1:3" x14ac:dyDescent="0.3">
      <c r="A2061" s="37" t="s">
        <v>0</v>
      </c>
      <c r="B2061" s="55">
        <v>44951.736851851849</v>
      </c>
      <c r="C2061" s="38">
        <v>135000</v>
      </c>
    </row>
    <row r="2062" spans="1:3" x14ac:dyDescent="0.3">
      <c r="A2062" s="37" t="s">
        <v>0</v>
      </c>
      <c r="B2062" s="55">
        <v>44942.328981481478</v>
      </c>
      <c r="C2062" s="38">
        <v>89100</v>
      </c>
    </row>
    <row r="2063" spans="1:3" x14ac:dyDescent="0.3">
      <c r="A2063" s="37" t="s">
        <v>0</v>
      </c>
      <c r="B2063" s="55">
        <v>44950.211192129631</v>
      </c>
      <c r="C2063" s="38">
        <v>225000</v>
      </c>
    </row>
    <row r="2064" spans="1:3" x14ac:dyDescent="0.3">
      <c r="A2064" s="37" t="s">
        <v>0</v>
      </c>
      <c r="B2064" s="55">
        <v>44955.045266203713</v>
      </c>
      <c r="C2064" s="38"/>
    </row>
    <row r="2065" spans="1:3" x14ac:dyDescent="0.3">
      <c r="A2065" s="37" t="s">
        <v>0</v>
      </c>
      <c r="B2065" s="55">
        <v>44931.7106712963</v>
      </c>
      <c r="C2065" s="38">
        <v>162500</v>
      </c>
    </row>
    <row r="2066" spans="1:3" x14ac:dyDescent="0.3">
      <c r="A2066" s="37" t="s">
        <v>0</v>
      </c>
      <c r="B2066" s="55">
        <v>44943.377569444441</v>
      </c>
      <c r="C2066" s="38">
        <v>175000</v>
      </c>
    </row>
    <row r="2067" spans="1:3" x14ac:dyDescent="0.3">
      <c r="A2067" s="37" t="s">
        <v>0</v>
      </c>
      <c r="B2067" s="55">
        <v>44930.539895833332</v>
      </c>
      <c r="C2067" s="38">
        <v>155000</v>
      </c>
    </row>
    <row r="2068" spans="1:3" x14ac:dyDescent="0.3">
      <c r="A2068" s="37" t="s">
        <v>0</v>
      </c>
      <c r="B2068" s="55">
        <v>44942.55364583333</v>
      </c>
      <c r="C2068" s="38">
        <v>183310</v>
      </c>
    </row>
    <row r="2069" spans="1:3" x14ac:dyDescent="0.3">
      <c r="A2069" s="37" t="s">
        <v>0</v>
      </c>
      <c r="B2069" s="55">
        <v>44943.430798611109</v>
      </c>
      <c r="C2069" s="38">
        <v>99150</v>
      </c>
    </row>
    <row r="2070" spans="1:3" x14ac:dyDescent="0.3">
      <c r="A2070" s="37" t="s">
        <v>0</v>
      </c>
      <c r="B2070" s="55">
        <v>44938.587824074071</v>
      </c>
      <c r="C2070" s="38">
        <v>187500</v>
      </c>
    </row>
    <row r="2071" spans="1:3" x14ac:dyDescent="0.3">
      <c r="A2071" s="37" t="s">
        <v>0</v>
      </c>
      <c r="B2071" s="55">
        <v>44936.696400462963</v>
      </c>
      <c r="C2071" s="38">
        <v>157500</v>
      </c>
    </row>
    <row r="2072" spans="1:3" x14ac:dyDescent="0.3">
      <c r="A2072" s="37" t="s">
        <v>0</v>
      </c>
      <c r="B2072" s="55">
        <v>44935.669039351851</v>
      </c>
      <c r="C2072" s="38">
        <v>137500</v>
      </c>
    </row>
    <row r="2073" spans="1:3" x14ac:dyDescent="0.3">
      <c r="A2073" s="37" t="s">
        <v>0</v>
      </c>
      <c r="B2073" s="55">
        <v>44938.962708333333</v>
      </c>
      <c r="C2073" s="38"/>
    </row>
    <row r="2074" spans="1:3" x14ac:dyDescent="0.3">
      <c r="A2074" s="37" t="s">
        <v>0</v>
      </c>
      <c r="B2074" s="55">
        <v>44932.252847222233</v>
      </c>
      <c r="C2074" s="38">
        <v>130000</v>
      </c>
    </row>
    <row r="2075" spans="1:3" x14ac:dyDescent="0.3">
      <c r="A2075" s="37" t="s">
        <v>0</v>
      </c>
      <c r="B2075" s="55">
        <v>44928.335069444453</v>
      </c>
      <c r="C2075" s="38">
        <v>150000</v>
      </c>
    </row>
    <row r="2076" spans="1:3" x14ac:dyDescent="0.3">
      <c r="A2076" s="37" t="s">
        <v>0</v>
      </c>
      <c r="B2076" s="55">
        <v>44944.534097222233</v>
      </c>
      <c r="C2076" s="38">
        <v>190000</v>
      </c>
    </row>
    <row r="2077" spans="1:3" x14ac:dyDescent="0.3">
      <c r="A2077" s="37" t="s">
        <v>0</v>
      </c>
      <c r="B2077" s="55">
        <v>44946.973703703698</v>
      </c>
      <c r="C2077" s="38">
        <v>113500</v>
      </c>
    </row>
    <row r="2078" spans="1:3" x14ac:dyDescent="0.3">
      <c r="A2078" s="37" t="s">
        <v>0</v>
      </c>
      <c r="B2078" s="55">
        <v>44957.38554398148</v>
      </c>
      <c r="C2078" s="38">
        <v>157500</v>
      </c>
    </row>
    <row r="2079" spans="1:3" x14ac:dyDescent="0.3">
      <c r="A2079" s="37" t="s">
        <v>0</v>
      </c>
      <c r="B2079" s="55">
        <v>44937.253587962958</v>
      </c>
      <c r="C2079" s="38">
        <v>224500</v>
      </c>
    </row>
    <row r="2080" spans="1:3" x14ac:dyDescent="0.3">
      <c r="A2080" s="37" t="s">
        <v>0</v>
      </c>
      <c r="B2080" s="55">
        <v>44937.794942129629</v>
      </c>
      <c r="C2080" s="38">
        <v>135000</v>
      </c>
    </row>
    <row r="2081" spans="1:3" x14ac:dyDescent="0.3">
      <c r="A2081" s="37" t="s">
        <v>0</v>
      </c>
      <c r="B2081" s="55">
        <v>44930.230821759258</v>
      </c>
      <c r="C2081" s="38">
        <v>101603</v>
      </c>
    </row>
    <row r="2082" spans="1:3" x14ac:dyDescent="0.3">
      <c r="A2082" s="37" t="s">
        <v>0</v>
      </c>
      <c r="B2082" s="55">
        <v>44949.850856481477</v>
      </c>
      <c r="C2082" s="38">
        <v>95700</v>
      </c>
    </row>
    <row r="2083" spans="1:3" x14ac:dyDescent="0.3">
      <c r="A2083" s="37" t="s">
        <v>0</v>
      </c>
      <c r="B2083" s="55">
        <v>44937.014050925929</v>
      </c>
      <c r="C2083" s="38">
        <v>135000</v>
      </c>
    </row>
    <row r="2084" spans="1:3" x14ac:dyDescent="0.3">
      <c r="A2084" s="37" t="s">
        <v>0</v>
      </c>
      <c r="B2084" s="55">
        <v>44932.573321759257</v>
      </c>
      <c r="C2084" s="38">
        <v>50400</v>
      </c>
    </row>
    <row r="2085" spans="1:3" x14ac:dyDescent="0.3">
      <c r="A2085" s="37" t="s">
        <v>0</v>
      </c>
      <c r="B2085" s="55">
        <v>44930.064155092587</v>
      </c>
      <c r="C2085" s="38">
        <v>350000</v>
      </c>
    </row>
    <row r="2086" spans="1:3" x14ac:dyDescent="0.3">
      <c r="A2086" s="37" t="s">
        <v>0</v>
      </c>
      <c r="B2086" s="55">
        <v>44946.682719907411</v>
      </c>
      <c r="C2086" s="38"/>
    </row>
    <row r="2087" spans="1:3" x14ac:dyDescent="0.3">
      <c r="A2087" s="37" t="s">
        <v>0</v>
      </c>
      <c r="B2087" s="55">
        <v>44944.45076388889</v>
      </c>
      <c r="C2087" s="38">
        <v>135000</v>
      </c>
    </row>
    <row r="2088" spans="1:3" x14ac:dyDescent="0.3">
      <c r="A2088" s="37" t="s">
        <v>0</v>
      </c>
      <c r="B2088" s="55">
        <v>44944.837175925917</v>
      </c>
      <c r="C2088" s="38"/>
    </row>
    <row r="2089" spans="1:3" x14ac:dyDescent="0.3">
      <c r="A2089" s="37" t="s">
        <v>0</v>
      </c>
      <c r="B2089" s="55">
        <v>44937.253564814811</v>
      </c>
      <c r="C2089" s="38">
        <v>209955.5</v>
      </c>
    </row>
    <row r="2090" spans="1:3" x14ac:dyDescent="0.3">
      <c r="A2090" s="37" t="s">
        <v>0</v>
      </c>
      <c r="B2090" s="55">
        <v>44952.535821759258</v>
      </c>
      <c r="C2090" s="38">
        <v>67500</v>
      </c>
    </row>
    <row r="2091" spans="1:3" x14ac:dyDescent="0.3">
      <c r="A2091" s="37" t="s">
        <v>0</v>
      </c>
      <c r="B2091" s="55">
        <v>44948.015590277777</v>
      </c>
      <c r="C2091" s="38"/>
    </row>
    <row r="2092" spans="1:3" x14ac:dyDescent="0.3">
      <c r="A2092" s="37" t="s">
        <v>0</v>
      </c>
      <c r="B2092" s="55">
        <v>44934.293043981481</v>
      </c>
      <c r="C2092" s="38">
        <v>115000</v>
      </c>
    </row>
    <row r="2093" spans="1:3" x14ac:dyDescent="0.3">
      <c r="A2093" s="37" t="s">
        <v>0</v>
      </c>
      <c r="B2093" s="55">
        <v>44948.265601851846</v>
      </c>
      <c r="C2093" s="38">
        <v>136950</v>
      </c>
    </row>
    <row r="2094" spans="1:3" x14ac:dyDescent="0.3">
      <c r="A2094" s="37" t="s">
        <v>0</v>
      </c>
      <c r="B2094" s="55">
        <v>44929.982627314806</v>
      </c>
      <c r="C2094" s="38"/>
    </row>
    <row r="2095" spans="1:3" x14ac:dyDescent="0.3">
      <c r="A2095" s="37" t="s">
        <v>0</v>
      </c>
      <c r="B2095" s="55">
        <v>44950.961886574078</v>
      </c>
      <c r="C2095" s="38">
        <v>138000</v>
      </c>
    </row>
    <row r="2096" spans="1:3" x14ac:dyDescent="0.3">
      <c r="A2096" s="37" t="s">
        <v>0</v>
      </c>
      <c r="B2096" s="55">
        <v>44930.00576388889</v>
      </c>
      <c r="C2096" s="38">
        <v>140000</v>
      </c>
    </row>
    <row r="2097" spans="1:3" x14ac:dyDescent="0.3">
      <c r="A2097" s="37" t="s">
        <v>0</v>
      </c>
      <c r="B2097" s="55">
        <v>44932.98777777778</v>
      </c>
      <c r="C2097" s="38">
        <v>109500</v>
      </c>
    </row>
    <row r="2098" spans="1:3" x14ac:dyDescent="0.3">
      <c r="A2098" s="37" t="s">
        <v>0</v>
      </c>
      <c r="B2098" s="55">
        <v>44949.12841435185</v>
      </c>
      <c r="C2098" s="38"/>
    </row>
    <row r="2099" spans="1:3" x14ac:dyDescent="0.3">
      <c r="A2099" s="37" t="s">
        <v>0</v>
      </c>
      <c r="B2099" s="55">
        <v>44932.7112037037</v>
      </c>
      <c r="C2099" s="38">
        <v>185000</v>
      </c>
    </row>
    <row r="2100" spans="1:3" x14ac:dyDescent="0.3">
      <c r="A2100" s="37" t="s">
        <v>0</v>
      </c>
      <c r="B2100" s="55">
        <v>44948.004918981482</v>
      </c>
      <c r="C2100" s="38">
        <v>155000</v>
      </c>
    </row>
    <row r="2101" spans="1:3" x14ac:dyDescent="0.3">
      <c r="A2101" s="37" t="s">
        <v>0</v>
      </c>
      <c r="B2101" s="55">
        <v>44938.672500000001</v>
      </c>
      <c r="C2101" s="38"/>
    </row>
    <row r="2102" spans="1:3" x14ac:dyDescent="0.3">
      <c r="A2102" s="37" t="s">
        <v>0</v>
      </c>
      <c r="B2102" s="55">
        <v>44954.55296296296</v>
      </c>
      <c r="C2102" s="38">
        <v>115000</v>
      </c>
    </row>
    <row r="2103" spans="1:3" x14ac:dyDescent="0.3">
      <c r="A2103" s="37" t="s">
        <v>0</v>
      </c>
      <c r="B2103" s="55">
        <v>44944.949652777781</v>
      </c>
      <c r="C2103" s="38">
        <v>129326</v>
      </c>
    </row>
    <row r="2104" spans="1:3" x14ac:dyDescent="0.3">
      <c r="A2104" s="37" t="s">
        <v>0</v>
      </c>
      <c r="B2104" s="55">
        <v>44936.170127314806</v>
      </c>
      <c r="C2104" s="38">
        <v>107789.5</v>
      </c>
    </row>
    <row r="2105" spans="1:3" x14ac:dyDescent="0.3">
      <c r="A2105" s="37" t="s">
        <v>0</v>
      </c>
      <c r="B2105" s="55">
        <v>44932.711342592593</v>
      </c>
      <c r="C2105" s="38"/>
    </row>
    <row r="2106" spans="1:3" x14ac:dyDescent="0.3">
      <c r="A2106" s="37" t="s">
        <v>0</v>
      </c>
      <c r="B2106" s="55">
        <v>44938.629131944443</v>
      </c>
      <c r="C2106" s="38"/>
    </row>
    <row r="2107" spans="1:3" x14ac:dyDescent="0.3">
      <c r="A2107" s="37" t="s">
        <v>0</v>
      </c>
      <c r="B2107" s="55">
        <v>44954.005555555559</v>
      </c>
      <c r="C2107" s="38"/>
    </row>
    <row r="2108" spans="1:3" x14ac:dyDescent="0.3">
      <c r="A2108" s="37" t="s">
        <v>0</v>
      </c>
      <c r="B2108" s="55">
        <v>44936.889756944453</v>
      </c>
      <c r="C2108" s="38">
        <v>115000</v>
      </c>
    </row>
    <row r="2109" spans="1:3" x14ac:dyDescent="0.3">
      <c r="A2109" s="37" t="s">
        <v>0</v>
      </c>
      <c r="B2109" s="55">
        <v>44935.794872685183</v>
      </c>
      <c r="C2109" s="38"/>
    </row>
    <row r="2110" spans="1:3" x14ac:dyDescent="0.3">
      <c r="A2110" s="37" t="s">
        <v>0</v>
      </c>
      <c r="B2110" s="55">
        <v>44950.992106481477</v>
      </c>
      <c r="C2110" s="38">
        <v>64821.5</v>
      </c>
    </row>
    <row r="2111" spans="1:3" x14ac:dyDescent="0.3">
      <c r="A2111" s="37" t="s">
        <v>0</v>
      </c>
      <c r="B2111" s="55">
        <v>44928.627013888887</v>
      </c>
      <c r="C2111" s="38">
        <v>161955.5</v>
      </c>
    </row>
    <row r="2112" spans="1:3" x14ac:dyDescent="0.3">
      <c r="A2112" s="37" t="s">
        <v>0</v>
      </c>
      <c r="B2112" s="55">
        <v>44945.004884259259</v>
      </c>
      <c r="C2112" s="38">
        <v>117500</v>
      </c>
    </row>
    <row r="2113" spans="1:3" x14ac:dyDescent="0.3">
      <c r="A2113" s="37" t="s">
        <v>0</v>
      </c>
      <c r="B2113" s="55">
        <v>44951.908101851863</v>
      </c>
      <c r="C2113" s="38">
        <v>157500</v>
      </c>
    </row>
    <row r="2114" spans="1:3" x14ac:dyDescent="0.3">
      <c r="A2114" s="37" t="s">
        <v>0</v>
      </c>
      <c r="B2114" s="55">
        <v>44933.169456018521</v>
      </c>
      <c r="C2114" s="38">
        <v>200000</v>
      </c>
    </row>
    <row r="2115" spans="1:3" x14ac:dyDescent="0.3">
      <c r="A2115" s="37" t="s">
        <v>0</v>
      </c>
      <c r="B2115" s="55">
        <v>44927.253275462957</v>
      </c>
      <c r="C2115" s="38">
        <v>202500</v>
      </c>
    </row>
    <row r="2116" spans="1:3" x14ac:dyDescent="0.3">
      <c r="A2116" s="37" t="s">
        <v>0</v>
      </c>
      <c r="B2116" s="55">
        <v>44935.836516203701</v>
      </c>
      <c r="C2116" s="38">
        <v>94000</v>
      </c>
    </row>
    <row r="2117" spans="1:3" x14ac:dyDescent="0.3">
      <c r="A2117" s="37" t="s">
        <v>0</v>
      </c>
      <c r="B2117" s="55">
        <v>44940.508437500001</v>
      </c>
      <c r="C2117" s="38">
        <v>157500</v>
      </c>
    </row>
    <row r="2118" spans="1:3" x14ac:dyDescent="0.3">
      <c r="A2118" s="37" t="s">
        <v>0</v>
      </c>
      <c r="B2118" s="55">
        <v>44945.847129629627</v>
      </c>
      <c r="C2118" s="38">
        <v>182500</v>
      </c>
    </row>
    <row r="2119" spans="1:3" x14ac:dyDescent="0.3">
      <c r="A2119" s="37" t="s">
        <v>0</v>
      </c>
      <c r="B2119" s="55">
        <v>44949.840752314813</v>
      </c>
      <c r="C2119" s="38">
        <v>147500</v>
      </c>
    </row>
    <row r="2120" spans="1:3" x14ac:dyDescent="0.3">
      <c r="A2120" s="37" t="s">
        <v>0</v>
      </c>
      <c r="B2120" s="55">
        <v>44956.003067129634</v>
      </c>
      <c r="C2120" s="38">
        <v>105130</v>
      </c>
    </row>
    <row r="2121" spans="1:3" x14ac:dyDescent="0.3">
      <c r="A2121" s="37" t="s">
        <v>0</v>
      </c>
      <c r="B2121" s="55">
        <v>44940.336296296293</v>
      </c>
      <c r="C2121" s="38">
        <v>110000</v>
      </c>
    </row>
    <row r="2122" spans="1:3" x14ac:dyDescent="0.3">
      <c r="A2122" s="37" t="s">
        <v>0</v>
      </c>
      <c r="B2122" s="55">
        <v>44951.919768518521</v>
      </c>
      <c r="C2122" s="38">
        <v>190000</v>
      </c>
    </row>
    <row r="2123" spans="1:3" x14ac:dyDescent="0.3">
      <c r="A2123" s="37" t="s">
        <v>0</v>
      </c>
      <c r="B2123" s="55">
        <v>44951.670729166668</v>
      </c>
      <c r="C2123" s="38"/>
    </row>
    <row r="2124" spans="1:3" x14ac:dyDescent="0.3">
      <c r="A2124" s="37" t="s">
        <v>0</v>
      </c>
      <c r="B2124" s="55">
        <v>44951.004687499997</v>
      </c>
      <c r="C2124" s="38">
        <v>136656</v>
      </c>
    </row>
    <row r="2125" spans="1:3" x14ac:dyDescent="0.3">
      <c r="A2125" s="37" t="s">
        <v>0</v>
      </c>
      <c r="B2125" s="55">
        <v>44937.628078703703</v>
      </c>
      <c r="C2125" s="38">
        <v>195000</v>
      </c>
    </row>
    <row r="2126" spans="1:3" x14ac:dyDescent="0.3">
      <c r="A2126" s="37" t="s">
        <v>0</v>
      </c>
      <c r="B2126" s="55">
        <v>44947.464108796303</v>
      </c>
      <c r="C2126" s="38">
        <v>150000</v>
      </c>
    </row>
    <row r="2127" spans="1:3" x14ac:dyDescent="0.3">
      <c r="A2127" s="37" t="s">
        <v>0</v>
      </c>
      <c r="B2127" s="55">
        <v>44928.393599537027</v>
      </c>
      <c r="C2127" s="38">
        <v>192000</v>
      </c>
    </row>
    <row r="2128" spans="1:3" x14ac:dyDescent="0.3">
      <c r="A2128" s="37" t="s">
        <v>0</v>
      </c>
      <c r="B2128" s="55">
        <v>44934.376782407409</v>
      </c>
      <c r="C2128" s="38">
        <v>190877</v>
      </c>
    </row>
    <row r="2129" spans="1:3" x14ac:dyDescent="0.3">
      <c r="A2129" s="37" t="s">
        <v>0</v>
      </c>
      <c r="B2129" s="55">
        <v>44943.628217592603</v>
      </c>
      <c r="C2129" s="38">
        <v>151500</v>
      </c>
    </row>
    <row r="2130" spans="1:3" x14ac:dyDescent="0.3">
      <c r="A2130" s="37" t="s">
        <v>0</v>
      </c>
      <c r="B2130" s="55">
        <v>44937.754270833328</v>
      </c>
      <c r="C2130" s="38">
        <v>61022</v>
      </c>
    </row>
    <row r="2131" spans="1:3" x14ac:dyDescent="0.3">
      <c r="A2131" s="37" t="s">
        <v>0</v>
      </c>
      <c r="B2131" s="55">
        <v>44929.98101851852</v>
      </c>
      <c r="C2131" s="38"/>
    </row>
    <row r="2132" spans="1:3" x14ac:dyDescent="0.3">
      <c r="A2132" s="37" t="s">
        <v>0</v>
      </c>
      <c r="B2132" s="55">
        <v>44951.000173611108</v>
      </c>
      <c r="C2132" s="38"/>
    </row>
    <row r="2133" spans="1:3" x14ac:dyDescent="0.3">
      <c r="A2133" s="37" t="s">
        <v>0</v>
      </c>
      <c r="B2133" s="55">
        <v>44929.267650462964</v>
      </c>
      <c r="C2133" s="38">
        <v>157500</v>
      </c>
    </row>
    <row r="2134" spans="1:3" x14ac:dyDescent="0.3">
      <c r="A2134" s="37" t="s">
        <v>0</v>
      </c>
      <c r="B2134" s="55">
        <v>44929.981111111112</v>
      </c>
      <c r="C2134" s="38"/>
    </row>
    <row r="2135" spans="1:3" x14ac:dyDescent="0.3">
      <c r="A2135" s="37" t="s">
        <v>0</v>
      </c>
      <c r="B2135" s="55">
        <v>44956.586504629631</v>
      </c>
      <c r="C2135" s="38">
        <v>145000</v>
      </c>
    </row>
    <row r="2136" spans="1:3" x14ac:dyDescent="0.3">
      <c r="A2136" s="37" t="s">
        <v>0</v>
      </c>
      <c r="B2136" s="55">
        <v>44944.252627314818</v>
      </c>
      <c r="C2136" s="38">
        <v>115000</v>
      </c>
    </row>
    <row r="2137" spans="1:3" x14ac:dyDescent="0.3">
      <c r="A2137" s="37" t="s">
        <v>0</v>
      </c>
      <c r="B2137" s="55">
        <v>44948.004918981482</v>
      </c>
      <c r="C2137" s="38">
        <v>190600</v>
      </c>
    </row>
    <row r="2138" spans="1:3" x14ac:dyDescent="0.3">
      <c r="A2138" s="37" t="s">
        <v>0</v>
      </c>
      <c r="B2138" s="55">
        <v>44953.333831018521</v>
      </c>
      <c r="C2138" s="38">
        <v>192000</v>
      </c>
    </row>
    <row r="2139" spans="1:3" x14ac:dyDescent="0.3">
      <c r="A2139" s="37" t="s">
        <v>0</v>
      </c>
      <c r="B2139" s="55">
        <v>44929.981087962973</v>
      </c>
      <c r="C2139" s="38"/>
    </row>
    <row r="2140" spans="1:3" x14ac:dyDescent="0.3">
      <c r="A2140" s="37" t="s">
        <v>0</v>
      </c>
      <c r="B2140" s="55">
        <v>44944.169224537043</v>
      </c>
      <c r="C2140" s="38"/>
    </row>
    <row r="2141" spans="1:3" x14ac:dyDescent="0.3">
      <c r="A2141" s="37" t="s">
        <v>0</v>
      </c>
      <c r="B2141" s="55">
        <v>44955.343842592592</v>
      </c>
      <c r="C2141" s="38">
        <v>152625</v>
      </c>
    </row>
    <row r="2142" spans="1:3" x14ac:dyDescent="0.3">
      <c r="A2142" s="37" t="s">
        <v>0</v>
      </c>
      <c r="B2142" s="55">
        <v>44950.919733796298</v>
      </c>
      <c r="C2142" s="38">
        <v>118500</v>
      </c>
    </row>
    <row r="2143" spans="1:3" x14ac:dyDescent="0.3">
      <c r="A2143" s="37" t="s">
        <v>0</v>
      </c>
      <c r="B2143" s="55">
        <v>44950.018773148149</v>
      </c>
      <c r="C2143" s="38">
        <v>95326</v>
      </c>
    </row>
    <row r="2144" spans="1:3" x14ac:dyDescent="0.3">
      <c r="A2144" s="37" t="s">
        <v>0</v>
      </c>
      <c r="B2144" s="55">
        <v>44935.961145833331</v>
      </c>
      <c r="C2144" s="38">
        <v>147500</v>
      </c>
    </row>
    <row r="2145" spans="1:3" x14ac:dyDescent="0.3">
      <c r="A2145" s="37" t="s">
        <v>0</v>
      </c>
      <c r="B2145" s="55">
        <v>44951.752418981479</v>
      </c>
      <c r="C2145" s="38">
        <v>107800</v>
      </c>
    </row>
    <row r="2146" spans="1:3" x14ac:dyDescent="0.3">
      <c r="A2146" s="37" t="s">
        <v>0</v>
      </c>
      <c r="B2146" s="55">
        <v>44939.295324074083</v>
      </c>
      <c r="C2146" s="38">
        <v>90000</v>
      </c>
    </row>
    <row r="2147" spans="1:3" x14ac:dyDescent="0.3">
      <c r="A2147" s="37" t="s">
        <v>0</v>
      </c>
      <c r="B2147" s="55">
        <v>44957.336817129632</v>
      </c>
      <c r="C2147" s="38">
        <v>150000</v>
      </c>
    </row>
    <row r="2148" spans="1:3" x14ac:dyDescent="0.3">
      <c r="A2148" s="37" t="s">
        <v>0</v>
      </c>
      <c r="B2148" s="55">
        <v>44931.7109375</v>
      </c>
      <c r="C2148" s="38">
        <v>114500</v>
      </c>
    </row>
    <row r="2149" spans="1:3" x14ac:dyDescent="0.3">
      <c r="A2149" s="37" t="s">
        <v>0</v>
      </c>
      <c r="B2149" s="55">
        <v>44938.086284722223</v>
      </c>
      <c r="C2149" s="38">
        <v>126650</v>
      </c>
    </row>
    <row r="2150" spans="1:3" x14ac:dyDescent="0.3">
      <c r="A2150" s="37" t="s">
        <v>0</v>
      </c>
      <c r="B2150" s="55">
        <v>44951.544768518521</v>
      </c>
      <c r="C2150" s="38">
        <v>157500</v>
      </c>
    </row>
    <row r="2151" spans="1:3" x14ac:dyDescent="0.3">
      <c r="A2151" s="37" t="s">
        <v>0</v>
      </c>
      <c r="B2151" s="55">
        <v>44957.507071759261</v>
      </c>
      <c r="C2151" s="38">
        <v>93600</v>
      </c>
    </row>
    <row r="2152" spans="1:3" x14ac:dyDescent="0.3">
      <c r="A2152" s="37" t="s">
        <v>0</v>
      </c>
      <c r="B2152" s="55">
        <v>44957.7112037037</v>
      </c>
      <c r="C2152" s="38"/>
    </row>
    <row r="2153" spans="1:3" x14ac:dyDescent="0.3">
      <c r="A2153" s="37" t="s">
        <v>0</v>
      </c>
      <c r="B2153" s="55">
        <v>44938.680671296293</v>
      </c>
      <c r="C2153" s="38">
        <v>78300</v>
      </c>
    </row>
    <row r="2154" spans="1:3" x14ac:dyDescent="0.3">
      <c r="A2154" s="37" t="s">
        <v>0</v>
      </c>
      <c r="B2154" s="55">
        <v>44953.462337962963</v>
      </c>
      <c r="C2154" s="38"/>
    </row>
    <row r="2155" spans="1:3" x14ac:dyDescent="0.3">
      <c r="A2155" s="37" t="s">
        <v>0</v>
      </c>
      <c r="B2155" s="55">
        <v>44952.296226851853</v>
      </c>
      <c r="C2155" s="38">
        <v>99150</v>
      </c>
    </row>
    <row r="2156" spans="1:3" x14ac:dyDescent="0.3">
      <c r="A2156" s="37" t="s">
        <v>0</v>
      </c>
      <c r="B2156" s="55">
        <v>44930.753622685188</v>
      </c>
      <c r="C2156" s="38">
        <v>157500</v>
      </c>
    </row>
    <row r="2157" spans="1:3" x14ac:dyDescent="0.3">
      <c r="A2157" s="37" t="s">
        <v>0</v>
      </c>
      <c r="B2157" s="55">
        <v>44936.085752314822</v>
      </c>
      <c r="C2157" s="38"/>
    </row>
    <row r="2158" spans="1:3" x14ac:dyDescent="0.3">
      <c r="A2158" s="37" t="s">
        <v>0</v>
      </c>
      <c r="B2158" s="55">
        <v>44957.960601851853</v>
      </c>
      <c r="C2158" s="38"/>
    </row>
    <row r="2159" spans="1:3" x14ac:dyDescent="0.3">
      <c r="A2159" s="37" t="s">
        <v>0</v>
      </c>
      <c r="B2159" s="55">
        <v>44938.761087962957</v>
      </c>
      <c r="C2159" s="38">
        <v>72900</v>
      </c>
    </row>
    <row r="2160" spans="1:3" x14ac:dyDescent="0.3">
      <c r="A2160" s="37" t="s">
        <v>0</v>
      </c>
      <c r="B2160" s="55">
        <v>44933.003657407397</v>
      </c>
      <c r="C2160" s="38">
        <v>92470</v>
      </c>
    </row>
    <row r="2161" spans="1:3" x14ac:dyDescent="0.3">
      <c r="A2161" s="37" t="s">
        <v>0</v>
      </c>
      <c r="B2161" s="55">
        <v>44941.710335648153</v>
      </c>
      <c r="C2161" s="38">
        <v>150500</v>
      </c>
    </row>
    <row r="2162" spans="1:3" x14ac:dyDescent="0.3">
      <c r="A2162" s="37" t="s">
        <v>0</v>
      </c>
      <c r="B2162" s="55">
        <v>44955.75403935185</v>
      </c>
      <c r="C2162" s="38">
        <v>110000</v>
      </c>
    </row>
    <row r="2163" spans="1:3" x14ac:dyDescent="0.3">
      <c r="A2163" s="37" t="s">
        <v>0</v>
      </c>
      <c r="B2163" s="55">
        <v>44951.830509259264</v>
      </c>
      <c r="C2163" s="38">
        <v>100000</v>
      </c>
    </row>
    <row r="2164" spans="1:3" x14ac:dyDescent="0.3">
      <c r="A2164" s="37" t="s">
        <v>0</v>
      </c>
      <c r="B2164" s="55">
        <v>44937.253587962958</v>
      </c>
      <c r="C2164" s="38">
        <v>158857.5</v>
      </c>
    </row>
    <row r="2165" spans="1:3" x14ac:dyDescent="0.3">
      <c r="A2165" s="37" t="s">
        <v>0</v>
      </c>
      <c r="B2165" s="55">
        <v>44937.071064814823</v>
      </c>
      <c r="C2165" s="38">
        <v>157500</v>
      </c>
    </row>
    <row r="2166" spans="1:3" x14ac:dyDescent="0.3">
      <c r="A2166" s="37" t="s">
        <v>0</v>
      </c>
      <c r="B2166" s="55">
        <v>44931.829861111109</v>
      </c>
      <c r="C2166" s="38">
        <v>105000</v>
      </c>
    </row>
    <row r="2167" spans="1:3" x14ac:dyDescent="0.3">
      <c r="A2167" s="37" t="s">
        <v>0</v>
      </c>
      <c r="B2167" s="55">
        <v>44947.506666666668</v>
      </c>
      <c r="C2167" s="38">
        <v>88393.5</v>
      </c>
    </row>
    <row r="2168" spans="1:3" x14ac:dyDescent="0.3">
      <c r="A2168" s="37" t="s">
        <v>0</v>
      </c>
      <c r="B2168" s="55">
        <v>44947.589212962957</v>
      </c>
      <c r="C2168" s="38">
        <v>250000</v>
      </c>
    </row>
    <row r="2169" spans="1:3" x14ac:dyDescent="0.3">
      <c r="A2169" s="37" t="s">
        <v>0</v>
      </c>
      <c r="B2169" s="55">
        <v>44936.805243055547</v>
      </c>
      <c r="C2169" s="38">
        <v>172500</v>
      </c>
    </row>
    <row r="2170" spans="1:3" x14ac:dyDescent="0.3">
      <c r="A2170" s="37" t="s">
        <v>0</v>
      </c>
      <c r="B2170" s="55">
        <v>44929.982905092591</v>
      </c>
      <c r="C2170" s="38"/>
    </row>
    <row r="2171" spans="1:3" x14ac:dyDescent="0.3">
      <c r="A2171" s="37" t="s">
        <v>0</v>
      </c>
      <c r="B2171" s="55">
        <v>44929.982175925928</v>
      </c>
      <c r="C2171" s="38"/>
    </row>
    <row r="2172" spans="1:3" x14ac:dyDescent="0.3">
      <c r="A2172" s="37" t="s">
        <v>0</v>
      </c>
      <c r="B2172" s="55">
        <v>44949.460613425923</v>
      </c>
      <c r="C2172" s="38">
        <v>131867</v>
      </c>
    </row>
    <row r="2173" spans="1:3" x14ac:dyDescent="0.3">
      <c r="A2173" s="37" t="s">
        <v>0</v>
      </c>
      <c r="B2173" s="55">
        <v>44935.878495370373</v>
      </c>
      <c r="C2173" s="38"/>
    </row>
    <row r="2174" spans="1:3" x14ac:dyDescent="0.3">
      <c r="A2174" s="37" t="s">
        <v>0</v>
      </c>
      <c r="B2174" s="55">
        <v>44954.677731481483</v>
      </c>
      <c r="C2174" s="38">
        <v>182000</v>
      </c>
    </row>
    <row r="2175" spans="1:3" x14ac:dyDescent="0.3">
      <c r="A2175" s="37" t="s">
        <v>0</v>
      </c>
      <c r="B2175" s="55">
        <v>44952.301192129627</v>
      </c>
      <c r="C2175" s="38">
        <v>157500</v>
      </c>
    </row>
    <row r="2176" spans="1:3" x14ac:dyDescent="0.3">
      <c r="A2176" s="37" t="s">
        <v>0</v>
      </c>
      <c r="B2176" s="55">
        <v>44951.25409722222</v>
      </c>
      <c r="C2176" s="38">
        <v>80850</v>
      </c>
    </row>
    <row r="2177" spans="1:3" x14ac:dyDescent="0.3">
      <c r="A2177" s="37" t="s">
        <v>0</v>
      </c>
      <c r="B2177" s="55">
        <v>44954.170208333337</v>
      </c>
      <c r="C2177" s="38">
        <v>150000</v>
      </c>
    </row>
    <row r="2178" spans="1:3" x14ac:dyDescent="0.3">
      <c r="A2178" s="37" t="s">
        <v>0</v>
      </c>
      <c r="B2178" s="55">
        <v>44935.585844907408</v>
      </c>
      <c r="C2178" s="38">
        <v>157500</v>
      </c>
    </row>
    <row r="2179" spans="1:3" x14ac:dyDescent="0.3">
      <c r="A2179" s="37" t="s">
        <v>0</v>
      </c>
      <c r="B2179" s="55">
        <v>44929.857604166667</v>
      </c>
      <c r="C2179" s="38">
        <v>120000</v>
      </c>
    </row>
    <row r="2180" spans="1:3" x14ac:dyDescent="0.3">
      <c r="A2180" s="37" t="s">
        <v>0</v>
      </c>
      <c r="B2180" s="55">
        <v>44946.97314814815</v>
      </c>
      <c r="C2180" s="38"/>
    </row>
    <row r="2181" spans="1:3" x14ac:dyDescent="0.3">
      <c r="A2181" s="37" t="s">
        <v>0</v>
      </c>
      <c r="B2181" s="55">
        <v>44940.544479166667</v>
      </c>
      <c r="C2181" s="38">
        <v>145000</v>
      </c>
    </row>
    <row r="2182" spans="1:3" x14ac:dyDescent="0.3">
      <c r="A2182" s="37" t="s">
        <v>0</v>
      </c>
      <c r="B2182" s="55">
        <v>44928.9921875</v>
      </c>
      <c r="C2182" s="38"/>
    </row>
    <row r="2183" spans="1:3" x14ac:dyDescent="0.3">
      <c r="A2183" s="37" t="s">
        <v>0</v>
      </c>
      <c r="B2183" s="55">
        <v>44942.638333333343</v>
      </c>
      <c r="C2183" s="38"/>
    </row>
    <row r="2184" spans="1:3" x14ac:dyDescent="0.3">
      <c r="A2184" s="37" t="s">
        <v>0</v>
      </c>
      <c r="B2184" s="55">
        <v>44939.920949074083</v>
      </c>
      <c r="C2184" s="38"/>
    </row>
    <row r="2185" spans="1:3" x14ac:dyDescent="0.3">
      <c r="A2185" s="37" t="s">
        <v>0</v>
      </c>
      <c r="B2185" s="55">
        <v>44950.343923611108</v>
      </c>
      <c r="C2185" s="38">
        <v>56700</v>
      </c>
    </row>
    <row r="2186" spans="1:3" x14ac:dyDescent="0.3">
      <c r="A2186" s="37" t="s">
        <v>0</v>
      </c>
      <c r="B2186" s="55">
        <v>44948.265555555547</v>
      </c>
      <c r="C2186" s="38">
        <v>160000</v>
      </c>
    </row>
    <row r="2187" spans="1:3" x14ac:dyDescent="0.3">
      <c r="A2187" s="37" t="s">
        <v>0</v>
      </c>
      <c r="B2187" s="55">
        <v>44931.066550925927</v>
      </c>
      <c r="C2187" s="38">
        <v>157500</v>
      </c>
    </row>
    <row r="2188" spans="1:3" x14ac:dyDescent="0.3">
      <c r="A2188" s="37" t="s">
        <v>0</v>
      </c>
      <c r="B2188" s="55">
        <v>44932.169953703713</v>
      </c>
      <c r="C2188" s="38">
        <v>150000</v>
      </c>
    </row>
    <row r="2189" spans="1:3" x14ac:dyDescent="0.3">
      <c r="A2189" s="37" t="s">
        <v>0</v>
      </c>
      <c r="B2189" s="55">
        <v>44950.294710648152</v>
      </c>
      <c r="C2189" s="38">
        <v>135720</v>
      </c>
    </row>
    <row r="2190" spans="1:3" x14ac:dyDescent="0.3">
      <c r="A2190" s="37" t="s">
        <v>0</v>
      </c>
      <c r="B2190" s="55">
        <v>44929.981145833342</v>
      </c>
      <c r="C2190" s="38"/>
    </row>
    <row r="2191" spans="1:3" x14ac:dyDescent="0.3">
      <c r="A2191" s="37" t="s">
        <v>0</v>
      </c>
      <c r="B2191" s="55">
        <v>44938.944201388891</v>
      </c>
      <c r="C2191" s="38">
        <v>205000</v>
      </c>
    </row>
    <row r="2192" spans="1:3" x14ac:dyDescent="0.3">
      <c r="A2192" s="37" t="s">
        <v>0</v>
      </c>
      <c r="B2192" s="55">
        <v>44929.982893518521</v>
      </c>
      <c r="C2192" s="38"/>
    </row>
    <row r="2193" spans="1:3" x14ac:dyDescent="0.3">
      <c r="A2193" s="37" t="s">
        <v>0</v>
      </c>
      <c r="B2193" s="55">
        <v>44953.836377314823</v>
      </c>
      <c r="C2193" s="38"/>
    </row>
    <row r="2194" spans="1:3" x14ac:dyDescent="0.3">
      <c r="A2194" s="37" t="s">
        <v>0</v>
      </c>
      <c r="B2194" s="55">
        <v>44944.961655092593</v>
      </c>
      <c r="C2194" s="38"/>
    </row>
    <row r="2195" spans="1:3" x14ac:dyDescent="0.3">
      <c r="A2195" s="37" t="s">
        <v>0</v>
      </c>
      <c r="B2195" s="55">
        <v>44931.996412037042</v>
      </c>
      <c r="C2195" s="38">
        <v>171430</v>
      </c>
    </row>
    <row r="2196" spans="1:3" x14ac:dyDescent="0.3">
      <c r="A2196" s="37" t="s">
        <v>0</v>
      </c>
      <c r="B2196" s="55">
        <v>44931.877557870372</v>
      </c>
      <c r="C2196" s="38">
        <v>126650</v>
      </c>
    </row>
    <row r="2197" spans="1:3" x14ac:dyDescent="0.3">
      <c r="A2197" s="37" t="s">
        <v>0</v>
      </c>
      <c r="B2197" s="55">
        <v>44935.794965277782</v>
      </c>
      <c r="C2197" s="38">
        <v>157500</v>
      </c>
    </row>
    <row r="2198" spans="1:3" x14ac:dyDescent="0.3">
      <c r="A2198" s="37" t="s">
        <v>0</v>
      </c>
      <c r="B2198" s="55">
        <v>44957.606168981481</v>
      </c>
      <c r="C2198" s="38"/>
    </row>
    <row r="2199" spans="1:3" x14ac:dyDescent="0.3">
      <c r="A2199" s="37" t="s">
        <v>0</v>
      </c>
      <c r="B2199" s="55">
        <v>44936.930335648147</v>
      </c>
      <c r="C2199" s="38">
        <v>105000</v>
      </c>
    </row>
    <row r="2200" spans="1:3" x14ac:dyDescent="0.3">
      <c r="A2200" s="37" t="s">
        <v>0</v>
      </c>
      <c r="B2200" s="55">
        <v>44930.586550925917</v>
      </c>
      <c r="C2200" s="38">
        <v>120000.5</v>
      </c>
    </row>
    <row r="2201" spans="1:3" x14ac:dyDescent="0.3">
      <c r="A2201" s="37" t="s">
        <v>0</v>
      </c>
      <c r="B2201" s="55">
        <v>44949.961944444447</v>
      </c>
      <c r="C2201" s="38">
        <v>70000</v>
      </c>
    </row>
    <row r="2202" spans="1:3" x14ac:dyDescent="0.3">
      <c r="A2202" s="37" t="s">
        <v>0</v>
      </c>
      <c r="B2202" s="55">
        <v>44950.333356481482</v>
      </c>
      <c r="C2202" s="38"/>
    </row>
    <row r="2203" spans="1:3" x14ac:dyDescent="0.3">
      <c r="A2203" s="37" t="s">
        <v>0</v>
      </c>
      <c r="B2203" s="55">
        <v>44953.296261574083</v>
      </c>
      <c r="C2203" s="38"/>
    </row>
    <row r="2204" spans="1:3" x14ac:dyDescent="0.3">
      <c r="A2204" s="37" t="s">
        <v>0</v>
      </c>
      <c r="B2204" s="55">
        <v>44927.253194444442</v>
      </c>
      <c r="C2204" s="38">
        <v>125000</v>
      </c>
    </row>
    <row r="2205" spans="1:3" x14ac:dyDescent="0.3">
      <c r="A2205" s="37" t="s">
        <v>0</v>
      </c>
      <c r="B2205" s="55">
        <v>44940.377395833333</v>
      </c>
      <c r="C2205" s="38">
        <v>150000</v>
      </c>
    </row>
    <row r="2206" spans="1:3" x14ac:dyDescent="0.3">
      <c r="A2206" s="37" t="s">
        <v>0</v>
      </c>
      <c r="B2206" s="55">
        <v>44928.08666666667</v>
      </c>
      <c r="C2206" s="38">
        <v>210000</v>
      </c>
    </row>
    <row r="2207" spans="1:3" x14ac:dyDescent="0.3">
      <c r="A2207" s="37" t="s">
        <v>0</v>
      </c>
      <c r="B2207" s="55">
        <v>44942.389074074083</v>
      </c>
      <c r="C2207" s="38">
        <v>173550</v>
      </c>
    </row>
    <row r="2208" spans="1:3" x14ac:dyDescent="0.3">
      <c r="A2208" s="37" t="s">
        <v>0</v>
      </c>
      <c r="B2208" s="55">
        <v>44951.793136574073</v>
      </c>
      <c r="C2208" s="38">
        <v>130000</v>
      </c>
    </row>
    <row r="2209" spans="1:3" x14ac:dyDescent="0.3">
      <c r="A2209" s="37" t="s">
        <v>0</v>
      </c>
      <c r="B2209" s="55">
        <v>44949.503391203703</v>
      </c>
      <c r="C2209" s="38">
        <v>207500</v>
      </c>
    </row>
    <row r="2210" spans="1:3" x14ac:dyDescent="0.3">
      <c r="A2210" s="37" t="s">
        <v>0</v>
      </c>
      <c r="B2210" s="55">
        <v>44940.711956018517</v>
      </c>
      <c r="C2210" s="38">
        <v>110000</v>
      </c>
    </row>
    <row r="2211" spans="1:3" x14ac:dyDescent="0.3">
      <c r="A2211" s="37" t="s">
        <v>0</v>
      </c>
      <c r="B2211" s="55">
        <v>44944.667974537027</v>
      </c>
      <c r="C2211" s="38"/>
    </row>
    <row r="2212" spans="1:3" x14ac:dyDescent="0.3">
      <c r="A2212" s="37" t="s">
        <v>0</v>
      </c>
      <c r="B2212" s="55">
        <v>44932.127557870372</v>
      </c>
      <c r="C2212" s="38">
        <v>191000</v>
      </c>
    </row>
    <row r="2213" spans="1:3" x14ac:dyDescent="0.3">
      <c r="A2213" s="37" t="s">
        <v>0</v>
      </c>
      <c r="B2213" s="55">
        <v>44928.253807870373</v>
      </c>
      <c r="C2213" s="38"/>
    </row>
    <row r="2214" spans="1:3" x14ac:dyDescent="0.3">
      <c r="A2214" s="37" t="s">
        <v>0</v>
      </c>
      <c r="B2214" s="55">
        <v>44933.668032407397</v>
      </c>
      <c r="C2214" s="38">
        <v>157000</v>
      </c>
    </row>
    <row r="2215" spans="1:3" x14ac:dyDescent="0.3">
      <c r="A2215" s="37" t="s">
        <v>0</v>
      </c>
      <c r="B2215" s="55">
        <v>44956.471736111111</v>
      </c>
      <c r="C2215" s="38">
        <v>157500</v>
      </c>
    </row>
    <row r="2216" spans="1:3" x14ac:dyDescent="0.3">
      <c r="A2216" s="37" t="s">
        <v>0</v>
      </c>
      <c r="B2216" s="55">
        <v>44927.716990740737</v>
      </c>
      <c r="C2216" s="38">
        <v>129982</v>
      </c>
    </row>
    <row r="2217" spans="1:3" x14ac:dyDescent="0.3">
      <c r="A2217" s="37" t="s">
        <v>0</v>
      </c>
      <c r="B2217" s="55">
        <v>44936.668287037042</v>
      </c>
      <c r="C2217" s="38">
        <v>140000</v>
      </c>
    </row>
    <row r="2218" spans="1:3" x14ac:dyDescent="0.3">
      <c r="A2218" s="37" t="s">
        <v>0</v>
      </c>
      <c r="B2218" s="55">
        <v>44937.180636574078</v>
      </c>
      <c r="C2218" s="38">
        <v>150000</v>
      </c>
    </row>
    <row r="2219" spans="1:3" x14ac:dyDescent="0.3">
      <c r="A2219" s="37" t="s">
        <v>0</v>
      </c>
      <c r="B2219" s="55">
        <v>44945.828344907408</v>
      </c>
      <c r="C2219" s="38">
        <v>165000</v>
      </c>
    </row>
    <row r="2220" spans="1:3" x14ac:dyDescent="0.3">
      <c r="A2220" s="37" t="s">
        <v>0</v>
      </c>
      <c r="B2220" s="55">
        <v>44945.80572916667</v>
      </c>
      <c r="C2220" s="38">
        <v>122500</v>
      </c>
    </row>
    <row r="2221" spans="1:3" x14ac:dyDescent="0.3">
      <c r="A2221" s="37" t="s">
        <v>0</v>
      </c>
      <c r="B2221" s="55">
        <v>44932.960833333331</v>
      </c>
      <c r="C2221" s="38">
        <v>112500</v>
      </c>
    </row>
    <row r="2222" spans="1:3" x14ac:dyDescent="0.3">
      <c r="A2222" s="37" t="s">
        <v>0</v>
      </c>
      <c r="B2222" s="55">
        <v>44949.00340277778</v>
      </c>
      <c r="C2222" s="38"/>
    </row>
    <row r="2223" spans="1:3" x14ac:dyDescent="0.3">
      <c r="A2223" s="37" t="s">
        <v>0</v>
      </c>
      <c r="B2223" s="55">
        <v>44954.212395833332</v>
      </c>
      <c r="C2223" s="38">
        <v>190000</v>
      </c>
    </row>
    <row r="2224" spans="1:3" x14ac:dyDescent="0.3">
      <c r="A2224" s="37" t="s">
        <v>0</v>
      </c>
      <c r="B2224" s="55">
        <v>44938.003437500003</v>
      </c>
      <c r="C2224" s="38"/>
    </row>
    <row r="2225" spans="1:3" x14ac:dyDescent="0.3">
      <c r="A2225" s="37" t="s">
        <v>0</v>
      </c>
      <c r="B2225" s="55">
        <v>44950.504270833328</v>
      </c>
      <c r="C2225" s="38">
        <v>88393.5</v>
      </c>
    </row>
    <row r="2226" spans="1:3" x14ac:dyDescent="0.3">
      <c r="A2226" s="37" t="s">
        <v>0</v>
      </c>
      <c r="B2226" s="55">
        <v>44957.939479166656</v>
      </c>
      <c r="C2226" s="38">
        <v>110000</v>
      </c>
    </row>
    <row r="2227" spans="1:3" x14ac:dyDescent="0.3">
      <c r="A2227" s="37" t="s">
        <v>0</v>
      </c>
      <c r="B2227" s="55">
        <v>44932.62840277778</v>
      </c>
      <c r="C2227" s="38"/>
    </row>
    <row r="2228" spans="1:3" x14ac:dyDescent="0.3">
      <c r="A2228" s="37" t="s">
        <v>0</v>
      </c>
      <c r="B2228" s="55">
        <v>44931.585289351853</v>
      </c>
      <c r="C2228" s="38">
        <v>85132.5</v>
      </c>
    </row>
    <row r="2229" spans="1:3" x14ac:dyDescent="0.3">
      <c r="A2229" s="37" t="s">
        <v>0</v>
      </c>
      <c r="B2229" s="55">
        <v>44952.70239583333</v>
      </c>
      <c r="C2229" s="38">
        <v>142052</v>
      </c>
    </row>
    <row r="2230" spans="1:3" x14ac:dyDescent="0.3">
      <c r="A2230" s="37" t="s">
        <v>0</v>
      </c>
      <c r="B2230" s="55">
        <v>44949.705821759257</v>
      </c>
      <c r="C2230" s="38">
        <v>157500</v>
      </c>
    </row>
    <row r="2231" spans="1:3" x14ac:dyDescent="0.3">
      <c r="A2231" s="37" t="s">
        <v>0</v>
      </c>
      <c r="B2231" s="55">
        <v>44935.926134259258</v>
      </c>
      <c r="C2231" s="38">
        <v>64821.5</v>
      </c>
    </row>
    <row r="2232" spans="1:3" x14ac:dyDescent="0.3">
      <c r="A2232" s="37" t="s">
        <v>0</v>
      </c>
      <c r="B2232" s="55">
        <v>44951.711539351847</v>
      </c>
      <c r="C2232" s="38">
        <v>145000</v>
      </c>
    </row>
    <row r="2233" spans="1:3" x14ac:dyDescent="0.3">
      <c r="A2233" s="37" t="s">
        <v>0</v>
      </c>
      <c r="B2233" s="55">
        <v>44949.170370370368</v>
      </c>
      <c r="C2233" s="38"/>
    </row>
    <row r="2234" spans="1:3" x14ac:dyDescent="0.3">
      <c r="A2234" s="37" t="s">
        <v>0</v>
      </c>
      <c r="B2234" s="55">
        <v>44930.669479166667</v>
      </c>
      <c r="C2234" s="38"/>
    </row>
    <row r="2235" spans="1:3" x14ac:dyDescent="0.3">
      <c r="A2235" s="37" t="s">
        <v>0</v>
      </c>
      <c r="B2235" s="55">
        <v>44937.586168981477</v>
      </c>
      <c r="C2235" s="38">
        <v>195000</v>
      </c>
    </row>
    <row r="2236" spans="1:3" x14ac:dyDescent="0.3">
      <c r="A2236" s="37" t="s">
        <v>0</v>
      </c>
      <c r="B2236" s="55">
        <v>44938.682280092587</v>
      </c>
      <c r="C2236" s="38">
        <v>225000</v>
      </c>
    </row>
    <row r="2237" spans="1:3" x14ac:dyDescent="0.3">
      <c r="A2237" s="37" t="s">
        <v>0</v>
      </c>
      <c r="B2237" s="55">
        <v>44938.795208333337</v>
      </c>
      <c r="C2237" s="38">
        <v>120000</v>
      </c>
    </row>
    <row r="2238" spans="1:3" x14ac:dyDescent="0.3">
      <c r="A2238" s="37" t="s">
        <v>0</v>
      </c>
      <c r="B2238" s="55">
        <v>44957.752604166657</v>
      </c>
      <c r="C2238" s="38">
        <v>145000</v>
      </c>
    </row>
    <row r="2239" spans="1:3" x14ac:dyDescent="0.3">
      <c r="A2239" s="37" t="s">
        <v>0</v>
      </c>
      <c r="B2239" s="55">
        <v>44929.98159722222</v>
      </c>
      <c r="C2239" s="38"/>
    </row>
    <row r="2240" spans="1:3" x14ac:dyDescent="0.3">
      <c r="A2240" s="37" t="s">
        <v>0</v>
      </c>
      <c r="B2240" s="55">
        <v>44953.795173611114</v>
      </c>
      <c r="C2240" s="38"/>
    </row>
    <row r="2241" spans="1:3" x14ac:dyDescent="0.3">
      <c r="A2241" s="37" t="s">
        <v>0</v>
      </c>
      <c r="B2241" s="55">
        <v>44949.000937500001</v>
      </c>
      <c r="C2241" s="38"/>
    </row>
    <row r="2242" spans="1:3" x14ac:dyDescent="0.3">
      <c r="A2242" s="37" t="s">
        <v>0</v>
      </c>
      <c r="B2242" s="55">
        <v>44953.380636574067</v>
      </c>
      <c r="C2242" s="38">
        <v>90000</v>
      </c>
    </row>
    <row r="2243" spans="1:3" x14ac:dyDescent="0.3">
      <c r="A2243" s="37" t="s">
        <v>0</v>
      </c>
      <c r="B2243" s="55">
        <v>44930.794409722221</v>
      </c>
      <c r="C2243" s="38">
        <v>235375</v>
      </c>
    </row>
    <row r="2244" spans="1:3" x14ac:dyDescent="0.3">
      <c r="A2244" s="37" t="s">
        <v>0</v>
      </c>
      <c r="B2244" s="55">
        <v>44956.585694444453</v>
      </c>
      <c r="C2244" s="38">
        <v>110000</v>
      </c>
    </row>
    <row r="2245" spans="1:3" x14ac:dyDescent="0.3">
      <c r="A2245" s="37" t="s">
        <v>0</v>
      </c>
      <c r="B2245" s="55">
        <v>44940.419548611113</v>
      </c>
      <c r="C2245" s="38">
        <v>114500</v>
      </c>
    </row>
    <row r="2246" spans="1:3" x14ac:dyDescent="0.3">
      <c r="A2246" s="37" t="s">
        <v>0</v>
      </c>
      <c r="B2246" s="55">
        <v>44942.388333333343</v>
      </c>
      <c r="C2246" s="38">
        <v>195000</v>
      </c>
    </row>
    <row r="2247" spans="1:3" x14ac:dyDescent="0.3">
      <c r="A2247" s="37" t="s">
        <v>0</v>
      </c>
      <c r="B2247" s="55">
        <v>44931.544166666667</v>
      </c>
      <c r="C2247" s="38">
        <v>157500</v>
      </c>
    </row>
    <row r="2248" spans="1:3" x14ac:dyDescent="0.3">
      <c r="A2248" s="37" t="s">
        <v>0</v>
      </c>
      <c r="B2248" s="55">
        <v>44957.004236111112</v>
      </c>
      <c r="C2248" s="38">
        <v>124400</v>
      </c>
    </row>
    <row r="2249" spans="1:3" x14ac:dyDescent="0.3">
      <c r="A2249" s="37" t="s">
        <v>0</v>
      </c>
      <c r="B2249" s="55">
        <v>44953.004687499997</v>
      </c>
      <c r="C2249" s="38">
        <v>110000</v>
      </c>
    </row>
    <row r="2250" spans="1:3" x14ac:dyDescent="0.3">
      <c r="A2250" s="37" t="s">
        <v>0</v>
      </c>
      <c r="B2250" s="55">
        <v>44946.015439814822</v>
      </c>
      <c r="C2250" s="38">
        <v>185000</v>
      </c>
    </row>
    <row r="2251" spans="1:3" x14ac:dyDescent="0.3">
      <c r="A2251" s="37" t="s">
        <v>0</v>
      </c>
      <c r="B2251" s="55">
        <v>44950.927233796298</v>
      </c>
      <c r="C2251" s="38">
        <v>56700</v>
      </c>
    </row>
    <row r="2252" spans="1:3" x14ac:dyDescent="0.3">
      <c r="A2252" s="37" t="s">
        <v>0</v>
      </c>
      <c r="B2252" s="55">
        <v>44951.294699074067</v>
      </c>
      <c r="C2252" s="38">
        <v>147500</v>
      </c>
    </row>
    <row r="2253" spans="1:3" x14ac:dyDescent="0.3">
      <c r="A2253" s="37" t="s">
        <v>0</v>
      </c>
      <c r="B2253" s="55">
        <v>44951.417349537027</v>
      </c>
      <c r="C2253" s="38">
        <v>157500</v>
      </c>
    </row>
    <row r="2254" spans="1:3" x14ac:dyDescent="0.3">
      <c r="A2254" s="37" t="s">
        <v>0</v>
      </c>
      <c r="B2254" s="55">
        <v>44929.982905092591</v>
      </c>
      <c r="C2254" s="38"/>
    </row>
    <row r="2255" spans="1:3" x14ac:dyDescent="0.3">
      <c r="A2255" s="37" t="s">
        <v>0</v>
      </c>
      <c r="B2255" s="55">
        <v>44950.503067129634</v>
      </c>
      <c r="C2255" s="38">
        <v>125000</v>
      </c>
    </row>
    <row r="2256" spans="1:3" x14ac:dyDescent="0.3">
      <c r="A2256" s="37" t="s">
        <v>0</v>
      </c>
      <c r="B2256" s="55">
        <v>44945.003935185188</v>
      </c>
      <c r="C2256" s="38">
        <v>272500</v>
      </c>
    </row>
    <row r="2257" spans="1:3" x14ac:dyDescent="0.3">
      <c r="A2257" s="37" t="s">
        <v>0</v>
      </c>
      <c r="B2257" s="55">
        <v>44956.629780092589</v>
      </c>
      <c r="C2257" s="38">
        <v>77200</v>
      </c>
    </row>
    <row r="2258" spans="1:3" x14ac:dyDescent="0.3">
      <c r="A2258" s="37" t="s">
        <v>0</v>
      </c>
      <c r="B2258" s="55">
        <v>44934.335752314822</v>
      </c>
      <c r="C2258" s="38">
        <v>90000</v>
      </c>
    </row>
    <row r="2259" spans="1:3" x14ac:dyDescent="0.3">
      <c r="A2259" s="37" t="s">
        <v>0</v>
      </c>
      <c r="B2259" s="55">
        <v>44946.974363425928</v>
      </c>
      <c r="C2259" s="38">
        <v>155000</v>
      </c>
    </row>
    <row r="2260" spans="1:3" x14ac:dyDescent="0.3">
      <c r="A2260" s="37" t="s">
        <v>0</v>
      </c>
      <c r="B2260" s="55">
        <v>44948.336365740739</v>
      </c>
      <c r="C2260" s="38">
        <v>100900</v>
      </c>
    </row>
    <row r="2261" spans="1:3" x14ac:dyDescent="0.3">
      <c r="A2261" s="37" t="s">
        <v>0</v>
      </c>
      <c r="B2261" s="55">
        <v>44942.430717592593</v>
      </c>
      <c r="C2261" s="38">
        <v>150000</v>
      </c>
    </row>
    <row r="2262" spans="1:3" x14ac:dyDescent="0.3">
      <c r="A2262" s="37" t="s">
        <v>0</v>
      </c>
      <c r="B2262" s="55">
        <v>44951.860763888893</v>
      </c>
      <c r="C2262" s="38">
        <v>120000</v>
      </c>
    </row>
    <row r="2263" spans="1:3" x14ac:dyDescent="0.3">
      <c r="A2263" s="37" t="s">
        <v>0</v>
      </c>
      <c r="B2263" s="55">
        <v>44937.253587962958</v>
      </c>
      <c r="C2263" s="38">
        <v>224500</v>
      </c>
    </row>
    <row r="2264" spans="1:3" x14ac:dyDescent="0.3">
      <c r="A2264" s="37" t="s">
        <v>0</v>
      </c>
      <c r="B2264" s="55">
        <v>44945.306469907409</v>
      </c>
      <c r="C2264" s="38">
        <v>150000</v>
      </c>
    </row>
    <row r="2265" spans="1:3" x14ac:dyDescent="0.3">
      <c r="A2265" s="37" t="s">
        <v>0</v>
      </c>
      <c r="B2265" s="55">
        <v>44927.00203703704</v>
      </c>
      <c r="C2265" s="38">
        <v>110000</v>
      </c>
    </row>
    <row r="2266" spans="1:3" x14ac:dyDescent="0.3">
      <c r="A2266" s="37" t="s">
        <v>0</v>
      </c>
      <c r="B2266" s="55">
        <v>44929.982708333337</v>
      </c>
      <c r="C2266" s="38"/>
    </row>
    <row r="2267" spans="1:3" x14ac:dyDescent="0.3">
      <c r="A2267" s="37" t="s">
        <v>0</v>
      </c>
      <c r="B2267" s="55">
        <v>44951.669861111113</v>
      </c>
      <c r="C2267" s="38">
        <v>128816</v>
      </c>
    </row>
    <row r="2268" spans="1:3" x14ac:dyDescent="0.3">
      <c r="A2268" s="37" t="s">
        <v>0</v>
      </c>
      <c r="B2268" s="55">
        <v>44936.778078703697</v>
      </c>
      <c r="C2268" s="38">
        <v>64821.5</v>
      </c>
    </row>
    <row r="2269" spans="1:3" x14ac:dyDescent="0.3">
      <c r="A2269" s="37" t="s">
        <v>0</v>
      </c>
      <c r="B2269" s="55">
        <v>44955.156759259262</v>
      </c>
      <c r="C2269" s="38">
        <v>44100</v>
      </c>
    </row>
    <row r="2270" spans="1:3" x14ac:dyDescent="0.3">
      <c r="A2270" s="37" t="s">
        <v>0</v>
      </c>
      <c r="B2270" s="55">
        <v>44930.794479166667</v>
      </c>
      <c r="C2270" s="38">
        <v>180560</v>
      </c>
    </row>
    <row r="2271" spans="1:3" x14ac:dyDescent="0.3">
      <c r="A2271" s="37" t="s">
        <v>0</v>
      </c>
      <c r="B2271" s="55">
        <v>44945.433344907397</v>
      </c>
      <c r="C2271" s="38">
        <v>175000</v>
      </c>
    </row>
    <row r="2272" spans="1:3" x14ac:dyDescent="0.3">
      <c r="A2272" s="37" t="s">
        <v>0</v>
      </c>
      <c r="B2272" s="55">
        <v>44944.282997685194</v>
      </c>
      <c r="C2272" s="38">
        <v>90000</v>
      </c>
    </row>
    <row r="2273" spans="1:3" x14ac:dyDescent="0.3">
      <c r="A2273" s="37" t="s">
        <v>0</v>
      </c>
      <c r="B2273" s="55">
        <v>44936.354490740741</v>
      </c>
      <c r="C2273" s="38">
        <v>87307.5</v>
      </c>
    </row>
    <row r="2274" spans="1:3" x14ac:dyDescent="0.3">
      <c r="A2274" s="37" t="s">
        <v>0</v>
      </c>
      <c r="B2274" s="55">
        <v>44943.991423611107</v>
      </c>
      <c r="C2274" s="38">
        <v>72272</v>
      </c>
    </row>
    <row r="2275" spans="1:3" x14ac:dyDescent="0.3">
      <c r="A2275" s="37" t="s">
        <v>0</v>
      </c>
      <c r="B2275" s="55">
        <v>44929.981851851851</v>
      </c>
      <c r="C2275" s="38"/>
    </row>
    <row r="2276" spans="1:3" x14ac:dyDescent="0.3">
      <c r="A2276" s="37" t="s">
        <v>0</v>
      </c>
      <c r="B2276" s="55">
        <v>44929.98101851852</v>
      </c>
      <c r="C2276" s="38"/>
    </row>
    <row r="2277" spans="1:3" x14ac:dyDescent="0.3">
      <c r="A2277" s="37" t="s">
        <v>0</v>
      </c>
      <c r="B2277" s="55">
        <v>44932.67396990741</v>
      </c>
      <c r="C2277" s="38">
        <v>135000</v>
      </c>
    </row>
    <row r="2278" spans="1:3" x14ac:dyDescent="0.3">
      <c r="A2278" s="37" t="s">
        <v>0</v>
      </c>
      <c r="B2278" s="55">
        <v>44946.889837962961</v>
      </c>
      <c r="C2278" s="38">
        <v>139000</v>
      </c>
    </row>
    <row r="2279" spans="1:3" x14ac:dyDescent="0.3">
      <c r="A2279" s="37" t="s">
        <v>0</v>
      </c>
      <c r="B2279" s="55">
        <v>44937.265393518523</v>
      </c>
      <c r="C2279" s="38">
        <v>136400</v>
      </c>
    </row>
    <row r="2280" spans="1:3" x14ac:dyDescent="0.3">
      <c r="A2280" s="37" t="s">
        <v>0</v>
      </c>
      <c r="B2280" s="55">
        <v>44941.626967592587</v>
      </c>
      <c r="C2280" s="38">
        <v>200000</v>
      </c>
    </row>
    <row r="2281" spans="1:3" x14ac:dyDescent="0.3">
      <c r="A2281" s="37" t="s">
        <v>0</v>
      </c>
      <c r="B2281" s="55">
        <v>44953.336099537039</v>
      </c>
      <c r="C2281" s="38">
        <v>158697</v>
      </c>
    </row>
    <row r="2282" spans="1:3" x14ac:dyDescent="0.3">
      <c r="A2282" s="37" t="s">
        <v>0</v>
      </c>
      <c r="B2282" s="55">
        <v>44947.018333333333</v>
      </c>
      <c r="C2282" s="38"/>
    </row>
    <row r="2283" spans="1:3" x14ac:dyDescent="0.3">
      <c r="A2283" s="37" t="s">
        <v>0</v>
      </c>
      <c r="B2283" s="55">
        <v>44950.711423611108</v>
      </c>
      <c r="C2283" s="38"/>
    </row>
    <row r="2284" spans="1:3" x14ac:dyDescent="0.3">
      <c r="A2284" s="37" t="s">
        <v>0</v>
      </c>
      <c r="B2284" s="55">
        <v>44955.00209490741</v>
      </c>
      <c r="C2284" s="38"/>
    </row>
    <row r="2285" spans="1:3" x14ac:dyDescent="0.3">
      <c r="A2285" s="37" t="s">
        <v>0</v>
      </c>
      <c r="B2285" s="55">
        <v>44937.877789351849</v>
      </c>
      <c r="C2285" s="38">
        <v>122500</v>
      </c>
    </row>
    <row r="2286" spans="1:3" x14ac:dyDescent="0.3">
      <c r="A2286" s="37" t="s">
        <v>0</v>
      </c>
      <c r="B2286" s="55">
        <v>44943.712939814817</v>
      </c>
      <c r="C2286" s="38">
        <v>126000</v>
      </c>
    </row>
    <row r="2287" spans="1:3" x14ac:dyDescent="0.3">
      <c r="A2287" s="37" t="s">
        <v>0</v>
      </c>
      <c r="B2287" s="55">
        <v>44930.065821759257</v>
      </c>
      <c r="C2287" s="38">
        <v>82500</v>
      </c>
    </row>
    <row r="2288" spans="1:3" x14ac:dyDescent="0.3">
      <c r="A2288" s="37" t="s">
        <v>0</v>
      </c>
      <c r="B2288" s="55">
        <v>44949.046284722222</v>
      </c>
      <c r="C2288" s="38"/>
    </row>
    <row r="2289" spans="1:3" x14ac:dyDescent="0.3">
      <c r="A2289" s="37" t="s">
        <v>0</v>
      </c>
      <c r="B2289" s="55">
        <v>44929.982974537037</v>
      </c>
      <c r="C2289" s="38"/>
    </row>
    <row r="2290" spans="1:3" x14ac:dyDescent="0.3">
      <c r="A2290" s="37" t="s">
        <v>0</v>
      </c>
      <c r="B2290" s="55">
        <v>44952.671620370369</v>
      </c>
      <c r="C2290" s="38">
        <v>74781</v>
      </c>
    </row>
    <row r="2291" spans="1:3" x14ac:dyDescent="0.3">
      <c r="A2291" s="37" t="s">
        <v>0</v>
      </c>
      <c r="B2291" s="55">
        <v>44937.253564814811</v>
      </c>
      <c r="C2291" s="38">
        <v>161955.5</v>
      </c>
    </row>
    <row r="2292" spans="1:3" x14ac:dyDescent="0.3">
      <c r="A2292" s="37" t="s">
        <v>0</v>
      </c>
      <c r="B2292" s="55">
        <v>44928.418368055558</v>
      </c>
      <c r="C2292" s="38">
        <v>375000</v>
      </c>
    </row>
    <row r="2293" spans="1:3" x14ac:dyDescent="0.3">
      <c r="A2293" s="37" t="s">
        <v>0</v>
      </c>
      <c r="B2293" s="55">
        <v>44951.252129629633</v>
      </c>
      <c r="C2293" s="38">
        <v>150000</v>
      </c>
    </row>
    <row r="2294" spans="1:3" x14ac:dyDescent="0.3">
      <c r="A2294" s="37" t="s">
        <v>0</v>
      </c>
      <c r="B2294" s="55">
        <v>44938.640416666669</v>
      </c>
      <c r="C2294" s="38"/>
    </row>
    <row r="2295" spans="1:3" x14ac:dyDescent="0.3">
      <c r="A2295" s="37" t="s">
        <v>0</v>
      </c>
      <c r="B2295" s="55">
        <v>44938.107465277782</v>
      </c>
      <c r="C2295" s="38">
        <v>99150</v>
      </c>
    </row>
    <row r="2296" spans="1:3" x14ac:dyDescent="0.3">
      <c r="A2296" s="37" t="s">
        <v>0</v>
      </c>
      <c r="B2296" s="55">
        <v>44957.460833333331</v>
      </c>
      <c r="C2296" s="38">
        <v>115000</v>
      </c>
    </row>
    <row r="2297" spans="1:3" x14ac:dyDescent="0.3">
      <c r="A2297" s="37" t="s">
        <v>0</v>
      </c>
      <c r="B2297" s="55">
        <v>44939.003865740742</v>
      </c>
      <c r="C2297" s="38"/>
    </row>
    <row r="2298" spans="1:3" x14ac:dyDescent="0.3">
      <c r="A2298" s="37" t="s">
        <v>0</v>
      </c>
      <c r="B2298" s="55">
        <v>44940.836145833331</v>
      </c>
      <c r="C2298" s="38">
        <v>250000</v>
      </c>
    </row>
    <row r="2299" spans="1:3" x14ac:dyDescent="0.3">
      <c r="A2299" s="37" t="s">
        <v>0</v>
      </c>
      <c r="B2299" s="55">
        <v>44936.044849537036</v>
      </c>
      <c r="C2299" s="38"/>
    </row>
    <row r="2300" spans="1:3" x14ac:dyDescent="0.3">
      <c r="A2300" s="37" t="s">
        <v>0</v>
      </c>
      <c r="B2300" s="55">
        <v>44928.835266203707</v>
      </c>
      <c r="C2300" s="38">
        <v>184500</v>
      </c>
    </row>
    <row r="2301" spans="1:3" x14ac:dyDescent="0.3">
      <c r="A2301" s="37" t="s">
        <v>0</v>
      </c>
      <c r="B2301" s="55">
        <v>44937.463020833333</v>
      </c>
      <c r="C2301" s="38">
        <v>90000</v>
      </c>
    </row>
    <row r="2302" spans="1:3" x14ac:dyDescent="0.3">
      <c r="A2302" s="37" t="s">
        <v>0</v>
      </c>
      <c r="B2302" s="55">
        <v>44929.982118055559</v>
      </c>
      <c r="C2302" s="38"/>
    </row>
    <row r="2303" spans="1:3" x14ac:dyDescent="0.3">
      <c r="A2303" s="37" t="s">
        <v>0</v>
      </c>
      <c r="B2303" s="55">
        <v>44938.920289351852</v>
      </c>
      <c r="C2303" s="38">
        <v>106150</v>
      </c>
    </row>
    <row r="2304" spans="1:3" x14ac:dyDescent="0.3">
      <c r="A2304" s="37" t="s">
        <v>0</v>
      </c>
      <c r="B2304" s="55">
        <v>44930.294456018521</v>
      </c>
      <c r="C2304" s="38">
        <v>152580</v>
      </c>
    </row>
    <row r="2305" spans="1:3" x14ac:dyDescent="0.3">
      <c r="A2305" s="37" t="s">
        <v>0</v>
      </c>
      <c r="B2305" s="55">
        <v>44936.002129629633</v>
      </c>
      <c r="C2305" s="38">
        <v>125000</v>
      </c>
    </row>
    <row r="2306" spans="1:3" x14ac:dyDescent="0.3">
      <c r="A2306" s="37" t="s">
        <v>0</v>
      </c>
      <c r="B2306" s="55">
        <v>44952.336354166669</v>
      </c>
      <c r="C2306" s="38">
        <v>172500</v>
      </c>
    </row>
    <row r="2307" spans="1:3" x14ac:dyDescent="0.3">
      <c r="A2307" s="37" t="s">
        <v>0</v>
      </c>
      <c r="B2307" s="55">
        <v>44954.740057870367</v>
      </c>
      <c r="C2307" s="38">
        <v>69300</v>
      </c>
    </row>
    <row r="2308" spans="1:3" x14ac:dyDescent="0.3">
      <c r="A2308" s="37" t="s">
        <v>0</v>
      </c>
      <c r="B2308" s="55">
        <v>44931.502500000002</v>
      </c>
      <c r="C2308" s="38">
        <v>147000</v>
      </c>
    </row>
    <row r="2309" spans="1:3" x14ac:dyDescent="0.3">
      <c r="A2309" s="37" t="s">
        <v>0</v>
      </c>
      <c r="B2309" s="55">
        <v>44954.005590277768</v>
      </c>
      <c r="C2309" s="38"/>
    </row>
    <row r="2310" spans="1:3" x14ac:dyDescent="0.3">
      <c r="A2310" s="37" t="s">
        <v>0</v>
      </c>
      <c r="B2310" s="55">
        <v>44940.057129629633</v>
      </c>
      <c r="C2310" s="38">
        <v>95000</v>
      </c>
    </row>
    <row r="2311" spans="1:3" x14ac:dyDescent="0.3">
      <c r="A2311" s="37" t="s">
        <v>0</v>
      </c>
      <c r="B2311" s="55">
        <v>44937.252326388887</v>
      </c>
      <c r="C2311" s="38">
        <v>63000</v>
      </c>
    </row>
    <row r="2312" spans="1:3" x14ac:dyDescent="0.3">
      <c r="A2312" s="37" t="s">
        <v>0</v>
      </c>
      <c r="B2312" s="55">
        <v>44939.96230324074</v>
      </c>
      <c r="C2312" s="38"/>
    </row>
    <row r="2313" spans="1:3" x14ac:dyDescent="0.3">
      <c r="A2313" s="37" t="s">
        <v>0</v>
      </c>
      <c r="B2313" s="55">
        <v>44940.989571759259</v>
      </c>
      <c r="C2313" s="38">
        <v>93045</v>
      </c>
    </row>
    <row r="2314" spans="1:3" x14ac:dyDescent="0.3">
      <c r="A2314" s="37" t="s">
        <v>0</v>
      </c>
      <c r="B2314" s="55">
        <v>44932.127685185187</v>
      </c>
      <c r="C2314" s="38">
        <v>71100</v>
      </c>
    </row>
    <row r="2315" spans="1:3" x14ac:dyDescent="0.3">
      <c r="A2315" s="37" t="s">
        <v>0</v>
      </c>
      <c r="B2315" s="55">
        <v>44943.711481481478</v>
      </c>
      <c r="C2315" s="38">
        <v>207500</v>
      </c>
    </row>
    <row r="2316" spans="1:3" x14ac:dyDescent="0.3">
      <c r="A2316" s="37" t="s">
        <v>0</v>
      </c>
      <c r="B2316" s="55">
        <v>44950.002349537041</v>
      </c>
      <c r="C2316" s="38">
        <v>125000</v>
      </c>
    </row>
    <row r="2317" spans="1:3" x14ac:dyDescent="0.3">
      <c r="A2317" s="37" t="s">
        <v>0</v>
      </c>
      <c r="B2317" s="55">
        <v>44943.752199074072</v>
      </c>
      <c r="C2317" s="38"/>
    </row>
    <row r="2318" spans="1:3" x14ac:dyDescent="0.3">
      <c r="A2318" s="37" t="s">
        <v>0</v>
      </c>
      <c r="B2318" s="55">
        <v>44938.075879629629</v>
      </c>
      <c r="C2318" s="38"/>
    </row>
    <row r="2319" spans="1:3" x14ac:dyDescent="0.3">
      <c r="A2319" s="37" t="s">
        <v>0</v>
      </c>
      <c r="B2319" s="55">
        <v>44953.004259259258</v>
      </c>
      <c r="C2319" s="38"/>
    </row>
    <row r="2320" spans="1:3" x14ac:dyDescent="0.3">
      <c r="A2320" s="37" t="s">
        <v>0</v>
      </c>
      <c r="B2320" s="55">
        <v>44931.833449074067</v>
      </c>
      <c r="C2320" s="38">
        <v>123225</v>
      </c>
    </row>
    <row r="2321" spans="1:3" x14ac:dyDescent="0.3">
      <c r="A2321" s="37" t="s">
        <v>0</v>
      </c>
      <c r="B2321" s="55">
        <v>44935.877256944441</v>
      </c>
      <c r="C2321" s="38">
        <v>190000</v>
      </c>
    </row>
    <row r="2322" spans="1:3" x14ac:dyDescent="0.3">
      <c r="A2322" s="37" t="s">
        <v>0</v>
      </c>
      <c r="B2322" s="55">
        <v>44953.003946759258</v>
      </c>
      <c r="C2322" s="38">
        <v>270000</v>
      </c>
    </row>
    <row r="2323" spans="1:3" x14ac:dyDescent="0.3">
      <c r="A2323" s="37" t="s">
        <v>0</v>
      </c>
      <c r="B2323" s="55">
        <v>44951.253379629627</v>
      </c>
      <c r="C2323" s="38">
        <v>125000</v>
      </c>
    </row>
    <row r="2324" spans="1:3" x14ac:dyDescent="0.3">
      <c r="A2324" s="37" t="s">
        <v>0</v>
      </c>
      <c r="B2324" s="55">
        <v>44937.253564814811</v>
      </c>
      <c r="C2324" s="38">
        <v>196800</v>
      </c>
    </row>
    <row r="2325" spans="1:3" x14ac:dyDescent="0.3">
      <c r="A2325" s="37" t="s">
        <v>0</v>
      </c>
      <c r="B2325" s="55">
        <v>44947.588379629633</v>
      </c>
      <c r="C2325" s="38"/>
    </row>
    <row r="2326" spans="1:3" x14ac:dyDescent="0.3">
      <c r="A2326" s="37" t="s">
        <v>0</v>
      </c>
      <c r="B2326" s="55">
        <v>44957.419618055559</v>
      </c>
      <c r="C2326" s="38">
        <v>37107.19921875</v>
      </c>
    </row>
    <row r="2327" spans="1:3" x14ac:dyDescent="0.3">
      <c r="A2327" s="37" t="s">
        <v>0</v>
      </c>
      <c r="B2327" s="55">
        <v>44946.931516203702</v>
      </c>
      <c r="C2327" s="38">
        <v>103529</v>
      </c>
    </row>
    <row r="2328" spans="1:3" x14ac:dyDescent="0.3">
      <c r="A2328" s="37" t="s">
        <v>0</v>
      </c>
      <c r="B2328" s="55">
        <v>44928.004513888889</v>
      </c>
      <c r="C2328" s="38">
        <v>52000</v>
      </c>
    </row>
    <row r="2329" spans="1:3" x14ac:dyDescent="0.3">
      <c r="A2329" s="37" t="s">
        <v>0</v>
      </c>
      <c r="B2329" s="55">
        <v>44929.981574074067</v>
      </c>
      <c r="C2329" s="38"/>
    </row>
    <row r="2330" spans="1:3" x14ac:dyDescent="0.3">
      <c r="A2330" s="37" t="s">
        <v>0</v>
      </c>
      <c r="B2330" s="55">
        <v>44943.877881944441</v>
      </c>
      <c r="C2330" s="38"/>
    </row>
    <row r="2331" spans="1:3" x14ac:dyDescent="0.3">
      <c r="A2331" s="37" t="s">
        <v>0</v>
      </c>
      <c r="B2331" s="55">
        <v>44938.295381944437</v>
      </c>
      <c r="C2331" s="38">
        <v>115000</v>
      </c>
    </row>
    <row r="2332" spans="1:3" x14ac:dyDescent="0.3">
      <c r="A2332" s="37" t="s">
        <v>0</v>
      </c>
      <c r="B2332" s="55">
        <v>44935.64916666667</v>
      </c>
      <c r="C2332" s="38"/>
    </row>
    <row r="2333" spans="1:3" x14ac:dyDescent="0.3">
      <c r="A2333" s="37" t="s">
        <v>0</v>
      </c>
      <c r="B2333" s="55">
        <v>44928.742222222223</v>
      </c>
      <c r="C2333" s="38">
        <v>155000</v>
      </c>
    </row>
    <row r="2334" spans="1:3" x14ac:dyDescent="0.3">
      <c r="A2334" s="37" t="s">
        <v>0</v>
      </c>
      <c r="B2334" s="55">
        <v>44946.306446759263</v>
      </c>
      <c r="C2334" s="38">
        <v>90000</v>
      </c>
    </row>
    <row r="2335" spans="1:3" x14ac:dyDescent="0.3">
      <c r="A2335" s="37" t="s">
        <v>0</v>
      </c>
      <c r="B2335" s="55">
        <v>44950.002905092602</v>
      </c>
      <c r="C2335" s="38">
        <v>78369</v>
      </c>
    </row>
    <row r="2336" spans="1:3" x14ac:dyDescent="0.3">
      <c r="A2336" s="37" t="s">
        <v>0</v>
      </c>
      <c r="B2336" s="55">
        <v>44951.753622685188</v>
      </c>
      <c r="C2336" s="38">
        <v>90000</v>
      </c>
    </row>
    <row r="2337" spans="1:3" x14ac:dyDescent="0.3">
      <c r="A2337" s="37" t="s">
        <v>0</v>
      </c>
      <c r="B2337" s="55">
        <v>44951.377025462964</v>
      </c>
      <c r="C2337" s="38">
        <v>90000</v>
      </c>
    </row>
    <row r="2338" spans="1:3" x14ac:dyDescent="0.3">
      <c r="A2338" s="37" t="s">
        <v>0</v>
      </c>
      <c r="B2338" s="55">
        <v>44944.992719907408</v>
      </c>
      <c r="C2338" s="38"/>
    </row>
    <row r="2339" spans="1:3" x14ac:dyDescent="0.3">
      <c r="A2339" s="37" t="s">
        <v>0</v>
      </c>
      <c r="B2339" s="55">
        <v>44945.473113425927</v>
      </c>
      <c r="C2339" s="38">
        <v>125000</v>
      </c>
    </row>
    <row r="2340" spans="1:3" x14ac:dyDescent="0.3">
      <c r="A2340" s="37" t="s">
        <v>0</v>
      </c>
      <c r="B2340" s="55">
        <v>44929.993425925917</v>
      </c>
      <c r="C2340" s="38"/>
    </row>
    <row r="2341" spans="1:3" x14ac:dyDescent="0.3">
      <c r="A2341" s="37" t="s">
        <v>0</v>
      </c>
      <c r="B2341" s="55">
        <v>44931.333483796298</v>
      </c>
      <c r="C2341" s="38">
        <v>80000</v>
      </c>
    </row>
    <row r="2342" spans="1:3" x14ac:dyDescent="0.3">
      <c r="A2342" s="37" t="s">
        <v>0</v>
      </c>
      <c r="B2342" s="55">
        <v>44942.388541666667</v>
      </c>
      <c r="C2342" s="38">
        <v>90000</v>
      </c>
    </row>
    <row r="2343" spans="1:3" x14ac:dyDescent="0.3">
      <c r="A2343" s="37" t="s">
        <v>0</v>
      </c>
      <c r="B2343" s="55">
        <v>44942.912326388891</v>
      </c>
      <c r="C2343" s="38">
        <v>51068</v>
      </c>
    </row>
    <row r="2344" spans="1:3" x14ac:dyDescent="0.3">
      <c r="A2344" s="37" t="s">
        <v>0</v>
      </c>
      <c r="B2344" s="55">
        <v>44943.711597222216</v>
      </c>
      <c r="C2344" s="38">
        <v>135000</v>
      </c>
    </row>
    <row r="2345" spans="1:3" x14ac:dyDescent="0.3">
      <c r="A2345" s="37" t="s">
        <v>0</v>
      </c>
      <c r="B2345" s="55">
        <v>44929.855949074074</v>
      </c>
      <c r="C2345" s="38">
        <v>110290</v>
      </c>
    </row>
    <row r="2346" spans="1:3" x14ac:dyDescent="0.3">
      <c r="A2346" s="37" t="s">
        <v>0</v>
      </c>
      <c r="B2346" s="55">
        <v>44929.982847222222</v>
      </c>
      <c r="C2346" s="38"/>
    </row>
    <row r="2347" spans="1:3" x14ac:dyDescent="0.3">
      <c r="A2347" s="37" t="s">
        <v>0</v>
      </c>
      <c r="B2347" s="55">
        <v>44931.295532407406</v>
      </c>
      <c r="C2347" s="38">
        <v>125000</v>
      </c>
    </row>
    <row r="2348" spans="1:3" x14ac:dyDescent="0.3">
      <c r="A2348" s="37" t="s">
        <v>0</v>
      </c>
      <c r="B2348" s="55">
        <v>44939.420613425929</v>
      </c>
      <c r="C2348" s="38">
        <v>125000</v>
      </c>
    </row>
    <row r="2349" spans="1:3" x14ac:dyDescent="0.3">
      <c r="A2349" s="37" t="s">
        <v>0</v>
      </c>
      <c r="B2349" s="55">
        <v>44929.897546296299</v>
      </c>
      <c r="C2349" s="38">
        <v>160000</v>
      </c>
    </row>
    <row r="2350" spans="1:3" x14ac:dyDescent="0.3">
      <c r="A2350" s="37" t="s">
        <v>0</v>
      </c>
      <c r="B2350" s="55">
        <v>44929.25267361111</v>
      </c>
      <c r="C2350" s="38">
        <v>122500</v>
      </c>
    </row>
    <row r="2351" spans="1:3" x14ac:dyDescent="0.3">
      <c r="A2351" s="37" t="s">
        <v>0</v>
      </c>
      <c r="B2351" s="55">
        <v>44936.977523148147</v>
      </c>
      <c r="C2351" s="38">
        <v>87307.5</v>
      </c>
    </row>
    <row r="2352" spans="1:3" x14ac:dyDescent="0.3">
      <c r="A2352" s="37" t="s">
        <v>0</v>
      </c>
      <c r="B2352" s="55">
        <v>44930.962129629632</v>
      </c>
      <c r="C2352" s="38"/>
    </row>
    <row r="2353" spans="1:3" x14ac:dyDescent="0.3">
      <c r="A2353" s="37" t="s">
        <v>0</v>
      </c>
      <c r="B2353" s="55">
        <v>44943.741423611107</v>
      </c>
      <c r="C2353" s="38">
        <v>164500</v>
      </c>
    </row>
    <row r="2354" spans="1:3" x14ac:dyDescent="0.3">
      <c r="A2354" s="37" t="s">
        <v>0</v>
      </c>
      <c r="B2354" s="55">
        <v>44953.295208333337</v>
      </c>
      <c r="C2354" s="38">
        <v>152625</v>
      </c>
    </row>
    <row r="2355" spans="1:3" x14ac:dyDescent="0.3">
      <c r="A2355" s="37" t="s">
        <v>0</v>
      </c>
      <c r="B2355" s="55">
        <v>44949.044571759259</v>
      </c>
      <c r="C2355" s="38">
        <v>204500</v>
      </c>
    </row>
    <row r="2356" spans="1:3" x14ac:dyDescent="0.3">
      <c r="A2356" s="37" t="s">
        <v>0</v>
      </c>
      <c r="B2356" s="55">
        <v>44929.982442129629</v>
      </c>
      <c r="C2356" s="38"/>
    </row>
    <row r="2357" spans="1:3" x14ac:dyDescent="0.3">
      <c r="A2357" s="37" t="s">
        <v>0</v>
      </c>
      <c r="B2357" s="55">
        <v>44929.982974537037</v>
      </c>
      <c r="C2357" s="38"/>
    </row>
    <row r="2358" spans="1:3" x14ac:dyDescent="0.3">
      <c r="A2358" s="37" t="s">
        <v>0</v>
      </c>
      <c r="B2358" s="55">
        <v>44948.292372685188</v>
      </c>
      <c r="C2358" s="38">
        <v>115000</v>
      </c>
    </row>
    <row r="2359" spans="1:3" x14ac:dyDescent="0.3">
      <c r="A2359" s="37" t="s">
        <v>0</v>
      </c>
      <c r="B2359" s="55">
        <v>44956.195879629631</v>
      </c>
      <c r="C2359" s="38">
        <v>119550</v>
      </c>
    </row>
    <row r="2360" spans="1:3" x14ac:dyDescent="0.3">
      <c r="A2360" s="37" t="s">
        <v>0</v>
      </c>
      <c r="B2360" s="55">
        <v>44928.617071759261</v>
      </c>
      <c r="C2360" s="38">
        <v>101950</v>
      </c>
    </row>
    <row r="2361" spans="1:3" x14ac:dyDescent="0.3">
      <c r="A2361" s="37" t="s">
        <v>0</v>
      </c>
      <c r="B2361" s="55">
        <v>44928.584953703707</v>
      </c>
      <c r="C2361" s="38">
        <v>110000</v>
      </c>
    </row>
    <row r="2362" spans="1:3" x14ac:dyDescent="0.3">
      <c r="A2362" s="37" t="s">
        <v>0</v>
      </c>
      <c r="B2362" s="55">
        <v>44928.918275462973</v>
      </c>
      <c r="C2362" s="38">
        <v>125000</v>
      </c>
    </row>
    <row r="2363" spans="1:3" x14ac:dyDescent="0.3">
      <c r="A2363" s="37" t="s">
        <v>0</v>
      </c>
      <c r="B2363" s="55">
        <v>44929.982094907413</v>
      </c>
      <c r="C2363" s="38"/>
    </row>
    <row r="2364" spans="1:3" x14ac:dyDescent="0.3">
      <c r="A2364" s="37" t="s">
        <v>0</v>
      </c>
      <c r="B2364" s="55">
        <v>44938.795231481483</v>
      </c>
      <c r="C2364" s="38"/>
    </row>
    <row r="2365" spans="1:3" x14ac:dyDescent="0.3">
      <c r="A2365" s="37" t="s">
        <v>0</v>
      </c>
      <c r="B2365" s="55">
        <v>44949.000914351847</v>
      </c>
      <c r="C2365" s="38"/>
    </row>
    <row r="2366" spans="1:3" x14ac:dyDescent="0.3">
      <c r="A2366" s="37" t="s">
        <v>0</v>
      </c>
      <c r="B2366" s="55">
        <v>44931.62809027778</v>
      </c>
      <c r="C2366" s="38">
        <v>100000</v>
      </c>
    </row>
    <row r="2367" spans="1:3" x14ac:dyDescent="0.3">
      <c r="A2367" s="37" t="s">
        <v>0</v>
      </c>
      <c r="B2367" s="55">
        <v>44929.981064814812</v>
      </c>
      <c r="C2367" s="38"/>
    </row>
    <row r="2368" spans="1:3" x14ac:dyDescent="0.3">
      <c r="A2368" s="37" t="s">
        <v>0</v>
      </c>
      <c r="B2368" s="55">
        <v>44927.33666666667</v>
      </c>
      <c r="C2368" s="38">
        <v>175000</v>
      </c>
    </row>
    <row r="2369" spans="1:3" x14ac:dyDescent="0.3">
      <c r="A2369" s="37" t="s">
        <v>0</v>
      </c>
      <c r="B2369" s="55">
        <v>44937.502743055556</v>
      </c>
      <c r="C2369" s="38">
        <v>125000</v>
      </c>
    </row>
    <row r="2370" spans="1:3" x14ac:dyDescent="0.3">
      <c r="A2370" s="37" t="s">
        <v>0</v>
      </c>
      <c r="B2370" s="55">
        <v>44938.169456018521</v>
      </c>
      <c r="C2370" s="38">
        <v>119500</v>
      </c>
    </row>
    <row r="2371" spans="1:3" x14ac:dyDescent="0.3">
      <c r="A2371" s="37" t="s">
        <v>0</v>
      </c>
      <c r="B2371" s="55">
        <v>44938.337650462963</v>
      </c>
      <c r="C2371" s="38">
        <v>90000</v>
      </c>
    </row>
    <row r="2372" spans="1:3" x14ac:dyDescent="0.3">
      <c r="A2372" s="37" t="s">
        <v>0</v>
      </c>
      <c r="B2372" s="55">
        <v>44953.753541666672</v>
      </c>
      <c r="C2372" s="38">
        <v>151650</v>
      </c>
    </row>
    <row r="2373" spans="1:3" x14ac:dyDescent="0.3">
      <c r="A2373" s="37" t="s">
        <v>0</v>
      </c>
      <c r="B2373" s="55">
        <v>44950.461875000001</v>
      </c>
      <c r="C2373" s="38">
        <v>125000</v>
      </c>
    </row>
    <row r="2374" spans="1:3" x14ac:dyDescent="0.3">
      <c r="A2374" s="37" t="s">
        <v>0</v>
      </c>
      <c r="B2374" s="55">
        <v>44953.009606481479</v>
      </c>
      <c r="C2374" s="38">
        <v>88128</v>
      </c>
    </row>
    <row r="2375" spans="1:3" x14ac:dyDescent="0.3">
      <c r="A2375" s="37" t="s">
        <v>0</v>
      </c>
      <c r="B2375" s="55">
        <v>44929.168217592603</v>
      </c>
      <c r="C2375" s="38">
        <v>137000</v>
      </c>
    </row>
    <row r="2376" spans="1:3" x14ac:dyDescent="0.3">
      <c r="A2376" s="37" t="s">
        <v>0</v>
      </c>
      <c r="B2376" s="55">
        <v>44929.982974537037</v>
      </c>
      <c r="C2376" s="38"/>
    </row>
    <row r="2377" spans="1:3" x14ac:dyDescent="0.3">
      <c r="A2377" s="37" t="s">
        <v>0</v>
      </c>
      <c r="B2377" s="55">
        <v>44937.324652777781</v>
      </c>
      <c r="C2377" s="38">
        <v>145000</v>
      </c>
    </row>
    <row r="2378" spans="1:3" x14ac:dyDescent="0.3">
      <c r="A2378" s="37" t="s">
        <v>0</v>
      </c>
      <c r="B2378" s="55">
        <v>44940.045671296299</v>
      </c>
      <c r="C2378" s="38">
        <v>308500</v>
      </c>
    </row>
    <row r="2379" spans="1:3" x14ac:dyDescent="0.3">
      <c r="A2379" s="37" t="s">
        <v>0</v>
      </c>
      <c r="B2379" s="55">
        <v>44947.629652777781</v>
      </c>
      <c r="C2379" s="38"/>
    </row>
    <row r="2380" spans="1:3" x14ac:dyDescent="0.3">
      <c r="A2380" s="37" t="s">
        <v>0</v>
      </c>
      <c r="B2380" s="55">
        <v>44937.292893518519</v>
      </c>
      <c r="C2380" s="38">
        <v>87307.5</v>
      </c>
    </row>
    <row r="2381" spans="1:3" x14ac:dyDescent="0.3">
      <c r="A2381" s="37" t="s">
        <v>0</v>
      </c>
      <c r="B2381" s="55">
        <v>44947.125972222217</v>
      </c>
      <c r="C2381" s="38">
        <v>112996</v>
      </c>
    </row>
    <row r="2382" spans="1:3" x14ac:dyDescent="0.3">
      <c r="A2382" s="37" t="s">
        <v>0</v>
      </c>
      <c r="B2382" s="55">
        <v>44939.306203703702</v>
      </c>
      <c r="C2382" s="38">
        <v>90000</v>
      </c>
    </row>
    <row r="2383" spans="1:3" x14ac:dyDescent="0.3">
      <c r="A2383" s="37" t="s">
        <v>0</v>
      </c>
      <c r="B2383" s="55">
        <v>44929.981574074067</v>
      </c>
      <c r="C2383" s="38"/>
    </row>
    <row r="2384" spans="1:3" x14ac:dyDescent="0.3">
      <c r="A2384" s="37" t="s">
        <v>0</v>
      </c>
      <c r="B2384" s="55">
        <v>44933.294247685182</v>
      </c>
      <c r="C2384" s="38">
        <v>150000</v>
      </c>
    </row>
    <row r="2385" spans="1:3" x14ac:dyDescent="0.3">
      <c r="A2385" s="37" t="s">
        <v>0</v>
      </c>
      <c r="B2385" s="55">
        <v>44947.422175925924</v>
      </c>
      <c r="C2385" s="38">
        <v>180000</v>
      </c>
    </row>
    <row r="2386" spans="1:3" x14ac:dyDescent="0.3">
      <c r="A2386" s="37" t="s">
        <v>0</v>
      </c>
      <c r="B2386" s="55">
        <v>44941.002962962957</v>
      </c>
      <c r="C2386" s="38">
        <v>73079</v>
      </c>
    </row>
    <row r="2387" spans="1:3" x14ac:dyDescent="0.3">
      <c r="A2387" s="37" t="s">
        <v>0</v>
      </c>
      <c r="B2387" s="55">
        <v>44947.028333333343</v>
      </c>
      <c r="C2387" s="38">
        <v>88128</v>
      </c>
    </row>
    <row r="2388" spans="1:3" x14ac:dyDescent="0.3">
      <c r="A2388" s="37" t="s">
        <v>0</v>
      </c>
      <c r="B2388" s="55">
        <v>44928.961006944453</v>
      </c>
      <c r="C2388" s="38">
        <v>157500</v>
      </c>
    </row>
    <row r="2389" spans="1:3" x14ac:dyDescent="0.3">
      <c r="A2389" s="37" t="s">
        <v>0</v>
      </c>
      <c r="B2389" s="55">
        <v>44951.908194444448</v>
      </c>
      <c r="C2389" s="38">
        <v>93600</v>
      </c>
    </row>
    <row r="2390" spans="1:3" x14ac:dyDescent="0.3">
      <c r="A2390" s="37" t="s">
        <v>0</v>
      </c>
      <c r="B2390" s="55">
        <v>44952.619062500002</v>
      </c>
      <c r="C2390" s="38">
        <v>90000</v>
      </c>
    </row>
    <row r="2391" spans="1:3" x14ac:dyDescent="0.3">
      <c r="A2391" s="37" t="s">
        <v>0</v>
      </c>
      <c r="B2391" s="55">
        <v>44947.41978009259</v>
      </c>
      <c r="C2391" s="38">
        <v>90000</v>
      </c>
    </row>
    <row r="2392" spans="1:3" x14ac:dyDescent="0.3">
      <c r="A2392" s="37" t="s">
        <v>0</v>
      </c>
      <c r="B2392" s="55">
        <v>44929.982893518521</v>
      </c>
      <c r="C2392" s="38"/>
    </row>
    <row r="2393" spans="1:3" x14ac:dyDescent="0.3">
      <c r="A2393" s="37" t="s">
        <v>0</v>
      </c>
      <c r="B2393" s="55">
        <v>44950.835821759261</v>
      </c>
      <c r="C2393" s="38">
        <v>95700</v>
      </c>
    </row>
    <row r="2394" spans="1:3" x14ac:dyDescent="0.3">
      <c r="A2394" s="37" t="s">
        <v>0</v>
      </c>
      <c r="B2394" s="55">
        <v>44949.168888888889</v>
      </c>
      <c r="C2394" s="38">
        <v>162500</v>
      </c>
    </row>
    <row r="2395" spans="1:3" x14ac:dyDescent="0.3">
      <c r="A2395" s="37" t="s">
        <v>0</v>
      </c>
      <c r="B2395" s="55">
        <v>44950.002905092602</v>
      </c>
      <c r="C2395" s="38"/>
    </row>
    <row r="2396" spans="1:3" x14ac:dyDescent="0.3">
      <c r="A2396" s="37" t="s">
        <v>0</v>
      </c>
      <c r="B2396" s="55">
        <v>44945.848113425927</v>
      </c>
      <c r="C2396" s="38"/>
    </row>
    <row r="2397" spans="1:3" x14ac:dyDescent="0.3">
      <c r="A2397" s="37" t="s">
        <v>0</v>
      </c>
      <c r="B2397" s="55">
        <v>44950.017500000002</v>
      </c>
      <c r="C2397" s="38">
        <v>149946.5</v>
      </c>
    </row>
    <row r="2398" spans="1:3" x14ac:dyDescent="0.3">
      <c r="A2398" s="37" t="s">
        <v>0</v>
      </c>
      <c r="B2398" s="55">
        <v>44951.503472222219</v>
      </c>
      <c r="C2398" s="38">
        <v>150000</v>
      </c>
    </row>
    <row r="2399" spans="1:3" x14ac:dyDescent="0.3">
      <c r="A2399" s="37" t="s">
        <v>0</v>
      </c>
      <c r="B2399" s="55">
        <v>44935.167858796303</v>
      </c>
      <c r="C2399" s="38">
        <v>125000</v>
      </c>
    </row>
    <row r="2400" spans="1:3" x14ac:dyDescent="0.3">
      <c r="A2400" s="37" t="s">
        <v>0</v>
      </c>
      <c r="B2400" s="55">
        <v>44934.32707175926</v>
      </c>
      <c r="C2400" s="38">
        <v>150000</v>
      </c>
    </row>
    <row r="2401" spans="1:3" x14ac:dyDescent="0.3">
      <c r="A2401" s="37" t="s">
        <v>0</v>
      </c>
      <c r="B2401" s="55">
        <v>44939.712314814817</v>
      </c>
      <c r="C2401" s="38"/>
    </row>
    <row r="2402" spans="1:3" x14ac:dyDescent="0.3">
      <c r="A2402" s="37" t="s">
        <v>0</v>
      </c>
      <c r="B2402" s="55">
        <v>44936.815983796303</v>
      </c>
      <c r="C2402" s="38">
        <v>157500</v>
      </c>
    </row>
    <row r="2403" spans="1:3" x14ac:dyDescent="0.3">
      <c r="A2403" s="37" t="s">
        <v>0</v>
      </c>
      <c r="B2403" s="55">
        <v>44956.336053240739</v>
      </c>
      <c r="C2403" s="38">
        <v>150000</v>
      </c>
    </row>
    <row r="2404" spans="1:3" x14ac:dyDescent="0.3">
      <c r="A2404" s="37" t="s">
        <v>0</v>
      </c>
      <c r="B2404" s="55">
        <v>44952.295358796298</v>
      </c>
      <c r="C2404" s="38">
        <v>277500</v>
      </c>
    </row>
    <row r="2405" spans="1:3" x14ac:dyDescent="0.3">
      <c r="A2405" s="37" t="s">
        <v>0</v>
      </c>
      <c r="B2405" s="55">
        <v>44927.014687499999</v>
      </c>
      <c r="C2405" s="38">
        <v>120531</v>
      </c>
    </row>
    <row r="2406" spans="1:3" x14ac:dyDescent="0.3">
      <c r="A2406" s="37" t="s">
        <v>0</v>
      </c>
      <c r="B2406" s="55">
        <v>44944.074571759258</v>
      </c>
      <c r="C2406" s="38">
        <v>92058</v>
      </c>
    </row>
    <row r="2407" spans="1:3" x14ac:dyDescent="0.3">
      <c r="A2407" s="37" t="s">
        <v>0</v>
      </c>
      <c r="B2407" s="55">
        <v>44936.763495370367</v>
      </c>
      <c r="C2407" s="38">
        <v>110000</v>
      </c>
    </row>
    <row r="2408" spans="1:3" x14ac:dyDescent="0.3">
      <c r="A2408" s="37" t="s">
        <v>0</v>
      </c>
      <c r="B2408" s="55">
        <v>44953.979224537034</v>
      </c>
      <c r="C2408" s="38"/>
    </row>
    <row r="2409" spans="1:3" x14ac:dyDescent="0.3">
      <c r="A2409" s="37" t="s">
        <v>0</v>
      </c>
      <c r="B2409" s="55">
        <v>44932.435416666667</v>
      </c>
      <c r="C2409" s="38">
        <v>79200</v>
      </c>
    </row>
    <row r="2410" spans="1:3" x14ac:dyDescent="0.3">
      <c r="A2410" s="37" t="s">
        <v>0</v>
      </c>
      <c r="B2410" s="55">
        <v>44944.588472222233</v>
      </c>
      <c r="C2410" s="38"/>
    </row>
    <row r="2411" spans="1:3" x14ac:dyDescent="0.3">
      <c r="A2411" s="37" t="s">
        <v>0</v>
      </c>
      <c r="B2411" s="55">
        <v>44929.982974537037</v>
      </c>
      <c r="C2411" s="38"/>
    </row>
    <row r="2412" spans="1:3" x14ac:dyDescent="0.3">
      <c r="A2412" s="37" t="s">
        <v>0</v>
      </c>
      <c r="B2412" s="55">
        <v>44937.878055555557</v>
      </c>
      <c r="C2412" s="38"/>
    </row>
    <row r="2413" spans="1:3" x14ac:dyDescent="0.3">
      <c r="A2413" s="37" t="s">
        <v>0</v>
      </c>
      <c r="B2413" s="55">
        <v>44957.142152777778</v>
      </c>
      <c r="C2413" s="38">
        <v>69300</v>
      </c>
    </row>
    <row r="2414" spans="1:3" x14ac:dyDescent="0.3">
      <c r="A2414" s="37" t="s">
        <v>0</v>
      </c>
      <c r="B2414" s="55">
        <v>44952.043692129628</v>
      </c>
      <c r="C2414" s="38">
        <v>150000</v>
      </c>
    </row>
    <row r="2415" spans="1:3" x14ac:dyDescent="0.3">
      <c r="A2415" s="37" t="s">
        <v>0</v>
      </c>
      <c r="B2415" s="55">
        <v>44954.295266203713</v>
      </c>
      <c r="C2415" s="38">
        <v>142500</v>
      </c>
    </row>
    <row r="2416" spans="1:3" x14ac:dyDescent="0.3">
      <c r="A2416" s="37" t="s">
        <v>0</v>
      </c>
      <c r="B2416" s="55">
        <v>44938.920624999999</v>
      </c>
      <c r="C2416" s="38">
        <v>183310</v>
      </c>
    </row>
    <row r="2417" spans="1:3" x14ac:dyDescent="0.3">
      <c r="A2417" s="37" t="s">
        <v>0</v>
      </c>
      <c r="B2417" s="55">
        <v>44938.876099537039</v>
      </c>
      <c r="C2417" s="38">
        <v>110000</v>
      </c>
    </row>
    <row r="2418" spans="1:3" x14ac:dyDescent="0.3">
      <c r="A2418" s="37" t="s">
        <v>0</v>
      </c>
      <c r="B2418" s="55">
        <v>44954.003472222219</v>
      </c>
      <c r="C2418" s="38"/>
    </row>
    <row r="2419" spans="1:3" x14ac:dyDescent="0.3">
      <c r="A2419" s="37" t="s">
        <v>0</v>
      </c>
      <c r="B2419" s="55">
        <v>44929.125347222223</v>
      </c>
      <c r="C2419" s="38">
        <v>110000</v>
      </c>
    </row>
    <row r="2420" spans="1:3" x14ac:dyDescent="0.3">
      <c r="A2420" s="37" t="s">
        <v>0</v>
      </c>
      <c r="B2420" s="55">
        <v>44946.738506944443</v>
      </c>
      <c r="C2420" s="38">
        <v>150000</v>
      </c>
    </row>
    <row r="2421" spans="1:3" x14ac:dyDescent="0.3">
      <c r="A2421" s="37" t="s">
        <v>0</v>
      </c>
      <c r="B2421" s="55">
        <v>44929.12767361111</v>
      </c>
      <c r="C2421" s="38">
        <v>90000</v>
      </c>
    </row>
    <row r="2422" spans="1:3" x14ac:dyDescent="0.3">
      <c r="A2422" s="37" t="s">
        <v>0</v>
      </c>
      <c r="B2422" s="55">
        <v>44935.341793981483</v>
      </c>
      <c r="C2422" s="38">
        <v>79200</v>
      </c>
    </row>
    <row r="2423" spans="1:3" x14ac:dyDescent="0.3">
      <c r="A2423" s="37" t="s">
        <v>0</v>
      </c>
      <c r="B2423" s="55">
        <v>44936.003078703703</v>
      </c>
      <c r="C2423" s="38"/>
    </row>
    <row r="2424" spans="1:3" x14ac:dyDescent="0.3">
      <c r="A2424" s="37" t="s">
        <v>1</v>
      </c>
      <c r="B2424" s="55">
        <v>44945.192858796298</v>
      </c>
      <c r="C2424" s="38">
        <v>104668</v>
      </c>
    </row>
    <row r="2425" spans="1:3" x14ac:dyDescent="0.3">
      <c r="A2425" s="37" t="s">
        <v>1</v>
      </c>
      <c r="B2425" s="55">
        <v>44935.885138888887</v>
      </c>
      <c r="C2425" s="38">
        <v>94342.5</v>
      </c>
    </row>
    <row r="2426" spans="1:3" x14ac:dyDescent="0.3">
      <c r="A2426" s="37" t="s">
        <v>1</v>
      </c>
      <c r="B2426" s="55">
        <v>44944.683935185189</v>
      </c>
      <c r="C2426" s="38">
        <v>104668</v>
      </c>
    </row>
    <row r="2427" spans="1:3" x14ac:dyDescent="0.3">
      <c r="A2427" s="37" t="s">
        <v>1</v>
      </c>
      <c r="B2427" s="55">
        <v>44932.378981481481</v>
      </c>
      <c r="C2427" s="38">
        <v>166000</v>
      </c>
    </row>
    <row r="2428" spans="1:3" x14ac:dyDescent="0.3">
      <c r="A2428" s="37" t="s">
        <v>1</v>
      </c>
      <c r="B2428" s="55">
        <v>44953.144525462973</v>
      </c>
      <c r="C2428" s="38">
        <v>166000</v>
      </c>
    </row>
    <row r="2429" spans="1:3" x14ac:dyDescent="0.3">
      <c r="A2429" s="37" t="s">
        <v>1</v>
      </c>
      <c r="B2429" s="55">
        <v>44957.677754629629</v>
      </c>
      <c r="C2429" s="38">
        <v>89100</v>
      </c>
    </row>
    <row r="2430" spans="1:3" x14ac:dyDescent="0.3">
      <c r="A2430" s="37" t="s">
        <v>1</v>
      </c>
      <c r="B2430" s="55">
        <v>44955.090474537043</v>
      </c>
      <c r="C2430" s="38">
        <v>166000</v>
      </c>
    </row>
    <row r="2431" spans="1:3" x14ac:dyDescent="0.3">
      <c r="A2431" s="37" t="s">
        <v>1</v>
      </c>
      <c r="B2431" s="55">
        <v>44943.260231481479</v>
      </c>
      <c r="C2431" s="38">
        <v>106830</v>
      </c>
    </row>
    <row r="2432" spans="1:3" x14ac:dyDescent="0.3">
      <c r="A2432" s="37" t="s">
        <v>1</v>
      </c>
      <c r="B2432" s="55">
        <v>44936.0862037037</v>
      </c>
      <c r="C2432" s="38">
        <v>150000</v>
      </c>
    </row>
    <row r="2433" spans="1:3" x14ac:dyDescent="0.3">
      <c r="A2433" s="37" t="s">
        <v>1</v>
      </c>
      <c r="B2433" s="55">
        <v>44936.488333333327</v>
      </c>
      <c r="C2433" s="38">
        <v>166000</v>
      </c>
    </row>
    <row r="2434" spans="1:3" x14ac:dyDescent="0.3">
      <c r="A2434" s="37" t="s">
        <v>1</v>
      </c>
      <c r="B2434" s="55">
        <v>44946.832916666674</v>
      </c>
      <c r="C2434" s="38">
        <v>99150</v>
      </c>
    </row>
    <row r="2435" spans="1:3" x14ac:dyDescent="0.3">
      <c r="A2435" s="37" t="s">
        <v>1</v>
      </c>
      <c r="B2435" s="55">
        <v>44946.754328703697</v>
      </c>
      <c r="C2435" s="38">
        <v>166000</v>
      </c>
    </row>
    <row r="2436" spans="1:3" x14ac:dyDescent="0.3">
      <c r="A2436" s="37" t="s">
        <v>1</v>
      </c>
      <c r="B2436" s="55">
        <v>44946.797673611109</v>
      </c>
      <c r="C2436" s="38">
        <v>89100</v>
      </c>
    </row>
    <row r="2437" spans="1:3" x14ac:dyDescent="0.3">
      <c r="A2437" s="37" t="s">
        <v>1</v>
      </c>
      <c r="B2437" s="55">
        <v>44937.784224537027</v>
      </c>
      <c r="C2437" s="38"/>
    </row>
    <row r="2438" spans="1:3" x14ac:dyDescent="0.3">
      <c r="A2438" s="37" t="s">
        <v>1</v>
      </c>
      <c r="B2438" s="55">
        <v>44936.104895833327</v>
      </c>
      <c r="C2438" s="38">
        <v>50400</v>
      </c>
    </row>
    <row r="2439" spans="1:3" x14ac:dyDescent="0.3">
      <c r="A2439" s="37" t="s">
        <v>1</v>
      </c>
      <c r="B2439" s="55">
        <v>44946.812071759261</v>
      </c>
      <c r="C2439" s="38">
        <v>166000</v>
      </c>
    </row>
    <row r="2440" spans="1:3" x14ac:dyDescent="0.3">
      <c r="A2440" s="37" t="s">
        <v>1</v>
      </c>
      <c r="B2440" s="55">
        <v>44931.662476851852</v>
      </c>
      <c r="C2440" s="38">
        <v>72900</v>
      </c>
    </row>
    <row r="2441" spans="1:3" x14ac:dyDescent="0.3">
      <c r="A2441" s="37" t="s">
        <v>1</v>
      </c>
      <c r="B2441" s="55">
        <v>44949.760462962957</v>
      </c>
      <c r="C2441" s="38">
        <v>250000</v>
      </c>
    </row>
    <row r="2442" spans="1:3" x14ac:dyDescent="0.3">
      <c r="A2442" s="37" t="s">
        <v>1</v>
      </c>
      <c r="B2442" s="55">
        <v>44952.251840277779</v>
      </c>
      <c r="C2442" s="38">
        <v>44100</v>
      </c>
    </row>
    <row r="2443" spans="1:3" x14ac:dyDescent="0.3">
      <c r="A2443" s="37" t="s">
        <v>1</v>
      </c>
      <c r="B2443" s="55">
        <v>44951.077743055554</v>
      </c>
      <c r="C2443" s="38">
        <v>166000</v>
      </c>
    </row>
    <row r="2444" spans="1:3" x14ac:dyDescent="0.3">
      <c r="A2444" s="37" t="s">
        <v>1</v>
      </c>
      <c r="B2444" s="55">
        <v>44933.185474537036</v>
      </c>
      <c r="C2444" s="38">
        <v>93600</v>
      </c>
    </row>
    <row r="2445" spans="1:3" x14ac:dyDescent="0.3">
      <c r="A2445" s="37" t="s">
        <v>1</v>
      </c>
      <c r="B2445" s="55">
        <v>44938.587291666663</v>
      </c>
      <c r="C2445" s="38">
        <v>99150</v>
      </c>
    </row>
    <row r="2446" spans="1:3" x14ac:dyDescent="0.3">
      <c r="A2446" s="37" t="s">
        <v>1</v>
      </c>
      <c r="B2446" s="55">
        <v>44947.506504629629</v>
      </c>
      <c r="C2446" s="38">
        <v>89100</v>
      </c>
    </row>
    <row r="2447" spans="1:3" x14ac:dyDescent="0.3">
      <c r="A2447" s="37" t="s">
        <v>1</v>
      </c>
      <c r="B2447" s="55">
        <v>44956.59578703704</v>
      </c>
      <c r="C2447" s="38">
        <v>166000</v>
      </c>
    </row>
    <row r="2448" spans="1:3" x14ac:dyDescent="0.3">
      <c r="A2448" s="37" t="s">
        <v>1</v>
      </c>
      <c r="B2448" s="55">
        <v>44957.501956018517</v>
      </c>
      <c r="C2448" s="38">
        <v>285000</v>
      </c>
    </row>
    <row r="2449" spans="1:3" x14ac:dyDescent="0.3">
      <c r="A2449" s="37" t="s">
        <v>1</v>
      </c>
      <c r="B2449" s="55">
        <v>44947.250069444453</v>
      </c>
      <c r="C2449" s="38">
        <v>89100</v>
      </c>
    </row>
    <row r="2450" spans="1:3" x14ac:dyDescent="0.3">
      <c r="A2450" s="37" t="s">
        <v>1</v>
      </c>
      <c r="B2450" s="55">
        <v>44943.237476851849</v>
      </c>
      <c r="C2450" s="38"/>
    </row>
    <row r="2451" spans="1:3" x14ac:dyDescent="0.3">
      <c r="A2451" s="37" t="s">
        <v>1</v>
      </c>
      <c r="B2451" s="55">
        <v>44942.696261574078</v>
      </c>
      <c r="C2451" s="38"/>
    </row>
    <row r="2452" spans="1:3" x14ac:dyDescent="0.3">
      <c r="A2452" s="37" t="s">
        <v>1</v>
      </c>
      <c r="B2452" s="55">
        <v>44943.201944444438</v>
      </c>
      <c r="C2452" s="38">
        <v>89100</v>
      </c>
    </row>
    <row r="2453" spans="1:3" x14ac:dyDescent="0.3">
      <c r="A2453" s="37" t="s">
        <v>1</v>
      </c>
      <c r="B2453" s="55">
        <v>44937.932997685188</v>
      </c>
      <c r="C2453" s="38">
        <v>166000</v>
      </c>
    </row>
    <row r="2454" spans="1:3" x14ac:dyDescent="0.3">
      <c r="A2454" s="37" t="s">
        <v>1</v>
      </c>
      <c r="B2454" s="55">
        <v>44948.55431712963</v>
      </c>
      <c r="C2454" s="38">
        <v>185500</v>
      </c>
    </row>
    <row r="2455" spans="1:3" x14ac:dyDescent="0.3">
      <c r="A2455" s="37" t="s">
        <v>1</v>
      </c>
      <c r="B2455" s="55">
        <v>44938.30195601852</v>
      </c>
      <c r="C2455" s="38">
        <v>79200</v>
      </c>
    </row>
    <row r="2456" spans="1:3" x14ac:dyDescent="0.3">
      <c r="A2456" s="37" t="s">
        <v>1</v>
      </c>
      <c r="B2456" s="55">
        <v>44930.736030092587</v>
      </c>
      <c r="C2456" s="38">
        <v>69000</v>
      </c>
    </row>
    <row r="2457" spans="1:3" x14ac:dyDescent="0.3">
      <c r="A2457" s="37" t="s">
        <v>1</v>
      </c>
      <c r="B2457" s="55">
        <v>44939.042557870373</v>
      </c>
      <c r="C2457" s="38">
        <v>99150</v>
      </c>
    </row>
    <row r="2458" spans="1:3" x14ac:dyDescent="0.3">
      <c r="A2458" s="37" t="s">
        <v>1</v>
      </c>
      <c r="B2458" s="55">
        <v>44949.967002314806</v>
      </c>
      <c r="C2458" s="38">
        <v>166000</v>
      </c>
    </row>
    <row r="2459" spans="1:3" x14ac:dyDescent="0.3">
      <c r="A2459" s="37" t="s">
        <v>1</v>
      </c>
      <c r="B2459" s="55">
        <v>44951.711099537039</v>
      </c>
      <c r="C2459" s="38">
        <v>166000</v>
      </c>
    </row>
    <row r="2460" spans="1:3" x14ac:dyDescent="0.3">
      <c r="A2460" s="37" t="s">
        <v>1</v>
      </c>
      <c r="B2460" s="55">
        <v>44952.388715277782</v>
      </c>
      <c r="C2460" s="38">
        <v>166000</v>
      </c>
    </row>
    <row r="2461" spans="1:3" x14ac:dyDescent="0.3">
      <c r="A2461" s="37" t="s">
        <v>1</v>
      </c>
      <c r="B2461" s="55">
        <v>44931.290543981479</v>
      </c>
      <c r="C2461" s="38">
        <v>89100</v>
      </c>
    </row>
    <row r="2462" spans="1:3" x14ac:dyDescent="0.3">
      <c r="A2462" s="37" t="s">
        <v>1</v>
      </c>
      <c r="B2462" s="55">
        <v>44949.795046296298</v>
      </c>
      <c r="C2462" s="38">
        <v>165000</v>
      </c>
    </row>
    <row r="2463" spans="1:3" x14ac:dyDescent="0.3">
      <c r="A2463" s="37" t="s">
        <v>1</v>
      </c>
      <c r="B2463" s="55">
        <v>44931.917754629627</v>
      </c>
      <c r="C2463" s="38">
        <v>130000</v>
      </c>
    </row>
    <row r="2464" spans="1:3" x14ac:dyDescent="0.3">
      <c r="A2464" s="37" t="s">
        <v>1</v>
      </c>
      <c r="B2464" s="55">
        <v>44932.668981481482</v>
      </c>
      <c r="C2464" s="38">
        <v>228000</v>
      </c>
    </row>
    <row r="2465" spans="1:3" x14ac:dyDescent="0.3">
      <c r="A2465" s="37" t="s">
        <v>1</v>
      </c>
      <c r="B2465" s="55">
        <v>44935.773888888893</v>
      </c>
      <c r="C2465" s="38">
        <v>151950</v>
      </c>
    </row>
    <row r="2466" spans="1:3" x14ac:dyDescent="0.3">
      <c r="A2466" s="37" t="s">
        <v>1</v>
      </c>
      <c r="B2466" s="55">
        <v>44953.417581018519</v>
      </c>
      <c r="C2466" s="38">
        <v>185500</v>
      </c>
    </row>
    <row r="2467" spans="1:3" x14ac:dyDescent="0.3">
      <c r="A2467" s="37" t="s">
        <v>1</v>
      </c>
      <c r="B2467" s="55">
        <v>44953.594560185193</v>
      </c>
      <c r="C2467" s="38">
        <v>185500</v>
      </c>
    </row>
    <row r="2468" spans="1:3" x14ac:dyDescent="0.3">
      <c r="A2468" s="37" t="s">
        <v>1</v>
      </c>
      <c r="B2468" s="55">
        <v>44954.973275462973</v>
      </c>
      <c r="C2468" s="38">
        <v>44418.5</v>
      </c>
    </row>
    <row r="2469" spans="1:3" x14ac:dyDescent="0.3">
      <c r="A2469" s="37" t="s">
        <v>1</v>
      </c>
      <c r="B2469" s="55">
        <v>44930.586145833331</v>
      </c>
      <c r="C2469" s="38">
        <v>44408.5</v>
      </c>
    </row>
    <row r="2470" spans="1:3" x14ac:dyDescent="0.3">
      <c r="A2470" s="37" t="s">
        <v>1</v>
      </c>
      <c r="B2470" s="55">
        <v>44954.431863425933</v>
      </c>
      <c r="C2470" s="38">
        <v>89100</v>
      </c>
    </row>
    <row r="2471" spans="1:3" x14ac:dyDescent="0.3">
      <c r="A2471" s="37" t="s">
        <v>1</v>
      </c>
      <c r="B2471" s="55">
        <v>44936.091620370367</v>
      </c>
      <c r="C2471" s="38">
        <v>166000</v>
      </c>
    </row>
    <row r="2472" spans="1:3" x14ac:dyDescent="0.3">
      <c r="A2472" s="37" t="s">
        <v>1</v>
      </c>
      <c r="B2472" s="55">
        <v>44945.807210648149</v>
      </c>
      <c r="C2472" s="38">
        <v>172500</v>
      </c>
    </row>
    <row r="2473" spans="1:3" x14ac:dyDescent="0.3">
      <c r="A2473" s="37" t="s">
        <v>1</v>
      </c>
      <c r="B2473" s="55">
        <v>44942.513877314806</v>
      </c>
      <c r="C2473" s="38">
        <v>80850</v>
      </c>
    </row>
    <row r="2474" spans="1:3" x14ac:dyDescent="0.3">
      <c r="A2474" s="37" t="s">
        <v>1</v>
      </c>
      <c r="B2474" s="55">
        <v>44956.309178240743</v>
      </c>
      <c r="C2474" s="38">
        <v>79200</v>
      </c>
    </row>
    <row r="2475" spans="1:3" x14ac:dyDescent="0.3">
      <c r="A2475" s="37" t="s">
        <v>1</v>
      </c>
      <c r="B2475" s="55">
        <v>44952.087395833332</v>
      </c>
      <c r="C2475" s="38">
        <v>166000</v>
      </c>
    </row>
    <row r="2476" spans="1:3" x14ac:dyDescent="0.3">
      <c r="A2476" s="37" t="s">
        <v>1</v>
      </c>
      <c r="B2476" s="55">
        <v>44929.993009259262</v>
      </c>
      <c r="C2476" s="38">
        <v>89100</v>
      </c>
    </row>
    <row r="2477" spans="1:3" x14ac:dyDescent="0.3">
      <c r="A2477" s="37" t="s">
        <v>1</v>
      </c>
      <c r="B2477" s="55">
        <v>44942.701550925929</v>
      </c>
      <c r="C2477" s="38">
        <v>56700</v>
      </c>
    </row>
    <row r="2478" spans="1:3" x14ac:dyDescent="0.3">
      <c r="A2478" s="37" t="s">
        <v>1</v>
      </c>
      <c r="B2478" s="55">
        <v>44930.773877314823</v>
      </c>
      <c r="C2478" s="38">
        <v>79200</v>
      </c>
    </row>
    <row r="2479" spans="1:3" x14ac:dyDescent="0.3">
      <c r="A2479" s="37" t="s">
        <v>1</v>
      </c>
      <c r="B2479" s="55">
        <v>44937.894976851851</v>
      </c>
      <c r="C2479" s="38">
        <v>156500</v>
      </c>
    </row>
    <row r="2480" spans="1:3" x14ac:dyDescent="0.3">
      <c r="A2480" s="37" t="s">
        <v>1</v>
      </c>
      <c r="B2480" s="55">
        <v>44953.18849537037</v>
      </c>
      <c r="C2480" s="38">
        <v>166000</v>
      </c>
    </row>
    <row r="2481" spans="1:3" x14ac:dyDescent="0.3">
      <c r="A2481" s="37" t="s">
        <v>1</v>
      </c>
      <c r="B2481" s="55">
        <v>44953.13453703704</v>
      </c>
      <c r="C2481" s="38">
        <v>72000</v>
      </c>
    </row>
    <row r="2482" spans="1:3" x14ac:dyDescent="0.3">
      <c r="A2482" s="37" t="s">
        <v>1</v>
      </c>
      <c r="B2482" s="55">
        <v>44938.490266203713</v>
      </c>
      <c r="C2482" s="38">
        <v>56700</v>
      </c>
    </row>
    <row r="2483" spans="1:3" x14ac:dyDescent="0.3">
      <c r="A2483" s="37" t="s">
        <v>1</v>
      </c>
      <c r="B2483" s="55">
        <v>44937.721226851849</v>
      </c>
      <c r="C2483" s="38">
        <v>166000</v>
      </c>
    </row>
    <row r="2484" spans="1:3" x14ac:dyDescent="0.3">
      <c r="A2484" s="37" t="s">
        <v>1</v>
      </c>
      <c r="B2484" s="55">
        <v>44935.508310185192</v>
      </c>
      <c r="C2484" s="38">
        <v>79200</v>
      </c>
    </row>
    <row r="2485" spans="1:3" x14ac:dyDescent="0.3">
      <c r="A2485" s="37" t="s">
        <v>1</v>
      </c>
      <c r="B2485" s="55">
        <v>44931.689259259263</v>
      </c>
      <c r="C2485" s="38">
        <v>185500</v>
      </c>
    </row>
    <row r="2486" spans="1:3" x14ac:dyDescent="0.3">
      <c r="A2486" s="37" t="s">
        <v>1</v>
      </c>
      <c r="B2486" s="55">
        <v>44952.503750000003</v>
      </c>
      <c r="C2486" s="38">
        <v>99150</v>
      </c>
    </row>
    <row r="2487" spans="1:3" x14ac:dyDescent="0.3">
      <c r="A2487" s="37" t="s">
        <v>1</v>
      </c>
      <c r="B2487" s="55">
        <v>44940.889039351852</v>
      </c>
      <c r="C2487" s="38">
        <v>185500</v>
      </c>
    </row>
    <row r="2488" spans="1:3" x14ac:dyDescent="0.3">
      <c r="A2488" s="37" t="s">
        <v>1</v>
      </c>
      <c r="B2488" s="55">
        <v>44930.86440972222</v>
      </c>
      <c r="C2488" s="38">
        <v>95000</v>
      </c>
    </row>
    <row r="2489" spans="1:3" x14ac:dyDescent="0.3">
      <c r="A2489" s="37" t="s">
        <v>1</v>
      </c>
      <c r="B2489" s="55">
        <v>44951.908206018517</v>
      </c>
      <c r="C2489" s="38">
        <v>79200</v>
      </c>
    </row>
    <row r="2490" spans="1:3" x14ac:dyDescent="0.3">
      <c r="A2490" s="37" t="s">
        <v>1</v>
      </c>
      <c r="B2490" s="55">
        <v>44942.502106481479</v>
      </c>
      <c r="C2490" s="38">
        <v>65000</v>
      </c>
    </row>
    <row r="2491" spans="1:3" x14ac:dyDescent="0.3">
      <c r="A2491" s="37" t="s">
        <v>1</v>
      </c>
      <c r="B2491" s="55">
        <v>44946.316990740743</v>
      </c>
      <c r="C2491" s="38">
        <v>104668</v>
      </c>
    </row>
    <row r="2492" spans="1:3" x14ac:dyDescent="0.3">
      <c r="A2492" s="37" t="s">
        <v>1</v>
      </c>
      <c r="B2492" s="55">
        <v>44951.91946759259</v>
      </c>
      <c r="C2492" s="38">
        <v>166000</v>
      </c>
    </row>
    <row r="2493" spans="1:3" x14ac:dyDescent="0.3">
      <c r="A2493" s="37" t="s">
        <v>1</v>
      </c>
      <c r="B2493" s="55">
        <v>44931.370775462958</v>
      </c>
      <c r="C2493" s="38">
        <v>89100</v>
      </c>
    </row>
    <row r="2494" spans="1:3" x14ac:dyDescent="0.3">
      <c r="A2494" s="37" t="s">
        <v>1</v>
      </c>
      <c r="B2494" s="55">
        <v>44932.107789351852</v>
      </c>
      <c r="C2494" s="38">
        <v>89100</v>
      </c>
    </row>
    <row r="2495" spans="1:3" x14ac:dyDescent="0.3">
      <c r="A2495" s="37" t="s">
        <v>1</v>
      </c>
      <c r="B2495" s="55">
        <v>44952.420497685183</v>
      </c>
      <c r="C2495" s="38">
        <v>116950</v>
      </c>
    </row>
    <row r="2496" spans="1:3" x14ac:dyDescent="0.3">
      <c r="A2496" s="37" t="s">
        <v>1</v>
      </c>
      <c r="B2496" s="55">
        <v>44936.055486111109</v>
      </c>
      <c r="C2496" s="38">
        <v>166000</v>
      </c>
    </row>
    <row r="2497" spans="1:3" x14ac:dyDescent="0.3">
      <c r="A2497" s="37" t="s">
        <v>1</v>
      </c>
      <c r="B2497" s="55">
        <v>44938.058159722219</v>
      </c>
      <c r="C2497" s="38">
        <v>69000</v>
      </c>
    </row>
    <row r="2498" spans="1:3" x14ac:dyDescent="0.3">
      <c r="A2498" s="37" t="s">
        <v>125</v>
      </c>
      <c r="B2498" s="55">
        <v>44930.417141203703</v>
      </c>
      <c r="C2498" s="38">
        <v>96500</v>
      </c>
    </row>
    <row r="2499" spans="1:3" x14ac:dyDescent="0.3">
      <c r="A2499" s="37" t="s">
        <v>125</v>
      </c>
      <c r="B2499" s="55">
        <v>44937.418194444443</v>
      </c>
      <c r="C2499" s="38"/>
    </row>
    <row r="2500" spans="1:3" x14ac:dyDescent="0.3">
      <c r="A2500" s="37" t="s">
        <v>125</v>
      </c>
      <c r="B2500" s="55">
        <v>44930.417453703703</v>
      </c>
      <c r="C2500" s="38">
        <v>96500</v>
      </c>
    </row>
    <row r="2501" spans="1:3" x14ac:dyDescent="0.3">
      <c r="A2501" s="37" t="s">
        <v>125</v>
      </c>
      <c r="B2501" s="55">
        <v>44953.435868055552</v>
      </c>
      <c r="C2501" s="38">
        <v>96500</v>
      </c>
    </row>
    <row r="2502" spans="1:3" x14ac:dyDescent="0.3">
      <c r="A2502" s="37" t="s">
        <v>125</v>
      </c>
      <c r="B2502" s="55">
        <v>44930.060763888891</v>
      </c>
      <c r="C2502" s="38">
        <v>170000</v>
      </c>
    </row>
    <row r="2503" spans="1:3" x14ac:dyDescent="0.3">
      <c r="A2503" s="37" t="s">
        <v>125</v>
      </c>
      <c r="B2503" s="55">
        <v>44949.924791666657</v>
      </c>
      <c r="C2503" s="38">
        <v>111175</v>
      </c>
    </row>
    <row r="2504" spans="1:3" x14ac:dyDescent="0.3">
      <c r="A2504" s="37" t="s">
        <v>125</v>
      </c>
      <c r="B2504" s="55">
        <v>44949.001504629632</v>
      </c>
      <c r="C2504" s="38">
        <v>90000</v>
      </c>
    </row>
    <row r="2505" spans="1:3" x14ac:dyDescent="0.3">
      <c r="A2505" s="37" t="s">
        <v>125</v>
      </c>
      <c r="B2505" s="55">
        <v>44942.763252314813</v>
      </c>
      <c r="C2505" s="38">
        <v>146500</v>
      </c>
    </row>
    <row r="2506" spans="1:3" x14ac:dyDescent="0.3">
      <c r="A2506" s="37" t="s">
        <v>125</v>
      </c>
      <c r="B2506" s="55">
        <v>44935.376643518517</v>
      </c>
      <c r="C2506" s="38">
        <v>90000</v>
      </c>
    </row>
    <row r="2507" spans="1:3" x14ac:dyDescent="0.3">
      <c r="A2507" s="37" t="s">
        <v>125</v>
      </c>
      <c r="B2507" s="55">
        <v>44938.626539351862</v>
      </c>
      <c r="C2507" s="38"/>
    </row>
    <row r="2508" spans="1:3" x14ac:dyDescent="0.3">
      <c r="A2508" s="37" t="s">
        <v>125</v>
      </c>
      <c r="B2508" s="55">
        <v>44957.792523148149</v>
      </c>
      <c r="C2508" s="38">
        <v>188675</v>
      </c>
    </row>
    <row r="2509" spans="1:3" x14ac:dyDescent="0.3">
      <c r="A2509" s="37" t="s">
        <v>125</v>
      </c>
      <c r="B2509" s="55">
        <v>44956.667569444442</v>
      </c>
      <c r="C2509" s="38">
        <v>98450</v>
      </c>
    </row>
    <row r="2510" spans="1:3" x14ac:dyDescent="0.3">
      <c r="A2510" s="37" t="s">
        <v>125</v>
      </c>
      <c r="B2510" s="55">
        <v>44945.804837962962</v>
      </c>
      <c r="C2510" s="38">
        <v>93661.5</v>
      </c>
    </row>
    <row r="2511" spans="1:3" x14ac:dyDescent="0.3">
      <c r="A2511" s="37" t="s">
        <v>125</v>
      </c>
      <c r="B2511" s="55">
        <v>44953.250196759262</v>
      </c>
      <c r="C2511" s="38">
        <v>90000</v>
      </c>
    </row>
    <row r="2512" spans="1:3" x14ac:dyDescent="0.3">
      <c r="A2512" s="37" t="s">
        <v>125</v>
      </c>
      <c r="B2512" s="55">
        <v>44946.959351851852</v>
      </c>
      <c r="C2512" s="38"/>
    </row>
    <row r="2513" spans="1:3" x14ac:dyDescent="0.3">
      <c r="A2513" s="37" t="s">
        <v>125</v>
      </c>
      <c r="B2513" s="55">
        <v>44929.209317129629</v>
      </c>
      <c r="C2513" s="38">
        <v>112025</v>
      </c>
    </row>
    <row r="2514" spans="1:3" x14ac:dyDescent="0.3">
      <c r="A2514" s="37" t="s">
        <v>125</v>
      </c>
      <c r="B2514" s="55">
        <v>44949.541631944441</v>
      </c>
      <c r="C2514" s="38">
        <v>155000</v>
      </c>
    </row>
    <row r="2515" spans="1:3" x14ac:dyDescent="0.3">
      <c r="A2515" s="37" t="s">
        <v>125</v>
      </c>
      <c r="B2515" s="55">
        <v>44946.166678240741</v>
      </c>
      <c r="C2515" s="38">
        <v>115000</v>
      </c>
    </row>
    <row r="2516" spans="1:3" x14ac:dyDescent="0.3">
      <c r="A2516" s="37" t="s">
        <v>125</v>
      </c>
      <c r="B2516" s="55">
        <v>44956.792384259257</v>
      </c>
      <c r="C2516" s="38">
        <v>100379.765625</v>
      </c>
    </row>
    <row r="2517" spans="1:3" x14ac:dyDescent="0.3">
      <c r="A2517" s="37" t="s">
        <v>125</v>
      </c>
      <c r="B2517" s="55">
        <v>44942.428738425922</v>
      </c>
      <c r="C2517" s="38">
        <v>145000</v>
      </c>
    </row>
    <row r="2518" spans="1:3" x14ac:dyDescent="0.3">
      <c r="A2518" s="37" t="s">
        <v>125</v>
      </c>
      <c r="B2518" s="55">
        <v>44928.376331018517</v>
      </c>
      <c r="C2518" s="38">
        <v>102500</v>
      </c>
    </row>
    <row r="2519" spans="1:3" x14ac:dyDescent="0.3">
      <c r="A2519" s="37" t="s">
        <v>125</v>
      </c>
      <c r="B2519" s="55">
        <v>44957.584409722222</v>
      </c>
      <c r="C2519" s="38"/>
    </row>
    <row r="2520" spans="1:3" x14ac:dyDescent="0.3">
      <c r="A2520" s="37" t="s">
        <v>125</v>
      </c>
      <c r="B2520" s="55">
        <v>44930.545416666668</v>
      </c>
      <c r="C2520" s="38">
        <v>115000</v>
      </c>
    </row>
    <row r="2521" spans="1:3" x14ac:dyDescent="0.3">
      <c r="A2521" s="37" t="s">
        <v>125</v>
      </c>
      <c r="B2521" s="55">
        <v>44939.336562500001</v>
      </c>
      <c r="C2521" s="38">
        <v>146500</v>
      </c>
    </row>
    <row r="2522" spans="1:3" x14ac:dyDescent="0.3">
      <c r="A2522" s="37" t="s">
        <v>125</v>
      </c>
      <c r="B2522" s="55">
        <v>44933.29173611111</v>
      </c>
      <c r="C2522" s="38">
        <v>115000</v>
      </c>
    </row>
    <row r="2523" spans="1:3" x14ac:dyDescent="0.3">
      <c r="A2523" s="37" t="s">
        <v>125</v>
      </c>
      <c r="B2523" s="55">
        <v>44947.500243055547</v>
      </c>
      <c r="C2523" s="38">
        <v>112500</v>
      </c>
    </row>
    <row r="2524" spans="1:3" x14ac:dyDescent="0.3">
      <c r="A2524" s="37" t="s">
        <v>125</v>
      </c>
      <c r="B2524" s="55">
        <v>44929.644861111112</v>
      </c>
      <c r="C2524" s="38"/>
    </row>
    <row r="2525" spans="1:3" x14ac:dyDescent="0.3">
      <c r="A2525" s="37" t="s">
        <v>125</v>
      </c>
      <c r="B2525" s="55">
        <v>44957.704328703701</v>
      </c>
      <c r="C2525" s="38">
        <v>111175</v>
      </c>
    </row>
    <row r="2526" spans="1:3" x14ac:dyDescent="0.3">
      <c r="A2526" s="37" t="s">
        <v>125</v>
      </c>
      <c r="B2526" s="55">
        <v>44949.958518518521</v>
      </c>
      <c r="C2526" s="38"/>
    </row>
    <row r="2527" spans="1:3" x14ac:dyDescent="0.3">
      <c r="A2527" s="37" t="s">
        <v>125</v>
      </c>
      <c r="B2527" s="55">
        <v>44943.698958333327</v>
      </c>
      <c r="C2527" s="38">
        <v>79450</v>
      </c>
    </row>
    <row r="2528" spans="1:3" x14ac:dyDescent="0.3">
      <c r="A2528" s="37" t="s">
        <v>125</v>
      </c>
      <c r="B2528" s="55">
        <v>44928.459814814807</v>
      </c>
      <c r="C2528" s="38">
        <v>115000</v>
      </c>
    </row>
    <row r="2529" spans="1:3" x14ac:dyDescent="0.3">
      <c r="A2529" s="37" t="s">
        <v>125</v>
      </c>
      <c r="B2529" s="55">
        <v>44928.708657407413</v>
      </c>
      <c r="C2529" s="38"/>
    </row>
    <row r="2530" spans="1:3" x14ac:dyDescent="0.3">
      <c r="A2530" s="37" t="s">
        <v>125</v>
      </c>
      <c r="B2530" s="55">
        <v>44944.801666666674</v>
      </c>
      <c r="C2530" s="38">
        <v>111175</v>
      </c>
    </row>
    <row r="2531" spans="1:3" x14ac:dyDescent="0.3">
      <c r="A2531" s="37" t="s">
        <v>125</v>
      </c>
      <c r="B2531" s="55">
        <v>44957.000891203701</v>
      </c>
      <c r="C2531" s="38"/>
    </row>
    <row r="2532" spans="1:3" x14ac:dyDescent="0.3">
      <c r="A2532" s="37" t="s">
        <v>125</v>
      </c>
      <c r="B2532" s="55">
        <v>44945.462141203701</v>
      </c>
      <c r="C2532" s="38">
        <v>89100</v>
      </c>
    </row>
    <row r="2533" spans="1:3" x14ac:dyDescent="0.3">
      <c r="A2533" s="37" t="s">
        <v>125</v>
      </c>
      <c r="B2533" s="55">
        <v>44934.8749537037</v>
      </c>
      <c r="C2533" s="38">
        <v>126000</v>
      </c>
    </row>
    <row r="2534" spans="1:3" x14ac:dyDescent="0.3">
      <c r="A2534" s="37" t="s">
        <v>125</v>
      </c>
      <c r="B2534" s="55">
        <v>44951.751168981478</v>
      </c>
      <c r="C2534" s="38">
        <v>145000</v>
      </c>
    </row>
    <row r="2535" spans="1:3" x14ac:dyDescent="0.3">
      <c r="A2535" s="37" t="s">
        <v>125</v>
      </c>
      <c r="B2535" s="55">
        <v>44952.107997685183</v>
      </c>
      <c r="C2535" s="38">
        <v>111175</v>
      </c>
    </row>
    <row r="2536" spans="1:3" x14ac:dyDescent="0.3">
      <c r="A2536" s="37" t="s">
        <v>125</v>
      </c>
      <c r="B2536" s="55">
        <v>44936.042407407411</v>
      </c>
      <c r="C2536" s="38">
        <v>111202</v>
      </c>
    </row>
    <row r="2537" spans="1:3" x14ac:dyDescent="0.3">
      <c r="A2537" s="37" t="s">
        <v>125</v>
      </c>
      <c r="B2537" s="55">
        <v>44942.72152777778</v>
      </c>
      <c r="C2537" s="38">
        <v>92500</v>
      </c>
    </row>
    <row r="2538" spans="1:3" x14ac:dyDescent="0.3">
      <c r="A2538" s="37" t="s">
        <v>125</v>
      </c>
      <c r="B2538" s="55">
        <v>44950.333472222221</v>
      </c>
      <c r="C2538" s="38">
        <v>126250</v>
      </c>
    </row>
    <row r="2539" spans="1:3" x14ac:dyDescent="0.3">
      <c r="A2539" s="37" t="s">
        <v>125</v>
      </c>
      <c r="B2539" s="55">
        <v>44953.002951388888</v>
      </c>
      <c r="C2539" s="38"/>
    </row>
    <row r="2540" spans="1:3" x14ac:dyDescent="0.3">
      <c r="A2540" s="37" t="s">
        <v>125</v>
      </c>
      <c r="B2540" s="55">
        <v>44933.625011574077</v>
      </c>
      <c r="C2540" s="38">
        <v>165000</v>
      </c>
    </row>
    <row r="2541" spans="1:3" x14ac:dyDescent="0.3">
      <c r="A2541" s="37" t="s">
        <v>125</v>
      </c>
      <c r="B2541" s="55">
        <v>44931.751307870371</v>
      </c>
      <c r="C2541" s="38">
        <v>172500</v>
      </c>
    </row>
    <row r="2542" spans="1:3" x14ac:dyDescent="0.3">
      <c r="A2542" s="37" t="s">
        <v>125</v>
      </c>
      <c r="B2542" s="55">
        <v>44940.54383101852</v>
      </c>
      <c r="C2542" s="38"/>
    </row>
    <row r="2543" spans="1:3" x14ac:dyDescent="0.3">
      <c r="A2543" s="37" t="s">
        <v>125</v>
      </c>
      <c r="B2543" s="55">
        <v>44939.875289351847</v>
      </c>
      <c r="C2543" s="38">
        <v>113050</v>
      </c>
    </row>
    <row r="2544" spans="1:3" x14ac:dyDescent="0.3">
      <c r="A2544" s="37" t="s">
        <v>125</v>
      </c>
      <c r="B2544" s="55">
        <v>44942.345277777778</v>
      </c>
      <c r="C2544" s="38">
        <v>115000</v>
      </c>
    </row>
    <row r="2545" spans="1:3" x14ac:dyDescent="0.3">
      <c r="A2545" s="37" t="s">
        <v>125</v>
      </c>
      <c r="B2545" s="55">
        <v>44936.417604166672</v>
      </c>
      <c r="C2545" s="38">
        <v>116600</v>
      </c>
    </row>
    <row r="2546" spans="1:3" x14ac:dyDescent="0.3">
      <c r="A2546" s="37" t="s">
        <v>125</v>
      </c>
      <c r="B2546" s="55">
        <v>44946.652106481481</v>
      </c>
      <c r="C2546" s="38"/>
    </row>
    <row r="2547" spans="1:3" x14ac:dyDescent="0.3">
      <c r="A2547" s="37" t="s">
        <v>125</v>
      </c>
      <c r="B2547" s="55">
        <v>44928.947557870371</v>
      </c>
      <c r="C2547" s="38">
        <v>126815</v>
      </c>
    </row>
    <row r="2548" spans="1:3" x14ac:dyDescent="0.3">
      <c r="A2548" s="37" t="s">
        <v>125</v>
      </c>
      <c r="B2548" s="55">
        <v>44943.122673611113</v>
      </c>
      <c r="C2548" s="38">
        <v>111175</v>
      </c>
    </row>
    <row r="2549" spans="1:3" x14ac:dyDescent="0.3">
      <c r="A2549" s="37" t="s">
        <v>125</v>
      </c>
      <c r="B2549" s="55">
        <v>44945.804791666669</v>
      </c>
      <c r="C2549" s="38">
        <v>94473.5</v>
      </c>
    </row>
    <row r="2550" spans="1:3" x14ac:dyDescent="0.3">
      <c r="A2550" s="37" t="s">
        <v>125</v>
      </c>
      <c r="B2550" s="55">
        <v>44957.083310185182</v>
      </c>
      <c r="C2550" s="38">
        <v>85000</v>
      </c>
    </row>
    <row r="2551" spans="1:3" x14ac:dyDescent="0.3">
      <c r="A2551" s="37" t="s">
        <v>125</v>
      </c>
      <c r="B2551" s="55">
        <v>44956.793622685182</v>
      </c>
      <c r="C2551" s="38">
        <v>88513.5546875</v>
      </c>
    </row>
    <row r="2552" spans="1:3" x14ac:dyDescent="0.3">
      <c r="A2552" s="37" t="s">
        <v>125</v>
      </c>
      <c r="B2552" s="55">
        <v>44929.980081018519</v>
      </c>
      <c r="C2552" s="38"/>
    </row>
    <row r="2553" spans="1:3" x14ac:dyDescent="0.3">
      <c r="A2553" s="37" t="s">
        <v>125</v>
      </c>
      <c r="B2553" s="55">
        <v>44939.79347222222</v>
      </c>
      <c r="C2553" s="38"/>
    </row>
    <row r="2554" spans="1:3" x14ac:dyDescent="0.3">
      <c r="A2554" s="37" t="s">
        <v>125</v>
      </c>
      <c r="B2554" s="55">
        <v>44930.020578703698</v>
      </c>
      <c r="C2554" s="38"/>
    </row>
    <row r="2555" spans="1:3" x14ac:dyDescent="0.3">
      <c r="A2555" s="37" t="s">
        <v>125</v>
      </c>
      <c r="B2555" s="55">
        <v>44934.375081018523</v>
      </c>
      <c r="C2555" s="38">
        <v>125000</v>
      </c>
    </row>
    <row r="2556" spans="1:3" x14ac:dyDescent="0.3">
      <c r="A2556" s="37" t="s">
        <v>125</v>
      </c>
      <c r="B2556" s="55">
        <v>44936.709479166668</v>
      </c>
      <c r="C2556" s="38"/>
    </row>
    <row r="2557" spans="1:3" x14ac:dyDescent="0.3">
      <c r="A2557" s="37" t="s">
        <v>125</v>
      </c>
      <c r="B2557" s="55">
        <v>44955.000983796293</v>
      </c>
      <c r="C2557" s="38"/>
    </row>
    <row r="2558" spans="1:3" x14ac:dyDescent="0.3">
      <c r="A2558" s="37" t="s">
        <v>125</v>
      </c>
      <c r="B2558" s="55">
        <v>44937.949131944442</v>
      </c>
      <c r="C2558" s="38">
        <v>130000</v>
      </c>
    </row>
    <row r="2559" spans="1:3" x14ac:dyDescent="0.3">
      <c r="A2559" s="37" t="s">
        <v>125</v>
      </c>
      <c r="B2559" s="55">
        <v>44955.583981481483</v>
      </c>
      <c r="C2559" s="38">
        <v>115000</v>
      </c>
    </row>
    <row r="2560" spans="1:3" x14ac:dyDescent="0.3">
      <c r="A2560" s="37" t="s">
        <v>125</v>
      </c>
      <c r="B2560" s="55">
        <v>44933.125914351847</v>
      </c>
      <c r="C2560" s="38">
        <v>96000</v>
      </c>
    </row>
    <row r="2561" spans="1:3" x14ac:dyDescent="0.3">
      <c r="A2561" s="37" t="s">
        <v>125</v>
      </c>
      <c r="B2561" s="55">
        <v>44930.560601851852</v>
      </c>
      <c r="C2561" s="38">
        <v>92500</v>
      </c>
    </row>
    <row r="2562" spans="1:3" x14ac:dyDescent="0.3">
      <c r="A2562" s="37" t="s">
        <v>125</v>
      </c>
      <c r="B2562" s="55">
        <v>44951.670775462961</v>
      </c>
      <c r="C2562" s="38">
        <v>167000</v>
      </c>
    </row>
    <row r="2563" spans="1:3" x14ac:dyDescent="0.3">
      <c r="A2563" s="37" t="s">
        <v>125</v>
      </c>
      <c r="B2563" s="55">
        <v>44944.502465277779</v>
      </c>
      <c r="C2563" s="38">
        <v>82500</v>
      </c>
    </row>
    <row r="2564" spans="1:3" x14ac:dyDescent="0.3">
      <c r="A2564" s="37" t="s">
        <v>125</v>
      </c>
      <c r="B2564" s="55">
        <v>44939.592557870368</v>
      </c>
      <c r="C2564" s="38">
        <v>149637.5</v>
      </c>
    </row>
    <row r="2565" spans="1:3" x14ac:dyDescent="0.3">
      <c r="A2565" s="37" t="s">
        <v>125</v>
      </c>
      <c r="B2565" s="55">
        <v>44930.020543981482</v>
      </c>
      <c r="C2565" s="38"/>
    </row>
    <row r="2566" spans="1:3" x14ac:dyDescent="0.3">
      <c r="A2566" s="37" t="s">
        <v>125</v>
      </c>
      <c r="B2566" s="55">
        <v>44944.361967592587</v>
      </c>
      <c r="C2566" s="38">
        <v>111175</v>
      </c>
    </row>
    <row r="2567" spans="1:3" x14ac:dyDescent="0.3">
      <c r="A2567" s="37" t="s">
        <v>125</v>
      </c>
      <c r="B2567" s="55">
        <v>44931.834398148138</v>
      </c>
      <c r="C2567" s="38">
        <v>110000</v>
      </c>
    </row>
    <row r="2568" spans="1:3" x14ac:dyDescent="0.3">
      <c r="A2568" s="37" t="s">
        <v>125</v>
      </c>
      <c r="B2568" s="55">
        <v>44943.666666666657</v>
      </c>
      <c r="C2568" s="38">
        <v>120000</v>
      </c>
    </row>
    <row r="2569" spans="1:3" x14ac:dyDescent="0.3">
      <c r="A2569" s="37" t="s">
        <v>125</v>
      </c>
      <c r="B2569" s="55">
        <v>44957.041643518518</v>
      </c>
      <c r="C2569" s="38"/>
    </row>
    <row r="2570" spans="1:3" x14ac:dyDescent="0.3">
      <c r="A2570" s="37" t="s">
        <v>125</v>
      </c>
      <c r="B2570" s="55">
        <v>44952.699641203697</v>
      </c>
      <c r="C2570" s="38">
        <v>130000</v>
      </c>
    </row>
    <row r="2571" spans="1:3" x14ac:dyDescent="0.3">
      <c r="A2571" s="37" t="s">
        <v>125</v>
      </c>
      <c r="B2571" s="55">
        <v>44949.542824074073</v>
      </c>
      <c r="C2571" s="38">
        <v>149000</v>
      </c>
    </row>
    <row r="2572" spans="1:3" x14ac:dyDescent="0.3">
      <c r="A2572" s="37" t="s">
        <v>125</v>
      </c>
      <c r="B2572" s="55">
        <v>44954.104004629633</v>
      </c>
      <c r="C2572" s="38">
        <v>111175</v>
      </c>
    </row>
    <row r="2573" spans="1:3" x14ac:dyDescent="0.3">
      <c r="A2573" s="37" t="s">
        <v>125</v>
      </c>
      <c r="B2573" s="55">
        <v>44953.959652777783</v>
      </c>
      <c r="C2573" s="38">
        <v>90000</v>
      </c>
    </row>
    <row r="2574" spans="1:3" x14ac:dyDescent="0.3">
      <c r="A2574" s="37" t="s">
        <v>125</v>
      </c>
      <c r="B2574" s="55">
        <v>44942.763090277767</v>
      </c>
      <c r="C2574" s="38">
        <v>90000</v>
      </c>
    </row>
    <row r="2575" spans="1:3" x14ac:dyDescent="0.3">
      <c r="A2575" s="37" t="s">
        <v>125</v>
      </c>
      <c r="B2575" s="55">
        <v>44954.00267361111</v>
      </c>
      <c r="C2575" s="38"/>
    </row>
    <row r="2576" spans="1:3" x14ac:dyDescent="0.3">
      <c r="A2576" s="37" t="s">
        <v>125</v>
      </c>
      <c r="B2576" s="55">
        <v>44955.541805555556</v>
      </c>
      <c r="C2576" s="38">
        <v>75907</v>
      </c>
    </row>
    <row r="2577" spans="1:3" x14ac:dyDescent="0.3">
      <c r="A2577" s="37" t="s">
        <v>125</v>
      </c>
      <c r="B2577" s="55">
        <v>44939.295706018522</v>
      </c>
      <c r="C2577" s="38">
        <v>150500</v>
      </c>
    </row>
    <row r="2578" spans="1:3" x14ac:dyDescent="0.3">
      <c r="A2578" s="37" t="s">
        <v>125</v>
      </c>
      <c r="B2578" s="55">
        <v>44930.020543981482</v>
      </c>
      <c r="C2578" s="38"/>
    </row>
    <row r="2579" spans="1:3" x14ac:dyDescent="0.3">
      <c r="A2579" s="37" t="s">
        <v>125</v>
      </c>
      <c r="B2579" s="55">
        <v>44942.637407407397</v>
      </c>
      <c r="C2579" s="38">
        <v>145000</v>
      </c>
    </row>
    <row r="2580" spans="1:3" x14ac:dyDescent="0.3">
      <c r="A2580" s="37" t="s">
        <v>125</v>
      </c>
      <c r="B2580" s="55">
        <v>44938.66679398148</v>
      </c>
      <c r="C2580" s="38">
        <v>92500</v>
      </c>
    </row>
    <row r="2581" spans="1:3" x14ac:dyDescent="0.3">
      <c r="A2581" s="37" t="s">
        <v>125</v>
      </c>
      <c r="B2581" s="55">
        <v>44931.750428240739</v>
      </c>
      <c r="C2581" s="38"/>
    </row>
    <row r="2582" spans="1:3" x14ac:dyDescent="0.3">
      <c r="A2582" s="37" t="s">
        <v>125</v>
      </c>
      <c r="B2582" s="55">
        <v>44928.958321759259</v>
      </c>
      <c r="C2582" s="38">
        <v>114950</v>
      </c>
    </row>
    <row r="2583" spans="1:3" x14ac:dyDescent="0.3">
      <c r="A2583" s="37" t="s">
        <v>125</v>
      </c>
      <c r="B2583" s="55">
        <v>44930.625474537039</v>
      </c>
      <c r="C2583" s="38"/>
    </row>
    <row r="2584" spans="1:3" x14ac:dyDescent="0.3">
      <c r="A2584" s="37" t="s">
        <v>125</v>
      </c>
      <c r="B2584" s="55">
        <v>44929.728807870371</v>
      </c>
      <c r="C2584" s="38">
        <v>110000</v>
      </c>
    </row>
    <row r="2585" spans="1:3" x14ac:dyDescent="0.3">
      <c r="A2585" s="37" t="s">
        <v>125</v>
      </c>
      <c r="B2585" s="55">
        <v>44946.012071759258</v>
      </c>
      <c r="C2585" s="38"/>
    </row>
    <row r="2586" spans="1:3" x14ac:dyDescent="0.3">
      <c r="A2586" s="37" t="s">
        <v>125</v>
      </c>
      <c r="B2586" s="55">
        <v>44936.955833333333</v>
      </c>
      <c r="C2586" s="38">
        <v>111202</v>
      </c>
    </row>
    <row r="2587" spans="1:3" x14ac:dyDescent="0.3">
      <c r="A2587" s="37" t="s">
        <v>125</v>
      </c>
      <c r="B2587" s="55">
        <v>44929.979421296302</v>
      </c>
      <c r="C2587" s="38"/>
    </row>
    <row r="2588" spans="1:3" x14ac:dyDescent="0.3">
      <c r="A2588" s="37" t="s">
        <v>125</v>
      </c>
      <c r="B2588" s="55">
        <v>44930.37599537037</v>
      </c>
      <c r="C2588" s="38">
        <v>146500</v>
      </c>
    </row>
    <row r="2589" spans="1:3" x14ac:dyDescent="0.3">
      <c r="A2589" s="37" t="s">
        <v>125</v>
      </c>
      <c r="B2589" s="55">
        <v>44957.79178240741</v>
      </c>
      <c r="C2589" s="38">
        <v>98500</v>
      </c>
    </row>
    <row r="2590" spans="1:3" x14ac:dyDescent="0.3">
      <c r="A2590" s="37" t="s">
        <v>125</v>
      </c>
      <c r="B2590" s="55">
        <v>44939.251493055563</v>
      </c>
      <c r="C2590" s="38"/>
    </row>
    <row r="2591" spans="1:3" x14ac:dyDescent="0.3">
      <c r="A2591" s="37" t="s">
        <v>125</v>
      </c>
      <c r="B2591" s="55">
        <v>44930.019976851851</v>
      </c>
      <c r="C2591" s="38"/>
    </row>
    <row r="2592" spans="1:3" x14ac:dyDescent="0.3">
      <c r="A2592" s="37" t="s">
        <v>125</v>
      </c>
      <c r="B2592" s="55">
        <v>44940.002303240741</v>
      </c>
      <c r="C2592" s="38">
        <v>93000</v>
      </c>
    </row>
    <row r="2593" spans="1:3" x14ac:dyDescent="0.3">
      <c r="A2593" s="37" t="s">
        <v>125</v>
      </c>
      <c r="B2593" s="55">
        <v>44939.051979166667</v>
      </c>
      <c r="C2593" s="38">
        <v>111202</v>
      </c>
    </row>
    <row r="2594" spans="1:3" x14ac:dyDescent="0.3">
      <c r="A2594" s="37" t="s">
        <v>125</v>
      </c>
      <c r="B2594" s="55">
        <v>44928.749988425923</v>
      </c>
      <c r="C2594" s="38">
        <v>105000</v>
      </c>
    </row>
    <row r="2595" spans="1:3" x14ac:dyDescent="0.3">
      <c r="A2595" s="37" t="s">
        <v>125</v>
      </c>
      <c r="B2595" s="55">
        <v>44938.337685185194</v>
      </c>
      <c r="C2595" s="38">
        <v>111202</v>
      </c>
    </row>
    <row r="2596" spans="1:3" x14ac:dyDescent="0.3">
      <c r="A2596" s="37" t="s">
        <v>125</v>
      </c>
      <c r="B2596" s="55">
        <v>44928.542997685188</v>
      </c>
      <c r="C2596" s="38">
        <v>90000</v>
      </c>
    </row>
    <row r="2597" spans="1:3" x14ac:dyDescent="0.3">
      <c r="A2597" s="37" t="s">
        <v>125</v>
      </c>
      <c r="B2597" s="55">
        <v>44930.103750000002</v>
      </c>
      <c r="C2597" s="38">
        <v>90000</v>
      </c>
    </row>
    <row r="2598" spans="1:3" x14ac:dyDescent="0.3">
      <c r="A2598" s="37" t="s">
        <v>125</v>
      </c>
      <c r="B2598" s="55">
        <v>44936.917210648149</v>
      </c>
      <c r="C2598" s="38">
        <v>120000</v>
      </c>
    </row>
    <row r="2599" spans="1:3" x14ac:dyDescent="0.3">
      <c r="A2599" s="37" t="s">
        <v>125</v>
      </c>
      <c r="B2599" s="55">
        <v>44949.542662037027</v>
      </c>
      <c r="C2599" s="38">
        <v>149000</v>
      </c>
    </row>
    <row r="2600" spans="1:3" x14ac:dyDescent="0.3">
      <c r="A2600" s="37" t="s">
        <v>125</v>
      </c>
      <c r="B2600" s="55">
        <v>44943.261956018519</v>
      </c>
      <c r="C2600" s="38">
        <v>175000</v>
      </c>
    </row>
    <row r="2601" spans="1:3" x14ac:dyDescent="0.3">
      <c r="A2601" s="37" t="s">
        <v>125</v>
      </c>
      <c r="B2601" s="55">
        <v>44929.980046296303</v>
      </c>
      <c r="C2601" s="38"/>
    </row>
    <row r="2602" spans="1:3" x14ac:dyDescent="0.3">
      <c r="A2602" s="37" t="s">
        <v>125</v>
      </c>
      <c r="B2602" s="55">
        <v>44955.010208333333</v>
      </c>
      <c r="C2602" s="38">
        <v>200000</v>
      </c>
    </row>
    <row r="2603" spans="1:3" x14ac:dyDescent="0.3">
      <c r="A2603" s="37" t="s">
        <v>125</v>
      </c>
      <c r="B2603" s="55">
        <v>44931.12599537037</v>
      </c>
      <c r="C2603" s="38">
        <v>110000</v>
      </c>
    </row>
    <row r="2604" spans="1:3" x14ac:dyDescent="0.3">
      <c r="A2604" s="37" t="s">
        <v>125</v>
      </c>
      <c r="B2604" s="55">
        <v>44939.013645833344</v>
      </c>
      <c r="C2604" s="38">
        <v>43031</v>
      </c>
    </row>
    <row r="2605" spans="1:3" x14ac:dyDescent="0.3">
      <c r="A2605" s="37" t="s">
        <v>125</v>
      </c>
      <c r="B2605" s="55">
        <v>44933.333854166667</v>
      </c>
      <c r="C2605" s="38"/>
    </row>
    <row r="2606" spans="1:3" x14ac:dyDescent="0.3">
      <c r="A2606" s="37" t="s">
        <v>125</v>
      </c>
      <c r="B2606" s="55">
        <v>44928.542546296303</v>
      </c>
      <c r="C2606" s="38">
        <v>115000</v>
      </c>
    </row>
    <row r="2607" spans="1:3" x14ac:dyDescent="0.3">
      <c r="A2607" s="37" t="s">
        <v>125</v>
      </c>
      <c r="B2607" s="55">
        <v>44957.375092592592</v>
      </c>
      <c r="C2607" s="38">
        <v>85000</v>
      </c>
    </row>
    <row r="2608" spans="1:3" x14ac:dyDescent="0.3">
      <c r="A2608" s="37" t="s">
        <v>125</v>
      </c>
      <c r="B2608" s="55">
        <v>44937.78266203704</v>
      </c>
      <c r="C2608" s="38">
        <v>95000</v>
      </c>
    </row>
    <row r="2609" spans="1:3" x14ac:dyDescent="0.3">
      <c r="A2609" s="37" t="s">
        <v>125</v>
      </c>
      <c r="B2609" s="55">
        <v>44929.979467592602</v>
      </c>
      <c r="C2609" s="38"/>
    </row>
    <row r="2610" spans="1:3" x14ac:dyDescent="0.3">
      <c r="A2610" s="37" t="s">
        <v>125</v>
      </c>
      <c r="B2610" s="55">
        <v>44953.002916666657</v>
      </c>
      <c r="C2610" s="38"/>
    </row>
    <row r="2611" spans="1:3" x14ac:dyDescent="0.3">
      <c r="A2611" s="37" t="s">
        <v>125</v>
      </c>
      <c r="B2611" s="55">
        <v>44929.980115740742</v>
      </c>
      <c r="C2611" s="38"/>
    </row>
    <row r="2612" spans="1:3" x14ac:dyDescent="0.3">
      <c r="A2612" s="37" t="s">
        <v>125</v>
      </c>
      <c r="B2612" s="55">
        <v>44944.125787037039</v>
      </c>
      <c r="C2612" s="38">
        <v>125654.5</v>
      </c>
    </row>
    <row r="2613" spans="1:3" x14ac:dyDescent="0.3">
      <c r="A2613" s="37" t="s">
        <v>125</v>
      </c>
      <c r="B2613" s="55">
        <v>44953.87641203704</v>
      </c>
      <c r="C2613" s="38"/>
    </row>
    <row r="2614" spans="1:3" x14ac:dyDescent="0.3">
      <c r="A2614" s="37" t="s">
        <v>125</v>
      </c>
      <c r="B2614" s="55">
        <v>44943.733784722222</v>
      </c>
      <c r="C2614" s="38">
        <v>51014</v>
      </c>
    </row>
    <row r="2615" spans="1:3" x14ac:dyDescent="0.3">
      <c r="A2615" s="37" t="s">
        <v>125</v>
      </c>
      <c r="B2615" s="55">
        <v>44935.861030092587</v>
      </c>
      <c r="C2615" s="38"/>
    </row>
    <row r="2616" spans="1:3" x14ac:dyDescent="0.3">
      <c r="A2616" s="37" t="s">
        <v>125</v>
      </c>
      <c r="B2616" s="55">
        <v>44931.585196759261</v>
      </c>
      <c r="C2616" s="38">
        <v>90000</v>
      </c>
    </row>
    <row r="2617" spans="1:3" x14ac:dyDescent="0.3">
      <c r="A2617" s="37" t="s">
        <v>125</v>
      </c>
      <c r="B2617" s="55">
        <v>44937.793668981481</v>
      </c>
      <c r="C2617" s="38">
        <v>104000</v>
      </c>
    </row>
    <row r="2618" spans="1:3" x14ac:dyDescent="0.3">
      <c r="A2618" s="37" t="s">
        <v>125</v>
      </c>
      <c r="B2618" s="55">
        <v>44931.583819444437</v>
      </c>
      <c r="C2618" s="38">
        <v>80000</v>
      </c>
    </row>
    <row r="2619" spans="1:3" x14ac:dyDescent="0.3">
      <c r="A2619" s="37" t="s">
        <v>125</v>
      </c>
      <c r="B2619" s="55">
        <v>44936.638206018521</v>
      </c>
      <c r="C2619" s="38">
        <v>85000</v>
      </c>
    </row>
    <row r="2620" spans="1:3" x14ac:dyDescent="0.3">
      <c r="A2620" s="37" t="s">
        <v>125</v>
      </c>
      <c r="B2620" s="55">
        <v>44951.589421296303</v>
      </c>
      <c r="C2620" s="38">
        <v>49566.5</v>
      </c>
    </row>
    <row r="2621" spans="1:3" x14ac:dyDescent="0.3">
      <c r="A2621" s="37" t="s">
        <v>125</v>
      </c>
      <c r="B2621" s="55">
        <v>44955.004201388889</v>
      </c>
      <c r="C2621" s="38">
        <v>200000</v>
      </c>
    </row>
    <row r="2622" spans="1:3" x14ac:dyDescent="0.3">
      <c r="A2622" s="37" t="s">
        <v>125</v>
      </c>
      <c r="B2622" s="55">
        <v>44950.709074074082</v>
      </c>
      <c r="C2622" s="38"/>
    </row>
    <row r="2623" spans="1:3" x14ac:dyDescent="0.3">
      <c r="A2623" s="37" t="s">
        <v>125</v>
      </c>
      <c r="B2623" s="55">
        <v>44944.499062499999</v>
      </c>
      <c r="C2623" s="38">
        <v>82500</v>
      </c>
    </row>
    <row r="2624" spans="1:3" x14ac:dyDescent="0.3">
      <c r="A2624" s="37" t="s">
        <v>125</v>
      </c>
      <c r="B2624" s="55">
        <v>44930.644282407397</v>
      </c>
      <c r="C2624" s="38">
        <v>122500</v>
      </c>
    </row>
    <row r="2625" spans="1:3" x14ac:dyDescent="0.3">
      <c r="A2625" s="37" t="s">
        <v>125</v>
      </c>
      <c r="B2625" s="55">
        <v>44929.909502314818</v>
      </c>
      <c r="C2625" s="38">
        <v>111202</v>
      </c>
    </row>
    <row r="2626" spans="1:3" x14ac:dyDescent="0.3">
      <c r="A2626" s="37" t="s">
        <v>125</v>
      </c>
      <c r="B2626" s="55">
        <v>44942.5000462963</v>
      </c>
      <c r="C2626" s="38">
        <v>115000</v>
      </c>
    </row>
    <row r="2627" spans="1:3" x14ac:dyDescent="0.3">
      <c r="A2627" s="37" t="s">
        <v>125</v>
      </c>
      <c r="B2627" s="55">
        <v>44949.725648148153</v>
      </c>
      <c r="C2627" s="38"/>
    </row>
    <row r="2628" spans="1:3" x14ac:dyDescent="0.3">
      <c r="A2628" s="37" t="s">
        <v>125</v>
      </c>
      <c r="B2628" s="55">
        <v>44939.960497685177</v>
      </c>
      <c r="C2628" s="38"/>
    </row>
    <row r="2629" spans="1:3" x14ac:dyDescent="0.3">
      <c r="A2629" s="37" t="s">
        <v>125</v>
      </c>
      <c r="B2629" s="55">
        <v>44929.685995370368</v>
      </c>
      <c r="C2629" s="38">
        <v>105000</v>
      </c>
    </row>
    <row r="2630" spans="1:3" x14ac:dyDescent="0.3">
      <c r="A2630" s="37" t="s">
        <v>125</v>
      </c>
      <c r="B2630" s="55">
        <v>44952.725775462961</v>
      </c>
      <c r="C2630" s="38">
        <v>111175</v>
      </c>
    </row>
    <row r="2631" spans="1:3" x14ac:dyDescent="0.3">
      <c r="A2631" s="37" t="s">
        <v>125</v>
      </c>
      <c r="B2631" s="55">
        <v>44931.334791666668</v>
      </c>
      <c r="C2631" s="38">
        <v>90000</v>
      </c>
    </row>
    <row r="2632" spans="1:3" x14ac:dyDescent="0.3">
      <c r="A2632" s="37" t="s">
        <v>125</v>
      </c>
      <c r="B2632" s="55">
        <v>44944.932233796288</v>
      </c>
      <c r="C2632" s="38">
        <v>111175</v>
      </c>
    </row>
    <row r="2633" spans="1:3" x14ac:dyDescent="0.3">
      <c r="A2633" s="37" t="s">
        <v>125</v>
      </c>
      <c r="B2633" s="55">
        <v>44949.793182870373</v>
      </c>
      <c r="C2633" s="38">
        <v>83298</v>
      </c>
    </row>
    <row r="2634" spans="1:3" x14ac:dyDescent="0.3">
      <c r="A2634" s="37" t="s">
        <v>125</v>
      </c>
      <c r="B2634" s="55">
        <v>44940.514236111107</v>
      </c>
      <c r="C2634" s="38">
        <v>111202</v>
      </c>
    </row>
    <row r="2635" spans="1:3" x14ac:dyDescent="0.3">
      <c r="A2635" s="37" t="s">
        <v>125</v>
      </c>
      <c r="B2635" s="55">
        <v>44929.977951388893</v>
      </c>
      <c r="C2635" s="38">
        <v>130000</v>
      </c>
    </row>
    <row r="2636" spans="1:3" x14ac:dyDescent="0.3">
      <c r="A2636" s="37" t="s">
        <v>125</v>
      </c>
      <c r="B2636" s="55">
        <v>44949.372488425928</v>
      </c>
      <c r="C2636" s="38">
        <v>111175</v>
      </c>
    </row>
    <row r="2637" spans="1:3" x14ac:dyDescent="0.3">
      <c r="A2637" s="37" t="s">
        <v>125</v>
      </c>
      <c r="B2637" s="55">
        <v>44937.502453703702</v>
      </c>
      <c r="C2637" s="38">
        <v>110000</v>
      </c>
    </row>
    <row r="2638" spans="1:3" x14ac:dyDescent="0.3">
      <c r="A2638" s="37" t="s">
        <v>125</v>
      </c>
      <c r="B2638" s="55">
        <v>44930.019907407397</v>
      </c>
      <c r="C2638" s="38"/>
    </row>
    <row r="2639" spans="1:3" x14ac:dyDescent="0.3">
      <c r="A2639" s="37" t="s">
        <v>125</v>
      </c>
      <c r="B2639" s="55">
        <v>44932.651805555557</v>
      </c>
      <c r="C2639" s="38">
        <v>100500</v>
      </c>
    </row>
    <row r="2640" spans="1:3" x14ac:dyDescent="0.3">
      <c r="A2640" s="37" t="s">
        <v>125</v>
      </c>
      <c r="B2640" s="55">
        <v>44943.916921296302</v>
      </c>
      <c r="C2640" s="38"/>
    </row>
    <row r="2641" spans="1:3" x14ac:dyDescent="0.3">
      <c r="A2641" s="37" t="s">
        <v>125</v>
      </c>
      <c r="B2641" s="55">
        <v>44944.667731481481</v>
      </c>
      <c r="C2641" s="38"/>
    </row>
    <row r="2642" spans="1:3" x14ac:dyDescent="0.3">
      <c r="A2642" s="37" t="s">
        <v>125</v>
      </c>
      <c r="B2642" s="55">
        <v>44933.792129629634</v>
      </c>
      <c r="C2642" s="38">
        <v>148290</v>
      </c>
    </row>
    <row r="2643" spans="1:3" x14ac:dyDescent="0.3">
      <c r="A2643" s="37" t="s">
        <v>125</v>
      </c>
      <c r="B2643" s="55">
        <v>44934.001319444447</v>
      </c>
      <c r="C2643" s="38">
        <v>80000</v>
      </c>
    </row>
    <row r="2644" spans="1:3" x14ac:dyDescent="0.3">
      <c r="A2644" s="37" t="s">
        <v>125</v>
      </c>
      <c r="B2644" s="55">
        <v>44935.833298611113</v>
      </c>
      <c r="C2644" s="38">
        <v>111202</v>
      </c>
    </row>
    <row r="2645" spans="1:3" x14ac:dyDescent="0.3">
      <c r="A2645" s="37" t="s">
        <v>125</v>
      </c>
      <c r="B2645" s="55">
        <v>44929.895798611113</v>
      </c>
      <c r="C2645" s="38">
        <v>145000</v>
      </c>
    </row>
    <row r="2646" spans="1:3" x14ac:dyDescent="0.3">
      <c r="A2646" s="37" t="s">
        <v>125</v>
      </c>
      <c r="B2646" s="55">
        <v>44935.666678240741</v>
      </c>
      <c r="C2646" s="38">
        <v>130000</v>
      </c>
    </row>
    <row r="2647" spans="1:3" x14ac:dyDescent="0.3">
      <c r="A2647" s="37" t="s">
        <v>125</v>
      </c>
      <c r="B2647" s="55">
        <v>44942.000034722223</v>
      </c>
      <c r="C2647" s="38">
        <v>175000</v>
      </c>
    </row>
    <row r="2648" spans="1:3" x14ac:dyDescent="0.3">
      <c r="A2648" s="37" t="s">
        <v>125</v>
      </c>
      <c r="B2648" s="55">
        <v>44943.426145833328</v>
      </c>
      <c r="C2648" s="38">
        <v>111175</v>
      </c>
    </row>
    <row r="2649" spans="1:3" x14ac:dyDescent="0.3">
      <c r="A2649" s="37" t="s">
        <v>125</v>
      </c>
      <c r="B2649" s="55">
        <v>44936.866550925923</v>
      </c>
      <c r="C2649" s="38">
        <v>89100</v>
      </c>
    </row>
    <row r="2650" spans="1:3" x14ac:dyDescent="0.3">
      <c r="A2650" s="37" t="s">
        <v>125</v>
      </c>
      <c r="B2650" s="55">
        <v>44944.461145833331</v>
      </c>
      <c r="C2650" s="38">
        <v>115000</v>
      </c>
    </row>
    <row r="2651" spans="1:3" x14ac:dyDescent="0.3">
      <c r="A2651" s="37" t="s">
        <v>125</v>
      </c>
      <c r="B2651" s="55">
        <v>44951.251423611109</v>
      </c>
      <c r="C2651" s="38">
        <v>99150</v>
      </c>
    </row>
    <row r="2652" spans="1:3" x14ac:dyDescent="0.3">
      <c r="A2652" s="37" t="s">
        <v>125</v>
      </c>
      <c r="B2652" s="55">
        <v>44957.883101851847</v>
      </c>
      <c r="C2652" s="38">
        <v>89100</v>
      </c>
    </row>
    <row r="2653" spans="1:3" x14ac:dyDescent="0.3">
      <c r="A2653" s="37" t="s">
        <v>125</v>
      </c>
      <c r="B2653" s="55">
        <v>44955.010254629633</v>
      </c>
      <c r="C2653" s="38"/>
    </row>
    <row r="2654" spans="1:3" x14ac:dyDescent="0.3">
      <c r="A2654" s="37" t="s">
        <v>125</v>
      </c>
      <c r="B2654" s="55">
        <v>44936.305694444447</v>
      </c>
      <c r="C2654" s="38">
        <v>90000</v>
      </c>
    </row>
    <row r="2655" spans="1:3" x14ac:dyDescent="0.3">
      <c r="A2655" s="37" t="s">
        <v>125</v>
      </c>
      <c r="B2655" s="55">
        <v>44951.001400462963</v>
      </c>
      <c r="C2655" s="38"/>
    </row>
    <row r="2656" spans="1:3" x14ac:dyDescent="0.3">
      <c r="A2656" s="37" t="s">
        <v>125</v>
      </c>
      <c r="B2656" s="55">
        <v>44931.875601851847</v>
      </c>
      <c r="C2656" s="38"/>
    </row>
    <row r="2657" spans="1:3" x14ac:dyDescent="0.3">
      <c r="A2657" s="37" t="s">
        <v>125</v>
      </c>
      <c r="B2657" s="55">
        <v>44930.959282407413</v>
      </c>
      <c r="C2657" s="38">
        <v>135000</v>
      </c>
    </row>
    <row r="2658" spans="1:3" x14ac:dyDescent="0.3">
      <c r="A2658" s="37" t="s">
        <v>125</v>
      </c>
      <c r="B2658" s="55">
        <v>44931.125081018523</v>
      </c>
      <c r="C2658" s="38">
        <v>105000</v>
      </c>
    </row>
    <row r="2659" spans="1:3" x14ac:dyDescent="0.3">
      <c r="A2659" s="37" t="s">
        <v>125</v>
      </c>
      <c r="B2659" s="55">
        <v>44953.459675925929</v>
      </c>
      <c r="C2659" s="38">
        <v>115000</v>
      </c>
    </row>
    <row r="2660" spans="1:3" x14ac:dyDescent="0.3">
      <c r="A2660" s="37" t="s">
        <v>125</v>
      </c>
      <c r="B2660" s="55">
        <v>44956.874976851846</v>
      </c>
      <c r="C2660" s="38"/>
    </row>
    <row r="2661" spans="1:3" x14ac:dyDescent="0.3">
      <c r="A2661" s="37" t="s">
        <v>125</v>
      </c>
      <c r="B2661" s="55">
        <v>44951.292094907411</v>
      </c>
      <c r="C2661" s="38">
        <v>160000</v>
      </c>
    </row>
    <row r="2662" spans="1:3" x14ac:dyDescent="0.3">
      <c r="A2662" s="37" t="s">
        <v>125</v>
      </c>
      <c r="B2662" s="55">
        <v>44957.8750462963</v>
      </c>
      <c r="C2662" s="38">
        <v>100000</v>
      </c>
    </row>
    <row r="2663" spans="1:3" x14ac:dyDescent="0.3">
      <c r="A2663" s="37" t="s">
        <v>125</v>
      </c>
      <c r="B2663" s="55">
        <v>44950.333402777767</v>
      </c>
      <c r="C2663" s="38">
        <v>115000</v>
      </c>
    </row>
    <row r="2664" spans="1:3" x14ac:dyDescent="0.3">
      <c r="A2664" s="37" t="s">
        <v>125</v>
      </c>
      <c r="B2664" s="55">
        <v>44931.91847222222</v>
      </c>
      <c r="C2664" s="38"/>
    </row>
    <row r="2665" spans="1:3" x14ac:dyDescent="0.3">
      <c r="A2665" s="37" t="s">
        <v>125</v>
      </c>
      <c r="B2665" s="55">
        <v>44950.166608796288</v>
      </c>
      <c r="C2665" s="38">
        <v>106661.5</v>
      </c>
    </row>
    <row r="2666" spans="1:3" x14ac:dyDescent="0.3">
      <c r="A2666" s="37" t="s">
        <v>125</v>
      </c>
      <c r="B2666" s="55">
        <v>44955.001840277779</v>
      </c>
      <c r="C2666" s="38"/>
    </row>
    <row r="2667" spans="1:3" x14ac:dyDescent="0.3">
      <c r="A2667" s="37" t="s">
        <v>125</v>
      </c>
      <c r="B2667" s="55">
        <v>44929.979305555556</v>
      </c>
      <c r="C2667" s="38"/>
    </row>
    <row r="2668" spans="1:3" x14ac:dyDescent="0.3">
      <c r="A2668" s="37" t="s">
        <v>125</v>
      </c>
      <c r="B2668" s="55">
        <v>44952.47074074074</v>
      </c>
      <c r="C2668" s="38">
        <v>105300</v>
      </c>
    </row>
    <row r="2669" spans="1:3" x14ac:dyDescent="0.3">
      <c r="A2669" s="37" t="s">
        <v>125</v>
      </c>
      <c r="B2669" s="55">
        <v>44956.95957175926</v>
      </c>
      <c r="C2669" s="38"/>
    </row>
    <row r="2670" spans="1:3" x14ac:dyDescent="0.3">
      <c r="A2670" s="37" t="s">
        <v>125</v>
      </c>
      <c r="B2670" s="55">
        <v>44952.917430555557</v>
      </c>
      <c r="C2670" s="38"/>
    </row>
    <row r="2671" spans="1:3" x14ac:dyDescent="0.3">
      <c r="A2671" s="37" t="s">
        <v>125</v>
      </c>
      <c r="B2671" s="55">
        <v>44944.459074074082</v>
      </c>
      <c r="C2671" s="38">
        <v>105000</v>
      </c>
    </row>
    <row r="2672" spans="1:3" x14ac:dyDescent="0.3">
      <c r="A2672" s="37" t="s">
        <v>125</v>
      </c>
      <c r="B2672" s="55">
        <v>44946.013124999998</v>
      </c>
      <c r="C2672" s="38">
        <v>90601</v>
      </c>
    </row>
    <row r="2673" spans="1:3" x14ac:dyDescent="0.3">
      <c r="A2673" s="37" t="s">
        <v>125</v>
      </c>
      <c r="B2673" s="55">
        <v>44939.250219907408</v>
      </c>
      <c r="C2673" s="38">
        <v>66746.03125</v>
      </c>
    </row>
    <row r="2674" spans="1:3" x14ac:dyDescent="0.3">
      <c r="A2674" s="37" t="s">
        <v>125</v>
      </c>
      <c r="B2674" s="55">
        <v>44932.834444444437</v>
      </c>
      <c r="C2674" s="38">
        <v>100000</v>
      </c>
    </row>
    <row r="2675" spans="1:3" x14ac:dyDescent="0.3">
      <c r="A2675" s="37" t="s">
        <v>125</v>
      </c>
      <c r="B2675" s="55">
        <v>44936.791944444441</v>
      </c>
      <c r="C2675" s="38"/>
    </row>
    <row r="2676" spans="1:3" x14ac:dyDescent="0.3">
      <c r="A2676" s="37" t="s">
        <v>125</v>
      </c>
      <c r="B2676" s="55">
        <v>44950.667407407411</v>
      </c>
      <c r="C2676" s="38"/>
    </row>
    <row r="2677" spans="1:3" x14ac:dyDescent="0.3">
      <c r="A2677" s="37" t="s">
        <v>125</v>
      </c>
      <c r="B2677" s="55">
        <v>44951.335173611107</v>
      </c>
      <c r="C2677" s="38">
        <v>91960</v>
      </c>
    </row>
    <row r="2678" spans="1:3" x14ac:dyDescent="0.3">
      <c r="A2678" s="37" t="s">
        <v>125</v>
      </c>
      <c r="B2678" s="55">
        <v>44930.102314814823</v>
      </c>
      <c r="C2678" s="38">
        <v>125000</v>
      </c>
    </row>
    <row r="2679" spans="1:3" x14ac:dyDescent="0.3">
      <c r="A2679" s="37" t="s">
        <v>125</v>
      </c>
      <c r="B2679" s="55">
        <v>44930.104212962957</v>
      </c>
      <c r="C2679" s="38">
        <v>90000</v>
      </c>
    </row>
    <row r="2680" spans="1:3" x14ac:dyDescent="0.3">
      <c r="A2680" s="37" t="s">
        <v>125</v>
      </c>
      <c r="B2680" s="55">
        <v>44936.833819444437</v>
      </c>
      <c r="C2680" s="38">
        <v>90000</v>
      </c>
    </row>
    <row r="2681" spans="1:3" x14ac:dyDescent="0.3">
      <c r="A2681" s="37" t="s">
        <v>125</v>
      </c>
      <c r="B2681" s="55">
        <v>44950.750069444453</v>
      </c>
      <c r="C2681" s="38">
        <v>85000</v>
      </c>
    </row>
    <row r="2682" spans="1:3" x14ac:dyDescent="0.3">
      <c r="A2682" s="37" t="s">
        <v>125</v>
      </c>
      <c r="B2682" s="55">
        <v>44935.541597222233</v>
      </c>
      <c r="C2682" s="38">
        <v>126000</v>
      </c>
    </row>
    <row r="2683" spans="1:3" x14ac:dyDescent="0.3">
      <c r="A2683" s="37" t="s">
        <v>125</v>
      </c>
      <c r="B2683" s="55">
        <v>44939.41988425926</v>
      </c>
      <c r="C2683" s="38">
        <v>115000</v>
      </c>
    </row>
    <row r="2684" spans="1:3" x14ac:dyDescent="0.3">
      <c r="A2684" s="37" t="s">
        <v>125</v>
      </c>
      <c r="B2684" s="55">
        <v>44928.085416666669</v>
      </c>
      <c r="C2684" s="38">
        <v>170000</v>
      </c>
    </row>
    <row r="2685" spans="1:3" x14ac:dyDescent="0.3">
      <c r="A2685" s="37" t="s">
        <v>125</v>
      </c>
      <c r="B2685" s="55">
        <v>44932.542650462958</v>
      </c>
      <c r="C2685" s="38">
        <v>85000</v>
      </c>
    </row>
    <row r="2686" spans="1:3" x14ac:dyDescent="0.3">
      <c r="A2686" s="37" t="s">
        <v>125</v>
      </c>
      <c r="B2686" s="55">
        <v>44945.604872685188</v>
      </c>
      <c r="C2686" s="38">
        <v>112500</v>
      </c>
    </row>
    <row r="2687" spans="1:3" x14ac:dyDescent="0.3">
      <c r="A2687" s="37" t="s">
        <v>125</v>
      </c>
      <c r="B2687" s="55">
        <v>44947.545173611114</v>
      </c>
      <c r="C2687" s="38">
        <v>95150</v>
      </c>
    </row>
    <row r="2688" spans="1:3" x14ac:dyDescent="0.3">
      <c r="A2688" s="37" t="s">
        <v>125</v>
      </c>
      <c r="B2688" s="55">
        <v>44936.810949074083</v>
      </c>
      <c r="C2688" s="38">
        <v>79200</v>
      </c>
    </row>
    <row r="2689" spans="1:3" x14ac:dyDescent="0.3">
      <c r="A2689" s="37" t="s">
        <v>126</v>
      </c>
      <c r="B2689" s="55">
        <v>44933.921157407407</v>
      </c>
      <c r="C2689" s="38">
        <v>135000</v>
      </c>
    </row>
    <row r="2690" spans="1:3" x14ac:dyDescent="0.3">
      <c r="A2690" s="37" t="s">
        <v>126</v>
      </c>
      <c r="B2690" s="55">
        <v>44938.38957175926</v>
      </c>
      <c r="C2690" s="38">
        <v>138200</v>
      </c>
    </row>
    <row r="2691" spans="1:3" x14ac:dyDescent="0.3">
      <c r="A2691" s="37" t="s">
        <v>126</v>
      </c>
      <c r="B2691" s="55">
        <v>44953.672997685193</v>
      </c>
      <c r="C2691" s="38">
        <v>170672</v>
      </c>
    </row>
    <row r="2692" spans="1:3" x14ac:dyDescent="0.3">
      <c r="A2692" s="37" t="s">
        <v>126</v>
      </c>
      <c r="B2692" s="55">
        <v>44953.29965277778</v>
      </c>
      <c r="C2692" s="38">
        <v>150000</v>
      </c>
    </row>
    <row r="2693" spans="1:3" x14ac:dyDescent="0.3">
      <c r="A2693" s="37" t="s">
        <v>126</v>
      </c>
      <c r="B2693" s="55">
        <v>44936.34983796296</v>
      </c>
      <c r="C2693" s="38"/>
    </row>
    <row r="2694" spans="1:3" x14ac:dyDescent="0.3">
      <c r="A2694" s="37" t="s">
        <v>126</v>
      </c>
      <c r="B2694" s="55">
        <v>44930.441689814812</v>
      </c>
      <c r="C2694" s="38">
        <v>150000</v>
      </c>
    </row>
    <row r="2695" spans="1:3" x14ac:dyDescent="0.3">
      <c r="A2695" s="37" t="s">
        <v>126</v>
      </c>
      <c r="B2695" s="55">
        <v>44948.417974537027</v>
      </c>
      <c r="C2695" s="38">
        <v>150000</v>
      </c>
    </row>
    <row r="2696" spans="1:3" x14ac:dyDescent="0.3">
      <c r="A2696" s="37" t="s">
        <v>126</v>
      </c>
      <c r="B2696" s="55">
        <v>44932.71471064815</v>
      </c>
      <c r="C2696" s="38">
        <v>140000</v>
      </c>
    </row>
    <row r="2697" spans="1:3" x14ac:dyDescent="0.3">
      <c r="A2697" s="37" t="s">
        <v>126</v>
      </c>
      <c r="B2697" s="55">
        <v>44939.591481481482</v>
      </c>
      <c r="C2697" s="38">
        <v>150000</v>
      </c>
    </row>
    <row r="2698" spans="1:3" x14ac:dyDescent="0.3">
      <c r="A2698" s="37" t="s">
        <v>126</v>
      </c>
      <c r="B2698" s="55">
        <v>44939.797500000001</v>
      </c>
      <c r="C2698" s="38">
        <v>156596</v>
      </c>
    </row>
    <row r="2699" spans="1:3" x14ac:dyDescent="0.3">
      <c r="A2699" s="37" t="s">
        <v>126</v>
      </c>
      <c r="B2699" s="55">
        <v>44942.349699074082</v>
      </c>
      <c r="C2699" s="38"/>
    </row>
    <row r="2700" spans="1:3" x14ac:dyDescent="0.3">
      <c r="A2700" s="37" t="s">
        <v>126</v>
      </c>
      <c r="B2700" s="55">
        <v>44945.826203703713</v>
      </c>
      <c r="C2700" s="38">
        <v>95000</v>
      </c>
    </row>
    <row r="2701" spans="1:3" x14ac:dyDescent="0.3">
      <c r="A2701" s="37" t="s">
        <v>126</v>
      </c>
      <c r="B2701" s="55">
        <v>44951.333391203712</v>
      </c>
      <c r="C2701" s="38">
        <v>147500</v>
      </c>
    </row>
    <row r="2702" spans="1:3" x14ac:dyDescent="0.3">
      <c r="A2702" s="37" t="s">
        <v>126</v>
      </c>
      <c r="B2702" s="55">
        <v>44930.568206018521</v>
      </c>
      <c r="C2702" s="38">
        <v>155000</v>
      </c>
    </row>
    <row r="2703" spans="1:3" x14ac:dyDescent="0.3">
      <c r="A2703" s="37" t="s">
        <v>126</v>
      </c>
      <c r="B2703" s="55">
        <v>44930.61074074074</v>
      </c>
      <c r="C2703" s="38">
        <v>135600</v>
      </c>
    </row>
    <row r="2704" spans="1:3" x14ac:dyDescent="0.3">
      <c r="A2704" s="37" t="s">
        <v>126</v>
      </c>
      <c r="B2704" s="55">
        <v>44938.256631944438</v>
      </c>
      <c r="C2704" s="38">
        <v>165000</v>
      </c>
    </row>
    <row r="2705" spans="1:3" x14ac:dyDescent="0.3">
      <c r="A2705" s="37" t="s">
        <v>126</v>
      </c>
      <c r="B2705" s="55">
        <v>44939.882800925923</v>
      </c>
      <c r="C2705" s="38">
        <v>156596</v>
      </c>
    </row>
    <row r="2706" spans="1:3" x14ac:dyDescent="0.3">
      <c r="A2706" s="37" t="s">
        <v>126</v>
      </c>
      <c r="B2706" s="55">
        <v>44940.67260416667</v>
      </c>
      <c r="C2706" s="38">
        <v>200000</v>
      </c>
    </row>
    <row r="2707" spans="1:3" x14ac:dyDescent="0.3">
      <c r="A2707" s="37" t="s">
        <v>126</v>
      </c>
      <c r="B2707" s="55">
        <v>44928.421493055554</v>
      </c>
      <c r="C2707" s="38">
        <v>150000</v>
      </c>
    </row>
    <row r="2708" spans="1:3" x14ac:dyDescent="0.3">
      <c r="A2708" s="37" t="s">
        <v>126</v>
      </c>
      <c r="B2708" s="55">
        <v>44944.035196759258</v>
      </c>
      <c r="C2708" s="38"/>
    </row>
    <row r="2709" spans="1:3" x14ac:dyDescent="0.3">
      <c r="A2709" s="37" t="s">
        <v>126</v>
      </c>
      <c r="B2709" s="55">
        <v>44942.491053240738</v>
      </c>
      <c r="C2709" s="38">
        <v>135000</v>
      </c>
    </row>
    <row r="2710" spans="1:3" x14ac:dyDescent="0.3">
      <c r="A2710" s="37" t="s">
        <v>126</v>
      </c>
      <c r="B2710" s="55">
        <v>44949.880578703713</v>
      </c>
      <c r="C2710" s="38">
        <v>160000</v>
      </c>
    </row>
    <row r="2711" spans="1:3" x14ac:dyDescent="0.3">
      <c r="A2711" s="37" t="s">
        <v>126</v>
      </c>
      <c r="B2711" s="55">
        <v>44931.19059027778</v>
      </c>
      <c r="C2711" s="38">
        <v>147500</v>
      </c>
    </row>
    <row r="2712" spans="1:3" x14ac:dyDescent="0.3">
      <c r="A2712" s="37" t="s">
        <v>126</v>
      </c>
      <c r="B2712" s="55">
        <v>44931.254618055558</v>
      </c>
      <c r="C2712" s="38">
        <v>90000</v>
      </c>
    </row>
    <row r="2713" spans="1:3" x14ac:dyDescent="0.3">
      <c r="A2713" s="37" t="s">
        <v>126</v>
      </c>
      <c r="B2713" s="55">
        <v>44929.733460648153</v>
      </c>
      <c r="C2713" s="38"/>
    </row>
    <row r="2714" spans="1:3" x14ac:dyDescent="0.3">
      <c r="A2714" s="37" t="s">
        <v>126</v>
      </c>
      <c r="B2714" s="55">
        <v>44953.299629629633</v>
      </c>
      <c r="C2714" s="38">
        <v>182000</v>
      </c>
    </row>
    <row r="2715" spans="1:3" x14ac:dyDescent="0.3">
      <c r="A2715" s="37" t="s">
        <v>126</v>
      </c>
      <c r="B2715" s="55">
        <v>44936.005844907413</v>
      </c>
      <c r="C2715" s="38">
        <v>156596</v>
      </c>
    </row>
    <row r="2716" spans="1:3" x14ac:dyDescent="0.3">
      <c r="A2716" s="37" t="s">
        <v>126</v>
      </c>
      <c r="B2716" s="55">
        <v>44950.179780092592</v>
      </c>
      <c r="C2716" s="38">
        <v>147500</v>
      </c>
    </row>
    <row r="2717" spans="1:3" x14ac:dyDescent="0.3">
      <c r="A2717" s="37" t="s">
        <v>126</v>
      </c>
      <c r="B2717" s="55">
        <v>44947.028946759259</v>
      </c>
      <c r="C2717" s="38">
        <v>150000</v>
      </c>
    </row>
    <row r="2718" spans="1:3" x14ac:dyDescent="0.3">
      <c r="A2718" s="37" t="s">
        <v>126</v>
      </c>
      <c r="B2718" s="55">
        <v>44936.97693287037</v>
      </c>
      <c r="C2718" s="38">
        <v>190000</v>
      </c>
    </row>
    <row r="2719" spans="1:3" x14ac:dyDescent="0.3">
      <c r="A2719" s="37" t="s">
        <v>126</v>
      </c>
      <c r="B2719" s="55">
        <v>44931.022337962961</v>
      </c>
      <c r="C2719" s="38">
        <v>170672</v>
      </c>
    </row>
    <row r="2720" spans="1:3" x14ac:dyDescent="0.3">
      <c r="A2720" s="37" t="s">
        <v>126</v>
      </c>
      <c r="B2720" s="55">
        <v>44938.08666666667</v>
      </c>
      <c r="C2720" s="38">
        <v>45000</v>
      </c>
    </row>
    <row r="2721" spans="1:3" x14ac:dyDescent="0.3">
      <c r="A2721" s="37" t="s">
        <v>126</v>
      </c>
      <c r="B2721" s="55">
        <v>44932.881631944438</v>
      </c>
      <c r="C2721" s="38"/>
    </row>
    <row r="2722" spans="1:3" x14ac:dyDescent="0.3">
      <c r="A2722" s="37" t="s">
        <v>126</v>
      </c>
      <c r="B2722" s="55">
        <v>44931.021435185183</v>
      </c>
      <c r="C2722" s="38">
        <v>170672</v>
      </c>
    </row>
    <row r="2723" spans="1:3" x14ac:dyDescent="0.3">
      <c r="A2723" s="37" t="s">
        <v>126</v>
      </c>
      <c r="B2723" s="55">
        <v>44927.71297453704</v>
      </c>
      <c r="C2723" s="38">
        <v>137150</v>
      </c>
    </row>
    <row r="2724" spans="1:3" x14ac:dyDescent="0.3">
      <c r="A2724" s="37" t="s">
        <v>126</v>
      </c>
      <c r="B2724" s="55">
        <v>44930.990706018521</v>
      </c>
      <c r="C2724" s="38">
        <v>147500</v>
      </c>
    </row>
    <row r="2725" spans="1:3" x14ac:dyDescent="0.3">
      <c r="A2725" s="37" t="s">
        <v>126</v>
      </c>
      <c r="B2725" s="55">
        <v>44933.192106481481</v>
      </c>
      <c r="C2725" s="38">
        <v>147500</v>
      </c>
    </row>
    <row r="2726" spans="1:3" x14ac:dyDescent="0.3">
      <c r="A2726" s="37" t="s">
        <v>126</v>
      </c>
      <c r="B2726" s="55">
        <v>44931.270451388889</v>
      </c>
      <c r="C2726" s="38">
        <v>156596</v>
      </c>
    </row>
    <row r="2727" spans="1:3" x14ac:dyDescent="0.3">
      <c r="A2727" s="37" t="s">
        <v>126</v>
      </c>
      <c r="B2727" s="55">
        <v>44954.338587962957</v>
      </c>
      <c r="C2727" s="38">
        <v>135000</v>
      </c>
    </row>
    <row r="2728" spans="1:3" x14ac:dyDescent="0.3">
      <c r="A2728" s="37" t="s">
        <v>126</v>
      </c>
      <c r="B2728" s="55">
        <v>44957.753645833327</v>
      </c>
      <c r="C2728" s="38">
        <v>300000</v>
      </c>
    </row>
    <row r="2729" spans="1:3" x14ac:dyDescent="0.3">
      <c r="A2729" s="37" t="s">
        <v>126</v>
      </c>
      <c r="B2729" s="55">
        <v>44939.307650462957</v>
      </c>
      <c r="C2729" s="38">
        <v>125000</v>
      </c>
    </row>
    <row r="2730" spans="1:3" x14ac:dyDescent="0.3">
      <c r="A2730" s="37" t="s">
        <v>126</v>
      </c>
      <c r="B2730" s="55">
        <v>44930.520578703698</v>
      </c>
      <c r="C2730" s="38">
        <v>180000</v>
      </c>
    </row>
    <row r="2731" spans="1:3" x14ac:dyDescent="0.3">
      <c r="A2731" s="37" t="s">
        <v>126</v>
      </c>
      <c r="B2731" s="55">
        <v>44936.600023148138</v>
      </c>
      <c r="C2731" s="38"/>
    </row>
    <row r="2732" spans="1:3" x14ac:dyDescent="0.3">
      <c r="A2732" s="37" t="s">
        <v>126</v>
      </c>
      <c r="B2732" s="55">
        <v>44949.935150462959</v>
      </c>
      <c r="C2732" s="38">
        <v>170000</v>
      </c>
    </row>
    <row r="2733" spans="1:3" x14ac:dyDescent="0.3">
      <c r="A2733" s="37" t="s">
        <v>126</v>
      </c>
      <c r="B2733" s="55">
        <v>44934.212534722217</v>
      </c>
      <c r="C2733" s="38">
        <v>156596</v>
      </c>
    </row>
    <row r="2734" spans="1:3" x14ac:dyDescent="0.3">
      <c r="A2734" s="37" t="s">
        <v>126</v>
      </c>
      <c r="B2734" s="55">
        <v>44933.060416666667</v>
      </c>
      <c r="C2734" s="38">
        <v>147500</v>
      </c>
    </row>
    <row r="2735" spans="1:3" x14ac:dyDescent="0.3">
      <c r="A2735" s="37" t="s">
        <v>126</v>
      </c>
      <c r="B2735" s="55">
        <v>44932.671041666668</v>
      </c>
      <c r="C2735" s="38">
        <v>181500</v>
      </c>
    </row>
    <row r="2736" spans="1:3" x14ac:dyDescent="0.3">
      <c r="A2736" s="37" t="s">
        <v>126</v>
      </c>
      <c r="B2736" s="55">
        <v>44956.922407407408</v>
      </c>
      <c r="C2736" s="38"/>
    </row>
    <row r="2737" spans="1:3" x14ac:dyDescent="0.3">
      <c r="A2737" s="37" t="s">
        <v>126</v>
      </c>
      <c r="B2737" s="55">
        <v>44930.525983796288</v>
      </c>
      <c r="C2737" s="38">
        <v>155000</v>
      </c>
    </row>
    <row r="2738" spans="1:3" x14ac:dyDescent="0.3">
      <c r="A2738" s="37" t="s">
        <v>126</v>
      </c>
      <c r="B2738" s="55">
        <v>44932.754571759258</v>
      </c>
      <c r="C2738" s="38">
        <v>135600</v>
      </c>
    </row>
    <row r="2739" spans="1:3" x14ac:dyDescent="0.3">
      <c r="A2739" s="37" t="s">
        <v>126</v>
      </c>
      <c r="B2739" s="55">
        <v>44928.588206018518</v>
      </c>
      <c r="C2739" s="38">
        <v>190000</v>
      </c>
    </row>
    <row r="2740" spans="1:3" x14ac:dyDescent="0.3">
      <c r="A2740" s="37" t="s">
        <v>126</v>
      </c>
      <c r="B2740" s="55">
        <v>44951.586388888893</v>
      </c>
      <c r="C2740" s="38">
        <v>147500</v>
      </c>
    </row>
    <row r="2741" spans="1:3" x14ac:dyDescent="0.3">
      <c r="A2741" s="37" t="s">
        <v>126</v>
      </c>
      <c r="B2741" s="55">
        <v>44935.045173611114</v>
      </c>
      <c r="C2741" s="38">
        <v>155000</v>
      </c>
    </row>
    <row r="2742" spans="1:3" x14ac:dyDescent="0.3">
      <c r="A2742" s="37" t="s">
        <v>126</v>
      </c>
      <c r="B2742" s="55">
        <v>44953.884108796286</v>
      </c>
      <c r="C2742" s="38">
        <v>147500</v>
      </c>
    </row>
    <row r="2743" spans="1:3" x14ac:dyDescent="0.3">
      <c r="A2743" s="37" t="s">
        <v>126</v>
      </c>
      <c r="B2743" s="55">
        <v>44944.716111111113</v>
      </c>
      <c r="C2743" s="38">
        <v>172500</v>
      </c>
    </row>
    <row r="2744" spans="1:3" x14ac:dyDescent="0.3">
      <c r="A2744" s="37" t="s">
        <v>126</v>
      </c>
      <c r="B2744" s="55">
        <v>44953.632604166669</v>
      </c>
      <c r="C2744" s="38">
        <v>250000</v>
      </c>
    </row>
    <row r="2745" spans="1:3" x14ac:dyDescent="0.3">
      <c r="A2745" s="37" t="s">
        <v>126</v>
      </c>
      <c r="B2745" s="55">
        <v>44948.711111111108</v>
      </c>
      <c r="C2745" s="38">
        <v>147500</v>
      </c>
    </row>
    <row r="2746" spans="1:3" x14ac:dyDescent="0.3">
      <c r="A2746" s="37" t="s">
        <v>126</v>
      </c>
      <c r="B2746" s="55">
        <v>44953.675138888888</v>
      </c>
      <c r="C2746" s="38">
        <v>170672</v>
      </c>
    </row>
    <row r="2747" spans="1:3" x14ac:dyDescent="0.3">
      <c r="A2747" s="37" t="s">
        <v>126</v>
      </c>
      <c r="B2747" s="55">
        <v>44931.131712962961</v>
      </c>
      <c r="C2747" s="38">
        <v>180000</v>
      </c>
    </row>
    <row r="2748" spans="1:3" x14ac:dyDescent="0.3">
      <c r="A2748" s="37" t="s">
        <v>126</v>
      </c>
      <c r="B2748" s="55">
        <v>44936.768090277779</v>
      </c>
      <c r="C2748" s="38">
        <v>127500</v>
      </c>
    </row>
    <row r="2749" spans="1:3" x14ac:dyDescent="0.3">
      <c r="A2749" s="37" t="s">
        <v>126</v>
      </c>
      <c r="B2749" s="55">
        <v>44935.672199074077</v>
      </c>
      <c r="C2749" s="38"/>
    </row>
    <row r="2750" spans="1:3" x14ac:dyDescent="0.3">
      <c r="A2750" s="37" t="s">
        <v>126</v>
      </c>
      <c r="B2750" s="55">
        <v>44957.922986111109</v>
      </c>
      <c r="C2750" s="38"/>
    </row>
    <row r="2751" spans="1:3" x14ac:dyDescent="0.3">
      <c r="A2751" s="37" t="s">
        <v>126</v>
      </c>
      <c r="B2751" s="55">
        <v>44937.839826388888</v>
      </c>
      <c r="C2751" s="38">
        <v>140000</v>
      </c>
    </row>
    <row r="2752" spans="1:3" x14ac:dyDescent="0.3">
      <c r="A2752" s="37" t="s">
        <v>126</v>
      </c>
      <c r="B2752" s="55">
        <v>44942.324872685182</v>
      </c>
      <c r="C2752" s="38">
        <v>150000</v>
      </c>
    </row>
    <row r="2753" spans="1:3" x14ac:dyDescent="0.3">
      <c r="A2753" s="37" t="s">
        <v>126</v>
      </c>
      <c r="B2753" s="55">
        <v>44953.924074074072</v>
      </c>
      <c r="C2753" s="38">
        <v>142000</v>
      </c>
    </row>
    <row r="2754" spans="1:3" x14ac:dyDescent="0.3">
      <c r="A2754" s="37" t="s">
        <v>126</v>
      </c>
      <c r="B2754" s="55">
        <v>44930.631203703713</v>
      </c>
      <c r="C2754" s="38">
        <v>130000</v>
      </c>
    </row>
    <row r="2755" spans="1:3" x14ac:dyDescent="0.3">
      <c r="A2755" s="37" t="s">
        <v>126</v>
      </c>
      <c r="B2755" s="55">
        <v>44935.255833333344</v>
      </c>
      <c r="C2755" s="38">
        <v>156596</v>
      </c>
    </row>
    <row r="2756" spans="1:3" x14ac:dyDescent="0.3">
      <c r="A2756" s="37" t="s">
        <v>126</v>
      </c>
      <c r="B2756" s="55">
        <v>44939.599305555559</v>
      </c>
      <c r="C2756" s="38"/>
    </row>
    <row r="2757" spans="1:3" x14ac:dyDescent="0.3">
      <c r="A2757" s="37" t="s">
        <v>126</v>
      </c>
      <c r="B2757" s="55">
        <v>44953.841296296298</v>
      </c>
      <c r="C2757" s="38">
        <v>145000</v>
      </c>
    </row>
    <row r="2758" spans="1:3" x14ac:dyDescent="0.3">
      <c r="A2758" s="37" t="s">
        <v>126</v>
      </c>
      <c r="B2758" s="55">
        <v>44934.920266203713</v>
      </c>
      <c r="C2758" s="38">
        <v>140000</v>
      </c>
    </row>
    <row r="2759" spans="1:3" x14ac:dyDescent="0.3">
      <c r="A2759" s="37" t="s">
        <v>126</v>
      </c>
      <c r="B2759" s="55">
        <v>44949.544641203713</v>
      </c>
      <c r="C2759" s="38">
        <v>185000</v>
      </c>
    </row>
    <row r="2760" spans="1:3" x14ac:dyDescent="0.3">
      <c r="A2760" s="37" t="s">
        <v>126</v>
      </c>
      <c r="B2760" s="55">
        <v>44956.630879629629</v>
      </c>
      <c r="C2760" s="38">
        <v>135000</v>
      </c>
    </row>
    <row r="2761" spans="1:3" x14ac:dyDescent="0.3">
      <c r="A2761" s="37" t="s">
        <v>126</v>
      </c>
      <c r="B2761" s="55">
        <v>44945.830011574071</v>
      </c>
      <c r="C2761" s="38">
        <v>167500</v>
      </c>
    </row>
    <row r="2762" spans="1:3" x14ac:dyDescent="0.3">
      <c r="A2762" s="37" t="s">
        <v>126</v>
      </c>
      <c r="B2762" s="55">
        <v>44930.839872685188</v>
      </c>
      <c r="C2762" s="38">
        <v>156596</v>
      </c>
    </row>
    <row r="2763" spans="1:3" x14ac:dyDescent="0.3">
      <c r="A2763" s="37" t="s">
        <v>126</v>
      </c>
      <c r="B2763" s="55">
        <v>44935.380787037036</v>
      </c>
      <c r="C2763" s="38">
        <v>175000</v>
      </c>
    </row>
    <row r="2764" spans="1:3" x14ac:dyDescent="0.3">
      <c r="A2764" s="37" t="s">
        <v>126</v>
      </c>
      <c r="B2764" s="55">
        <v>44938.73605324074</v>
      </c>
      <c r="C2764" s="38">
        <v>147500</v>
      </c>
    </row>
    <row r="2765" spans="1:3" x14ac:dyDescent="0.3">
      <c r="A2765" s="37" t="s">
        <v>126</v>
      </c>
      <c r="B2765" s="55">
        <v>44931.005659722221</v>
      </c>
      <c r="C2765" s="38">
        <v>156596</v>
      </c>
    </row>
    <row r="2766" spans="1:3" x14ac:dyDescent="0.3">
      <c r="A2766" s="37" t="s">
        <v>126</v>
      </c>
      <c r="B2766" s="55">
        <v>44931.040370370371</v>
      </c>
      <c r="C2766" s="38">
        <v>170672</v>
      </c>
    </row>
    <row r="2767" spans="1:3" x14ac:dyDescent="0.3">
      <c r="A2767" s="37" t="s">
        <v>126</v>
      </c>
      <c r="B2767" s="55">
        <v>44937.346238425933</v>
      </c>
      <c r="C2767" s="38">
        <v>147500</v>
      </c>
    </row>
    <row r="2768" spans="1:3" x14ac:dyDescent="0.3">
      <c r="A2768" s="37" t="s">
        <v>126</v>
      </c>
      <c r="B2768" s="55">
        <v>44930.688090277778</v>
      </c>
      <c r="C2768" s="38">
        <v>115000</v>
      </c>
    </row>
    <row r="2769" spans="1:3" x14ac:dyDescent="0.3">
      <c r="A2769" s="37" t="s">
        <v>126</v>
      </c>
      <c r="B2769" s="55">
        <v>44945.893483796302</v>
      </c>
      <c r="C2769" s="38">
        <v>170000</v>
      </c>
    </row>
    <row r="2770" spans="1:3" x14ac:dyDescent="0.3">
      <c r="A2770" s="37" t="s">
        <v>126</v>
      </c>
      <c r="B2770" s="55">
        <v>44956.379976851851</v>
      </c>
      <c r="C2770" s="38">
        <v>170672</v>
      </c>
    </row>
    <row r="2771" spans="1:3" x14ac:dyDescent="0.3">
      <c r="A2771" s="37" t="s">
        <v>126</v>
      </c>
      <c r="B2771" s="55">
        <v>44938.591608796298</v>
      </c>
      <c r="C2771" s="38">
        <v>127500</v>
      </c>
    </row>
    <row r="2772" spans="1:3" x14ac:dyDescent="0.3">
      <c r="A2772" s="37" t="s">
        <v>126</v>
      </c>
      <c r="B2772" s="55">
        <v>44940.671053240738</v>
      </c>
      <c r="C2772" s="38">
        <v>168500</v>
      </c>
    </row>
    <row r="2773" spans="1:3" x14ac:dyDescent="0.3">
      <c r="A2773" s="37" t="s">
        <v>126</v>
      </c>
      <c r="B2773" s="55">
        <v>44956.098356481481</v>
      </c>
      <c r="C2773" s="38">
        <v>147500</v>
      </c>
    </row>
    <row r="2774" spans="1:3" x14ac:dyDescent="0.3">
      <c r="A2774" s="37" t="s">
        <v>126</v>
      </c>
      <c r="B2774" s="55">
        <v>44935.673541666663</v>
      </c>
      <c r="C2774" s="38">
        <v>155000</v>
      </c>
    </row>
    <row r="2775" spans="1:3" x14ac:dyDescent="0.3">
      <c r="A2775" s="37" t="s">
        <v>126</v>
      </c>
      <c r="B2775" s="55">
        <v>44953.881238425929</v>
      </c>
      <c r="C2775" s="38">
        <v>128295.0625</v>
      </c>
    </row>
    <row r="2776" spans="1:3" x14ac:dyDescent="0.3">
      <c r="A2776" s="37" t="s">
        <v>126</v>
      </c>
      <c r="B2776" s="55">
        <v>44954.509421296287</v>
      </c>
      <c r="C2776" s="38">
        <v>147500</v>
      </c>
    </row>
    <row r="2777" spans="1:3" x14ac:dyDescent="0.3">
      <c r="A2777" s="37" t="s">
        <v>126</v>
      </c>
      <c r="B2777" s="55">
        <v>44944.93074074074</v>
      </c>
      <c r="C2777" s="38">
        <v>89100</v>
      </c>
    </row>
    <row r="2778" spans="1:3" x14ac:dyDescent="0.3">
      <c r="A2778" s="37" t="s">
        <v>126</v>
      </c>
      <c r="B2778" s="55">
        <v>44931.006608796299</v>
      </c>
      <c r="C2778" s="38">
        <v>170672</v>
      </c>
    </row>
    <row r="2779" spans="1:3" x14ac:dyDescent="0.3">
      <c r="A2779" s="37" t="s">
        <v>126</v>
      </c>
      <c r="B2779" s="55">
        <v>44937.422430555547</v>
      </c>
      <c r="C2779" s="38">
        <v>156596</v>
      </c>
    </row>
    <row r="2780" spans="1:3" x14ac:dyDescent="0.3">
      <c r="A2780" s="37" t="s">
        <v>126</v>
      </c>
      <c r="B2780" s="55">
        <v>44953.971122685187</v>
      </c>
      <c r="C2780" s="38">
        <v>147500</v>
      </c>
    </row>
    <row r="2781" spans="1:3" x14ac:dyDescent="0.3">
      <c r="A2781" s="37" t="s">
        <v>126</v>
      </c>
      <c r="B2781" s="55">
        <v>44931.295960648153</v>
      </c>
      <c r="C2781" s="38">
        <v>156596</v>
      </c>
    </row>
    <row r="2782" spans="1:3" x14ac:dyDescent="0.3">
      <c r="A2782" s="37" t="s">
        <v>126</v>
      </c>
      <c r="B2782" s="55">
        <v>44937.710127314807</v>
      </c>
      <c r="C2782" s="38">
        <v>150000</v>
      </c>
    </row>
    <row r="2783" spans="1:3" x14ac:dyDescent="0.3">
      <c r="A2783" s="37" t="s">
        <v>126</v>
      </c>
      <c r="B2783" s="55">
        <v>44953.687083333331</v>
      </c>
      <c r="C2783" s="38">
        <v>170672</v>
      </c>
    </row>
    <row r="2784" spans="1:3" x14ac:dyDescent="0.3">
      <c r="A2784" s="37" t="s">
        <v>126</v>
      </c>
      <c r="B2784" s="55">
        <v>44945.075254629628</v>
      </c>
      <c r="C2784" s="38">
        <v>116500</v>
      </c>
    </row>
    <row r="2785" spans="1:3" x14ac:dyDescent="0.3">
      <c r="A2785" s="37" t="s">
        <v>126</v>
      </c>
      <c r="B2785" s="55">
        <v>44943.639525462961</v>
      </c>
      <c r="C2785" s="38">
        <v>147500</v>
      </c>
    </row>
    <row r="2786" spans="1:3" x14ac:dyDescent="0.3">
      <c r="A2786" s="37" t="s">
        <v>126</v>
      </c>
      <c r="B2786" s="55">
        <v>44935.650069444448</v>
      </c>
      <c r="C2786" s="38"/>
    </row>
    <row r="2787" spans="1:3" x14ac:dyDescent="0.3">
      <c r="A2787" s="37" t="s">
        <v>126</v>
      </c>
      <c r="B2787" s="55">
        <v>44928.810648148137</v>
      </c>
      <c r="C2787" s="38">
        <v>56700</v>
      </c>
    </row>
    <row r="2788" spans="1:3" x14ac:dyDescent="0.3">
      <c r="A2788" s="37" t="s">
        <v>126</v>
      </c>
      <c r="B2788" s="55">
        <v>44944.464687500003</v>
      </c>
      <c r="C2788" s="38">
        <v>150000</v>
      </c>
    </row>
    <row r="2789" spans="1:3" x14ac:dyDescent="0.3">
      <c r="A2789" s="37" t="s">
        <v>126</v>
      </c>
      <c r="B2789" s="55">
        <v>44928.295555555553</v>
      </c>
      <c r="C2789" s="38">
        <v>122470.5</v>
      </c>
    </row>
    <row r="2790" spans="1:3" x14ac:dyDescent="0.3">
      <c r="A2790" s="37" t="s">
        <v>126</v>
      </c>
      <c r="B2790" s="55">
        <v>44951.93273148148</v>
      </c>
      <c r="C2790" s="38">
        <v>145000</v>
      </c>
    </row>
    <row r="2791" spans="1:3" x14ac:dyDescent="0.3">
      <c r="A2791" s="37" t="s">
        <v>126</v>
      </c>
      <c r="B2791" s="55">
        <v>44946.812858796293</v>
      </c>
      <c r="C2791" s="38">
        <v>172500</v>
      </c>
    </row>
    <row r="2792" spans="1:3" x14ac:dyDescent="0.3">
      <c r="A2792" s="37" t="s">
        <v>126</v>
      </c>
      <c r="B2792" s="55">
        <v>44932.042974537027</v>
      </c>
      <c r="C2792" s="38">
        <v>122500</v>
      </c>
    </row>
    <row r="2793" spans="1:3" x14ac:dyDescent="0.3">
      <c r="A2793" s="37" t="s">
        <v>126</v>
      </c>
      <c r="B2793" s="55">
        <v>44930.56826388889</v>
      </c>
      <c r="C2793" s="38">
        <v>135000</v>
      </c>
    </row>
    <row r="2794" spans="1:3" x14ac:dyDescent="0.3">
      <c r="A2794" s="37" t="s">
        <v>126</v>
      </c>
      <c r="B2794" s="55">
        <v>44928.630243055559</v>
      </c>
      <c r="C2794" s="38">
        <v>202500</v>
      </c>
    </row>
    <row r="2795" spans="1:3" x14ac:dyDescent="0.3">
      <c r="A2795" s="37" t="s">
        <v>126</v>
      </c>
      <c r="B2795" s="55">
        <v>44947.463125000002</v>
      </c>
      <c r="C2795" s="38">
        <v>157500</v>
      </c>
    </row>
    <row r="2796" spans="1:3" x14ac:dyDescent="0.3">
      <c r="A2796" s="37" t="s">
        <v>126</v>
      </c>
      <c r="B2796" s="55">
        <v>44933.592916666668</v>
      </c>
      <c r="C2796" s="38">
        <v>89100</v>
      </c>
    </row>
    <row r="2797" spans="1:3" x14ac:dyDescent="0.3">
      <c r="A2797" s="37" t="s">
        <v>126</v>
      </c>
      <c r="B2797" s="55">
        <v>44928.962638888886</v>
      </c>
      <c r="C2797" s="38">
        <v>122470.5</v>
      </c>
    </row>
    <row r="2798" spans="1:3" x14ac:dyDescent="0.3">
      <c r="A2798" s="37" t="s">
        <v>126</v>
      </c>
      <c r="B2798" s="55">
        <v>44937.252604166657</v>
      </c>
      <c r="C2798" s="38">
        <v>147500</v>
      </c>
    </row>
    <row r="2799" spans="1:3" x14ac:dyDescent="0.3">
      <c r="A2799" s="37" t="s">
        <v>126</v>
      </c>
      <c r="B2799" s="55">
        <v>44951.917824074073</v>
      </c>
      <c r="C2799" s="38">
        <v>147500</v>
      </c>
    </row>
    <row r="2800" spans="1:3" x14ac:dyDescent="0.3">
      <c r="A2800" s="37" t="s">
        <v>126</v>
      </c>
      <c r="B2800" s="55">
        <v>44935.679618055547</v>
      </c>
      <c r="C2800" s="38">
        <v>89100</v>
      </c>
    </row>
    <row r="2801" spans="1:3" x14ac:dyDescent="0.3">
      <c r="A2801" s="37" t="s">
        <v>126</v>
      </c>
      <c r="B2801" s="55">
        <v>44931.028703703712</v>
      </c>
      <c r="C2801" s="38">
        <v>147500</v>
      </c>
    </row>
    <row r="2802" spans="1:3" x14ac:dyDescent="0.3">
      <c r="A2802" s="37" t="s">
        <v>126</v>
      </c>
      <c r="B2802" s="55">
        <v>44949.893229166657</v>
      </c>
      <c r="C2802" s="38">
        <v>132500</v>
      </c>
    </row>
    <row r="2803" spans="1:3" x14ac:dyDescent="0.3">
      <c r="A2803" s="37" t="s">
        <v>126</v>
      </c>
      <c r="B2803" s="55">
        <v>44955.588831018518</v>
      </c>
      <c r="C2803" s="38">
        <v>185000</v>
      </c>
    </row>
    <row r="2804" spans="1:3" x14ac:dyDescent="0.3">
      <c r="A2804" s="37" t="s">
        <v>126</v>
      </c>
      <c r="B2804" s="55">
        <v>44939.015844907408</v>
      </c>
      <c r="C2804" s="38">
        <v>170672</v>
      </c>
    </row>
    <row r="2805" spans="1:3" x14ac:dyDescent="0.3">
      <c r="A2805" s="37" t="s">
        <v>126</v>
      </c>
      <c r="B2805" s="55">
        <v>44936.792210648149</v>
      </c>
      <c r="C2805" s="38">
        <v>180000</v>
      </c>
    </row>
    <row r="2806" spans="1:3" x14ac:dyDescent="0.3">
      <c r="A2806" s="37" t="s">
        <v>126</v>
      </c>
      <c r="B2806" s="55">
        <v>44927.255659722221</v>
      </c>
      <c r="C2806" s="38">
        <v>105000</v>
      </c>
    </row>
    <row r="2807" spans="1:3" x14ac:dyDescent="0.3">
      <c r="A2807" s="37" t="s">
        <v>126</v>
      </c>
      <c r="B2807" s="55">
        <v>44952.30541666667</v>
      </c>
      <c r="C2807" s="38">
        <v>90000</v>
      </c>
    </row>
    <row r="2808" spans="1:3" x14ac:dyDescent="0.3">
      <c r="A2808" s="37" t="s">
        <v>126</v>
      </c>
      <c r="B2808" s="55">
        <v>44955.140104166669</v>
      </c>
      <c r="C2808" s="38">
        <v>147500</v>
      </c>
    </row>
    <row r="2809" spans="1:3" x14ac:dyDescent="0.3">
      <c r="A2809" s="37" t="s">
        <v>126</v>
      </c>
      <c r="B2809" s="55">
        <v>44945.142824074072</v>
      </c>
      <c r="C2809" s="38">
        <v>147500</v>
      </c>
    </row>
    <row r="2810" spans="1:3" x14ac:dyDescent="0.3">
      <c r="A2810" s="37" t="s">
        <v>126</v>
      </c>
      <c r="B2810" s="55">
        <v>44951.918981481482</v>
      </c>
      <c r="C2810" s="38">
        <v>147500</v>
      </c>
    </row>
    <row r="2811" spans="1:3" x14ac:dyDescent="0.3">
      <c r="A2811" s="37" t="s">
        <v>126</v>
      </c>
      <c r="B2811" s="55">
        <v>44937.797372685192</v>
      </c>
      <c r="C2811" s="38"/>
    </row>
    <row r="2812" spans="1:3" x14ac:dyDescent="0.3">
      <c r="A2812" s="37" t="s">
        <v>126</v>
      </c>
      <c r="B2812" s="55">
        <v>44948.633263888893</v>
      </c>
      <c r="C2812" s="38">
        <v>147500</v>
      </c>
    </row>
    <row r="2813" spans="1:3" x14ac:dyDescent="0.3">
      <c r="A2813" s="37" t="s">
        <v>126</v>
      </c>
      <c r="B2813" s="55">
        <v>44944.617685185192</v>
      </c>
      <c r="C2813" s="38">
        <v>185000</v>
      </c>
    </row>
    <row r="2814" spans="1:3" x14ac:dyDescent="0.3">
      <c r="A2814" s="37" t="s">
        <v>126</v>
      </c>
      <c r="B2814" s="55">
        <v>44936.833981481483</v>
      </c>
      <c r="C2814" s="38">
        <v>180000</v>
      </c>
    </row>
    <row r="2815" spans="1:3" x14ac:dyDescent="0.3">
      <c r="A2815" s="37" t="s">
        <v>126</v>
      </c>
      <c r="B2815" s="55">
        <v>44956.848356481481</v>
      </c>
      <c r="C2815" s="38">
        <v>161160</v>
      </c>
    </row>
    <row r="2816" spans="1:3" x14ac:dyDescent="0.3">
      <c r="A2816" s="37" t="s">
        <v>126</v>
      </c>
      <c r="B2816" s="55">
        <v>44935.919606481482</v>
      </c>
      <c r="C2816" s="38">
        <v>274500</v>
      </c>
    </row>
    <row r="2817" spans="1:3" x14ac:dyDescent="0.3">
      <c r="A2817" s="37" t="s">
        <v>126</v>
      </c>
      <c r="B2817" s="55">
        <v>44936.72991898148</v>
      </c>
      <c r="C2817" s="38">
        <v>125000</v>
      </c>
    </row>
    <row r="2818" spans="1:3" x14ac:dyDescent="0.3">
      <c r="A2818" s="37" t="s">
        <v>126</v>
      </c>
      <c r="B2818" s="55">
        <v>44933.228541666656</v>
      </c>
      <c r="C2818" s="38">
        <v>147500</v>
      </c>
    </row>
    <row r="2819" spans="1:3" x14ac:dyDescent="0.3">
      <c r="A2819" s="37" t="s">
        <v>126</v>
      </c>
      <c r="B2819" s="55">
        <v>44957.815115740741</v>
      </c>
      <c r="C2819" s="38">
        <v>127500</v>
      </c>
    </row>
    <row r="2820" spans="1:3" x14ac:dyDescent="0.3">
      <c r="A2820" s="37" t="s">
        <v>126</v>
      </c>
      <c r="B2820" s="55">
        <v>44957.856863425928</v>
      </c>
      <c r="C2820" s="38"/>
    </row>
    <row r="2821" spans="1:3" x14ac:dyDescent="0.3">
      <c r="A2821" s="37" t="s">
        <v>126</v>
      </c>
      <c r="B2821" s="55">
        <v>44946.541365740741</v>
      </c>
      <c r="C2821" s="38">
        <v>90000</v>
      </c>
    </row>
    <row r="2822" spans="1:3" x14ac:dyDescent="0.3">
      <c r="A2822" s="37" t="s">
        <v>126</v>
      </c>
      <c r="B2822" s="55">
        <v>44950.55265046296</v>
      </c>
      <c r="C2822" s="38">
        <v>147500</v>
      </c>
    </row>
    <row r="2823" spans="1:3" x14ac:dyDescent="0.3">
      <c r="A2823" s="37" t="s">
        <v>126</v>
      </c>
      <c r="B2823" s="55">
        <v>44936.053888888891</v>
      </c>
      <c r="C2823" s="38">
        <v>90000</v>
      </c>
    </row>
    <row r="2824" spans="1:3" x14ac:dyDescent="0.3">
      <c r="A2824" s="37" t="s">
        <v>126</v>
      </c>
      <c r="B2824" s="55">
        <v>44938.611087962963</v>
      </c>
      <c r="C2824" s="38">
        <v>140000</v>
      </c>
    </row>
    <row r="2825" spans="1:3" x14ac:dyDescent="0.3">
      <c r="A2825" s="37" t="s">
        <v>126</v>
      </c>
      <c r="B2825" s="55">
        <v>44936.604849537027</v>
      </c>
      <c r="C2825" s="38">
        <v>96760.5</v>
      </c>
    </row>
    <row r="2826" spans="1:3" x14ac:dyDescent="0.3">
      <c r="A2826" s="37" t="s">
        <v>126</v>
      </c>
      <c r="B2826" s="55">
        <v>44953.185486111113</v>
      </c>
      <c r="C2826" s="38">
        <v>147500</v>
      </c>
    </row>
    <row r="2827" spans="1:3" x14ac:dyDescent="0.3">
      <c r="A2827" s="37" t="s">
        <v>126</v>
      </c>
      <c r="B2827" s="55">
        <v>44940.364930555559</v>
      </c>
      <c r="C2827" s="38"/>
    </row>
    <row r="2828" spans="1:3" x14ac:dyDescent="0.3">
      <c r="A2828" s="37" t="s">
        <v>126</v>
      </c>
      <c r="B2828" s="55">
        <v>44937.657557870371</v>
      </c>
      <c r="C2828" s="38"/>
    </row>
    <row r="2829" spans="1:3" x14ac:dyDescent="0.3">
      <c r="A2829" s="37" t="s">
        <v>126</v>
      </c>
      <c r="B2829" s="55">
        <v>44938.553136574083</v>
      </c>
      <c r="C2829" s="38">
        <v>147500</v>
      </c>
    </row>
    <row r="2830" spans="1:3" x14ac:dyDescent="0.3">
      <c r="A2830" s="37" t="s">
        <v>126</v>
      </c>
      <c r="B2830" s="55">
        <v>44953.376747685194</v>
      </c>
      <c r="C2830" s="38">
        <v>147500</v>
      </c>
    </row>
    <row r="2831" spans="1:3" x14ac:dyDescent="0.3">
      <c r="A2831" s="37" t="s">
        <v>126</v>
      </c>
      <c r="B2831" s="55">
        <v>44946.900613425933</v>
      </c>
      <c r="C2831" s="38">
        <v>147500</v>
      </c>
    </row>
    <row r="2832" spans="1:3" x14ac:dyDescent="0.3">
      <c r="A2832" s="37" t="s">
        <v>126</v>
      </c>
      <c r="B2832" s="55">
        <v>44952.158171296287</v>
      </c>
      <c r="C2832" s="38">
        <v>147500</v>
      </c>
    </row>
    <row r="2833" spans="1:3" x14ac:dyDescent="0.3">
      <c r="A2833" s="37" t="s">
        <v>126</v>
      </c>
      <c r="B2833" s="55">
        <v>44937.272060185183</v>
      </c>
      <c r="C2833" s="38">
        <v>150000</v>
      </c>
    </row>
    <row r="2834" spans="1:3" x14ac:dyDescent="0.3">
      <c r="A2834" s="37" t="s">
        <v>128</v>
      </c>
      <c r="B2834" s="55">
        <v>44955.420046296298</v>
      </c>
      <c r="C2834" s="38">
        <v>116700</v>
      </c>
    </row>
    <row r="2835" spans="1:3" x14ac:dyDescent="0.3">
      <c r="A2835" s="37" t="s">
        <v>128</v>
      </c>
      <c r="B2835" s="55">
        <v>44930.919699074067</v>
      </c>
      <c r="C2835" s="38">
        <v>145000</v>
      </c>
    </row>
    <row r="2836" spans="1:3" x14ac:dyDescent="0.3">
      <c r="A2836" s="37" t="s">
        <v>128</v>
      </c>
      <c r="B2836" s="55">
        <v>44938.753912037027</v>
      </c>
      <c r="C2836" s="38">
        <v>173000</v>
      </c>
    </row>
    <row r="2837" spans="1:3" x14ac:dyDescent="0.3">
      <c r="A2837" s="37" t="s">
        <v>128</v>
      </c>
      <c r="B2837" s="55">
        <v>44942.904583333337</v>
      </c>
      <c r="C2837" s="38">
        <v>135000</v>
      </c>
    </row>
    <row r="2838" spans="1:3" x14ac:dyDescent="0.3">
      <c r="A2838" s="37" t="s">
        <v>128</v>
      </c>
      <c r="B2838" s="55">
        <v>44929.98265046296</v>
      </c>
      <c r="C2838" s="38"/>
    </row>
    <row r="2839" spans="1:3" x14ac:dyDescent="0.3">
      <c r="A2839" s="37" t="s">
        <v>128</v>
      </c>
      <c r="B2839" s="55">
        <v>44937.962083333332</v>
      </c>
      <c r="C2839" s="38">
        <v>160000</v>
      </c>
    </row>
    <row r="2840" spans="1:3" x14ac:dyDescent="0.3">
      <c r="A2840" s="37" t="s">
        <v>128</v>
      </c>
      <c r="B2840" s="55">
        <v>44932.252789351849</v>
      </c>
      <c r="C2840" s="38">
        <v>161000</v>
      </c>
    </row>
    <row r="2841" spans="1:3" x14ac:dyDescent="0.3">
      <c r="A2841" s="37" t="s">
        <v>128</v>
      </c>
      <c r="B2841" s="55">
        <v>44932.587152777778</v>
      </c>
      <c r="C2841" s="38">
        <v>140000</v>
      </c>
    </row>
    <row r="2842" spans="1:3" x14ac:dyDescent="0.3">
      <c r="A2842" s="37" t="s">
        <v>128</v>
      </c>
      <c r="B2842" s="55">
        <v>44936.709907407407</v>
      </c>
      <c r="C2842" s="38">
        <v>165000</v>
      </c>
    </row>
    <row r="2843" spans="1:3" x14ac:dyDescent="0.3">
      <c r="A2843" s="37" t="s">
        <v>128</v>
      </c>
      <c r="B2843" s="55">
        <v>44944.837997685187</v>
      </c>
      <c r="C2843" s="38">
        <v>160000</v>
      </c>
    </row>
    <row r="2844" spans="1:3" x14ac:dyDescent="0.3">
      <c r="A2844" s="37" t="s">
        <v>128</v>
      </c>
      <c r="B2844" s="55">
        <v>44939.261481481481</v>
      </c>
      <c r="C2844" s="38">
        <v>157500</v>
      </c>
    </row>
    <row r="2845" spans="1:3" x14ac:dyDescent="0.3">
      <c r="A2845" s="37" t="s">
        <v>128</v>
      </c>
      <c r="B2845" s="55">
        <v>44933.418576388889</v>
      </c>
      <c r="C2845" s="38"/>
    </row>
    <row r="2846" spans="1:3" x14ac:dyDescent="0.3">
      <c r="A2846" s="37" t="s">
        <v>128</v>
      </c>
      <c r="B2846" s="55">
        <v>44929.168680555558</v>
      </c>
      <c r="C2846" s="38">
        <v>145000</v>
      </c>
    </row>
    <row r="2847" spans="1:3" x14ac:dyDescent="0.3">
      <c r="A2847" s="37" t="s">
        <v>128</v>
      </c>
      <c r="B2847" s="55">
        <v>44952.421400462961</v>
      </c>
      <c r="C2847" s="38">
        <v>225000</v>
      </c>
    </row>
    <row r="2848" spans="1:3" x14ac:dyDescent="0.3">
      <c r="A2848" s="37" t="s">
        <v>128</v>
      </c>
      <c r="B2848" s="55">
        <v>44928.50167824074</v>
      </c>
      <c r="C2848" s="38">
        <v>222589</v>
      </c>
    </row>
    <row r="2849" spans="1:3" x14ac:dyDescent="0.3">
      <c r="A2849" s="37" t="s">
        <v>128</v>
      </c>
      <c r="B2849" s="55">
        <v>44939.599131944437</v>
      </c>
      <c r="C2849" s="38">
        <v>200000</v>
      </c>
    </row>
    <row r="2850" spans="1:3" x14ac:dyDescent="0.3">
      <c r="A2850" s="37" t="s">
        <v>128</v>
      </c>
      <c r="B2850" s="55">
        <v>44938.514120370368</v>
      </c>
      <c r="C2850" s="38">
        <v>375000</v>
      </c>
    </row>
    <row r="2851" spans="1:3" x14ac:dyDescent="0.3">
      <c r="A2851" s="37" t="s">
        <v>128</v>
      </c>
      <c r="B2851" s="55">
        <v>44952.754849537043</v>
      </c>
      <c r="C2851" s="38">
        <v>315000</v>
      </c>
    </row>
    <row r="2852" spans="1:3" x14ac:dyDescent="0.3">
      <c r="A2852" s="37" t="s">
        <v>128</v>
      </c>
      <c r="B2852" s="55">
        <v>44940.05777777778</v>
      </c>
      <c r="C2852" s="38">
        <v>79200</v>
      </c>
    </row>
    <row r="2853" spans="1:3" x14ac:dyDescent="0.3">
      <c r="A2853" s="37" t="s">
        <v>128</v>
      </c>
      <c r="B2853" s="55">
        <v>44945.263194444437</v>
      </c>
      <c r="C2853" s="38">
        <v>150000</v>
      </c>
    </row>
    <row r="2854" spans="1:3" x14ac:dyDescent="0.3">
      <c r="A2854" s="37" t="s">
        <v>128</v>
      </c>
      <c r="B2854" s="55">
        <v>44935.460543981477</v>
      </c>
      <c r="C2854" s="38">
        <v>157500</v>
      </c>
    </row>
    <row r="2855" spans="1:3" x14ac:dyDescent="0.3">
      <c r="A2855" s="37" t="s">
        <v>128</v>
      </c>
      <c r="B2855" s="55">
        <v>44944.83803240741</v>
      </c>
      <c r="C2855" s="38">
        <v>115000</v>
      </c>
    </row>
    <row r="2856" spans="1:3" x14ac:dyDescent="0.3">
      <c r="A2856" s="37" t="s">
        <v>128</v>
      </c>
      <c r="B2856" s="55">
        <v>44937.885567129633</v>
      </c>
      <c r="C2856" s="38">
        <v>130500</v>
      </c>
    </row>
    <row r="2857" spans="1:3" x14ac:dyDescent="0.3">
      <c r="A2857" s="37" t="s">
        <v>128</v>
      </c>
      <c r="B2857" s="55">
        <v>44942.305300925917</v>
      </c>
      <c r="C2857" s="38">
        <v>90000</v>
      </c>
    </row>
    <row r="2858" spans="1:3" x14ac:dyDescent="0.3">
      <c r="A2858" s="37" t="s">
        <v>128</v>
      </c>
      <c r="B2858" s="55">
        <v>44947.962754629632</v>
      </c>
      <c r="C2858" s="38">
        <v>202000</v>
      </c>
    </row>
    <row r="2859" spans="1:3" x14ac:dyDescent="0.3">
      <c r="A2859" s="37" t="s">
        <v>128</v>
      </c>
      <c r="B2859" s="55">
        <v>44931.586261574077</v>
      </c>
      <c r="C2859" s="38">
        <v>58500</v>
      </c>
    </row>
    <row r="2860" spans="1:3" x14ac:dyDescent="0.3">
      <c r="A2860" s="37" t="s">
        <v>128</v>
      </c>
      <c r="B2860" s="55">
        <v>44944.336944444447</v>
      </c>
      <c r="C2860" s="38">
        <v>172500</v>
      </c>
    </row>
    <row r="2861" spans="1:3" x14ac:dyDescent="0.3">
      <c r="A2861" s="37" t="s">
        <v>128</v>
      </c>
      <c r="B2861" s="55">
        <v>44930.539768518523</v>
      </c>
      <c r="C2861" s="38">
        <v>140000</v>
      </c>
    </row>
    <row r="2862" spans="1:3" x14ac:dyDescent="0.3">
      <c r="A2862" s="37" t="s">
        <v>128</v>
      </c>
      <c r="B2862" s="55">
        <v>44930.664826388893</v>
      </c>
      <c r="C2862" s="38">
        <v>127000</v>
      </c>
    </row>
    <row r="2863" spans="1:3" x14ac:dyDescent="0.3">
      <c r="A2863" s="37" t="s">
        <v>128</v>
      </c>
      <c r="B2863" s="55">
        <v>44930.125486111108</v>
      </c>
      <c r="C2863" s="38">
        <v>79200</v>
      </c>
    </row>
    <row r="2864" spans="1:3" x14ac:dyDescent="0.3">
      <c r="A2864" s="37" t="s">
        <v>128</v>
      </c>
      <c r="B2864" s="55">
        <v>44952.438483796293</v>
      </c>
      <c r="C2864" s="38">
        <v>72900</v>
      </c>
    </row>
    <row r="2865" spans="1:3" x14ac:dyDescent="0.3">
      <c r="A2865" s="37" t="s">
        <v>128</v>
      </c>
      <c r="B2865" s="55">
        <v>44950.295729166668</v>
      </c>
      <c r="C2865" s="38">
        <v>125000</v>
      </c>
    </row>
    <row r="2866" spans="1:3" x14ac:dyDescent="0.3">
      <c r="A2866" s="37" t="s">
        <v>128</v>
      </c>
      <c r="B2866" s="55">
        <v>44932.983680555553</v>
      </c>
      <c r="C2866" s="38">
        <v>89100</v>
      </c>
    </row>
    <row r="2867" spans="1:3" x14ac:dyDescent="0.3">
      <c r="A2867" s="37" t="s">
        <v>128</v>
      </c>
      <c r="B2867" s="55">
        <v>44943.641597222217</v>
      </c>
      <c r="C2867" s="38">
        <v>157500</v>
      </c>
    </row>
    <row r="2868" spans="1:3" x14ac:dyDescent="0.3">
      <c r="A2868" s="37" t="s">
        <v>128</v>
      </c>
      <c r="B2868" s="55">
        <v>44929.980439814812</v>
      </c>
      <c r="C2868" s="38"/>
    </row>
    <row r="2869" spans="1:3" x14ac:dyDescent="0.3">
      <c r="A2869" s="37" t="s">
        <v>128</v>
      </c>
      <c r="B2869" s="55">
        <v>44928.585289351853</v>
      </c>
      <c r="C2869" s="38">
        <v>215000</v>
      </c>
    </row>
    <row r="2870" spans="1:3" x14ac:dyDescent="0.3">
      <c r="A2870" s="37" t="s">
        <v>128</v>
      </c>
      <c r="B2870" s="55">
        <v>44952.994155092587</v>
      </c>
      <c r="C2870" s="38"/>
    </row>
    <row r="2871" spans="1:3" x14ac:dyDescent="0.3">
      <c r="A2871" s="37" t="s">
        <v>128</v>
      </c>
      <c r="B2871" s="55">
        <v>44939.04587962963</v>
      </c>
      <c r="C2871" s="38">
        <v>165000</v>
      </c>
    </row>
    <row r="2872" spans="1:3" x14ac:dyDescent="0.3">
      <c r="A2872" s="37" t="s">
        <v>128</v>
      </c>
      <c r="B2872" s="55">
        <v>44937.712719907409</v>
      </c>
      <c r="C2872" s="38">
        <v>185000</v>
      </c>
    </row>
    <row r="2873" spans="1:3" x14ac:dyDescent="0.3">
      <c r="A2873" s="37" t="s">
        <v>128</v>
      </c>
      <c r="B2873" s="55">
        <v>44944.085902777777</v>
      </c>
      <c r="C2873" s="38">
        <v>115000</v>
      </c>
    </row>
    <row r="2874" spans="1:3" x14ac:dyDescent="0.3">
      <c r="A2874" s="37" t="s">
        <v>128</v>
      </c>
      <c r="B2874" s="55">
        <v>44957.668275462973</v>
      </c>
      <c r="C2874" s="38">
        <v>157500</v>
      </c>
    </row>
    <row r="2875" spans="1:3" x14ac:dyDescent="0.3">
      <c r="A2875" s="37" t="s">
        <v>128</v>
      </c>
      <c r="B2875" s="55">
        <v>44932.657858796287</v>
      </c>
      <c r="C2875" s="38">
        <v>89100</v>
      </c>
    </row>
    <row r="2876" spans="1:3" x14ac:dyDescent="0.3">
      <c r="A2876" s="37" t="s">
        <v>128</v>
      </c>
      <c r="B2876" s="55">
        <v>44937.111168981479</v>
      </c>
      <c r="C2876" s="38">
        <v>56700</v>
      </c>
    </row>
    <row r="2877" spans="1:3" x14ac:dyDescent="0.3">
      <c r="A2877" s="37" t="s">
        <v>128</v>
      </c>
      <c r="B2877" s="55">
        <v>44937.76185185185</v>
      </c>
      <c r="C2877" s="38">
        <v>157000</v>
      </c>
    </row>
    <row r="2878" spans="1:3" x14ac:dyDescent="0.3">
      <c r="A2878" s="37" t="s">
        <v>128</v>
      </c>
      <c r="B2878" s="55">
        <v>44949.79519675926</v>
      </c>
      <c r="C2878" s="38"/>
    </row>
    <row r="2879" spans="1:3" x14ac:dyDescent="0.3">
      <c r="A2879" s="37" t="s">
        <v>128</v>
      </c>
      <c r="B2879" s="55">
        <v>44946.821469907409</v>
      </c>
      <c r="C2879" s="38">
        <v>126000</v>
      </c>
    </row>
    <row r="2880" spans="1:3" x14ac:dyDescent="0.3">
      <c r="A2880" s="37" t="s">
        <v>128</v>
      </c>
      <c r="B2880" s="55">
        <v>44929.981666666667</v>
      </c>
      <c r="C2880" s="38"/>
    </row>
    <row r="2881" spans="1:3" x14ac:dyDescent="0.3">
      <c r="A2881" s="37" t="s">
        <v>128</v>
      </c>
      <c r="B2881" s="55">
        <v>44950.21166666667</v>
      </c>
      <c r="C2881" s="38">
        <v>220500</v>
      </c>
    </row>
    <row r="2882" spans="1:3" x14ac:dyDescent="0.3">
      <c r="A2882" s="37" t="s">
        <v>128</v>
      </c>
      <c r="B2882" s="55">
        <v>44952.044085648151</v>
      </c>
      <c r="C2882" s="38">
        <v>157500</v>
      </c>
    </row>
    <row r="2883" spans="1:3" x14ac:dyDescent="0.3">
      <c r="A2883" s="37" t="s">
        <v>128</v>
      </c>
      <c r="B2883" s="55">
        <v>44929.981111111112</v>
      </c>
      <c r="C2883" s="38"/>
    </row>
    <row r="2884" spans="1:3" x14ac:dyDescent="0.3">
      <c r="A2884" s="37" t="s">
        <v>128</v>
      </c>
      <c r="B2884" s="55">
        <v>44951.294814814813</v>
      </c>
      <c r="C2884" s="38">
        <v>157500</v>
      </c>
    </row>
    <row r="2885" spans="1:3" x14ac:dyDescent="0.3">
      <c r="A2885" s="37" t="s">
        <v>128</v>
      </c>
      <c r="B2885" s="55">
        <v>44937.712164351848</v>
      </c>
      <c r="C2885" s="38">
        <v>177500</v>
      </c>
    </row>
    <row r="2886" spans="1:3" x14ac:dyDescent="0.3">
      <c r="A2886" s="37" t="s">
        <v>128</v>
      </c>
      <c r="B2886" s="55">
        <v>44957.170266203713</v>
      </c>
      <c r="C2886" s="38">
        <v>157500</v>
      </c>
    </row>
    <row r="2887" spans="1:3" x14ac:dyDescent="0.3">
      <c r="A2887" s="37" t="s">
        <v>128</v>
      </c>
      <c r="B2887" s="55">
        <v>44952.462627314817</v>
      </c>
      <c r="C2887" s="38">
        <v>135000</v>
      </c>
    </row>
    <row r="2888" spans="1:3" x14ac:dyDescent="0.3">
      <c r="A2888" s="37" t="s">
        <v>128</v>
      </c>
      <c r="B2888" s="55">
        <v>44951.044756944437</v>
      </c>
      <c r="C2888" s="38">
        <v>90000</v>
      </c>
    </row>
    <row r="2889" spans="1:3" x14ac:dyDescent="0.3">
      <c r="A2889" s="37" t="s">
        <v>128</v>
      </c>
      <c r="B2889" s="55">
        <v>44933.087268518517</v>
      </c>
      <c r="C2889" s="38">
        <v>160000</v>
      </c>
    </row>
    <row r="2890" spans="1:3" x14ac:dyDescent="0.3">
      <c r="A2890" s="37" t="s">
        <v>128</v>
      </c>
      <c r="B2890" s="55">
        <v>44951.752685185187</v>
      </c>
      <c r="C2890" s="38">
        <v>157500</v>
      </c>
    </row>
    <row r="2891" spans="1:3" x14ac:dyDescent="0.3">
      <c r="A2891" s="37" t="s">
        <v>128</v>
      </c>
      <c r="B2891" s="55">
        <v>44946.61341435185</v>
      </c>
      <c r="C2891" s="38">
        <v>157500</v>
      </c>
    </row>
    <row r="2892" spans="1:3" x14ac:dyDescent="0.3">
      <c r="A2892" s="37" t="s">
        <v>128</v>
      </c>
      <c r="B2892" s="55">
        <v>44945.181793981479</v>
      </c>
      <c r="C2892" s="38">
        <v>157500</v>
      </c>
    </row>
    <row r="2893" spans="1:3" x14ac:dyDescent="0.3">
      <c r="A2893" s="37" t="s">
        <v>128</v>
      </c>
      <c r="B2893" s="55">
        <v>44937.25341435185</v>
      </c>
      <c r="C2893" s="38">
        <v>186960</v>
      </c>
    </row>
    <row r="2894" spans="1:3" x14ac:dyDescent="0.3">
      <c r="A2894" s="37" t="s">
        <v>128</v>
      </c>
      <c r="B2894" s="55">
        <v>44929.981145833342</v>
      </c>
      <c r="C2894" s="38"/>
    </row>
    <row r="2895" spans="1:3" x14ac:dyDescent="0.3">
      <c r="A2895" s="37" t="s">
        <v>128</v>
      </c>
      <c r="B2895" s="55">
        <v>44953.628101851849</v>
      </c>
      <c r="C2895" s="38">
        <v>157500</v>
      </c>
    </row>
    <row r="2896" spans="1:3" x14ac:dyDescent="0.3">
      <c r="A2896" s="37" t="s">
        <v>128</v>
      </c>
      <c r="B2896" s="55">
        <v>44944.324652777781</v>
      </c>
      <c r="C2896" s="38">
        <v>90000</v>
      </c>
    </row>
    <row r="2897" spans="1:3" x14ac:dyDescent="0.3">
      <c r="A2897" s="37" t="s">
        <v>128</v>
      </c>
      <c r="B2897" s="55">
        <v>44928.918425925927</v>
      </c>
      <c r="C2897" s="38">
        <v>155000</v>
      </c>
    </row>
    <row r="2898" spans="1:3" x14ac:dyDescent="0.3">
      <c r="A2898" s="37" t="s">
        <v>128</v>
      </c>
      <c r="B2898" s="55">
        <v>44930.628078703703</v>
      </c>
      <c r="C2898" s="38">
        <v>150000</v>
      </c>
    </row>
    <row r="2899" spans="1:3" x14ac:dyDescent="0.3">
      <c r="A2899" s="37" t="s">
        <v>128</v>
      </c>
      <c r="B2899" s="55">
        <v>44940.585729166669</v>
      </c>
      <c r="C2899" s="38">
        <v>125500</v>
      </c>
    </row>
    <row r="2900" spans="1:3" x14ac:dyDescent="0.3">
      <c r="A2900" s="37" t="s">
        <v>128</v>
      </c>
      <c r="B2900" s="55">
        <v>44957.293229166673</v>
      </c>
      <c r="C2900" s="38">
        <v>125000</v>
      </c>
    </row>
    <row r="2901" spans="1:3" x14ac:dyDescent="0.3">
      <c r="A2901" s="37" t="s">
        <v>128</v>
      </c>
      <c r="B2901" s="55">
        <v>44957.47934027778</v>
      </c>
      <c r="C2901" s="38">
        <v>88128</v>
      </c>
    </row>
    <row r="2902" spans="1:3" x14ac:dyDescent="0.3">
      <c r="A2902" s="37" t="s">
        <v>128</v>
      </c>
      <c r="B2902" s="55">
        <v>44951.416203703702</v>
      </c>
      <c r="C2902" s="38">
        <v>157500</v>
      </c>
    </row>
    <row r="2903" spans="1:3" x14ac:dyDescent="0.3">
      <c r="A2903" s="37" t="s">
        <v>128</v>
      </c>
      <c r="B2903" s="55">
        <v>44950.461493055547</v>
      </c>
      <c r="C2903" s="38">
        <v>150000</v>
      </c>
    </row>
    <row r="2904" spans="1:3" x14ac:dyDescent="0.3">
      <c r="A2904" s="37" t="s">
        <v>128</v>
      </c>
      <c r="B2904" s="55">
        <v>44943.825798611113</v>
      </c>
      <c r="C2904" s="38">
        <v>113450</v>
      </c>
    </row>
    <row r="2905" spans="1:3" x14ac:dyDescent="0.3">
      <c r="A2905" s="37" t="s">
        <v>128</v>
      </c>
      <c r="B2905" s="55">
        <v>44949.795590277783</v>
      </c>
      <c r="C2905" s="38">
        <v>160000</v>
      </c>
    </row>
    <row r="2906" spans="1:3" x14ac:dyDescent="0.3">
      <c r="A2906" s="37" t="s">
        <v>128</v>
      </c>
      <c r="B2906" s="55">
        <v>44949.669270833343</v>
      </c>
      <c r="C2906" s="38">
        <v>185000</v>
      </c>
    </row>
    <row r="2907" spans="1:3" x14ac:dyDescent="0.3">
      <c r="A2907" s="37" t="s">
        <v>128</v>
      </c>
      <c r="B2907" s="55">
        <v>44936.264791666668</v>
      </c>
      <c r="C2907" s="38">
        <v>125000</v>
      </c>
    </row>
    <row r="2908" spans="1:3" x14ac:dyDescent="0.3">
      <c r="A2908" s="37" t="s">
        <v>128</v>
      </c>
      <c r="B2908" s="55">
        <v>44935.877962962957</v>
      </c>
      <c r="C2908" s="38"/>
    </row>
    <row r="2909" spans="1:3" x14ac:dyDescent="0.3">
      <c r="A2909" s="37" t="s">
        <v>128</v>
      </c>
      <c r="B2909" s="55">
        <v>44935.982476851852</v>
      </c>
      <c r="C2909" s="38">
        <v>98856</v>
      </c>
    </row>
    <row r="2910" spans="1:3" x14ac:dyDescent="0.3">
      <c r="A2910" s="37" t="s">
        <v>128</v>
      </c>
      <c r="B2910" s="55">
        <v>44931.003136574072</v>
      </c>
      <c r="C2910" s="38">
        <v>181950</v>
      </c>
    </row>
    <row r="2911" spans="1:3" x14ac:dyDescent="0.3">
      <c r="A2911" s="37" t="s">
        <v>128</v>
      </c>
      <c r="B2911" s="55">
        <v>44937.253564814811</v>
      </c>
      <c r="C2911" s="38">
        <v>211511</v>
      </c>
    </row>
    <row r="2912" spans="1:3" x14ac:dyDescent="0.3">
      <c r="A2912" s="37" t="s">
        <v>128</v>
      </c>
      <c r="B2912" s="55">
        <v>44938.862766203703</v>
      </c>
      <c r="C2912" s="38">
        <v>75000</v>
      </c>
    </row>
    <row r="2913" spans="1:3" x14ac:dyDescent="0.3">
      <c r="A2913" s="37" t="s">
        <v>128</v>
      </c>
      <c r="B2913" s="55">
        <v>44931.919560185182</v>
      </c>
      <c r="C2913" s="38"/>
    </row>
    <row r="2914" spans="1:3" x14ac:dyDescent="0.3">
      <c r="A2914" s="37" t="s">
        <v>128</v>
      </c>
      <c r="B2914" s="55">
        <v>44938.407743055563</v>
      </c>
      <c r="C2914" s="38">
        <v>79200</v>
      </c>
    </row>
    <row r="2915" spans="1:3" x14ac:dyDescent="0.3">
      <c r="A2915" s="37" t="s">
        <v>128</v>
      </c>
      <c r="B2915" s="55">
        <v>44956.210370370369</v>
      </c>
      <c r="C2915" s="38">
        <v>152650</v>
      </c>
    </row>
    <row r="2916" spans="1:3" x14ac:dyDescent="0.3">
      <c r="A2916" s="37" t="s">
        <v>128</v>
      </c>
      <c r="B2916" s="55">
        <v>44933.793553240743</v>
      </c>
      <c r="C2916" s="38">
        <v>245000</v>
      </c>
    </row>
    <row r="2917" spans="1:3" x14ac:dyDescent="0.3">
      <c r="A2917" s="37" t="s">
        <v>128</v>
      </c>
      <c r="B2917" s="55">
        <v>44940.987442129634</v>
      </c>
      <c r="C2917" s="38">
        <v>79200</v>
      </c>
    </row>
    <row r="2918" spans="1:3" x14ac:dyDescent="0.3">
      <c r="A2918" s="37" t="s">
        <v>128</v>
      </c>
      <c r="B2918" s="55">
        <v>44929.857893518521</v>
      </c>
      <c r="C2918" s="38">
        <v>205000</v>
      </c>
    </row>
    <row r="2919" spans="1:3" x14ac:dyDescent="0.3">
      <c r="A2919" s="37" t="s">
        <v>128</v>
      </c>
      <c r="B2919" s="55">
        <v>44943.029108796298</v>
      </c>
      <c r="C2919" s="38">
        <v>183000</v>
      </c>
    </row>
    <row r="2920" spans="1:3" x14ac:dyDescent="0.3">
      <c r="A2920" s="37" t="s">
        <v>128</v>
      </c>
      <c r="B2920" s="55">
        <v>44945.765023148153</v>
      </c>
      <c r="C2920" s="38">
        <v>239080</v>
      </c>
    </row>
    <row r="2921" spans="1:3" x14ac:dyDescent="0.3">
      <c r="A2921" s="37" t="s">
        <v>128</v>
      </c>
      <c r="B2921" s="55">
        <v>44954.427997685183</v>
      </c>
      <c r="C2921" s="38">
        <v>242597</v>
      </c>
    </row>
    <row r="2922" spans="1:3" x14ac:dyDescent="0.3">
      <c r="A2922" s="37" t="s">
        <v>128</v>
      </c>
      <c r="B2922" s="55">
        <v>44937.909375000003</v>
      </c>
      <c r="C2922" s="38">
        <v>175000</v>
      </c>
    </row>
    <row r="2923" spans="1:3" x14ac:dyDescent="0.3">
      <c r="A2923" s="37" t="s">
        <v>128</v>
      </c>
      <c r="B2923" s="55">
        <v>44939.182118055563</v>
      </c>
      <c r="C2923" s="38">
        <v>90000</v>
      </c>
    </row>
    <row r="2924" spans="1:3" x14ac:dyDescent="0.3">
      <c r="A2924" s="37" t="s">
        <v>128</v>
      </c>
      <c r="B2924" s="55">
        <v>44937.669409722221</v>
      </c>
      <c r="C2924" s="38">
        <v>176500</v>
      </c>
    </row>
    <row r="2925" spans="1:3" x14ac:dyDescent="0.3">
      <c r="A2925" s="37" t="s">
        <v>128</v>
      </c>
      <c r="B2925" s="55">
        <v>44931.461597222216</v>
      </c>
      <c r="C2925" s="38">
        <v>150000</v>
      </c>
    </row>
    <row r="2926" spans="1:3" x14ac:dyDescent="0.3">
      <c r="A2926" s="37" t="s">
        <v>128</v>
      </c>
      <c r="B2926" s="55">
        <v>44945.622604166667</v>
      </c>
      <c r="C2926" s="38">
        <v>165000</v>
      </c>
    </row>
    <row r="2927" spans="1:3" x14ac:dyDescent="0.3">
      <c r="A2927" s="37" t="s">
        <v>128</v>
      </c>
      <c r="B2927" s="55">
        <v>44953.484097222223</v>
      </c>
      <c r="C2927" s="38">
        <v>157500</v>
      </c>
    </row>
    <row r="2928" spans="1:3" x14ac:dyDescent="0.3">
      <c r="A2928" s="37" t="s">
        <v>128</v>
      </c>
      <c r="B2928" s="55">
        <v>44931.149884259263</v>
      </c>
      <c r="C2928" s="38">
        <v>157500</v>
      </c>
    </row>
    <row r="2929" spans="1:3" x14ac:dyDescent="0.3">
      <c r="A2929" s="37" t="s">
        <v>128</v>
      </c>
      <c r="B2929" s="55">
        <v>44943.33766203704</v>
      </c>
      <c r="C2929" s="38">
        <v>135000</v>
      </c>
    </row>
    <row r="2930" spans="1:3" x14ac:dyDescent="0.3">
      <c r="A2930" s="37" t="s">
        <v>128</v>
      </c>
      <c r="B2930" s="55">
        <v>44943.743078703701</v>
      </c>
      <c r="C2930" s="38">
        <v>165000</v>
      </c>
    </row>
    <row r="2931" spans="1:3" x14ac:dyDescent="0.3">
      <c r="A2931" s="37" t="s">
        <v>128</v>
      </c>
      <c r="B2931" s="55">
        <v>44947.431377314817</v>
      </c>
      <c r="C2931" s="38">
        <v>157500</v>
      </c>
    </row>
    <row r="2932" spans="1:3" x14ac:dyDescent="0.3">
      <c r="A2932" s="37" t="s">
        <v>128</v>
      </c>
      <c r="B2932" s="55">
        <v>44949.544571759259</v>
      </c>
      <c r="C2932" s="38">
        <v>155000</v>
      </c>
    </row>
    <row r="2933" spans="1:3" x14ac:dyDescent="0.3">
      <c r="A2933" s="37" t="s">
        <v>128</v>
      </c>
      <c r="B2933" s="55">
        <v>44928.251608796287</v>
      </c>
      <c r="C2933" s="38">
        <v>222589</v>
      </c>
    </row>
    <row r="2934" spans="1:3" x14ac:dyDescent="0.3">
      <c r="A2934" s="37" t="s">
        <v>128</v>
      </c>
      <c r="B2934" s="55">
        <v>44938.252071759263</v>
      </c>
      <c r="C2934" s="38">
        <v>125000</v>
      </c>
    </row>
    <row r="2935" spans="1:3" x14ac:dyDescent="0.3">
      <c r="A2935" s="37" t="s">
        <v>128</v>
      </c>
      <c r="B2935" s="55">
        <v>44938.460451388892</v>
      </c>
      <c r="C2935" s="38">
        <v>125000</v>
      </c>
    </row>
    <row r="2936" spans="1:3" x14ac:dyDescent="0.3">
      <c r="A2936" s="37" t="s">
        <v>128</v>
      </c>
      <c r="B2936" s="55">
        <v>44946.597488425927</v>
      </c>
      <c r="C2936" s="38">
        <v>180000</v>
      </c>
    </row>
    <row r="2937" spans="1:3" x14ac:dyDescent="0.3">
      <c r="A2937" s="37" t="s">
        <v>128</v>
      </c>
      <c r="B2937" s="55">
        <v>44929.982905092591</v>
      </c>
      <c r="C2937" s="38"/>
    </row>
    <row r="2938" spans="1:3" x14ac:dyDescent="0.3">
      <c r="A2938" s="37" t="s">
        <v>128</v>
      </c>
      <c r="B2938" s="55">
        <v>44931.795127314806</v>
      </c>
      <c r="C2938" s="38"/>
    </row>
    <row r="2939" spans="1:3" x14ac:dyDescent="0.3">
      <c r="A2939" s="37" t="s">
        <v>128</v>
      </c>
      <c r="B2939" s="55">
        <v>44951.563159722216</v>
      </c>
      <c r="C2939" s="38">
        <v>89100</v>
      </c>
    </row>
    <row r="2940" spans="1:3" x14ac:dyDescent="0.3">
      <c r="A2940" s="37" t="s">
        <v>128</v>
      </c>
      <c r="B2940" s="55">
        <v>44932.419282407413</v>
      </c>
      <c r="C2940" s="38">
        <v>170000</v>
      </c>
    </row>
    <row r="2941" spans="1:3" x14ac:dyDescent="0.3">
      <c r="A2941" s="37" t="s">
        <v>128</v>
      </c>
      <c r="B2941" s="55">
        <v>44952.127592592587</v>
      </c>
      <c r="C2941" s="38">
        <v>157500</v>
      </c>
    </row>
    <row r="2942" spans="1:3" x14ac:dyDescent="0.3">
      <c r="A2942" s="37" t="s">
        <v>128</v>
      </c>
      <c r="B2942" s="55">
        <v>44943.326365740737</v>
      </c>
      <c r="C2942" s="38">
        <v>135000</v>
      </c>
    </row>
    <row r="2943" spans="1:3" x14ac:dyDescent="0.3">
      <c r="A2943" s="37" t="s">
        <v>128</v>
      </c>
      <c r="B2943" s="55">
        <v>44932.752835648149</v>
      </c>
      <c r="C2943" s="38">
        <v>167500</v>
      </c>
    </row>
    <row r="2944" spans="1:3" x14ac:dyDescent="0.3">
      <c r="A2944" s="37" t="s">
        <v>128</v>
      </c>
      <c r="B2944" s="55">
        <v>44945.997511574067</v>
      </c>
      <c r="C2944" s="38"/>
    </row>
    <row r="2945" spans="1:3" x14ac:dyDescent="0.3">
      <c r="A2945" s="37" t="s">
        <v>128</v>
      </c>
      <c r="B2945" s="55">
        <v>44930.664930555547</v>
      </c>
      <c r="C2945" s="38">
        <v>140000</v>
      </c>
    </row>
    <row r="2946" spans="1:3" x14ac:dyDescent="0.3">
      <c r="A2946" s="37" t="s">
        <v>128</v>
      </c>
      <c r="B2946" s="55">
        <v>44930.646909722222</v>
      </c>
      <c r="C2946" s="38">
        <v>107500</v>
      </c>
    </row>
    <row r="2947" spans="1:3" x14ac:dyDescent="0.3">
      <c r="A2947" s="37" t="s">
        <v>128</v>
      </c>
      <c r="B2947" s="55">
        <v>44938.293668981481</v>
      </c>
      <c r="C2947" s="38">
        <v>90000</v>
      </c>
    </row>
    <row r="2948" spans="1:3" x14ac:dyDescent="0.3">
      <c r="A2948" s="37" t="s">
        <v>128</v>
      </c>
      <c r="B2948" s="55">
        <v>44940.822280092587</v>
      </c>
      <c r="C2948" s="38">
        <v>131900</v>
      </c>
    </row>
    <row r="2949" spans="1:3" x14ac:dyDescent="0.3">
      <c r="A2949" s="37" t="s">
        <v>128</v>
      </c>
      <c r="B2949" s="55">
        <v>44936.971828703703</v>
      </c>
      <c r="C2949" s="38">
        <v>150000</v>
      </c>
    </row>
    <row r="2950" spans="1:3" x14ac:dyDescent="0.3">
      <c r="A2950" s="37" t="s">
        <v>128</v>
      </c>
      <c r="B2950" s="55">
        <v>44951.377650462957</v>
      </c>
      <c r="C2950" s="38">
        <v>158500</v>
      </c>
    </row>
    <row r="2951" spans="1:3" x14ac:dyDescent="0.3">
      <c r="A2951" s="37" t="s">
        <v>128</v>
      </c>
      <c r="B2951" s="55">
        <v>44943.792962962973</v>
      </c>
      <c r="C2951" s="38"/>
    </row>
    <row r="2952" spans="1:3" x14ac:dyDescent="0.3">
      <c r="A2952" s="37" t="s">
        <v>128</v>
      </c>
      <c r="B2952" s="55">
        <v>44938.713541666657</v>
      </c>
      <c r="C2952" s="38">
        <v>153000</v>
      </c>
    </row>
    <row r="2953" spans="1:3" x14ac:dyDescent="0.3">
      <c r="A2953" s="37" t="s">
        <v>128</v>
      </c>
      <c r="B2953" s="55">
        <v>44935.607314814813</v>
      </c>
      <c r="C2953" s="38">
        <v>157500</v>
      </c>
    </row>
    <row r="2954" spans="1:3" x14ac:dyDescent="0.3">
      <c r="A2954" s="37" t="s">
        <v>128</v>
      </c>
      <c r="B2954" s="55">
        <v>44936.639085648138</v>
      </c>
      <c r="C2954" s="38">
        <v>145000</v>
      </c>
    </row>
    <row r="2955" spans="1:3" x14ac:dyDescent="0.3">
      <c r="A2955" s="37" t="s">
        <v>128</v>
      </c>
      <c r="B2955" s="55">
        <v>44946.681504629632</v>
      </c>
      <c r="C2955" s="38">
        <v>212500</v>
      </c>
    </row>
    <row r="2956" spans="1:3" x14ac:dyDescent="0.3">
      <c r="A2956" s="37" t="s">
        <v>128</v>
      </c>
      <c r="B2956" s="55">
        <v>44929.98101851852</v>
      </c>
      <c r="C2956" s="38"/>
    </row>
    <row r="2957" spans="1:3" x14ac:dyDescent="0.3">
      <c r="A2957" s="37" t="s">
        <v>128</v>
      </c>
      <c r="B2957" s="55">
        <v>44933.294247685182</v>
      </c>
      <c r="C2957" s="38">
        <v>90000</v>
      </c>
    </row>
    <row r="2958" spans="1:3" x14ac:dyDescent="0.3">
      <c r="A2958" s="37" t="s">
        <v>128</v>
      </c>
      <c r="B2958" s="55">
        <v>44955.003634259258</v>
      </c>
      <c r="C2958" s="38">
        <v>200000</v>
      </c>
    </row>
    <row r="2959" spans="1:3" x14ac:dyDescent="0.3">
      <c r="A2959" s="37" t="s">
        <v>128</v>
      </c>
      <c r="B2959" s="55">
        <v>44957.690810185188</v>
      </c>
      <c r="C2959" s="38">
        <v>475000</v>
      </c>
    </row>
    <row r="2960" spans="1:3" x14ac:dyDescent="0.3">
      <c r="A2960" s="37" t="s">
        <v>128</v>
      </c>
      <c r="B2960" s="55">
        <v>44955.002812500003</v>
      </c>
      <c r="C2960" s="38">
        <v>200000</v>
      </c>
    </row>
    <row r="2961" spans="1:3" x14ac:dyDescent="0.3">
      <c r="A2961" s="37" t="s">
        <v>128</v>
      </c>
      <c r="B2961" s="55">
        <v>44938.171354166669</v>
      </c>
      <c r="C2961" s="38">
        <v>154000</v>
      </c>
    </row>
    <row r="2962" spans="1:3" x14ac:dyDescent="0.3">
      <c r="A2962" s="37" t="s">
        <v>128</v>
      </c>
      <c r="B2962" s="55">
        <v>44945.555462962962</v>
      </c>
      <c r="C2962" s="38">
        <v>150000</v>
      </c>
    </row>
    <row r="2963" spans="1:3" x14ac:dyDescent="0.3">
      <c r="A2963" s="37" t="s">
        <v>128</v>
      </c>
      <c r="B2963" s="55">
        <v>44943.670231481483</v>
      </c>
      <c r="C2963" s="38"/>
    </row>
    <row r="2964" spans="1:3" x14ac:dyDescent="0.3">
      <c r="A2964" s="37" t="s">
        <v>128</v>
      </c>
      <c r="B2964" s="55">
        <v>44937.586192129631</v>
      </c>
      <c r="C2964" s="38">
        <v>130000</v>
      </c>
    </row>
    <row r="2965" spans="1:3" x14ac:dyDescent="0.3">
      <c r="A2965" s="37" t="s">
        <v>128</v>
      </c>
      <c r="B2965" s="55">
        <v>44929.981041666673</v>
      </c>
      <c r="C2965" s="38"/>
    </row>
    <row r="2966" spans="1:3" x14ac:dyDescent="0.3">
      <c r="A2966" s="37" t="s">
        <v>128</v>
      </c>
      <c r="B2966" s="55">
        <v>44940.503009259257</v>
      </c>
      <c r="C2966" s="38">
        <v>86150</v>
      </c>
    </row>
    <row r="2967" spans="1:3" x14ac:dyDescent="0.3">
      <c r="A2967" s="37" t="s">
        <v>128</v>
      </c>
      <c r="B2967" s="55">
        <v>44931.835555555554</v>
      </c>
      <c r="C2967" s="38">
        <v>177495</v>
      </c>
    </row>
    <row r="2968" spans="1:3" x14ac:dyDescent="0.3">
      <c r="A2968" s="37" t="s">
        <v>128</v>
      </c>
      <c r="B2968" s="55">
        <v>44929.981574074067</v>
      </c>
      <c r="C2968" s="38"/>
    </row>
    <row r="2969" spans="1:3" x14ac:dyDescent="0.3">
      <c r="A2969" s="37" t="s">
        <v>128</v>
      </c>
      <c r="B2969" s="55">
        <v>44928.293622685182</v>
      </c>
      <c r="C2969" s="38">
        <v>175000</v>
      </c>
    </row>
    <row r="2970" spans="1:3" x14ac:dyDescent="0.3">
      <c r="A2970" s="37" t="s">
        <v>128</v>
      </c>
      <c r="B2970" s="55">
        <v>44929.646944444437</v>
      </c>
      <c r="C2970" s="38">
        <v>120000</v>
      </c>
    </row>
    <row r="2971" spans="1:3" x14ac:dyDescent="0.3">
      <c r="A2971" s="37" t="s">
        <v>128</v>
      </c>
      <c r="B2971" s="55">
        <v>44936.12777777778</v>
      </c>
      <c r="C2971" s="38">
        <v>168000</v>
      </c>
    </row>
    <row r="2972" spans="1:3" x14ac:dyDescent="0.3">
      <c r="A2972" s="37" t="s">
        <v>128</v>
      </c>
      <c r="B2972" s="55">
        <v>44933.668032407397</v>
      </c>
      <c r="C2972" s="38">
        <v>245000</v>
      </c>
    </row>
    <row r="2973" spans="1:3" x14ac:dyDescent="0.3">
      <c r="A2973" s="37" t="s">
        <v>128</v>
      </c>
      <c r="B2973" s="55">
        <v>44947.58798611111</v>
      </c>
      <c r="C2973" s="38"/>
    </row>
    <row r="2974" spans="1:3" x14ac:dyDescent="0.3">
      <c r="A2974" s="37" t="s">
        <v>128</v>
      </c>
      <c r="B2974" s="55">
        <v>44957.98232638889</v>
      </c>
      <c r="C2974" s="38">
        <v>124702.53125</v>
      </c>
    </row>
    <row r="2975" spans="1:3" x14ac:dyDescent="0.3">
      <c r="A2975" s="37" t="s">
        <v>128</v>
      </c>
      <c r="B2975" s="55">
        <v>44956.58798611111</v>
      </c>
      <c r="C2975" s="38">
        <v>250000</v>
      </c>
    </row>
    <row r="2976" spans="1:3" x14ac:dyDescent="0.3">
      <c r="A2976" s="37" t="s">
        <v>128</v>
      </c>
      <c r="B2976" s="55">
        <v>44937.264270833337</v>
      </c>
      <c r="C2976" s="38">
        <v>200935.5</v>
      </c>
    </row>
    <row r="2977" spans="1:3" x14ac:dyDescent="0.3">
      <c r="A2977" s="37" t="s">
        <v>128</v>
      </c>
      <c r="B2977" s="55">
        <v>44954.169432870367</v>
      </c>
      <c r="C2977" s="38">
        <v>205000</v>
      </c>
    </row>
    <row r="2978" spans="1:3" x14ac:dyDescent="0.3">
      <c r="A2978" s="37" t="s">
        <v>128</v>
      </c>
      <c r="B2978" s="55">
        <v>44954.003611111111</v>
      </c>
      <c r="C2978" s="38">
        <v>200000</v>
      </c>
    </row>
    <row r="2979" spans="1:3" x14ac:dyDescent="0.3">
      <c r="A2979" s="37" t="s">
        <v>128</v>
      </c>
      <c r="B2979" s="55">
        <v>44945.955601851849</v>
      </c>
      <c r="C2979" s="38"/>
    </row>
    <row r="2980" spans="1:3" x14ac:dyDescent="0.3">
      <c r="A2980" s="37" t="s">
        <v>128</v>
      </c>
      <c r="B2980" s="55">
        <v>44952.736238425918</v>
      </c>
      <c r="C2980" s="38">
        <v>157500</v>
      </c>
    </row>
    <row r="2981" spans="1:3" x14ac:dyDescent="0.3">
      <c r="A2981" s="37" t="s">
        <v>128</v>
      </c>
      <c r="B2981" s="55">
        <v>44928.822557870371</v>
      </c>
      <c r="C2981" s="38">
        <v>105515</v>
      </c>
    </row>
    <row r="2982" spans="1:3" x14ac:dyDescent="0.3">
      <c r="A2982" s="37" t="s">
        <v>128</v>
      </c>
      <c r="B2982" s="55">
        <v>44948.835578703707</v>
      </c>
      <c r="C2982" s="38">
        <v>160000</v>
      </c>
    </row>
    <row r="2983" spans="1:3" x14ac:dyDescent="0.3">
      <c r="A2983" s="37" t="s">
        <v>128</v>
      </c>
      <c r="B2983" s="55">
        <v>44940.294074074067</v>
      </c>
      <c r="C2983" s="38">
        <v>175000</v>
      </c>
    </row>
    <row r="2984" spans="1:3" x14ac:dyDescent="0.3">
      <c r="A2984" s="37" t="s">
        <v>128</v>
      </c>
      <c r="B2984" s="55">
        <v>44946.973182870373</v>
      </c>
      <c r="C2984" s="38">
        <v>126000</v>
      </c>
    </row>
    <row r="2985" spans="1:3" x14ac:dyDescent="0.3">
      <c r="A2985" s="37" t="s">
        <v>128</v>
      </c>
      <c r="B2985" s="55">
        <v>44930.00576388889</v>
      </c>
      <c r="C2985" s="38"/>
    </row>
    <row r="2986" spans="1:3" x14ac:dyDescent="0.3">
      <c r="A2986" s="37" t="s">
        <v>128</v>
      </c>
      <c r="B2986" s="55">
        <v>44953.29619212963</v>
      </c>
      <c r="C2986" s="38">
        <v>90000</v>
      </c>
    </row>
    <row r="2987" spans="1:3" x14ac:dyDescent="0.3">
      <c r="A2987" s="37" t="s">
        <v>128</v>
      </c>
      <c r="B2987" s="55">
        <v>44955.835289351853</v>
      </c>
      <c r="C2987" s="38">
        <v>112500</v>
      </c>
    </row>
    <row r="2988" spans="1:3" x14ac:dyDescent="0.3">
      <c r="A2988" s="37" t="s">
        <v>128</v>
      </c>
      <c r="B2988" s="55">
        <v>44946.919803240737</v>
      </c>
      <c r="C2988" s="38">
        <v>157500</v>
      </c>
    </row>
    <row r="2989" spans="1:3" x14ac:dyDescent="0.3">
      <c r="A2989" s="37" t="s">
        <v>128</v>
      </c>
      <c r="B2989" s="55">
        <v>44936.264861111107</v>
      </c>
      <c r="C2989" s="38">
        <v>90000</v>
      </c>
    </row>
    <row r="2990" spans="1:3" x14ac:dyDescent="0.3">
      <c r="A2990" s="37" t="s">
        <v>128</v>
      </c>
      <c r="B2990" s="55">
        <v>44953.880624999998</v>
      </c>
      <c r="C2990" s="38">
        <v>150000</v>
      </c>
    </row>
    <row r="2991" spans="1:3" x14ac:dyDescent="0.3">
      <c r="A2991" s="37" t="s">
        <v>128</v>
      </c>
      <c r="B2991" s="55">
        <v>44937.586655092593</v>
      </c>
      <c r="C2991" s="38">
        <v>215000</v>
      </c>
    </row>
    <row r="2992" spans="1:3" x14ac:dyDescent="0.3">
      <c r="A2992" s="37" t="s">
        <v>128</v>
      </c>
      <c r="B2992" s="55">
        <v>44939.295266203713</v>
      </c>
      <c r="C2992" s="38">
        <v>115000</v>
      </c>
    </row>
    <row r="2993" spans="1:3" x14ac:dyDescent="0.3">
      <c r="A2993" s="37" t="s">
        <v>128</v>
      </c>
      <c r="B2993" s="55">
        <v>44945.910879629628</v>
      </c>
      <c r="C2993" s="38">
        <v>79200</v>
      </c>
    </row>
    <row r="2994" spans="1:3" x14ac:dyDescent="0.3">
      <c r="A2994" s="37" t="s">
        <v>128</v>
      </c>
      <c r="B2994" s="55">
        <v>44936.305243055547</v>
      </c>
      <c r="C2994" s="38">
        <v>90000</v>
      </c>
    </row>
    <row r="2995" spans="1:3" x14ac:dyDescent="0.3">
      <c r="A2995" s="37" t="s">
        <v>128</v>
      </c>
      <c r="B2995" s="55">
        <v>44930.295972222222</v>
      </c>
      <c r="C2995" s="38">
        <v>90000</v>
      </c>
    </row>
    <row r="2996" spans="1:3" x14ac:dyDescent="0.3">
      <c r="A2996" s="37" t="s">
        <v>128</v>
      </c>
      <c r="B2996" s="55">
        <v>44935.60728009259</v>
      </c>
      <c r="C2996" s="38">
        <v>150000</v>
      </c>
    </row>
    <row r="2997" spans="1:3" x14ac:dyDescent="0.3">
      <c r="A2997" s="37" t="s">
        <v>128</v>
      </c>
      <c r="B2997" s="55">
        <v>44952.169340277767</v>
      </c>
      <c r="C2997" s="38">
        <v>157500</v>
      </c>
    </row>
    <row r="2998" spans="1:3" x14ac:dyDescent="0.3">
      <c r="A2998" s="37" t="s">
        <v>128</v>
      </c>
      <c r="B2998" s="55">
        <v>44951.368692129632</v>
      </c>
      <c r="C2998" s="38">
        <v>105300</v>
      </c>
    </row>
    <row r="2999" spans="1:3" x14ac:dyDescent="0.3">
      <c r="A2999" s="37" t="s">
        <v>128</v>
      </c>
      <c r="B2999" s="55">
        <v>44932.753981481481</v>
      </c>
      <c r="C2999" s="38">
        <v>190000</v>
      </c>
    </row>
    <row r="3000" spans="1:3" x14ac:dyDescent="0.3">
      <c r="A3000" s="37" t="s">
        <v>128</v>
      </c>
      <c r="B3000" s="55">
        <v>44936.002939814818</v>
      </c>
      <c r="C3000" s="38">
        <v>170000</v>
      </c>
    </row>
    <row r="3001" spans="1:3" x14ac:dyDescent="0.3">
      <c r="A3001" s="37" t="s">
        <v>128</v>
      </c>
      <c r="B3001" s="55">
        <v>44948.920474537037</v>
      </c>
      <c r="C3001" s="38">
        <v>157500</v>
      </c>
    </row>
    <row r="3002" spans="1:3" x14ac:dyDescent="0.3">
      <c r="A3002" s="37" t="s">
        <v>128</v>
      </c>
      <c r="B3002" s="55">
        <v>44950.29582175926</v>
      </c>
      <c r="C3002" s="38">
        <v>125000</v>
      </c>
    </row>
    <row r="3003" spans="1:3" x14ac:dyDescent="0.3">
      <c r="A3003" s="37" t="s">
        <v>128</v>
      </c>
      <c r="B3003" s="55">
        <v>44941.293634259258</v>
      </c>
      <c r="C3003" s="38">
        <v>90000</v>
      </c>
    </row>
    <row r="3004" spans="1:3" x14ac:dyDescent="0.3">
      <c r="A3004" s="37" t="s">
        <v>128</v>
      </c>
      <c r="B3004" s="55">
        <v>44952.84814814815</v>
      </c>
      <c r="C3004" s="38">
        <v>79200</v>
      </c>
    </row>
    <row r="3005" spans="1:3" x14ac:dyDescent="0.3">
      <c r="A3005" s="37" t="s">
        <v>128</v>
      </c>
      <c r="B3005" s="55">
        <v>44939.015173611107</v>
      </c>
      <c r="C3005" s="38">
        <v>191000</v>
      </c>
    </row>
    <row r="3006" spans="1:3" x14ac:dyDescent="0.3">
      <c r="A3006" s="37" t="s">
        <v>128</v>
      </c>
      <c r="B3006" s="55">
        <v>44944.531435185178</v>
      </c>
      <c r="C3006" s="38">
        <v>137500</v>
      </c>
    </row>
    <row r="3007" spans="1:3" x14ac:dyDescent="0.3">
      <c r="A3007" s="37" t="s">
        <v>128</v>
      </c>
      <c r="B3007" s="55">
        <v>44936.847384259258</v>
      </c>
      <c r="C3007" s="38">
        <v>175000</v>
      </c>
    </row>
    <row r="3008" spans="1:3" x14ac:dyDescent="0.3">
      <c r="A3008" s="37" t="s">
        <v>128</v>
      </c>
      <c r="B3008" s="55">
        <v>44938.462743055563</v>
      </c>
      <c r="C3008" s="38">
        <v>198000</v>
      </c>
    </row>
    <row r="3009" spans="1:3" x14ac:dyDescent="0.3">
      <c r="A3009" s="37" t="s">
        <v>128</v>
      </c>
      <c r="B3009" s="55">
        <v>44934.61451388889</v>
      </c>
      <c r="C3009" s="38">
        <v>210000</v>
      </c>
    </row>
    <row r="3010" spans="1:3" x14ac:dyDescent="0.3">
      <c r="A3010" s="37" t="s">
        <v>128</v>
      </c>
      <c r="B3010" s="55">
        <v>44949.46130787037</v>
      </c>
      <c r="C3010" s="38">
        <v>302880</v>
      </c>
    </row>
    <row r="3011" spans="1:3" x14ac:dyDescent="0.3">
      <c r="A3011" s="37" t="s">
        <v>128</v>
      </c>
      <c r="B3011" s="55">
        <v>44938.822881944441</v>
      </c>
      <c r="C3011" s="38">
        <v>147500</v>
      </c>
    </row>
    <row r="3012" spans="1:3" x14ac:dyDescent="0.3">
      <c r="A3012" s="37" t="s">
        <v>128</v>
      </c>
      <c r="B3012" s="55">
        <v>44957.732407407413</v>
      </c>
      <c r="C3012" s="38"/>
    </row>
    <row r="3013" spans="1:3" x14ac:dyDescent="0.3">
      <c r="A3013" s="37" t="s">
        <v>128</v>
      </c>
      <c r="B3013" s="55">
        <v>44949.502349537041</v>
      </c>
      <c r="C3013" s="38">
        <v>134000</v>
      </c>
    </row>
    <row r="3014" spans="1:3" x14ac:dyDescent="0.3">
      <c r="A3014" s="37" t="s">
        <v>128</v>
      </c>
      <c r="B3014" s="55">
        <v>44953.004502314812</v>
      </c>
      <c r="C3014" s="38">
        <v>76839</v>
      </c>
    </row>
    <row r="3015" spans="1:3" x14ac:dyDescent="0.3">
      <c r="A3015" s="37" t="s">
        <v>128</v>
      </c>
      <c r="B3015" s="55">
        <v>44937.878912037027</v>
      </c>
      <c r="C3015" s="38">
        <v>200000</v>
      </c>
    </row>
    <row r="3016" spans="1:3" x14ac:dyDescent="0.3">
      <c r="A3016" s="37" t="s">
        <v>128</v>
      </c>
      <c r="B3016" s="55">
        <v>44936.806157407409</v>
      </c>
      <c r="C3016" s="38"/>
    </row>
    <row r="3017" spans="1:3" x14ac:dyDescent="0.3">
      <c r="A3017" s="37" t="s">
        <v>128</v>
      </c>
      <c r="B3017" s="55">
        <v>44937.669456018521</v>
      </c>
      <c r="C3017" s="38">
        <v>198000</v>
      </c>
    </row>
    <row r="3018" spans="1:3" x14ac:dyDescent="0.3">
      <c r="A3018" s="37" t="s">
        <v>128</v>
      </c>
      <c r="B3018" s="55">
        <v>44929.980949074074</v>
      </c>
      <c r="C3018" s="38"/>
    </row>
    <row r="3019" spans="1:3" x14ac:dyDescent="0.3">
      <c r="A3019" s="37" t="s">
        <v>128</v>
      </c>
      <c r="B3019" s="55">
        <v>44932.757407407407</v>
      </c>
      <c r="C3019" s="38">
        <v>210000</v>
      </c>
    </row>
    <row r="3020" spans="1:3" x14ac:dyDescent="0.3">
      <c r="A3020" s="37" t="s">
        <v>128</v>
      </c>
      <c r="B3020" s="55">
        <v>44944.467789351853</v>
      </c>
      <c r="C3020" s="38">
        <v>105650</v>
      </c>
    </row>
    <row r="3021" spans="1:3" x14ac:dyDescent="0.3">
      <c r="A3021" s="37" t="s">
        <v>128</v>
      </c>
      <c r="B3021" s="55">
        <v>44931.871527777781</v>
      </c>
      <c r="C3021" s="38">
        <v>152500</v>
      </c>
    </row>
    <row r="3022" spans="1:3" x14ac:dyDescent="0.3">
      <c r="A3022" s="37" t="s">
        <v>128</v>
      </c>
      <c r="B3022" s="55">
        <v>44951.653784722221</v>
      </c>
      <c r="C3022" s="38">
        <v>130000</v>
      </c>
    </row>
    <row r="3023" spans="1:3" x14ac:dyDescent="0.3">
      <c r="A3023" s="37" t="s">
        <v>128</v>
      </c>
      <c r="B3023" s="55">
        <v>44952.378703703696</v>
      </c>
      <c r="C3023" s="38">
        <v>157500</v>
      </c>
    </row>
    <row r="3024" spans="1:3" x14ac:dyDescent="0.3">
      <c r="A3024" s="37" t="s">
        <v>128</v>
      </c>
      <c r="B3024" s="55">
        <v>44933.020509259259</v>
      </c>
      <c r="C3024" s="38">
        <v>147500</v>
      </c>
    </row>
    <row r="3025" spans="1:3" x14ac:dyDescent="0.3">
      <c r="A3025" s="37" t="s">
        <v>128</v>
      </c>
      <c r="B3025" s="55">
        <v>44933.168958333343</v>
      </c>
      <c r="C3025" s="38">
        <v>150000</v>
      </c>
    </row>
    <row r="3026" spans="1:3" x14ac:dyDescent="0.3">
      <c r="A3026" s="37" t="s">
        <v>128</v>
      </c>
      <c r="B3026" s="55">
        <v>44929.981562499997</v>
      </c>
      <c r="C3026" s="38"/>
    </row>
    <row r="3027" spans="1:3" x14ac:dyDescent="0.3">
      <c r="A3027" s="37" t="s">
        <v>128</v>
      </c>
      <c r="B3027" s="55">
        <v>44937.253564814811</v>
      </c>
      <c r="C3027" s="38">
        <v>196800</v>
      </c>
    </row>
    <row r="3028" spans="1:3" x14ac:dyDescent="0.3">
      <c r="A3028" s="37" t="s">
        <v>128</v>
      </c>
      <c r="B3028" s="55">
        <v>44938.295231481483</v>
      </c>
      <c r="C3028" s="38">
        <v>90000</v>
      </c>
    </row>
    <row r="3029" spans="1:3" x14ac:dyDescent="0.3">
      <c r="A3029" s="37" t="s">
        <v>128</v>
      </c>
      <c r="B3029" s="55">
        <v>44941.250069444453</v>
      </c>
      <c r="C3029" s="38">
        <v>157500</v>
      </c>
    </row>
    <row r="3030" spans="1:3" x14ac:dyDescent="0.3">
      <c r="A3030" s="37" t="s">
        <v>128</v>
      </c>
      <c r="B3030" s="55">
        <v>44942.430011574077</v>
      </c>
      <c r="C3030" s="38">
        <v>222000</v>
      </c>
    </row>
    <row r="3031" spans="1:3" x14ac:dyDescent="0.3">
      <c r="A3031" s="37" t="s">
        <v>128</v>
      </c>
      <c r="B3031" s="55">
        <v>44929.981064814812</v>
      </c>
      <c r="C3031" s="38"/>
    </row>
    <row r="3032" spans="1:3" x14ac:dyDescent="0.3">
      <c r="A3032" s="37" t="s">
        <v>128</v>
      </c>
      <c r="B3032" s="55">
        <v>44929.982395833344</v>
      </c>
      <c r="C3032" s="38"/>
    </row>
    <row r="3033" spans="1:3" x14ac:dyDescent="0.3">
      <c r="A3033" s="37" t="s">
        <v>128</v>
      </c>
      <c r="B3033" s="55">
        <v>44955.003391203703</v>
      </c>
      <c r="C3033" s="38"/>
    </row>
    <row r="3034" spans="1:3" x14ac:dyDescent="0.3">
      <c r="A3034" s="37" t="s">
        <v>128</v>
      </c>
      <c r="B3034" s="55">
        <v>44932.044386574067</v>
      </c>
      <c r="C3034" s="38">
        <v>102000</v>
      </c>
    </row>
    <row r="3035" spans="1:3" x14ac:dyDescent="0.3">
      <c r="A3035" s="37" t="s">
        <v>128</v>
      </c>
      <c r="B3035" s="55">
        <v>44939.0155787037</v>
      </c>
      <c r="C3035" s="38">
        <v>158445</v>
      </c>
    </row>
    <row r="3036" spans="1:3" x14ac:dyDescent="0.3">
      <c r="A3036" s="37" t="s">
        <v>128</v>
      </c>
      <c r="B3036" s="55">
        <v>44943.261956018519</v>
      </c>
      <c r="C3036" s="38">
        <v>150000</v>
      </c>
    </row>
    <row r="3037" spans="1:3" x14ac:dyDescent="0.3">
      <c r="A3037" s="37" t="s">
        <v>128</v>
      </c>
      <c r="B3037" s="55">
        <v>44937.264166666668</v>
      </c>
      <c r="C3037" s="38">
        <v>196800</v>
      </c>
    </row>
    <row r="3038" spans="1:3" x14ac:dyDescent="0.3">
      <c r="A3038" s="37" t="s">
        <v>128</v>
      </c>
      <c r="B3038" s="55">
        <v>44955.002812500003</v>
      </c>
      <c r="C3038" s="38">
        <v>155000</v>
      </c>
    </row>
    <row r="3039" spans="1:3" x14ac:dyDescent="0.3">
      <c r="A3039" s="37" t="s">
        <v>128</v>
      </c>
      <c r="B3039" s="55">
        <v>44948.461712962962</v>
      </c>
      <c r="C3039" s="38">
        <v>157500</v>
      </c>
    </row>
    <row r="3040" spans="1:3" x14ac:dyDescent="0.3">
      <c r="A3040" s="37" t="s">
        <v>128</v>
      </c>
      <c r="B3040" s="55">
        <v>44929.981666666667</v>
      </c>
      <c r="C3040" s="38"/>
    </row>
    <row r="3041" spans="1:3" x14ac:dyDescent="0.3">
      <c r="A3041" s="37" t="s">
        <v>128</v>
      </c>
      <c r="B3041" s="55">
        <v>44941.54078703704</v>
      </c>
      <c r="C3041" s="38">
        <v>195000</v>
      </c>
    </row>
    <row r="3042" spans="1:3" x14ac:dyDescent="0.3">
      <c r="A3042" s="37" t="s">
        <v>128</v>
      </c>
      <c r="B3042" s="55">
        <v>44933.668078703697</v>
      </c>
      <c r="C3042" s="38">
        <v>193500</v>
      </c>
    </row>
    <row r="3043" spans="1:3" x14ac:dyDescent="0.3">
      <c r="A3043" s="37" t="s">
        <v>128</v>
      </c>
      <c r="B3043" s="55">
        <v>44929.981111111112</v>
      </c>
      <c r="C3043" s="38"/>
    </row>
    <row r="3044" spans="1:3" x14ac:dyDescent="0.3">
      <c r="A3044" s="37" t="s">
        <v>128</v>
      </c>
      <c r="B3044" s="55">
        <v>44929.982997685183</v>
      </c>
      <c r="C3044" s="38"/>
    </row>
    <row r="3045" spans="1:3" x14ac:dyDescent="0.3">
      <c r="A3045" s="37" t="s">
        <v>128</v>
      </c>
      <c r="B3045" s="55">
        <v>44942.169930555552</v>
      </c>
      <c r="C3045" s="38">
        <v>90000</v>
      </c>
    </row>
    <row r="3046" spans="1:3" x14ac:dyDescent="0.3">
      <c r="A3046" s="37" t="s">
        <v>128</v>
      </c>
      <c r="B3046" s="55">
        <v>44936.522083333337</v>
      </c>
      <c r="C3046" s="38">
        <v>90000</v>
      </c>
    </row>
    <row r="3047" spans="1:3" x14ac:dyDescent="0.3">
      <c r="A3047" s="37" t="s">
        <v>128</v>
      </c>
      <c r="B3047" s="55">
        <v>44945.347974537042</v>
      </c>
      <c r="C3047" s="38">
        <v>135000</v>
      </c>
    </row>
    <row r="3048" spans="1:3" x14ac:dyDescent="0.3">
      <c r="A3048" s="37" t="s">
        <v>128</v>
      </c>
      <c r="B3048" s="55">
        <v>44939.093541666669</v>
      </c>
      <c r="C3048" s="38">
        <v>157500</v>
      </c>
    </row>
    <row r="3049" spans="1:3" x14ac:dyDescent="0.3">
      <c r="A3049" s="37" t="s">
        <v>128</v>
      </c>
      <c r="B3049" s="55">
        <v>44929.980983796297</v>
      </c>
      <c r="C3049" s="38"/>
    </row>
    <row r="3050" spans="1:3" x14ac:dyDescent="0.3">
      <c r="A3050" s="37" t="s">
        <v>128</v>
      </c>
      <c r="B3050" s="55">
        <v>44937.657488425917</v>
      </c>
      <c r="C3050" s="38">
        <v>68375.5</v>
      </c>
    </row>
    <row r="3051" spans="1:3" x14ac:dyDescent="0.3">
      <c r="A3051" s="37" t="s">
        <v>128</v>
      </c>
      <c r="B3051" s="55">
        <v>44939.670011574082</v>
      </c>
      <c r="C3051" s="38">
        <v>172500</v>
      </c>
    </row>
    <row r="3052" spans="1:3" x14ac:dyDescent="0.3">
      <c r="A3052" s="37" t="s">
        <v>128</v>
      </c>
      <c r="B3052" s="55">
        <v>44937.34207175926</v>
      </c>
      <c r="C3052" s="38">
        <v>157500</v>
      </c>
    </row>
    <row r="3053" spans="1:3" x14ac:dyDescent="0.3">
      <c r="A3053" s="37" t="s">
        <v>128</v>
      </c>
      <c r="B3053" s="55">
        <v>44939.336678240739</v>
      </c>
      <c r="C3053" s="38">
        <v>175000</v>
      </c>
    </row>
    <row r="3054" spans="1:3" x14ac:dyDescent="0.3">
      <c r="A3054" s="37" t="s">
        <v>128</v>
      </c>
      <c r="B3054" s="55">
        <v>44932.62809027778</v>
      </c>
      <c r="C3054" s="38">
        <v>184844.5</v>
      </c>
    </row>
    <row r="3055" spans="1:3" x14ac:dyDescent="0.3">
      <c r="A3055" s="37" t="s">
        <v>128</v>
      </c>
      <c r="B3055" s="55">
        <v>44938.712199074071</v>
      </c>
      <c r="C3055" s="38">
        <v>190500</v>
      </c>
    </row>
    <row r="3056" spans="1:3" x14ac:dyDescent="0.3">
      <c r="A3056" s="37" t="s">
        <v>128</v>
      </c>
      <c r="B3056" s="55">
        <v>44940.669340277767</v>
      </c>
      <c r="C3056" s="38">
        <v>134000</v>
      </c>
    </row>
    <row r="3057" spans="1:3" x14ac:dyDescent="0.3">
      <c r="A3057" s="37" t="s">
        <v>128</v>
      </c>
      <c r="B3057" s="55">
        <v>44933.668206018519</v>
      </c>
      <c r="C3057" s="38">
        <v>193499</v>
      </c>
    </row>
    <row r="3058" spans="1:3" x14ac:dyDescent="0.3">
      <c r="A3058" s="37" t="s">
        <v>128</v>
      </c>
      <c r="B3058" s="55">
        <v>44946.01494212963</v>
      </c>
      <c r="C3058" s="38">
        <v>310270</v>
      </c>
    </row>
    <row r="3059" spans="1:3" x14ac:dyDescent="0.3">
      <c r="A3059" s="37" t="s">
        <v>128</v>
      </c>
      <c r="B3059" s="55">
        <v>44946.389814814807</v>
      </c>
      <c r="C3059" s="38">
        <v>175000</v>
      </c>
    </row>
    <row r="3060" spans="1:3" x14ac:dyDescent="0.3">
      <c r="A3060" s="37" t="s">
        <v>128</v>
      </c>
      <c r="B3060" s="55">
        <v>44940.336145833331</v>
      </c>
      <c r="C3060" s="38">
        <v>150000</v>
      </c>
    </row>
    <row r="3061" spans="1:3" x14ac:dyDescent="0.3">
      <c r="A3061" s="37" t="s">
        <v>128</v>
      </c>
      <c r="B3061" s="55">
        <v>44929.982754629629</v>
      </c>
      <c r="C3061" s="38"/>
    </row>
    <row r="3062" spans="1:3" x14ac:dyDescent="0.3">
      <c r="A3062" s="37" t="s">
        <v>128</v>
      </c>
      <c r="B3062" s="55">
        <v>44932.794456018521</v>
      </c>
      <c r="C3062" s="38">
        <v>193500</v>
      </c>
    </row>
    <row r="3063" spans="1:3" x14ac:dyDescent="0.3">
      <c r="A3063" s="37" t="s">
        <v>128</v>
      </c>
      <c r="B3063" s="55">
        <v>44939.003958333327</v>
      </c>
      <c r="C3063" s="38">
        <v>145500</v>
      </c>
    </row>
    <row r="3064" spans="1:3" x14ac:dyDescent="0.3">
      <c r="A3064" s="37" t="s">
        <v>128</v>
      </c>
      <c r="B3064" s="55">
        <v>44951.836157407408</v>
      </c>
      <c r="C3064" s="38">
        <v>137500</v>
      </c>
    </row>
    <row r="3065" spans="1:3" x14ac:dyDescent="0.3">
      <c r="A3065" s="37" t="s">
        <v>128</v>
      </c>
      <c r="B3065" s="55">
        <v>44949.003113425933</v>
      </c>
      <c r="C3065" s="38">
        <v>142809</v>
      </c>
    </row>
    <row r="3066" spans="1:3" x14ac:dyDescent="0.3">
      <c r="A3066" s="37" t="s">
        <v>128</v>
      </c>
      <c r="B3066" s="55">
        <v>44944.667974537027</v>
      </c>
      <c r="C3066" s="38"/>
    </row>
    <row r="3067" spans="1:3" x14ac:dyDescent="0.3">
      <c r="A3067" s="37" t="s">
        <v>128</v>
      </c>
      <c r="B3067" s="55">
        <v>44945.723090277781</v>
      </c>
      <c r="C3067" s="38">
        <v>229500</v>
      </c>
    </row>
    <row r="3068" spans="1:3" x14ac:dyDescent="0.3">
      <c r="A3068" s="37" t="s">
        <v>128</v>
      </c>
      <c r="B3068" s="55">
        <v>44929.897314814807</v>
      </c>
      <c r="C3068" s="38">
        <v>166000</v>
      </c>
    </row>
    <row r="3069" spans="1:3" x14ac:dyDescent="0.3">
      <c r="A3069" s="37" t="s">
        <v>128</v>
      </c>
      <c r="B3069" s="55">
        <v>44946.4766087963</v>
      </c>
      <c r="C3069" s="38">
        <v>90000</v>
      </c>
    </row>
    <row r="3070" spans="1:3" x14ac:dyDescent="0.3">
      <c r="A3070" s="37" t="s">
        <v>129</v>
      </c>
      <c r="B3070" s="55">
        <v>44936.603136574071</v>
      </c>
      <c r="C3070" s="38">
        <v>64800</v>
      </c>
    </row>
    <row r="3071" spans="1:3" x14ac:dyDescent="0.3">
      <c r="A3071" s="37" t="s">
        <v>129</v>
      </c>
      <c r="B3071" s="55">
        <v>44937.422650462962</v>
      </c>
      <c r="C3071" s="38">
        <v>150000</v>
      </c>
    </row>
    <row r="3072" spans="1:3" x14ac:dyDescent="0.3">
      <c r="A3072" s="37" t="s">
        <v>129</v>
      </c>
      <c r="B3072" s="55">
        <v>44935.891018518523</v>
      </c>
      <c r="C3072" s="38">
        <v>79200</v>
      </c>
    </row>
    <row r="3073" spans="1:3" x14ac:dyDescent="0.3">
      <c r="A3073" s="37" t="s">
        <v>129</v>
      </c>
      <c r="B3073" s="55">
        <v>44928.753321759257</v>
      </c>
      <c r="C3073" s="38">
        <v>99150</v>
      </c>
    </row>
    <row r="3074" spans="1:3" x14ac:dyDescent="0.3">
      <c r="A3074" s="37" t="s">
        <v>129</v>
      </c>
      <c r="B3074" s="55">
        <v>44956.883217592593</v>
      </c>
      <c r="C3074" s="38">
        <v>79200</v>
      </c>
    </row>
    <row r="3075" spans="1:3" x14ac:dyDescent="0.3">
      <c r="A3075" s="37" t="s">
        <v>129</v>
      </c>
      <c r="B3075" s="55">
        <v>44950.545682870368</v>
      </c>
      <c r="C3075" s="38">
        <v>197500</v>
      </c>
    </row>
    <row r="3076" spans="1:3" x14ac:dyDescent="0.3">
      <c r="A3076" s="37" t="s">
        <v>129</v>
      </c>
      <c r="B3076" s="55">
        <v>44929.982974537037</v>
      </c>
      <c r="C3076" s="38"/>
    </row>
    <row r="3077" spans="1:3" x14ac:dyDescent="0.3">
      <c r="A3077" s="37" t="s">
        <v>129</v>
      </c>
      <c r="B3077" s="55">
        <v>44935.336168981477</v>
      </c>
      <c r="C3077" s="38">
        <v>175000</v>
      </c>
    </row>
    <row r="3078" spans="1:3" x14ac:dyDescent="0.3">
      <c r="A3078" s="37" t="s">
        <v>129</v>
      </c>
      <c r="B3078" s="55">
        <v>44940.800312500003</v>
      </c>
      <c r="C3078" s="38">
        <v>50400</v>
      </c>
    </row>
    <row r="3079" spans="1:3" x14ac:dyDescent="0.3">
      <c r="A3079" s="37" t="s">
        <v>129</v>
      </c>
      <c r="B3079" s="55">
        <v>44937.960787037038</v>
      </c>
      <c r="C3079" s="38"/>
    </row>
    <row r="3080" spans="1:3" x14ac:dyDescent="0.3">
      <c r="A3080" s="37" t="s">
        <v>129</v>
      </c>
      <c r="B3080" s="55">
        <v>44942.472210648149</v>
      </c>
      <c r="C3080" s="38">
        <v>115000</v>
      </c>
    </row>
    <row r="3081" spans="1:3" x14ac:dyDescent="0.3">
      <c r="A3081" s="37" t="s">
        <v>129</v>
      </c>
      <c r="B3081" s="55">
        <v>44931.941157407397</v>
      </c>
      <c r="C3081" s="38">
        <v>156500</v>
      </c>
    </row>
    <row r="3082" spans="1:3" x14ac:dyDescent="0.3">
      <c r="A3082" s="37" t="s">
        <v>129</v>
      </c>
      <c r="B3082" s="55">
        <v>44929.059756944444</v>
      </c>
      <c r="C3082" s="38">
        <v>79200</v>
      </c>
    </row>
    <row r="3083" spans="1:3" x14ac:dyDescent="0.3">
      <c r="A3083" s="37" t="s">
        <v>129</v>
      </c>
      <c r="B3083" s="55">
        <v>44957.357187499998</v>
      </c>
      <c r="C3083" s="38">
        <v>115000</v>
      </c>
    </row>
    <row r="3084" spans="1:3" x14ac:dyDescent="0.3">
      <c r="A3084" s="37" t="s">
        <v>129</v>
      </c>
      <c r="B3084" s="55">
        <v>44944.557754629634</v>
      </c>
      <c r="C3084" s="38">
        <v>156500</v>
      </c>
    </row>
    <row r="3085" spans="1:3" x14ac:dyDescent="0.3">
      <c r="A3085" s="37" t="s">
        <v>129</v>
      </c>
      <c r="B3085" s="55">
        <v>44933.107256944437</v>
      </c>
      <c r="C3085" s="38">
        <v>56700</v>
      </c>
    </row>
    <row r="3086" spans="1:3" x14ac:dyDescent="0.3">
      <c r="A3086" s="37" t="s">
        <v>129</v>
      </c>
      <c r="B3086" s="55">
        <v>44953.191331018519</v>
      </c>
      <c r="C3086" s="38">
        <v>79200</v>
      </c>
    </row>
    <row r="3087" spans="1:3" x14ac:dyDescent="0.3">
      <c r="A3087" s="37" t="s">
        <v>129</v>
      </c>
      <c r="B3087" s="55">
        <v>44949.002141203702</v>
      </c>
      <c r="C3087" s="38">
        <v>48982</v>
      </c>
    </row>
    <row r="3088" spans="1:3" x14ac:dyDescent="0.3">
      <c r="A3088" s="37" t="s">
        <v>129</v>
      </c>
      <c r="B3088" s="55">
        <v>44931.233344907407</v>
      </c>
      <c r="C3088" s="38">
        <v>89100</v>
      </c>
    </row>
    <row r="3089" spans="1:3" x14ac:dyDescent="0.3">
      <c r="A3089" s="37" t="s">
        <v>129</v>
      </c>
      <c r="B3089" s="55">
        <v>44948.383379629631</v>
      </c>
      <c r="C3089" s="38">
        <v>44418.5</v>
      </c>
    </row>
    <row r="3090" spans="1:3" x14ac:dyDescent="0.3">
      <c r="A3090" s="37" t="s">
        <v>129</v>
      </c>
      <c r="B3090" s="55">
        <v>44957.302766203713</v>
      </c>
      <c r="C3090" s="38">
        <v>89100</v>
      </c>
    </row>
    <row r="3091" spans="1:3" x14ac:dyDescent="0.3">
      <c r="A3091" s="37" t="s">
        <v>129</v>
      </c>
      <c r="B3091" s="55">
        <v>44950.62699074074</v>
      </c>
      <c r="C3091" s="38">
        <v>97500</v>
      </c>
    </row>
    <row r="3092" spans="1:3" x14ac:dyDescent="0.3">
      <c r="A3092" s="37" t="s">
        <v>129</v>
      </c>
      <c r="B3092" s="55">
        <v>44956.561550925922</v>
      </c>
      <c r="C3092" s="38">
        <v>72900</v>
      </c>
    </row>
    <row r="3093" spans="1:3" x14ac:dyDescent="0.3">
      <c r="A3093" s="37" t="s">
        <v>129</v>
      </c>
      <c r="B3093" s="55">
        <v>44956.558449074073</v>
      </c>
      <c r="C3093" s="38">
        <v>89100</v>
      </c>
    </row>
    <row r="3094" spans="1:3" x14ac:dyDescent="0.3">
      <c r="A3094" s="37" t="s">
        <v>129</v>
      </c>
      <c r="B3094" s="55">
        <v>44942.751608796287</v>
      </c>
      <c r="C3094" s="38">
        <v>65000</v>
      </c>
    </row>
    <row r="3095" spans="1:3" x14ac:dyDescent="0.3">
      <c r="A3095" s="37" t="s">
        <v>129</v>
      </c>
      <c r="B3095" s="55">
        <v>44928.809733796297</v>
      </c>
      <c r="C3095" s="38">
        <v>79200</v>
      </c>
    </row>
    <row r="3096" spans="1:3" x14ac:dyDescent="0.3">
      <c r="A3096" s="37" t="s">
        <v>129</v>
      </c>
      <c r="B3096" s="55">
        <v>44945.140787037039</v>
      </c>
      <c r="C3096" s="38">
        <v>56700</v>
      </c>
    </row>
    <row r="3097" spans="1:3" x14ac:dyDescent="0.3">
      <c r="A3097" s="37" t="s">
        <v>129</v>
      </c>
      <c r="B3097" s="55">
        <v>44946.446423611109</v>
      </c>
      <c r="C3097" s="38"/>
    </row>
    <row r="3098" spans="1:3" x14ac:dyDescent="0.3">
      <c r="A3098" s="37" t="s">
        <v>129</v>
      </c>
      <c r="B3098" s="55">
        <v>44942.659178240741</v>
      </c>
      <c r="C3098" s="38">
        <v>200000</v>
      </c>
    </row>
    <row r="3099" spans="1:3" x14ac:dyDescent="0.3">
      <c r="A3099" s="37" t="s">
        <v>129</v>
      </c>
      <c r="B3099" s="55">
        <v>44929.661400462966</v>
      </c>
      <c r="C3099" s="38">
        <v>79200</v>
      </c>
    </row>
    <row r="3100" spans="1:3" x14ac:dyDescent="0.3">
      <c r="A3100" s="37" t="s">
        <v>129</v>
      </c>
      <c r="B3100" s="55">
        <v>44957.502384259264</v>
      </c>
      <c r="C3100" s="38">
        <v>145000</v>
      </c>
    </row>
    <row r="3101" spans="1:3" x14ac:dyDescent="0.3">
      <c r="A3101" s="37" t="s">
        <v>129</v>
      </c>
      <c r="B3101" s="55">
        <v>44938.443692129629</v>
      </c>
      <c r="C3101" s="38">
        <v>89100</v>
      </c>
    </row>
    <row r="3102" spans="1:3" x14ac:dyDescent="0.3">
      <c r="A3102" s="37" t="s">
        <v>129</v>
      </c>
      <c r="B3102" s="55">
        <v>44942.747245370367</v>
      </c>
      <c r="C3102" s="38">
        <v>79200</v>
      </c>
    </row>
    <row r="3103" spans="1:3" x14ac:dyDescent="0.3">
      <c r="A3103" s="37" t="s">
        <v>129</v>
      </c>
      <c r="B3103" s="55">
        <v>44929.003425925926</v>
      </c>
      <c r="C3103" s="38">
        <v>77300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4E2E1-FBB0-4B20-BF9E-0B7D79D14C22}">
  <dimension ref="A1:AI3103"/>
  <sheetViews>
    <sheetView workbookViewId="0">
      <selection activeCell="I3" sqref="I3"/>
    </sheetView>
  </sheetViews>
  <sheetFormatPr defaultRowHeight="14.4" x14ac:dyDescent="0.3"/>
  <cols>
    <col min="1" max="1" width="23.109375" bestFit="1" customWidth="1"/>
    <col min="2" max="2" width="14.6640625" style="48" bestFit="1" customWidth="1"/>
    <col min="4" max="4" width="10.88671875" bestFit="1" customWidth="1"/>
    <col min="5" max="5" width="16.44140625" style="37" customWidth="1"/>
    <col min="6" max="6" width="16.5546875" style="37" customWidth="1"/>
    <col min="7" max="7" width="31.109375" style="37" customWidth="1"/>
    <col min="8" max="8" width="20.44140625" style="37" customWidth="1"/>
    <col min="9" max="9" width="18.33203125" style="37" customWidth="1"/>
    <col min="10" max="34" width="8.88671875" style="37"/>
  </cols>
  <sheetData>
    <row r="1" spans="1:35" x14ac:dyDescent="0.3">
      <c r="A1" s="35" t="s">
        <v>49</v>
      </c>
      <c r="B1" s="36" t="s">
        <v>51</v>
      </c>
      <c r="D1" s="43" t="s">
        <v>2</v>
      </c>
      <c r="E1" s="43" t="s">
        <v>160</v>
      </c>
      <c r="F1" s="43" t="s">
        <v>159</v>
      </c>
      <c r="G1" s="43" t="s">
        <v>161</v>
      </c>
      <c r="H1" s="43" t="s">
        <v>162</v>
      </c>
      <c r="I1" s="43" t="s">
        <v>163</v>
      </c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39"/>
    </row>
    <row r="2" spans="1:35" x14ac:dyDescent="0.3">
      <c r="A2" s="37" t="s">
        <v>2</v>
      </c>
      <c r="B2" s="38"/>
      <c r="E2" s="37" t="b" cm="1">
        <f t="array" ref="E2:E3103">A2:A3103=D1</f>
        <v>1</v>
      </c>
      <c r="F2" s="37" t="b" cm="1">
        <f t="array" ref="F2:F3103">B2:B3103&lt;&gt;""</f>
        <v>0</v>
      </c>
      <c r="G2" s="37" cm="1">
        <f t="array" ref="G2:G3103">(A2:A3103=D1)*(B2:B3103&lt;&gt;"")</f>
        <v>0</v>
      </c>
      <c r="H2" s="37" t="b" cm="1">
        <f t="array" ref="H2:H3103">IF((A2:A3103=D1)*(B2:B3103&lt;&gt;""),B2:B3103)</f>
        <v>0</v>
      </c>
      <c r="I2" s="52" cm="1">
        <f t="array" ref="I2">MEDIAN(IF((A2:A3103=D1)*(B2:B3103&lt;&gt;""),B2:B3103))</f>
        <v>89833.5</v>
      </c>
    </row>
    <row r="3" spans="1:35" x14ac:dyDescent="0.3">
      <c r="A3" s="37" t="s">
        <v>126</v>
      </c>
      <c r="B3" s="38">
        <v>137150</v>
      </c>
      <c r="E3" s="37" t="b">
        <v>0</v>
      </c>
      <c r="F3" s="37" t="b">
        <v>1</v>
      </c>
      <c r="G3" s="37">
        <v>0</v>
      </c>
      <c r="H3" s="37" t="b">
        <v>0</v>
      </c>
    </row>
    <row r="4" spans="1:35" x14ac:dyDescent="0.3">
      <c r="A4" s="37" t="s">
        <v>0</v>
      </c>
      <c r="B4" s="38">
        <v>101950</v>
      </c>
      <c r="E4" s="37" t="b">
        <v>0</v>
      </c>
      <c r="F4" s="37" t="b">
        <v>1</v>
      </c>
      <c r="G4" s="37">
        <v>0</v>
      </c>
      <c r="H4" s="37" t="b">
        <v>0</v>
      </c>
    </row>
    <row r="5" spans="1:35" x14ac:dyDescent="0.3">
      <c r="A5" s="37" t="s">
        <v>4</v>
      </c>
      <c r="B5" s="38">
        <v>123600</v>
      </c>
      <c r="E5" s="37" t="b">
        <v>0</v>
      </c>
      <c r="F5" s="37" t="b">
        <v>1</v>
      </c>
      <c r="G5" s="37">
        <v>0</v>
      </c>
      <c r="H5" s="37" t="b">
        <v>0</v>
      </c>
    </row>
    <row r="6" spans="1:35" x14ac:dyDescent="0.3">
      <c r="A6" s="37" t="s">
        <v>128</v>
      </c>
      <c r="B6" s="38">
        <v>150000</v>
      </c>
      <c r="E6" s="37" t="b">
        <v>0</v>
      </c>
      <c r="F6" s="37" t="b">
        <v>1</v>
      </c>
      <c r="G6" s="37">
        <v>0</v>
      </c>
      <c r="H6" s="37" t="b">
        <v>0</v>
      </c>
    </row>
    <row r="7" spans="1:35" x14ac:dyDescent="0.3">
      <c r="A7" s="37" t="s">
        <v>52</v>
      </c>
      <c r="B7" s="38">
        <v>113550</v>
      </c>
      <c r="E7" s="37" t="b">
        <v>0</v>
      </c>
      <c r="F7" s="37" t="b">
        <v>1</v>
      </c>
      <c r="G7" s="37">
        <v>0</v>
      </c>
      <c r="H7" s="37" t="b">
        <v>0</v>
      </c>
    </row>
    <row r="8" spans="1:35" x14ac:dyDescent="0.3">
      <c r="A8" s="37" t="s">
        <v>52</v>
      </c>
      <c r="B8" s="38">
        <v>103350</v>
      </c>
      <c r="E8" s="37" t="b">
        <v>0</v>
      </c>
      <c r="F8" s="37" t="b">
        <v>1</v>
      </c>
      <c r="G8" s="37">
        <v>0</v>
      </c>
      <c r="H8" s="37" t="b">
        <v>0</v>
      </c>
    </row>
    <row r="9" spans="1:35" x14ac:dyDescent="0.3">
      <c r="A9" s="37" t="s">
        <v>128</v>
      </c>
      <c r="B9" s="38">
        <v>195000</v>
      </c>
      <c r="E9" s="37" t="b">
        <v>0</v>
      </c>
      <c r="F9" s="37" t="b">
        <v>1</v>
      </c>
      <c r="G9" s="37">
        <v>0</v>
      </c>
      <c r="H9" s="37" t="b">
        <v>0</v>
      </c>
    </row>
    <row r="10" spans="1:35" x14ac:dyDescent="0.3">
      <c r="A10" s="37" t="s">
        <v>125</v>
      </c>
      <c r="B10" s="38">
        <v>79450</v>
      </c>
      <c r="E10" s="37" t="b">
        <v>0</v>
      </c>
      <c r="F10" s="37" t="b">
        <v>1</v>
      </c>
      <c r="G10" s="37">
        <v>0</v>
      </c>
      <c r="H10" s="37" t="b">
        <v>0</v>
      </c>
    </row>
    <row r="11" spans="1:35" x14ac:dyDescent="0.3">
      <c r="A11" s="37" t="s">
        <v>0</v>
      </c>
      <c r="B11" s="38">
        <v>126000</v>
      </c>
      <c r="E11" s="37" t="b">
        <v>0</v>
      </c>
      <c r="F11" s="37" t="b">
        <v>1</v>
      </c>
      <c r="G11" s="37">
        <v>0</v>
      </c>
      <c r="H11" s="37" t="b">
        <v>0</v>
      </c>
    </row>
    <row r="12" spans="1:35" x14ac:dyDescent="0.3">
      <c r="A12" s="37" t="s">
        <v>2</v>
      </c>
      <c r="B12" s="38">
        <v>142500</v>
      </c>
      <c r="E12" s="37" t="b">
        <v>1</v>
      </c>
      <c r="F12" s="37" t="b">
        <v>1</v>
      </c>
      <c r="G12" s="37">
        <v>1</v>
      </c>
      <c r="H12" s="37">
        <v>142500</v>
      </c>
    </row>
    <row r="13" spans="1:35" x14ac:dyDescent="0.3">
      <c r="A13" s="37" t="s">
        <v>4</v>
      </c>
      <c r="B13" s="38">
        <v>58926</v>
      </c>
      <c r="E13" s="37" t="b">
        <v>0</v>
      </c>
      <c r="F13" s="37" t="b">
        <v>1</v>
      </c>
      <c r="G13" s="37">
        <v>0</v>
      </c>
      <c r="H13" s="37" t="b">
        <v>0</v>
      </c>
    </row>
    <row r="14" spans="1:35" x14ac:dyDescent="0.3">
      <c r="A14" s="37" t="s">
        <v>0</v>
      </c>
      <c r="B14" s="38">
        <v>67500</v>
      </c>
      <c r="E14" s="37" t="b">
        <v>0</v>
      </c>
      <c r="F14" s="37" t="b">
        <v>1</v>
      </c>
      <c r="G14" s="37">
        <v>0</v>
      </c>
      <c r="H14" s="37" t="b">
        <v>0</v>
      </c>
    </row>
    <row r="15" spans="1:35" x14ac:dyDescent="0.3">
      <c r="A15" s="37" t="s">
        <v>52</v>
      </c>
      <c r="B15" s="38">
        <v>112500</v>
      </c>
      <c r="E15" s="37" t="b">
        <v>0</v>
      </c>
      <c r="F15" s="37" t="b">
        <v>1</v>
      </c>
      <c r="G15" s="37">
        <v>0</v>
      </c>
      <c r="H15" s="37" t="b">
        <v>0</v>
      </c>
    </row>
    <row r="16" spans="1:35" x14ac:dyDescent="0.3">
      <c r="A16" s="37" t="s">
        <v>0</v>
      </c>
      <c r="B16" s="38">
        <v>110000</v>
      </c>
      <c r="E16" s="37" t="b">
        <v>0</v>
      </c>
      <c r="F16" s="37" t="b">
        <v>1</v>
      </c>
      <c r="G16" s="37">
        <v>0</v>
      </c>
      <c r="H16" s="37" t="b">
        <v>0</v>
      </c>
    </row>
    <row r="17" spans="1:8" x14ac:dyDescent="0.3">
      <c r="A17" s="37" t="s">
        <v>2</v>
      </c>
      <c r="B17" s="38">
        <v>51000</v>
      </c>
      <c r="E17" s="37" t="b">
        <v>1</v>
      </c>
      <c r="F17" s="37" t="b">
        <v>1</v>
      </c>
      <c r="G17" s="37">
        <v>1</v>
      </c>
      <c r="H17" s="37">
        <v>51000</v>
      </c>
    </row>
    <row r="18" spans="1:8" x14ac:dyDescent="0.3">
      <c r="A18" s="37" t="s">
        <v>2</v>
      </c>
      <c r="B18" s="38">
        <v>111202</v>
      </c>
      <c r="E18" s="37" t="b">
        <v>1</v>
      </c>
      <c r="F18" s="37" t="b">
        <v>1</v>
      </c>
      <c r="G18" s="37">
        <v>1</v>
      </c>
      <c r="H18" s="37">
        <v>111202</v>
      </c>
    </row>
    <row r="19" spans="1:8" x14ac:dyDescent="0.3">
      <c r="A19" s="37" t="s">
        <v>2</v>
      </c>
      <c r="B19" s="38">
        <v>100500</v>
      </c>
      <c r="E19" s="37" t="b">
        <v>1</v>
      </c>
      <c r="F19" s="37" t="b">
        <v>1</v>
      </c>
      <c r="G19" s="37">
        <v>1</v>
      </c>
      <c r="H19" s="37">
        <v>100500</v>
      </c>
    </row>
    <row r="20" spans="1:8" x14ac:dyDescent="0.3">
      <c r="A20" s="37" t="s">
        <v>0</v>
      </c>
      <c r="B20" s="38">
        <v>192000</v>
      </c>
      <c r="E20" s="37" t="b">
        <v>0</v>
      </c>
      <c r="F20" s="37" t="b">
        <v>1</v>
      </c>
      <c r="G20" s="37">
        <v>0</v>
      </c>
      <c r="H20" s="37" t="b">
        <v>0</v>
      </c>
    </row>
    <row r="21" spans="1:8" x14ac:dyDescent="0.3">
      <c r="A21" s="37" t="s">
        <v>2</v>
      </c>
      <c r="B21" s="38">
        <v>111202</v>
      </c>
      <c r="E21" s="37" t="b">
        <v>1</v>
      </c>
      <c r="F21" s="37" t="b">
        <v>1</v>
      </c>
      <c r="G21" s="37">
        <v>1</v>
      </c>
      <c r="H21" s="37">
        <v>111202</v>
      </c>
    </row>
    <row r="22" spans="1:8" x14ac:dyDescent="0.3">
      <c r="A22" s="37" t="s">
        <v>2</v>
      </c>
      <c r="B22" s="38">
        <v>100500</v>
      </c>
      <c r="E22" s="37" t="b">
        <v>1</v>
      </c>
      <c r="F22" s="37" t="b">
        <v>1</v>
      </c>
      <c r="G22" s="37">
        <v>1</v>
      </c>
      <c r="H22" s="37">
        <v>100500</v>
      </c>
    </row>
    <row r="23" spans="1:8" x14ac:dyDescent="0.3">
      <c r="A23" s="37" t="s">
        <v>2</v>
      </c>
      <c r="B23" s="38">
        <v>100500</v>
      </c>
      <c r="E23" s="37" t="b">
        <v>1</v>
      </c>
      <c r="F23" s="37" t="b">
        <v>1</v>
      </c>
      <c r="G23" s="37">
        <v>1</v>
      </c>
      <c r="H23" s="37">
        <v>100500</v>
      </c>
    </row>
    <row r="24" spans="1:8" x14ac:dyDescent="0.3">
      <c r="A24" s="37" t="s">
        <v>129</v>
      </c>
      <c r="B24" s="38">
        <v>99150</v>
      </c>
      <c r="E24" s="37" t="b">
        <v>0</v>
      </c>
      <c r="F24" s="37" t="b">
        <v>1</v>
      </c>
      <c r="G24" s="37">
        <v>0</v>
      </c>
      <c r="H24" s="37" t="b">
        <v>0</v>
      </c>
    </row>
    <row r="25" spans="1:8" x14ac:dyDescent="0.3">
      <c r="A25" s="37" t="s">
        <v>4</v>
      </c>
      <c r="B25" s="38">
        <v>96760.5</v>
      </c>
      <c r="E25" s="37" t="b">
        <v>0</v>
      </c>
      <c r="F25" s="37" t="b">
        <v>1</v>
      </c>
      <c r="G25" s="37">
        <v>0</v>
      </c>
      <c r="H25" s="37" t="b">
        <v>0</v>
      </c>
    </row>
    <row r="26" spans="1:8" x14ac:dyDescent="0.3">
      <c r="A26" s="37" t="s">
        <v>2</v>
      </c>
      <c r="B26" s="38">
        <v>111202</v>
      </c>
      <c r="E26" s="37" t="b">
        <v>1</v>
      </c>
      <c r="F26" s="37" t="b">
        <v>1</v>
      </c>
      <c r="G26" s="37">
        <v>1</v>
      </c>
      <c r="H26" s="37">
        <v>111202</v>
      </c>
    </row>
    <row r="27" spans="1:8" x14ac:dyDescent="0.3">
      <c r="A27" s="37" t="s">
        <v>129</v>
      </c>
      <c r="B27" s="38">
        <v>79200</v>
      </c>
      <c r="E27" s="37" t="b">
        <v>0</v>
      </c>
      <c r="F27" s="37" t="b">
        <v>1</v>
      </c>
      <c r="G27" s="37">
        <v>0</v>
      </c>
      <c r="H27" s="37" t="b">
        <v>0</v>
      </c>
    </row>
    <row r="28" spans="1:8" x14ac:dyDescent="0.3">
      <c r="A28" s="37" t="s">
        <v>126</v>
      </c>
      <c r="B28" s="38">
        <v>56700</v>
      </c>
      <c r="E28" s="37" t="b">
        <v>0</v>
      </c>
      <c r="F28" s="37" t="b">
        <v>1</v>
      </c>
      <c r="G28" s="37">
        <v>0</v>
      </c>
      <c r="H28" s="37" t="b">
        <v>0</v>
      </c>
    </row>
    <row r="29" spans="1:8" x14ac:dyDescent="0.3">
      <c r="A29" s="37" t="s">
        <v>4</v>
      </c>
      <c r="B29" s="38">
        <v>98301.5</v>
      </c>
      <c r="E29" s="37" t="b">
        <v>0</v>
      </c>
      <c r="F29" s="37" t="b">
        <v>1</v>
      </c>
      <c r="G29" s="37">
        <v>0</v>
      </c>
      <c r="H29" s="37" t="b">
        <v>0</v>
      </c>
    </row>
    <row r="30" spans="1:8" x14ac:dyDescent="0.3">
      <c r="A30" s="37" t="s">
        <v>0</v>
      </c>
      <c r="B30" s="38">
        <v>157500</v>
      </c>
      <c r="E30" s="37" t="b">
        <v>0</v>
      </c>
      <c r="F30" s="37" t="b">
        <v>1</v>
      </c>
      <c r="G30" s="37">
        <v>0</v>
      </c>
      <c r="H30" s="37" t="b">
        <v>0</v>
      </c>
    </row>
    <row r="31" spans="1:8" x14ac:dyDescent="0.3">
      <c r="A31" s="37" t="s">
        <v>4</v>
      </c>
      <c r="B31" s="38">
        <v>98301.5</v>
      </c>
      <c r="E31" s="37" t="b">
        <v>0</v>
      </c>
      <c r="F31" s="37" t="b">
        <v>1</v>
      </c>
      <c r="G31" s="37">
        <v>0</v>
      </c>
      <c r="H31" s="37" t="b">
        <v>0</v>
      </c>
    </row>
    <row r="32" spans="1:8" x14ac:dyDescent="0.3">
      <c r="A32" s="37" t="s">
        <v>129</v>
      </c>
      <c r="B32" s="38">
        <v>79200</v>
      </c>
      <c r="E32" s="37" t="b">
        <v>0</v>
      </c>
      <c r="F32" s="37" t="b">
        <v>1</v>
      </c>
      <c r="G32" s="37">
        <v>0</v>
      </c>
      <c r="H32" s="37" t="b">
        <v>0</v>
      </c>
    </row>
    <row r="33" spans="1:8" x14ac:dyDescent="0.3">
      <c r="A33" s="37" t="s">
        <v>0</v>
      </c>
      <c r="B33" s="38">
        <v>110000</v>
      </c>
      <c r="E33" s="37" t="b">
        <v>0</v>
      </c>
      <c r="F33" s="37" t="b">
        <v>1</v>
      </c>
      <c r="G33" s="37">
        <v>0</v>
      </c>
      <c r="H33" s="37" t="b">
        <v>0</v>
      </c>
    </row>
    <row r="34" spans="1:8" x14ac:dyDescent="0.3">
      <c r="A34" s="37" t="s">
        <v>0</v>
      </c>
      <c r="B34" s="38">
        <v>88128</v>
      </c>
      <c r="E34" s="37" t="b">
        <v>0</v>
      </c>
      <c r="F34" s="37" t="b">
        <v>1</v>
      </c>
      <c r="G34" s="37">
        <v>0</v>
      </c>
      <c r="H34" s="37" t="b">
        <v>0</v>
      </c>
    </row>
    <row r="35" spans="1:8" x14ac:dyDescent="0.3">
      <c r="A35" s="37" t="s">
        <v>0</v>
      </c>
      <c r="B35" s="38">
        <v>157500</v>
      </c>
      <c r="E35" s="37" t="b">
        <v>0</v>
      </c>
      <c r="F35" s="37" t="b">
        <v>1</v>
      </c>
      <c r="G35" s="37">
        <v>0</v>
      </c>
      <c r="H35" s="37" t="b">
        <v>0</v>
      </c>
    </row>
    <row r="36" spans="1:8" x14ac:dyDescent="0.3">
      <c r="A36" s="37" t="s">
        <v>129</v>
      </c>
      <c r="B36" s="38">
        <v>79200</v>
      </c>
      <c r="E36" s="37" t="b">
        <v>0</v>
      </c>
      <c r="F36" s="37" t="b">
        <v>1</v>
      </c>
      <c r="G36" s="37">
        <v>0</v>
      </c>
      <c r="H36" s="37" t="b">
        <v>0</v>
      </c>
    </row>
    <row r="37" spans="1:8" x14ac:dyDescent="0.3">
      <c r="A37" s="37" t="s">
        <v>4</v>
      </c>
      <c r="B37" s="38">
        <v>98301.5</v>
      </c>
      <c r="E37" s="37" t="b">
        <v>0</v>
      </c>
      <c r="F37" s="37" t="b">
        <v>1</v>
      </c>
      <c r="G37" s="37">
        <v>0</v>
      </c>
      <c r="H37" s="37" t="b">
        <v>0</v>
      </c>
    </row>
    <row r="38" spans="1:8" x14ac:dyDescent="0.3">
      <c r="A38" s="37" t="s">
        <v>4</v>
      </c>
      <c r="B38" s="38">
        <v>56700</v>
      </c>
      <c r="E38" s="37" t="b">
        <v>0</v>
      </c>
      <c r="F38" s="37" t="b">
        <v>1</v>
      </c>
      <c r="G38" s="37">
        <v>0</v>
      </c>
      <c r="H38" s="37" t="b">
        <v>0</v>
      </c>
    </row>
    <row r="39" spans="1:8" x14ac:dyDescent="0.3">
      <c r="A39" s="37" t="s">
        <v>4</v>
      </c>
      <c r="B39" s="38">
        <v>98301.5</v>
      </c>
      <c r="E39" s="37" t="b">
        <v>0</v>
      </c>
      <c r="F39" s="37" t="b">
        <v>1</v>
      </c>
      <c r="G39" s="37">
        <v>0</v>
      </c>
      <c r="H39" s="37" t="b">
        <v>0</v>
      </c>
    </row>
    <row r="40" spans="1:8" x14ac:dyDescent="0.3">
      <c r="A40" s="37" t="s">
        <v>125</v>
      </c>
      <c r="B40" s="38">
        <v>111202</v>
      </c>
      <c r="E40" s="37" t="b">
        <v>0</v>
      </c>
      <c r="F40" s="37" t="b">
        <v>1</v>
      </c>
      <c r="G40" s="37">
        <v>0</v>
      </c>
      <c r="H40" s="37" t="b">
        <v>0</v>
      </c>
    </row>
    <row r="41" spans="1:8" x14ac:dyDescent="0.3">
      <c r="A41" s="37" t="s">
        <v>1</v>
      </c>
      <c r="B41" s="38">
        <v>89100</v>
      </c>
      <c r="E41" s="37" t="b">
        <v>0</v>
      </c>
      <c r="F41" s="37" t="b">
        <v>1</v>
      </c>
      <c r="G41" s="37">
        <v>0</v>
      </c>
      <c r="H41" s="37" t="b">
        <v>0</v>
      </c>
    </row>
    <row r="42" spans="1:8" x14ac:dyDescent="0.3">
      <c r="A42" s="37" t="s">
        <v>128</v>
      </c>
      <c r="B42" s="38">
        <v>79200</v>
      </c>
      <c r="E42" s="37" t="b">
        <v>0</v>
      </c>
      <c r="F42" s="37" t="b">
        <v>1</v>
      </c>
      <c r="G42" s="37">
        <v>0</v>
      </c>
      <c r="H42" s="37" t="b">
        <v>0</v>
      </c>
    </row>
    <row r="43" spans="1:8" x14ac:dyDescent="0.3">
      <c r="A43" s="37" t="s">
        <v>0</v>
      </c>
      <c r="B43" s="38">
        <v>81000</v>
      </c>
      <c r="E43" s="37" t="b">
        <v>0</v>
      </c>
      <c r="F43" s="37" t="b">
        <v>1</v>
      </c>
      <c r="G43" s="37">
        <v>0</v>
      </c>
      <c r="H43" s="37" t="b">
        <v>0</v>
      </c>
    </row>
    <row r="44" spans="1:8" x14ac:dyDescent="0.3">
      <c r="A44" s="37" t="s">
        <v>2</v>
      </c>
      <c r="B44" s="38">
        <v>111202</v>
      </c>
      <c r="E44" s="37" t="b">
        <v>1</v>
      </c>
      <c r="F44" s="37" t="b">
        <v>1</v>
      </c>
      <c r="G44" s="37">
        <v>1</v>
      </c>
      <c r="H44" s="37">
        <v>111202</v>
      </c>
    </row>
    <row r="45" spans="1:8" x14ac:dyDescent="0.3">
      <c r="A45" s="37" t="s">
        <v>2</v>
      </c>
      <c r="B45" s="38">
        <v>111202</v>
      </c>
      <c r="E45" s="37" t="b">
        <v>1</v>
      </c>
      <c r="F45" s="37" t="b">
        <v>1</v>
      </c>
      <c r="G45" s="37">
        <v>1</v>
      </c>
      <c r="H45" s="37">
        <v>111202</v>
      </c>
    </row>
    <row r="46" spans="1:8" x14ac:dyDescent="0.3">
      <c r="A46" s="37" t="s">
        <v>4</v>
      </c>
      <c r="B46" s="38">
        <v>147500</v>
      </c>
      <c r="E46" s="37" t="b">
        <v>0</v>
      </c>
      <c r="F46" s="37" t="b">
        <v>1</v>
      </c>
      <c r="G46" s="37">
        <v>0</v>
      </c>
      <c r="H46" s="37" t="b">
        <v>0</v>
      </c>
    </row>
    <row r="47" spans="1:8" x14ac:dyDescent="0.3">
      <c r="A47" s="37" t="s">
        <v>0</v>
      </c>
      <c r="B47" s="38">
        <v>56700</v>
      </c>
      <c r="E47" s="37" t="b">
        <v>0</v>
      </c>
      <c r="F47" s="37" t="b">
        <v>1</v>
      </c>
      <c r="G47" s="37">
        <v>0</v>
      </c>
      <c r="H47" s="37" t="b">
        <v>0</v>
      </c>
    </row>
    <row r="48" spans="1:8" x14ac:dyDescent="0.3">
      <c r="A48" s="37" t="s">
        <v>1</v>
      </c>
      <c r="B48" s="38">
        <v>44408.5</v>
      </c>
      <c r="E48" s="37" t="b">
        <v>0</v>
      </c>
      <c r="F48" s="37" t="b">
        <v>1</v>
      </c>
      <c r="G48" s="37">
        <v>0</v>
      </c>
      <c r="H48" s="37" t="b">
        <v>0</v>
      </c>
    </row>
    <row r="49" spans="1:8" x14ac:dyDescent="0.3">
      <c r="A49" s="37" t="s">
        <v>2</v>
      </c>
      <c r="B49" s="38">
        <v>100500</v>
      </c>
      <c r="E49" s="37" t="b">
        <v>1</v>
      </c>
      <c r="F49" s="37" t="b">
        <v>1</v>
      </c>
      <c r="G49" s="37">
        <v>1</v>
      </c>
      <c r="H49" s="37">
        <v>100500</v>
      </c>
    </row>
    <row r="50" spans="1:8" x14ac:dyDescent="0.3">
      <c r="A50" s="37" t="s">
        <v>1</v>
      </c>
      <c r="B50" s="38">
        <v>69000</v>
      </c>
      <c r="E50" s="37" t="b">
        <v>0</v>
      </c>
      <c r="F50" s="37" t="b">
        <v>1</v>
      </c>
      <c r="G50" s="37">
        <v>0</v>
      </c>
      <c r="H50" s="37" t="b">
        <v>0</v>
      </c>
    </row>
    <row r="51" spans="1:8" x14ac:dyDescent="0.3">
      <c r="A51" s="37" t="s">
        <v>2</v>
      </c>
      <c r="B51" s="38">
        <v>45000</v>
      </c>
      <c r="E51" s="37" t="b">
        <v>1</v>
      </c>
      <c r="F51" s="37" t="b">
        <v>1</v>
      </c>
      <c r="G51" s="37">
        <v>1</v>
      </c>
      <c r="H51" s="37">
        <v>45000</v>
      </c>
    </row>
    <row r="52" spans="1:8" x14ac:dyDescent="0.3">
      <c r="A52" s="37" t="s">
        <v>1</v>
      </c>
      <c r="B52" s="38">
        <v>79200</v>
      </c>
      <c r="E52" s="37" t="b">
        <v>0</v>
      </c>
      <c r="F52" s="37" t="b">
        <v>1</v>
      </c>
      <c r="G52" s="37">
        <v>0</v>
      </c>
      <c r="H52" s="37" t="b">
        <v>0</v>
      </c>
    </row>
    <row r="53" spans="1:8" x14ac:dyDescent="0.3">
      <c r="A53" s="37" t="s">
        <v>126</v>
      </c>
      <c r="B53" s="38">
        <v>147500</v>
      </c>
      <c r="E53" s="37" t="b">
        <v>0</v>
      </c>
      <c r="F53" s="37" t="b">
        <v>1</v>
      </c>
      <c r="G53" s="37">
        <v>0</v>
      </c>
      <c r="H53" s="37" t="b">
        <v>0</v>
      </c>
    </row>
    <row r="54" spans="1:8" x14ac:dyDescent="0.3">
      <c r="A54" s="37" t="s">
        <v>126</v>
      </c>
      <c r="B54" s="38">
        <v>147500</v>
      </c>
      <c r="E54" s="37" t="b">
        <v>0</v>
      </c>
      <c r="F54" s="37" t="b">
        <v>1</v>
      </c>
      <c r="G54" s="37">
        <v>0</v>
      </c>
      <c r="H54" s="37" t="b">
        <v>0</v>
      </c>
    </row>
    <row r="55" spans="1:8" x14ac:dyDescent="0.3">
      <c r="A55" s="37" t="s">
        <v>4</v>
      </c>
      <c r="B55" s="38">
        <v>96760.5</v>
      </c>
      <c r="E55" s="37" t="b">
        <v>0</v>
      </c>
      <c r="F55" s="37" t="b">
        <v>1</v>
      </c>
      <c r="G55" s="37">
        <v>0</v>
      </c>
      <c r="H55" s="37" t="b">
        <v>0</v>
      </c>
    </row>
    <row r="56" spans="1:8" x14ac:dyDescent="0.3">
      <c r="A56" s="37" t="s">
        <v>0</v>
      </c>
      <c r="B56" s="38">
        <v>157500</v>
      </c>
      <c r="E56" s="37" t="b">
        <v>0</v>
      </c>
      <c r="F56" s="37" t="b">
        <v>1</v>
      </c>
      <c r="G56" s="37">
        <v>0</v>
      </c>
      <c r="H56" s="37" t="b">
        <v>0</v>
      </c>
    </row>
    <row r="57" spans="1:8" x14ac:dyDescent="0.3">
      <c r="A57" s="37" t="s">
        <v>66</v>
      </c>
      <c r="B57" s="38">
        <v>89100</v>
      </c>
      <c r="E57" s="37" t="b">
        <v>0</v>
      </c>
      <c r="F57" s="37" t="b">
        <v>1</v>
      </c>
      <c r="G57" s="37">
        <v>0</v>
      </c>
      <c r="H57" s="37" t="b">
        <v>0</v>
      </c>
    </row>
    <row r="58" spans="1:8" x14ac:dyDescent="0.3">
      <c r="A58" s="37" t="s">
        <v>4</v>
      </c>
      <c r="B58" s="38">
        <v>147500</v>
      </c>
      <c r="E58" s="37" t="b">
        <v>0</v>
      </c>
      <c r="F58" s="37" t="b">
        <v>1</v>
      </c>
      <c r="G58" s="37">
        <v>0</v>
      </c>
      <c r="H58" s="37" t="b">
        <v>0</v>
      </c>
    </row>
    <row r="59" spans="1:8" x14ac:dyDescent="0.3">
      <c r="A59" s="37" t="s">
        <v>2</v>
      </c>
      <c r="B59" s="38">
        <v>100500</v>
      </c>
      <c r="E59" s="37" t="b">
        <v>1</v>
      </c>
      <c r="F59" s="37" t="b">
        <v>1</v>
      </c>
      <c r="G59" s="37">
        <v>1</v>
      </c>
      <c r="H59" s="37">
        <v>100500</v>
      </c>
    </row>
    <row r="60" spans="1:8" x14ac:dyDescent="0.3">
      <c r="A60" s="37" t="s">
        <v>4</v>
      </c>
      <c r="B60" s="38">
        <v>98301.5</v>
      </c>
      <c r="E60" s="37" t="b">
        <v>0</v>
      </c>
      <c r="F60" s="37" t="b">
        <v>1</v>
      </c>
      <c r="G60" s="37">
        <v>0</v>
      </c>
      <c r="H60" s="37" t="b">
        <v>0</v>
      </c>
    </row>
    <row r="61" spans="1:8" x14ac:dyDescent="0.3">
      <c r="A61" s="37" t="s">
        <v>2</v>
      </c>
      <c r="B61" s="38">
        <v>45000</v>
      </c>
      <c r="E61" s="37" t="b">
        <v>1</v>
      </c>
      <c r="F61" s="37" t="b">
        <v>1</v>
      </c>
      <c r="G61" s="37">
        <v>1</v>
      </c>
      <c r="H61" s="37">
        <v>45000</v>
      </c>
    </row>
    <row r="62" spans="1:8" x14ac:dyDescent="0.3">
      <c r="A62" s="37" t="s">
        <v>128</v>
      </c>
      <c r="B62" s="38">
        <v>157500</v>
      </c>
      <c r="E62" s="37" t="b">
        <v>0</v>
      </c>
      <c r="F62" s="37" t="b">
        <v>1</v>
      </c>
      <c r="G62" s="37">
        <v>0</v>
      </c>
      <c r="H62" s="37" t="b">
        <v>0</v>
      </c>
    </row>
    <row r="63" spans="1:8" x14ac:dyDescent="0.3">
      <c r="A63" s="37" t="s">
        <v>2</v>
      </c>
      <c r="B63" s="38">
        <v>72900</v>
      </c>
      <c r="E63" s="37" t="b">
        <v>1</v>
      </c>
      <c r="F63" s="37" t="b">
        <v>1</v>
      </c>
      <c r="G63" s="37">
        <v>1</v>
      </c>
      <c r="H63" s="37">
        <v>72900</v>
      </c>
    </row>
    <row r="64" spans="1:8" x14ac:dyDescent="0.3">
      <c r="A64" s="37" t="s">
        <v>126</v>
      </c>
      <c r="B64" s="38">
        <v>147500</v>
      </c>
      <c r="E64" s="37" t="b">
        <v>0</v>
      </c>
      <c r="F64" s="37" t="b">
        <v>1</v>
      </c>
      <c r="G64" s="37">
        <v>0</v>
      </c>
      <c r="H64" s="37" t="b">
        <v>0</v>
      </c>
    </row>
    <row r="65" spans="1:8" x14ac:dyDescent="0.3">
      <c r="A65" s="37" t="s">
        <v>2</v>
      </c>
      <c r="B65" s="38">
        <v>45000</v>
      </c>
      <c r="E65" s="37" t="b">
        <v>1</v>
      </c>
      <c r="F65" s="37" t="b">
        <v>1</v>
      </c>
      <c r="G65" s="37">
        <v>1</v>
      </c>
      <c r="H65" s="37">
        <v>45000</v>
      </c>
    </row>
    <row r="66" spans="1:8" x14ac:dyDescent="0.3">
      <c r="A66" s="37" t="s">
        <v>129</v>
      </c>
      <c r="B66" s="38">
        <v>89100</v>
      </c>
      <c r="E66" s="37" t="b">
        <v>0</v>
      </c>
      <c r="F66" s="37" t="b">
        <v>1</v>
      </c>
      <c r="G66" s="37">
        <v>0</v>
      </c>
      <c r="H66" s="37" t="b">
        <v>0</v>
      </c>
    </row>
    <row r="67" spans="1:8" x14ac:dyDescent="0.3">
      <c r="A67" s="37" t="s">
        <v>2</v>
      </c>
      <c r="B67" s="38">
        <v>80850</v>
      </c>
      <c r="E67" s="37" t="b">
        <v>1</v>
      </c>
      <c r="F67" s="37" t="b">
        <v>1</v>
      </c>
      <c r="G67" s="37">
        <v>1</v>
      </c>
      <c r="H67" s="37">
        <v>80850</v>
      </c>
    </row>
    <row r="68" spans="1:8" x14ac:dyDescent="0.3">
      <c r="A68" s="37" t="s">
        <v>1</v>
      </c>
      <c r="B68" s="38">
        <v>89100</v>
      </c>
      <c r="E68" s="37" t="b">
        <v>0</v>
      </c>
      <c r="F68" s="37" t="b">
        <v>1</v>
      </c>
      <c r="G68" s="37">
        <v>0</v>
      </c>
      <c r="H68" s="37" t="b">
        <v>0</v>
      </c>
    </row>
    <row r="69" spans="1:8" x14ac:dyDescent="0.3">
      <c r="A69" s="37" t="s">
        <v>52</v>
      </c>
      <c r="B69" s="38">
        <v>80850</v>
      </c>
      <c r="E69" s="37" t="b">
        <v>0</v>
      </c>
      <c r="F69" s="37" t="b">
        <v>1</v>
      </c>
      <c r="G69" s="37">
        <v>0</v>
      </c>
      <c r="H69" s="37" t="b">
        <v>0</v>
      </c>
    </row>
    <row r="70" spans="1:8" x14ac:dyDescent="0.3">
      <c r="A70" s="37" t="s">
        <v>1</v>
      </c>
      <c r="B70" s="38">
        <v>89100</v>
      </c>
      <c r="E70" s="37" t="b">
        <v>0</v>
      </c>
      <c r="F70" s="37" t="b">
        <v>1</v>
      </c>
      <c r="G70" s="37">
        <v>0</v>
      </c>
      <c r="H70" s="37" t="b">
        <v>0</v>
      </c>
    </row>
    <row r="71" spans="1:8" x14ac:dyDescent="0.3">
      <c r="A71" s="37" t="s">
        <v>2</v>
      </c>
      <c r="B71" s="38">
        <v>79200</v>
      </c>
      <c r="E71" s="37" t="b">
        <v>1</v>
      </c>
      <c r="F71" s="37" t="b">
        <v>1</v>
      </c>
      <c r="G71" s="37">
        <v>1</v>
      </c>
      <c r="H71" s="37">
        <v>79200</v>
      </c>
    </row>
    <row r="72" spans="1:8" x14ac:dyDescent="0.3">
      <c r="A72" s="37" t="s">
        <v>2</v>
      </c>
      <c r="B72" s="38">
        <v>111202</v>
      </c>
      <c r="E72" s="37" t="b">
        <v>1</v>
      </c>
      <c r="F72" s="37" t="b">
        <v>1</v>
      </c>
      <c r="G72" s="37">
        <v>1</v>
      </c>
      <c r="H72" s="37">
        <v>111202</v>
      </c>
    </row>
    <row r="73" spans="1:8" x14ac:dyDescent="0.3">
      <c r="A73" s="37" t="s">
        <v>4</v>
      </c>
      <c r="B73" s="38">
        <v>147500</v>
      </c>
      <c r="E73" s="37" t="b">
        <v>0</v>
      </c>
      <c r="F73" s="37" t="b">
        <v>1</v>
      </c>
      <c r="G73" s="37">
        <v>0</v>
      </c>
      <c r="H73" s="37" t="b">
        <v>0</v>
      </c>
    </row>
    <row r="74" spans="1:8" x14ac:dyDescent="0.3">
      <c r="A74" s="37" t="s">
        <v>2</v>
      </c>
      <c r="B74" s="38">
        <v>104500</v>
      </c>
      <c r="E74" s="37" t="b">
        <v>1</v>
      </c>
      <c r="F74" s="37" t="b">
        <v>1</v>
      </c>
      <c r="G74" s="37">
        <v>1</v>
      </c>
      <c r="H74" s="37">
        <v>104500</v>
      </c>
    </row>
    <row r="75" spans="1:8" x14ac:dyDescent="0.3">
      <c r="A75" s="37" t="s">
        <v>0</v>
      </c>
      <c r="B75" s="38">
        <v>157500</v>
      </c>
      <c r="E75" s="37" t="b">
        <v>0</v>
      </c>
      <c r="F75" s="37" t="b">
        <v>1</v>
      </c>
      <c r="G75" s="37">
        <v>0</v>
      </c>
      <c r="H75" s="37" t="b">
        <v>0</v>
      </c>
    </row>
    <row r="76" spans="1:8" x14ac:dyDescent="0.3">
      <c r="A76" s="37" t="s">
        <v>4</v>
      </c>
      <c r="B76" s="38">
        <v>96760.5</v>
      </c>
      <c r="E76" s="37" t="b">
        <v>0</v>
      </c>
      <c r="F76" s="37" t="b">
        <v>1</v>
      </c>
      <c r="G76" s="37">
        <v>0</v>
      </c>
      <c r="H76" s="37" t="b">
        <v>0</v>
      </c>
    </row>
    <row r="77" spans="1:8" x14ac:dyDescent="0.3">
      <c r="A77" s="37" t="s">
        <v>0</v>
      </c>
      <c r="B77" s="38">
        <v>50400</v>
      </c>
      <c r="E77" s="37" t="b">
        <v>0</v>
      </c>
      <c r="F77" s="37" t="b">
        <v>1</v>
      </c>
      <c r="G77" s="37">
        <v>0</v>
      </c>
      <c r="H77" s="37" t="b">
        <v>0</v>
      </c>
    </row>
    <row r="78" spans="1:8" x14ac:dyDescent="0.3">
      <c r="A78" s="37" t="s">
        <v>1</v>
      </c>
      <c r="B78" s="38">
        <v>72900</v>
      </c>
      <c r="E78" s="37" t="b">
        <v>0</v>
      </c>
      <c r="F78" s="37" t="b">
        <v>1</v>
      </c>
      <c r="G78" s="37">
        <v>0</v>
      </c>
      <c r="H78" s="37" t="b">
        <v>0</v>
      </c>
    </row>
    <row r="79" spans="1:8" x14ac:dyDescent="0.3">
      <c r="A79" s="37" t="s">
        <v>4</v>
      </c>
      <c r="B79" s="38">
        <v>89100</v>
      </c>
      <c r="E79" s="37" t="b">
        <v>0</v>
      </c>
      <c r="F79" s="37" t="b">
        <v>1</v>
      </c>
      <c r="G79" s="37">
        <v>0</v>
      </c>
      <c r="H79" s="37" t="b">
        <v>0</v>
      </c>
    </row>
    <row r="80" spans="1:8" x14ac:dyDescent="0.3">
      <c r="A80" s="37" t="s">
        <v>1</v>
      </c>
      <c r="B80" s="38">
        <v>185500</v>
      </c>
      <c r="E80" s="37" t="b">
        <v>0</v>
      </c>
      <c r="F80" s="37" t="b">
        <v>1</v>
      </c>
      <c r="G80" s="37">
        <v>0</v>
      </c>
      <c r="H80" s="37" t="b">
        <v>0</v>
      </c>
    </row>
    <row r="81" spans="1:8" x14ac:dyDescent="0.3">
      <c r="A81" s="37" t="s">
        <v>0</v>
      </c>
      <c r="B81" s="38">
        <v>157500</v>
      </c>
      <c r="E81" s="37" t="b">
        <v>0</v>
      </c>
      <c r="F81" s="37" t="b">
        <v>1</v>
      </c>
      <c r="G81" s="37">
        <v>0</v>
      </c>
      <c r="H81" s="37" t="b">
        <v>0</v>
      </c>
    </row>
    <row r="82" spans="1:8" x14ac:dyDescent="0.3">
      <c r="A82" s="37" t="s">
        <v>4</v>
      </c>
      <c r="B82" s="38">
        <v>147500</v>
      </c>
      <c r="E82" s="37" t="b">
        <v>0</v>
      </c>
      <c r="F82" s="37" t="b">
        <v>1</v>
      </c>
      <c r="G82" s="37">
        <v>0</v>
      </c>
      <c r="H82" s="37" t="b">
        <v>0</v>
      </c>
    </row>
    <row r="83" spans="1:8" x14ac:dyDescent="0.3">
      <c r="A83" s="37" t="s">
        <v>4</v>
      </c>
      <c r="B83" s="38">
        <v>96760.5</v>
      </c>
      <c r="E83" s="37" t="b">
        <v>0</v>
      </c>
      <c r="F83" s="37" t="b">
        <v>1</v>
      </c>
      <c r="G83" s="37">
        <v>0</v>
      </c>
      <c r="H83" s="37" t="b">
        <v>0</v>
      </c>
    </row>
    <row r="84" spans="1:8" x14ac:dyDescent="0.3">
      <c r="A84" s="37" t="s">
        <v>1</v>
      </c>
      <c r="B84" s="38">
        <v>130000</v>
      </c>
      <c r="E84" s="37" t="b">
        <v>0</v>
      </c>
      <c r="F84" s="37" t="b">
        <v>1</v>
      </c>
      <c r="G84" s="37">
        <v>0</v>
      </c>
      <c r="H84" s="37" t="b">
        <v>0</v>
      </c>
    </row>
    <row r="85" spans="1:8" x14ac:dyDescent="0.3">
      <c r="A85" s="37" t="s">
        <v>129</v>
      </c>
      <c r="B85" s="38">
        <v>156500</v>
      </c>
      <c r="E85" s="37" t="b">
        <v>0</v>
      </c>
      <c r="F85" s="37" t="b">
        <v>1</v>
      </c>
      <c r="G85" s="37">
        <v>0</v>
      </c>
      <c r="H85" s="37" t="b">
        <v>0</v>
      </c>
    </row>
    <row r="86" spans="1:8" x14ac:dyDescent="0.3">
      <c r="A86" s="37" t="s">
        <v>2</v>
      </c>
      <c r="B86" s="38">
        <v>56700</v>
      </c>
      <c r="E86" s="37" t="b">
        <v>1</v>
      </c>
      <c r="F86" s="37" t="b">
        <v>1</v>
      </c>
      <c r="G86" s="37">
        <v>1</v>
      </c>
      <c r="H86" s="37">
        <v>56700</v>
      </c>
    </row>
    <row r="87" spans="1:8" x14ac:dyDescent="0.3">
      <c r="A87" s="37" t="s">
        <v>4</v>
      </c>
      <c r="B87" s="38">
        <v>50400</v>
      </c>
      <c r="E87" s="37" t="b">
        <v>0</v>
      </c>
      <c r="F87" s="37" t="b">
        <v>1</v>
      </c>
      <c r="G87" s="37">
        <v>0</v>
      </c>
      <c r="H87" s="37" t="b">
        <v>0</v>
      </c>
    </row>
    <row r="88" spans="1:8" x14ac:dyDescent="0.3">
      <c r="A88" s="37" t="s">
        <v>0</v>
      </c>
      <c r="B88" s="38">
        <v>63321.5</v>
      </c>
      <c r="E88" s="37" t="b">
        <v>0</v>
      </c>
      <c r="F88" s="37" t="b">
        <v>1</v>
      </c>
      <c r="G88" s="37">
        <v>0</v>
      </c>
      <c r="H88" s="37" t="b">
        <v>0</v>
      </c>
    </row>
    <row r="89" spans="1:8" x14ac:dyDescent="0.3">
      <c r="A89" s="37" t="s">
        <v>2</v>
      </c>
      <c r="B89" s="38">
        <v>56700</v>
      </c>
      <c r="E89" s="37" t="b">
        <v>1</v>
      </c>
      <c r="F89" s="37" t="b">
        <v>1</v>
      </c>
      <c r="G89" s="37">
        <v>1</v>
      </c>
      <c r="H89" s="37">
        <v>56700</v>
      </c>
    </row>
    <row r="90" spans="1:8" x14ac:dyDescent="0.3">
      <c r="A90" s="37" t="s">
        <v>1</v>
      </c>
      <c r="B90" s="38">
        <v>89100</v>
      </c>
      <c r="E90" s="37" t="b">
        <v>0</v>
      </c>
      <c r="F90" s="37" t="b">
        <v>1</v>
      </c>
      <c r="G90" s="37">
        <v>0</v>
      </c>
      <c r="H90" s="37" t="b">
        <v>0</v>
      </c>
    </row>
    <row r="91" spans="1:8" x14ac:dyDescent="0.3">
      <c r="A91" s="37" t="s">
        <v>128</v>
      </c>
      <c r="B91" s="38">
        <v>161000</v>
      </c>
      <c r="E91" s="37" t="b">
        <v>0</v>
      </c>
      <c r="F91" s="37" t="b">
        <v>1</v>
      </c>
      <c r="G91" s="37">
        <v>0</v>
      </c>
      <c r="H91" s="37" t="b">
        <v>0</v>
      </c>
    </row>
    <row r="92" spans="1:8" x14ac:dyDescent="0.3">
      <c r="A92" s="37" t="s">
        <v>0</v>
      </c>
      <c r="B92" s="38">
        <v>130000</v>
      </c>
      <c r="E92" s="37" t="b">
        <v>0</v>
      </c>
      <c r="F92" s="37" t="b">
        <v>1</v>
      </c>
      <c r="G92" s="37">
        <v>0</v>
      </c>
      <c r="H92" s="37" t="b">
        <v>0</v>
      </c>
    </row>
    <row r="93" spans="1:8" x14ac:dyDescent="0.3">
      <c r="A93" s="37" t="s">
        <v>2</v>
      </c>
      <c r="B93" s="38">
        <v>111202</v>
      </c>
      <c r="E93" s="37" t="b">
        <v>1</v>
      </c>
      <c r="F93" s="37" t="b">
        <v>1</v>
      </c>
      <c r="G93" s="37">
        <v>1</v>
      </c>
      <c r="H93" s="37">
        <v>111202</v>
      </c>
    </row>
    <row r="94" spans="1:8" x14ac:dyDescent="0.3">
      <c r="A94" s="37" t="s">
        <v>4</v>
      </c>
      <c r="B94" s="38">
        <v>147500</v>
      </c>
      <c r="E94" s="37" t="b">
        <v>0</v>
      </c>
      <c r="F94" s="37" t="b">
        <v>1</v>
      </c>
      <c r="G94" s="37">
        <v>0</v>
      </c>
      <c r="H94" s="37" t="b">
        <v>0</v>
      </c>
    </row>
    <row r="95" spans="1:8" x14ac:dyDescent="0.3">
      <c r="A95" s="37" t="s">
        <v>2</v>
      </c>
      <c r="B95" s="38">
        <v>89100</v>
      </c>
      <c r="E95" s="37" t="b">
        <v>1</v>
      </c>
      <c r="F95" s="37" t="b">
        <v>1</v>
      </c>
      <c r="G95" s="37">
        <v>1</v>
      </c>
      <c r="H95" s="37">
        <v>89100</v>
      </c>
    </row>
    <row r="96" spans="1:8" x14ac:dyDescent="0.3">
      <c r="A96" s="37" t="s">
        <v>4</v>
      </c>
      <c r="B96" s="38">
        <v>147500</v>
      </c>
      <c r="E96" s="37" t="b">
        <v>0</v>
      </c>
      <c r="F96" s="37" t="b">
        <v>1</v>
      </c>
      <c r="G96" s="37">
        <v>0</v>
      </c>
      <c r="H96" s="37" t="b">
        <v>0</v>
      </c>
    </row>
    <row r="97" spans="1:8" x14ac:dyDescent="0.3">
      <c r="A97" s="37" t="s">
        <v>1</v>
      </c>
      <c r="B97" s="38">
        <v>166000</v>
      </c>
      <c r="E97" s="37" t="b">
        <v>0</v>
      </c>
      <c r="F97" s="37" t="b">
        <v>1</v>
      </c>
      <c r="G97" s="37">
        <v>0</v>
      </c>
      <c r="H97" s="37" t="b">
        <v>0</v>
      </c>
    </row>
    <row r="98" spans="1:8" x14ac:dyDescent="0.3">
      <c r="A98" s="37" t="s">
        <v>0</v>
      </c>
      <c r="B98" s="38">
        <v>79200</v>
      </c>
      <c r="E98" s="37" t="b">
        <v>0</v>
      </c>
      <c r="F98" s="37" t="b">
        <v>1</v>
      </c>
      <c r="G98" s="37">
        <v>0</v>
      </c>
      <c r="H98" s="37" t="b">
        <v>0</v>
      </c>
    </row>
    <row r="99" spans="1:8" x14ac:dyDescent="0.3">
      <c r="A99" s="37" t="s">
        <v>2</v>
      </c>
      <c r="B99" s="38">
        <v>89100</v>
      </c>
      <c r="E99" s="37" t="b">
        <v>1</v>
      </c>
      <c r="F99" s="37" t="b">
        <v>1</v>
      </c>
      <c r="G99" s="37">
        <v>1</v>
      </c>
      <c r="H99" s="37">
        <v>89100</v>
      </c>
    </row>
    <row r="100" spans="1:8" x14ac:dyDescent="0.3">
      <c r="A100" s="37" t="s">
        <v>0</v>
      </c>
      <c r="B100" s="38">
        <v>50400</v>
      </c>
      <c r="E100" s="37" t="b">
        <v>0</v>
      </c>
      <c r="F100" s="37" t="b">
        <v>1</v>
      </c>
      <c r="G100" s="37">
        <v>0</v>
      </c>
      <c r="H100" s="37" t="b">
        <v>0</v>
      </c>
    </row>
    <row r="101" spans="1:8" x14ac:dyDescent="0.3">
      <c r="A101" s="37" t="s">
        <v>4</v>
      </c>
      <c r="B101" s="38">
        <v>96760.5</v>
      </c>
      <c r="E101" s="37" t="b">
        <v>0</v>
      </c>
      <c r="F101" s="37" t="b">
        <v>1</v>
      </c>
      <c r="G101" s="37">
        <v>0</v>
      </c>
      <c r="H101" s="37" t="b">
        <v>0</v>
      </c>
    </row>
    <row r="102" spans="1:8" x14ac:dyDescent="0.3">
      <c r="A102" s="37" t="s">
        <v>125</v>
      </c>
      <c r="B102" s="38">
        <v>100500</v>
      </c>
      <c r="E102" s="37" t="b">
        <v>0</v>
      </c>
      <c r="F102" s="37" t="b">
        <v>1</v>
      </c>
      <c r="G102" s="37">
        <v>0</v>
      </c>
      <c r="H102" s="37" t="b">
        <v>0</v>
      </c>
    </row>
    <row r="103" spans="1:8" x14ac:dyDescent="0.3">
      <c r="A103" s="37" t="s">
        <v>128</v>
      </c>
      <c r="B103" s="38">
        <v>89100</v>
      </c>
      <c r="E103" s="37" t="b">
        <v>0</v>
      </c>
      <c r="F103" s="37" t="b">
        <v>1</v>
      </c>
      <c r="G103" s="37">
        <v>0</v>
      </c>
      <c r="H103" s="37" t="b">
        <v>0</v>
      </c>
    </row>
    <row r="104" spans="1:8" x14ac:dyDescent="0.3">
      <c r="A104" s="37" t="s">
        <v>0</v>
      </c>
      <c r="B104" s="38">
        <v>157500</v>
      </c>
      <c r="E104" s="37" t="b">
        <v>0</v>
      </c>
      <c r="F104" s="37" t="b">
        <v>1</v>
      </c>
      <c r="G104" s="37">
        <v>0</v>
      </c>
      <c r="H104" s="37" t="b">
        <v>0</v>
      </c>
    </row>
    <row r="105" spans="1:8" x14ac:dyDescent="0.3">
      <c r="A105" s="37" t="s">
        <v>4</v>
      </c>
      <c r="B105" s="38">
        <v>89100</v>
      </c>
      <c r="E105" s="37" t="b">
        <v>0</v>
      </c>
      <c r="F105" s="37" t="b">
        <v>1</v>
      </c>
      <c r="G105" s="37">
        <v>0</v>
      </c>
      <c r="H105" s="37" t="b">
        <v>0</v>
      </c>
    </row>
    <row r="106" spans="1:8" x14ac:dyDescent="0.3">
      <c r="A106" s="37" t="s">
        <v>4</v>
      </c>
      <c r="B106" s="38">
        <v>98301.5</v>
      </c>
      <c r="E106" s="37" t="b">
        <v>0</v>
      </c>
      <c r="F106" s="37" t="b">
        <v>1</v>
      </c>
      <c r="G106" s="37">
        <v>0</v>
      </c>
      <c r="H106" s="37" t="b">
        <v>0</v>
      </c>
    </row>
    <row r="107" spans="1:8" x14ac:dyDescent="0.3">
      <c r="A107" s="37" t="s">
        <v>128</v>
      </c>
      <c r="B107" s="38">
        <v>89100</v>
      </c>
      <c r="E107" s="37" t="b">
        <v>0</v>
      </c>
      <c r="F107" s="37" t="b">
        <v>1</v>
      </c>
      <c r="G107" s="37">
        <v>0</v>
      </c>
      <c r="H107" s="37" t="b">
        <v>0</v>
      </c>
    </row>
    <row r="108" spans="1:8" x14ac:dyDescent="0.3">
      <c r="A108" s="37" t="s">
        <v>0</v>
      </c>
      <c r="B108" s="38">
        <v>109500</v>
      </c>
      <c r="E108" s="37" t="b">
        <v>0</v>
      </c>
      <c r="F108" s="37" t="b">
        <v>1</v>
      </c>
      <c r="G108" s="37">
        <v>0</v>
      </c>
      <c r="H108" s="37" t="b">
        <v>0</v>
      </c>
    </row>
    <row r="109" spans="1:8" x14ac:dyDescent="0.3">
      <c r="A109" s="37" t="s">
        <v>128</v>
      </c>
      <c r="B109" s="38">
        <v>147500</v>
      </c>
      <c r="E109" s="37" t="b">
        <v>0</v>
      </c>
      <c r="F109" s="37" t="b">
        <v>1</v>
      </c>
      <c r="G109" s="37">
        <v>0</v>
      </c>
      <c r="H109" s="37" t="b">
        <v>0</v>
      </c>
    </row>
    <row r="110" spans="1:8" x14ac:dyDescent="0.3">
      <c r="A110" s="37" t="s">
        <v>126</v>
      </c>
      <c r="B110" s="38">
        <v>147500</v>
      </c>
      <c r="E110" s="37" t="b">
        <v>0</v>
      </c>
      <c r="F110" s="37" t="b">
        <v>1</v>
      </c>
      <c r="G110" s="37">
        <v>0</v>
      </c>
      <c r="H110" s="37" t="b">
        <v>0</v>
      </c>
    </row>
    <row r="111" spans="1:8" x14ac:dyDescent="0.3">
      <c r="A111" s="37" t="s">
        <v>4</v>
      </c>
      <c r="B111" s="38">
        <v>147500</v>
      </c>
      <c r="E111" s="37" t="b">
        <v>0</v>
      </c>
      <c r="F111" s="37" t="b">
        <v>1</v>
      </c>
      <c r="G111" s="37">
        <v>0</v>
      </c>
      <c r="H111" s="37" t="b">
        <v>0</v>
      </c>
    </row>
    <row r="112" spans="1:8" x14ac:dyDescent="0.3">
      <c r="A112" s="37" t="s">
        <v>0</v>
      </c>
      <c r="B112" s="38">
        <v>81900</v>
      </c>
      <c r="E112" s="37" t="b">
        <v>0</v>
      </c>
      <c r="F112" s="37" t="b">
        <v>1</v>
      </c>
      <c r="G112" s="37">
        <v>0</v>
      </c>
      <c r="H112" s="37" t="b">
        <v>0</v>
      </c>
    </row>
    <row r="113" spans="1:8" x14ac:dyDescent="0.3">
      <c r="A113" s="37" t="s">
        <v>129</v>
      </c>
      <c r="B113" s="38">
        <v>56700</v>
      </c>
      <c r="E113" s="37" t="b">
        <v>0</v>
      </c>
      <c r="F113" s="37" t="b">
        <v>1</v>
      </c>
      <c r="G113" s="37">
        <v>0</v>
      </c>
      <c r="H113" s="37" t="b">
        <v>0</v>
      </c>
    </row>
    <row r="114" spans="1:8" x14ac:dyDescent="0.3">
      <c r="A114" s="37" t="s">
        <v>4</v>
      </c>
      <c r="B114" s="38">
        <v>79200</v>
      </c>
      <c r="E114" s="37" t="b">
        <v>0</v>
      </c>
      <c r="F114" s="37" t="b">
        <v>1</v>
      </c>
      <c r="G114" s="37">
        <v>0</v>
      </c>
      <c r="H114" s="37" t="b">
        <v>0</v>
      </c>
    </row>
    <row r="115" spans="1:8" x14ac:dyDescent="0.3">
      <c r="A115" s="37" t="s">
        <v>1</v>
      </c>
      <c r="B115" s="38">
        <v>93600</v>
      </c>
      <c r="E115" s="37" t="b">
        <v>0</v>
      </c>
      <c r="F115" s="37" t="b">
        <v>1</v>
      </c>
      <c r="G115" s="37">
        <v>0</v>
      </c>
      <c r="H115" s="37" t="b">
        <v>0</v>
      </c>
    </row>
    <row r="116" spans="1:8" x14ac:dyDescent="0.3">
      <c r="A116" s="37" t="s">
        <v>126</v>
      </c>
      <c r="B116" s="38">
        <v>147500</v>
      </c>
      <c r="E116" s="37" t="b">
        <v>0</v>
      </c>
      <c r="F116" s="37" t="b">
        <v>1</v>
      </c>
      <c r="G116" s="37">
        <v>0</v>
      </c>
      <c r="H116" s="37" t="b">
        <v>0</v>
      </c>
    </row>
    <row r="117" spans="1:8" x14ac:dyDescent="0.3">
      <c r="A117" s="37" t="s">
        <v>126</v>
      </c>
      <c r="B117" s="38">
        <v>147500</v>
      </c>
      <c r="E117" s="37" t="b">
        <v>0</v>
      </c>
      <c r="F117" s="37" t="b">
        <v>1</v>
      </c>
      <c r="G117" s="37">
        <v>0</v>
      </c>
      <c r="H117" s="37" t="b">
        <v>0</v>
      </c>
    </row>
    <row r="118" spans="1:8" x14ac:dyDescent="0.3">
      <c r="A118" s="37" t="s">
        <v>4</v>
      </c>
      <c r="B118" s="38">
        <v>98301.5</v>
      </c>
      <c r="E118" s="37" t="b">
        <v>0</v>
      </c>
      <c r="F118" s="37" t="b">
        <v>1</v>
      </c>
      <c r="G118" s="37">
        <v>0</v>
      </c>
      <c r="H118" s="37" t="b">
        <v>0</v>
      </c>
    </row>
    <row r="119" spans="1:8" x14ac:dyDescent="0.3">
      <c r="A119" s="37" t="s">
        <v>4</v>
      </c>
      <c r="B119" s="38">
        <v>80850</v>
      </c>
      <c r="E119" s="37" t="b">
        <v>0</v>
      </c>
      <c r="F119" s="37" t="b">
        <v>1</v>
      </c>
      <c r="G119" s="37">
        <v>0</v>
      </c>
      <c r="H119" s="37" t="b">
        <v>0</v>
      </c>
    </row>
    <row r="120" spans="1:8" x14ac:dyDescent="0.3">
      <c r="A120" s="37" t="s">
        <v>2</v>
      </c>
      <c r="B120" s="38">
        <v>45000</v>
      </c>
      <c r="E120" s="37" t="b">
        <v>1</v>
      </c>
      <c r="F120" s="37" t="b">
        <v>1</v>
      </c>
      <c r="G120" s="37">
        <v>1</v>
      </c>
      <c r="H120" s="37">
        <v>45000</v>
      </c>
    </row>
    <row r="121" spans="1:8" x14ac:dyDescent="0.3">
      <c r="A121" s="37" t="s">
        <v>0</v>
      </c>
      <c r="B121" s="38">
        <v>245000</v>
      </c>
      <c r="E121" s="37" t="b">
        <v>0</v>
      </c>
      <c r="F121" s="37" t="b">
        <v>1</v>
      </c>
      <c r="G121" s="37">
        <v>0</v>
      </c>
      <c r="H121" s="37" t="b">
        <v>0</v>
      </c>
    </row>
    <row r="122" spans="1:8" x14ac:dyDescent="0.3">
      <c r="A122" s="37" t="s">
        <v>4</v>
      </c>
      <c r="B122" s="38">
        <v>98301.5</v>
      </c>
      <c r="E122" s="37" t="b">
        <v>0</v>
      </c>
      <c r="F122" s="37" t="b">
        <v>1</v>
      </c>
      <c r="G122" s="37">
        <v>0</v>
      </c>
      <c r="H122" s="37" t="b">
        <v>0</v>
      </c>
    </row>
    <row r="123" spans="1:8" x14ac:dyDescent="0.3">
      <c r="A123" s="37" t="s">
        <v>126</v>
      </c>
      <c r="B123" s="38">
        <v>89100</v>
      </c>
      <c r="E123" s="37" t="b">
        <v>0</v>
      </c>
      <c r="F123" s="37" t="b">
        <v>1</v>
      </c>
      <c r="G123" s="37">
        <v>0</v>
      </c>
      <c r="H123" s="37" t="b">
        <v>0</v>
      </c>
    </row>
    <row r="124" spans="1:8" x14ac:dyDescent="0.3">
      <c r="A124" s="37" t="s">
        <v>0</v>
      </c>
      <c r="B124" s="38">
        <v>105300</v>
      </c>
      <c r="E124" s="37" t="b">
        <v>0</v>
      </c>
      <c r="F124" s="37" t="b">
        <v>1</v>
      </c>
      <c r="G124" s="37">
        <v>0</v>
      </c>
      <c r="H124" s="37" t="b">
        <v>0</v>
      </c>
    </row>
    <row r="125" spans="1:8" x14ac:dyDescent="0.3">
      <c r="A125" s="37" t="s">
        <v>4</v>
      </c>
      <c r="B125" s="38">
        <v>98301.5</v>
      </c>
      <c r="E125" s="37" t="b">
        <v>0</v>
      </c>
      <c r="F125" s="37" t="b">
        <v>1</v>
      </c>
      <c r="G125" s="37">
        <v>0</v>
      </c>
      <c r="H125" s="37" t="b">
        <v>0</v>
      </c>
    </row>
    <row r="126" spans="1:8" x14ac:dyDescent="0.3">
      <c r="A126" s="37" t="s">
        <v>0</v>
      </c>
      <c r="B126" s="38">
        <v>157500</v>
      </c>
      <c r="E126" s="37" t="b">
        <v>0</v>
      </c>
      <c r="F126" s="37" t="b">
        <v>1</v>
      </c>
      <c r="G126" s="37">
        <v>0</v>
      </c>
      <c r="H126" s="37" t="b">
        <v>0</v>
      </c>
    </row>
    <row r="127" spans="1:8" x14ac:dyDescent="0.3">
      <c r="A127" s="37" t="s">
        <v>2</v>
      </c>
      <c r="B127" s="38">
        <v>111202</v>
      </c>
      <c r="E127" s="37" t="b">
        <v>1</v>
      </c>
      <c r="F127" s="37" t="b">
        <v>1</v>
      </c>
      <c r="G127" s="37">
        <v>1</v>
      </c>
      <c r="H127" s="37">
        <v>111202</v>
      </c>
    </row>
    <row r="128" spans="1:8" x14ac:dyDescent="0.3">
      <c r="A128" s="37" t="s">
        <v>129</v>
      </c>
      <c r="B128" s="38">
        <v>175000</v>
      </c>
      <c r="E128" s="37" t="b">
        <v>0</v>
      </c>
      <c r="F128" s="37" t="b">
        <v>1</v>
      </c>
      <c r="G128" s="37">
        <v>0</v>
      </c>
      <c r="H128" s="37" t="b">
        <v>0</v>
      </c>
    </row>
    <row r="129" spans="1:8" x14ac:dyDescent="0.3">
      <c r="A129" s="37" t="s">
        <v>0</v>
      </c>
      <c r="B129" s="38">
        <v>79200</v>
      </c>
      <c r="E129" s="37" t="b">
        <v>0</v>
      </c>
      <c r="F129" s="37" t="b">
        <v>1</v>
      </c>
      <c r="G129" s="37">
        <v>0</v>
      </c>
      <c r="H129" s="37" t="b">
        <v>0</v>
      </c>
    </row>
    <row r="130" spans="1:8" x14ac:dyDescent="0.3">
      <c r="A130" s="37" t="s">
        <v>0</v>
      </c>
      <c r="B130" s="38">
        <v>89100</v>
      </c>
      <c r="E130" s="37" t="b">
        <v>0</v>
      </c>
      <c r="F130" s="37" t="b">
        <v>1</v>
      </c>
      <c r="G130" s="37">
        <v>0</v>
      </c>
      <c r="H130" s="37" t="b">
        <v>0</v>
      </c>
    </row>
    <row r="131" spans="1:8" x14ac:dyDescent="0.3">
      <c r="A131" s="37" t="s">
        <v>4</v>
      </c>
      <c r="B131" s="38">
        <v>133000</v>
      </c>
      <c r="E131" s="37" t="b">
        <v>0</v>
      </c>
      <c r="F131" s="37" t="b">
        <v>1</v>
      </c>
      <c r="G131" s="37">
        <v>0</v>
      </c>
      <c r="H131" s="37" t="b">
        <v>0</v>
      </c>
    </row>
    <row r="132" spans="1:8" x14ac:dyDescent="0.3">
      <c r="A132" s="37" t="s">
        <v>2</v>
      </c>
      <c r="B132" s="38">
        <v>139246.5</v>
      </c>
      <c r="E132" s="37" t="b">
        <v>1</v>
      </c>
      <c r="F132" s="37" t="b">
        <v>1</v>
      </c>
      <c r="G132" s="37">
        <v>1</v>
      </c>
      <c r="H132" s="37">
        <v>139246.5</v>
      </c>
    </row>
    <row r="133" spans="1:8" x14ac:dyDescent="0.3">
      <c r="A133" s="37" t="s">
        <v>1</v>
      </c>
      <c r="B133" s="38">
        <v>79200</v>
      </c>
      <c r="E133" s="37" t="b">
        <v>0</v>
      </c>
      <c r="F133" s="37" t="b">
        <v>1</v>
      </c>
      <c r="G133" s="37">
        <v>0</v>
      </c>
      <c r="H133" s="37" t="b">
        <v>0</v>
      </c>
    </row>
    <row r="134" spans="1:8" x14ac:dyDescent="0.3">
      <c r="A134" s="37" t="s">
        <v>128</v>
      </c>
      <c r="B134" s="38">
        <v>157500</v>
      </c>
      <c r="E134" s="37" t="b">
        <v>0</v>
      </c>
      <c r="F134" s="37" t="b">
        <v>1</v>
      </c>
      <c r="G134" s="37">
        <v>0</v>
      </c>
      <c r="H134" s="37" t="b">
        <v>0</v>
      </c>
    </row>
    <row r="135" spans="1:8" x14ac:dyDescent="0.3">
      <c r="A135" s="37" t="s">
        <v>2</v>
      </c>
      <c r="B135" s="38">
        <v>111202</v>
      </c>
      <c r="E135" s="37" t="b">
        <v>1</v>
      </c>
      <c r="F135" s="37" t="b">
        <v>1</v>
      </c>
      <c r="G135" s="37">
        <v>1</v>
      </c>
      <c r="H135" s="37">
        <v>111202</v>
      </c>
    </row>
    <row r="136" spans="1:8" x14ac:dyDescent="0.3">
      <c r="A136" s="37" t="s">
        <v>126</v>
      </c>
      <c r="B136" s="38">
        <v>89100</v>
      </c>
      <c r="E136" s="37" t="b">
        <v>0</v>
      </c>
      <c r="F136" s="37" t="b">
        <v>1</v>
      </c>
      <c r="G136" s="37">
        <v>0</v>
      </c>
      <c r="H136" s="37" t="b">
        <v>0</v>
      </c>
    </row>
    <row r="137" spans="1:8" x14ac:dyDescent="0.3">
      <c r="A137" s="37" t="s">
        <v>2</v>
      </c>
      <c r="B137" s="38">
        <v>89100</v>
      </c>
      <c r="E137" s="37" t="b">
        <v>1</v>
      </c>
      <c r="F137" s="37" t="b">
        <v>1</v>
      </c>
      <c r="G137" s="37">
        <v>1</v>
      </c>
      <c r="H137" s="37">
        <v>89100</v>
      </c>
    </row>
    <row r="138" spans="1:8" x14ac:dyDescent="0.3">
      <c r="A138" s="37" t="s">
        <v>2</v>
      </c>
      <c r="B138" s="38">
        <v>109500</v>
      </c>
      <c r="E138" s="37" t="b">
        <v>1</v>
      </c>
      <c r="F138" s="37" t="b">
        <v>1</v>
      </c>
      <c r="G138" s="37">
        <v>1</v>
      </c>
      <c r="H138" s="37">
        <v>109500</v>
      </c>
    </row>
    <row r="139" spans="1:8" x14ac:dyDescent="0.3">
      <c r="A139" s="37" t="s">
        <v>125</v>
      </c>
      <c r="B139" s="38">
        <v>111202</v>
      </c>
      <c r="E139" s="37" t="b">
        <v>0</v>
      </c>
      <c r="F139" s="37" t="b">
        <v>1</v>
      </c>
      <c r="G139" s="37">
        <v>0</v>
      </c>
      <c r="H139" s="37" t="b">
        <v>0</v>
      </c>
    </row>
    <row r="140" spans="1:8" x14ac:dyDescent="0.3">
      <c r="A140" s="37" t="s">
        <v>4</v>
      </c>
      <c r="B140" s="38">
        <v>147500</v>
      </c>
      <c r="E140" s="37" t="b">
        <v>0</v>
      </c>
      <c r="F140" s="37" t="b">
        <v>1</v>
      </c>
      <c r="G140" s="37">
        <v>0</v>
      </c>
      <c r="H140" s="37" t="b">
        <v>0</v>
      </c>
    </row>
    <row r="141" spans="1:8" x14ac:dyDescent="0.3">
      <c r="A141" s="37" t="s">
        <v>2</v>
      </c>
      <c r="B141" s="38">
        <v>187875</v>
      </c>
      <c r="E141" s="37" t="b">
        <v>1</v>
      </c>
      <c r="F141" s="37" t="b">
        <v>1</v>
      </c>
      <c r="G141" s="37">
        <v>1</v>
      </c>
      <c r="H141" s="37">
        <v>187875</v>
      </c>
    </row>
    <row r="142" spans="1:8" x14ac:dyDescent="0.3">
      <c r="A142" s="37" t="s">
        <v>1</v>
      </c>
      <c r="B142" s="38">
        <v>94342.5</v>
      </c>
      <c r="E142" s="37" t="b">
        <v>0</v>
      </c>
      <c r="F142" s="37" t="b">
        <v>1</v>
      </c>
      <c r="G142" s="37">
        <v>0</v>
      </c>
      <c r="H142" s="37" t="b">
        <v>0</v>
      </c>
    </row>
    <row r="143" spans="1:8" x14ac:dyDescent="0.3">
      <c r="A143" s="37" t="s">
        <v>129</v>
      </c>
      <c r="B143" s="38">
        <v>79200</v>
      </c>
      <c r="E143" s="37" t="b">
        <v>0</v>
      </c>
      <c r="F143" s="37" t="b">
        <v>1</v>
      </c>
      <c r="G143" s="37">
        <v>0</v>
      </c>
      <c r="H143" s="37" t="b">
        <v>0</v>
      </c>
    </row>
    <row r="144" spans="1:8" x14ac:dyDescent="0.3">
      <c r="A144" s="37" t="s">
        <v>126</v>
      </c>
      <c r="B144" s="38">
        <v>274500</v>
      </c>
      <c r="E144" s="37" t="b">
        <v>0</v>
      </c>
      <c r="F144" s="37" t="b">
        <v>1</v>
      </c>
      <c r="G144" s="37">
        <v>0</v>
      </c>
      <c r="H144" s="37" t="b">
        <v>0</v>
      </c>
    </row>
    <row r="145" spans="1:8" x14ac:dyDescent="0.3">
      <c r="A145" s="37" t="s">
        <v>4</v>
      </c>
      <c r="B145" s="38">
        <v>147500</v>
      </c>
      <c r="E145" s="37" t="b">
        <v>0</v>
      </c>
      <c r="F145" s="37" t="b">
        <v>1</v>
      </c>
      <c r="G145" s="37">
        <v>0</v>
      </c>
      <c r="H145" s="37" t="b">
        <v>0</v>
      </c>
    </row>
    <row r="146" spans="1:8" x14ac:dyDescent="0.3">
      <c r="A146" s="37" t="s">
        <v>0</v>
      </c>
      <c r="B146" s="38">
        <v>64821.5</v>
      </c>
      <c r="E146" s="37" t="b">
        <v>0</v>
      </c>
      <c r="F146" s="37" t="b">
        <v>1</v>
      </c>
      <c r="G146" s="37">
        <v>0</v>
      </c>
      <c r="H146" s="37" t="b">
        <v>0</v>
      </c>
    </row>
    <row r="147" spans="1:8" x14ac:dyDescent="0.3">
      <c r="A147" s="37" t="s">
        <v>125</v>
      </c>
      <c r="B147" s="38">
        <v>111202</v>
      </c>
      <c r="E147" s="37" t="b">
        <v>0</v>
      </c>
      <c r="F147" s="37" t="b">
        <v>1</v>
      </c>
      <c r="G147" s="37">
        <v>0</v>
      </c>
      <c r="H147" s="37" t="b">
        <v>0</v>
      </c>
    </row>
    <row r="148" spans="1:8" x14ac:dyDescent="0.3">
      <c r="A148" s="37" t="s">
        <v>1</v>
      </c>
      <c r="B148" s="38">
        <v>166000</v>
      </c>
      <c r="E148" s="37" t="b">
        <v>0</v>
      </c>
      <c r="F148" s="37" t="b">
        <v>1</v>
      </c>
      <c r="G148" s="37">
        <v>0</v>
      </c>
      <c r="H148" s="37" t="b">
        <v>0</v>
      </c>
    </row>
    <row r="149" spans="1:8" x14ac:dyDescent="0.3">
      <c r="A149" s="37" t="s">
        <v>1</v>
      </c>
      <c r="B149" s="38">
        <v>150000</v>
      </c>
      <c r="E149" s="37" t="b">
        <v>0</v>
      </c>
      <c r="F149" s="37" t="b">
        <v>1</v>
      </c>
      <c r="G149" s="37">
        <v>0</v>
      </c>
      <c r="H149" s="37" t="b">
        <v>0</v>
      </c>
    </row>
    <row r="150" spans="1:8" x14ac:dyDescent="0.3">
      <c r="A150" s="37" t="s">
        <v>1</v>
      </c>
      <c r="B150" s="38">
        <v>166000</v>
      </c>
      <c r="E150" s="37" t="b">
        <v>0</v>
      </c>
      <c r="F150" s="37" t="b">
        <v>1</v>
      </c>
      <c r="G150" s="37">
        <v>0</v>
      </c>
      <c r="H150" s="37" t="b">
        <v>0</v>
      </c>
    </row>
    <row r="151" spans="1:8" x14ac:dyDescent="0.3">
      <c r="A151" s="37" t="s">
        <v>1</v>
      </c>
      <c r="B151" s="38">
        <v>50400</v>
      </c>
      <c r="E151" s="37" t="b">
        <v>0</v>
      </c>
      <c r="F151" s="37" t="b">
        <v>1</v>
      </c>
      <c r="G151" s="37">
        <v>0</v>
      </c>
      <c r="H151" s="37" t="b">
        <v>0</v>
      </c>
    </row>
    <row r="152" spans="1:8" x14ac:dyDescent="0.3">
      <c r="A152" s="37" t="s">
        <v>4</v>
      </c>
      <c r="B152" s="38">
        <v>93600</v>
      </c>
      <c r="E152" s="37" t="b">
        <v>0</v>
      </c>
      <c r="F152" s="37" t="b">
        <v>1</v>
      </c>
      <c r="G152" s="37">
        <v>0</v>
      </c>
      <c r="H152" s="37" t="b">
        <v>0</v>
      </c>
    </row>
    <row r="153" spans="1:8" x14ac:dyDescent="0.3">
      <c r="A153" s="37" t="s">
        <v>2</v>
      </c>
      <c r="B153" s="38">
        <v>111202</v>
      </c>
      <c r="E153" s="37" t="b">
        <v>1</v>
      </c>
      <c r="F153" s="37" t="b">
        <v>1</v>
      </c>
      <c r="G153" s="37">
        <v>1</v>
      </c>
      <c r="H153" s="37">
        <v>111202</v>
      </c>
    </row>
    <row r="154" spans="1:8" x14ac:dyDescent="0.3">
      <c r="A154" s="37" t="s">
        <v>0</v>
      </c>
      <c r="B154" s="38">
        <v>157500</v>
      </c>
      <c r="E154" s="37" t="b">
        <v>0</v>
      </c>
      <c r="F154" s="37" t="b">
        <v>1</v>
      </c>
      <c r="G154" s="37">
        <v>0</v>
      </c>
      <c r="H154" s="37" t="b">
        <v>0</v>
      </c>
    </row>
    <row r="155" spans="1:8" x14ac:dyDescent="0.3">
      <c r="A155" s="37" t="s">
        <v>4</v>
      </c>
      <c r="B155" s="38">
        <v>269500</v>
      </c>
      <c r="E155" s="37" t="b">
        <v>0</v>
      </c>
      <c r="F155" s="37" t="b">
        <v>1</v>
      </c>
      <c r="G155" s="37">
        <v>0</v>
      </c>
      <c r="H155" s="37" t="b">
        <v>0</v>
      </c>
    </row>
    <row r="156" spans="1:8" x14ac:dyDescent="0.3">
      <c r="A156" s="37" t="s">
        <v>4</v>
      </c>
      <c r="B156" s="38">
        <v>96760.5</v>
      </c>
      <c r="E156" s="37" t="b">
        <v>0</v>
      </c>
      <c r="F156" s="37" t="b">
        <v>1</v>
      </c>
      <c r="G156" s="37">
        <v>0</v>
      </c>
      <c r="H156" s="37" t="b">
        <v>0</v>
      </c>
    </row>
    <row r="157" spans="1:8" x14ac:dyDescent="0.3">
      <c r="A157" s="37" t="s">
        <v>0</v>
      </c>
      <c r="B157" s="38">
        <v>87307.5</v>
      </c>
      <c r="E157" s="37" t="b">
        <v>0</v>
      </c>
      <c r="F157" s="37" t="b">
        <v>1</v>
      </c>
      <c r="G157" s="37">
        <v>0</v>
      </c>
      <c r="H157" s="37" t="b">
        <v>0</v>
      </c>
    </row>
    <row r="158" spans="1:8" x14ac:dyDescent="0.3">
      <c r="A158" s="37" t="s">
        <v>4</v>
      </c>
      <c r="B158" s="38">
        <v>147500</v>
      </c>
      <c r="E158" s="37" t="b">
        <v>0</v>
      </c>
      <c r="F158" s="37" t="b">
        <v>1</v>
      </c>
      <c r="G158" s="37">
        <v>0</v>
      </c>
      <c r="H158" s="37" t="b">
        <v>0</v>
      </c>
    </row>
    <row r="159" spans="1:8" x14ac:dyDescent="0.3">
      <c r="A159" s="37" t="s">
        <v>4</v>
      </c>
      <c r="B159" s="38">
        <v>98301.5</v>
      </c>
      <c r="E159" s="37" t="b">
        <v>0</v>
      </c>
      <c r="F159" s="37" t="b">
        <v>1</v>
      </c>
      <c r="G159" s="37">
        <v>0</v>
      </c>
      <c r="H159" s="37" t="b">
        <v>0</v>
      </c>
    </row>
    <row r="160" spans="1:8" x14ac:dyDescent="0.3">
      <c r="A160" s="37" t="s">
        <v>4</v>
      </c>
      <c r="B160" s="38">
        <v>243000</v>
      </c>
      <c r="E160" s="37" t="b">
        <v>0</v>
      </c>
      <c r="F160" s="37" t="b">
        <v>1</v>
      </c>
      <c r="G160" s="37">
        <v>0</v>
      </c>
      <c r="H160" s="37" t="b">
        <v>0</v>
      </c>
    </row>
    <row r="161" spans="1:8" x14ac:dyDescent="0.3">
      <c r="A161" s="37" t="s">
        <v>0</v>
      </c>
      <c r="B161" s="38">
        <v>157500</v>
      </c>
      <c r="E161" s="37" t="b">
        <v>0</v>
      </c>
      <c r="F161" s="37" t="b">
        <v>1</v>
      </c>
      <c r="G161" s="37">
        <v>0</v>
      </c>
      <c r="H161" s="37" t="b">
        <v>0</v>
      </c>
    </row>
    <row r="162" spans="1:8" x14ac:dyDescent="0.3">
      <c r="A162" s="37" t="s">
        <v>1</v>
      </c>
      <c r="B162" s="38">
        <v>166000</v>
      </c>
      <c r="E162" s="37" t="b">
        <v>0</v>
      </c>
      <c r="F162" s="37" t="b">
        <v>1</v>
      </c>
      <c r="G162" s="37">
        <v>0</v>
      </c>
      <c r="H162" s="37" t="b">
        <v>0</v>
      </c>
    </row>
    <row r="163" spans="1:8" x14ac:dyDescent="0.3">
      <c r="A163" s="37" t="s">
        <v>129</v>
      </c>
      <c r="B163" s="38">
        <v>64800</v>
      </c>
      <c r="E163" s="37" t="b">
        <v>0</v>
      </c>
      <c r="F163" s="37" t="b">
        <v>1</v>
      </c>
      <c r="G163" s="37">
        <v>0</v>
      </c>
      <c r="H163" s="37" t="b">
        <v>0</v>
      </c>
    </row>
    <row r="164" spans="1:8" x14ac:dyDescent="0.3">
      <c r="A164" s="37" t="s">
        <v>126</v>
      </c>
      <c r="B164" s="38">
        <v>96760.5</v>
      </c>
      <c r="E164" s="37" t="b">
        <v>0</v>
      </c>
      <c r="F164" s="37" t="b">
        <v>1</v>
      </c>
      <c r="G164" s="37">
        <v>0</v>
      </c>
      <c r="H164" s="37" t="b">
        <v>0</v>
      </c>
    </row>
    <row r="165" spans="1:8" x14ac:dyDescent="0.3">
      <c r="A165" s="37" t="s">
        <v>0</v>
      </c>
      <c r="B165" s="38">
        <v>132500</v>
      </c>
      <c r="E165" s="37" t="b">
        <v>0</v>
      </c>
      <c r="F165" s="37" t="b">
        <v>1</v>
      </c>
      <c r="G165" s="37">
        <v>0</v>
      </c>
      <c r="H165" s="37" t="b">
        <v>0</v>
      </c>
    </row>
    <row r="166" spans="1:8" x14ac:dyDescent="0.3">
      <c r="A166" s="37" t="s">
        <v>2</v>
      </c>
      <c r="B166" s="38">
        <v>45000</v>
      </c>
      <c r="E166" s="37" t="b">
        <v>1</v>
      </c>
      <c r="F166" s="37" t="b">
        <v>1</v>
      </c>
      <c r="G166" s="37">
        <v>1</v>
      </c>
      <c r="H166" s="37">
        <v>45000</v>
      </c>
    </row>
    <row r="167" spans="1:8" x14ac:dyDescent="0.3">
      <c r="A167" s="37" t="s">
        <v>0</v>
      </c>
      <c r="B167" s="38">
        <v>157500</v>
      </c>
      <c r="E167" s="37" t="b">
        <v>0</v>
      </c>
      <c r="F167" s="37" t="b">
        <v>1</v>
      </c>
      <c r="G167" s="37">
        <v>0</v>
      </c>
      <c r="H167" s="37" t="b">
        <v>0</v>
      </c>
    </row>
    <row r="168" spans="1:8" x14ac:dyDescent="0.3">
      <c r="A168" s="37" t="s">
        <v>0</v>
      </c>
      <c r="B168" s="38">
        <v>157500</v>
      </c>
      <c r="E168" s="37" t="b">
        <v>0</v>
      </c>
      <c r="F168" s="37" t="b">
        <v>1</v>
      </c>
      <c r="G168" s="37">
        <v>0</v>
      </c>
      <c r="H168" s="37" t="b">
        <v>0</v>
      </c>
    </row>
    <row r="169" spans="1:8" x14ac:dyDescent="0.3">
      <c r="A169" s="37" t="s">
        <v>2</v>
      </c>
      <c r="B169" s="38">
        <v>45000</v>
      </c>
      <c r="E169" s="37" t="b">
        <v>1</v>
      </c>
      <c r="F169" s="37" t="b">
        <v>1</v>
      </c>
      <c r="G169" s="37">
        <v>1</v>
      </c>
      <c r="H169" s="37">
        <v>45000</v>
      </c>
    </row>
    <row r="170" spans="1:8" x14ac:dyDescent="0.3">
      <c r="A170" s="37" t="s">
        <v>4</v>
      </c>
      <c r="B170" s="38">
        <v>147500</v>
      </c>
      <c r="E170" s="37" t="b">
        <v>0</v>
      </c>
      <c r="F170" s="37" t="b">
        <v>1</v>
      </c>
      <c r="G170" s="37">
        <v>0</v>
      </c>
      <c r="H170" s="37" t="b">
        <v>0</v>
      </c>
    </row>
    <row r="171" spans="1:8" x14ac:dyDescent="0.3">
      <c r="A171" s="37" t="s">
        <v>0</v>
      </c>
      <c r="B171" s="38">
        <v>64821.5</v>
      </c>
      <c r="E171" s="37" t="b">
        <v>0</v>
      </c>
      <c r="F171" s="37" t="b">
        <v>1</v>
      </c>
      <c r="G171" s="37">
        <v>0</v>
      </c>
      <c r="H171" s="37" t="b">
        <v>0</v>
      </c>
    </row>
    <row r="172" spans="1:8" x14ac:dyDescent="0.3">
      <c r="A172" s="37" t="s">
        <v>125</v>
      </c>
      <c r="B172" s="38">
        <v>79200</v>
      </c>
      <c r="E172" s="37" t="b">
        <v>0</v>
      </c>
      <c r="F172" s="37" t="b">
        <v>1</v>
      </c>
      <c r="G172" s="37">
        <v>0</v>
      </c>
      <c r="H172" s="37" t="b">
        <v>0</v>
      </c>
    </row>
    <row r="173" spans="1:8" x14ac:dyDescent="0.3">
      <c r="A173" s="37" t="s">
        <v>0</v>
      </c>
      <c r="B173" s="38">
        <v>157500</v>
      </c>
      <c r="E173" s="37" t="b">
        <v>0</v>
      </c>
      <c r="F173" s="37" t="b">
        <v>1</v>
      </c>
      <c r="G173" s="37">
        <v>0</v>
      </c>
      <c r="H173" s="37" t="b">
        <v>0</v>
      </c>
    </row>
    <row r="174" spans="1:8" x14ac:dyDescent="0.3">
      <c r="A174" s="37" t="s">
        <v>126</v>
      </c>
      <c r="B174" s="38">
        <v>180000</v>
      </c>
      <c r="E174" s="37" t="b">
        <v>0</v>
      </c>
      <c r="F174" s="37" t="b">
        <v>1</v>
      </c>
      <c r="G174" s="37">
        <v>0</v>
      </c>
      <c r="H174" s="37" t="b">
        <v>0</v>
      </c>
    </row>
    <row r="175" spans="1:8" x14ac:dyDescent="0.3">
      <c r="A175" s="37" t="s">
        <v>125</v>
      </c>
      <c r="B175" s="38">
        <v>89100</v>
      </c>
      <c r="E175" s="37" t="b">
        <v>0</v>
      </c>
      <c r="F175" s="37" t="b">
        <v>1</v>
      </c>
      <c r="G175" s="37">
        <v>0</v>
      </c>
      <c r="H175" s="37" t="b">
        <v>0</v>
      </c>
    </row>
    <row r="176" spans="1:8" x14ac:dyDescent="0.3">
      <c r="A176" s="37" t="s">
        <v>2</v>
      </c>
      <c r="B176" s="38">
        <v>102500</v>
      </c>
      <c r="E176" s="37" t="b">
        <v>1</v>
      </c>
      <c r="F176" s="37" t="b">
        <v>1</v>
      </c>
      <c r="G176" s="37">
        <v>1</v>
      </c>
      <c r="H176" s="37">
        <v>102500</v>
      </c>
    </row>
    <row r="177" spans="1:8" x14ac:dyDescent="0.3">
      <c r="A177" s="37" t="s">
        <v>125</v>
      </c>
      <c r="B177" s="38">
        <v>111202</v>
      </c>
      <c r="E177" s="37" t="b">
        <v>0</v>
      </c>
      <c r="F177" s="37" t="b">
        <v>1</v>
      </c>
      <c r="G177" s="37">
        <v>0</v>
      </c>
      <c r="H177" s="37" t="b">
        <v>0</v>
      </c>
    </row>
    <row r="178" spans="1:8" x14ac:dyDescent="0.3">
      <c r="A178" s="37" t="s">
        <v>0</v>
      </c>
      <c r="B178" s="38">
        <v>87307.5</v>
      </c>
      <c r="E178" s="37" t="b">
        <v>0</v>
      </c>
      <c r="F178" s="37" t="b">
        <v>1</v>
      </c>
      <c r="G178" s="37">
        <v>0</v>
      </c>
      <c r="H178" s="37" t="b">
        <v>0</v>
      </c>
    </row>
    <row r="179" spans="1:8" x14ac:dyDescent="0.3">
      <c r="A179" s="37" t="s">
        <v>2</v>
      </c>
      <c r="B179" s="38">
        <v>111202</v>
      </c>
      <c r="E179" s="37" t="b">
        <v>1</v>
      </c>
      <c r="F179" s="37" t="b">
        <v>1</v>
      </c>
      <c r="G179" s="37">
        <v>1</v>
      </c>
      <c r="H179" s="37">
        <v>111202</v>
      </c>
    </row>
    <row r="180" spans="1:8" x14ac:dyDescent="0.3">
      <c r="A180" s="37" t="s">
        <v>4</v>
      </c>
      <c r="B180" s="38">
        <v>147500</v>
      </c>
      <c r="E180" s="37" t="b">
        <v>0</v>
      </c>
      <c r="F180" s="37" t="b">
        <v>1</v>
      </c>
      <c r="G180" s="37">
        <v>0</v>
      </c>
      <c r="H180" s="37" t="b">
        <v>0</v>
      </c>
    </row>
    <row r="181" spans="1:8" x14ac:dyDescent="0.3">
      <c r="A181" s="37" t="s">
        <v>2</v>
      </c>
      <c r="B181" s="38">
        <v>45000</v>
      </c>
      <c r="E181" s="37" t="b">
        <v>1</v>
      </c>
      <c r="F181" s="37" t="b">
        <v>1</v>
      </c>
      <c r="G181" s="37">
        <v>1</v>
      </c>
      <c r="H181" s="37">
        <v>45000</v>
      </c>
    </row>
    <row r="182" spans="1:8" x14ac:dyDescent="0.3">
      <c r="A182" s="37" t="s">
        <v>2</v>
      </c>
      <c r="B182" s="38">
        <v>105000</v>
      </c>
      <c r="E182" s="37" t="b">
        <v>1</v>
      </c>
      <c r="F182" s="37" t="b">
        <v>1</v>
      </c>
      <c r="G182" s="37">
        <v>1</v>
      </c>
      <c r="H182" s="37">
        <v>105000</v>
      </c>
    </row>
    <row r="183" spans="1:8" x14ac:dyDescent="0.3">
      <c r="A183" s="37" t="s">
        <v>0</v>
      </c>
      <c r="B183" s="38">
        <v>157500</v>
      </c>
      <c r="E183" s="37" t="b">
        <v>0</v>
      </c>
      <c r="F183" s="37" t="b">
        <v>1</v>
      </c>
      <c r="G183" s="37">
        <v>0</v>
      </c>
      <c r="H183" s="37" t="b">
        <v>0</v>
      </c>
    </row>
    <row r="184" spans="1:8" x14ac:dyDescent="0.3">
      <c r="A184" s="37" t="s">
        <v>4</v>
      </c>
      <c r="B184" s="38">
        <v>96760.5</v>
      </c>
      <c r="E184" s="37" t="b">
        <v>0</v>
      </c>
      <c r="F184" s="37" t="b">
        <v>1</v>
      </c>
      <c r="G184" s="37">
        <v>0</v>
      </c>
      <c r="H184" s="37" t="b">
        <v>0</v>
      </c>
    </row>
    <row r="185" spans="1:8" x14ac:dyDescent="0.3">
      <c r="A185" s="37" t="s">
        <v>2</v>
      </c>
      <c r="B185" s="38">
        <v>45000</v>
      </c>
      <c r="E185" s="37" t="b">
        <v>1</v>
      </c>
      <c r="F185" s="37" t="b">
        <v>1</v>
      </c>
      <c r="G185" s="37">
        <v>1</v>
      </c>
      <c r="H185" s="37">
        <v>45000</v>
      </c>
    </row>
    <row r="186" spans="1:8" x14ac:dyDescent="0.3">
      <c r="A186" s="37" t="s">
        <v>0</v>
      </c>
      <c r="B186" s="38">
        <v>132500</v>
      </c>
      <c r="E186" s="37" t="b">
        <v>0</v>
      </c>
      <c r="F186" s="37" t="b">
        <v>1</v>
      </c>
      <c r="G186" s="37">
        <v>0</v>
      </c>
      <c r="H186" s="37" t="b">
        <v>0</v>
      </c>
    </row>
    <row r="187" spans="1:8" x14ac:dyDescent="0.3">
      <c r="A187" s="37" t="s">
        <v>0</v>
      </c>
      <c r="B187" s="38">
        <v>157500</v>
      </c>
      <c r="E187" s="37" t="b">
        <v>0</v>
      </c>
      <c r="F187" s="37" t="b">
        <v>1</v>
      </c>
      <c r="G187" s="37">
        <v>0</v>
      </c>
      <c r="H187" s="37" t="b">
        <v>0</v>
      </c>
    </row>
    <row r="188" spans="1:8" x14ac:dyDescent="0.3">
      <c r="A188" s="37" t="s">
        <v>128</v>
      </c>
      <c r="B188" s="38">
        <v>56700</v>
      </c>
      <c r="E188" s="37" t="b">
        <v>0</v>
      </c>
      <c r="F188" s="37" t="b">
        <v>1</v>
      </c>
      <c r="G188" s="37">
        <v>0</v>
      </c>
      <c r="H188" s="37" t="b">
        <v>0</v>
      </c>
    </row>
    <row r="189" spans="1:8" x14ac:dyDescent="0.3">
      <c r="A189" s="37" t="s">
        <v>0</v>
      </c>
      <c r="B189" s="38">
        <v>89100</v>
      </c>
      <c r="E189" s="37" t="b">
        <v>0</v>
      </c>
      <c r="F189" s="37" t="b">
        <v>1</v>
      </c>
      <c r="G189" s="37">
        <v>0</v>
      </c>
      <c r="H189" s="37" t="b">
        <v>0</v>
      </c>
    </row>
    <row r="190" spans="1:8" x14ac:dyDescent="0.3">
      <c r="A190" s="37" t="s">
        <v>4</v>
      </c>
      <c r="B190" s="38">
        <v>147500</v>
      </c>
      <c r="E190" s="37" t="b">
        <v>0</v>
      </c>
      <c r="F190" s="37" t="b">
        <v>1</v>
      </c>
      <c r="G190" s="37">
        <v>0</v>
      </c>
      <c r="H190" s="37" t="b">
        <v>0</v>
      </c>
    </row>
    <row r="191" spans="1:8" x14ac:dyDescent="0.3">
      <c r="A191" s="37" t="s">
        <v>4</v>
      </c>
      <c r="B191" s="38">
        <v>110000</v>
      </c>
      <c r="E191" s="37" t="b">
        <v>0</v>
      </c>
      <c r="F191" s="37" t="b">
        <v>1</v>
      </c>
      <c r="G191" s="37">
        <v>0</v>
      </c>
      <c r="H191" s="37" t="b">
        <v>0</v>
      </c>
    </row>
    <row r="192" spans="1:8" x14ac:dyDescent="0.3">
      <c r="A192" s="37" t="s">
        <v>4</v>
      </c>
      <c r="B192" s="38">
        <v>147500</v>
      </c>
      <c r="E192" s="37" t="b">
        <v>0</v>
      </c>
      <c r="F192" s="37" t="b">
        <v>1</v>
      </c>
      <c r="G192" s="37">
        <v>0</v>
      </c>
      <c r="H192" s="37" t="b">
        <v>0</v>
      </c>
    </row>
    <row r="193" spans="1:8" x14ac:dyDescent="0.3">
      <c r="A193" s="37" t="s">
        <v>0</v>
      </c>
      <c r="B193" s="38">
        <v>63000</v>
      </c>
      <c r="E193" s="37" t="b">
        <v>0</v>
      </c>
      <c r="F193" s="37" t="b">
        <v>1</v>
      </c>
      <c r="G193" s="37">
        <v>0</v>
      </c>
      <c r="H193" s="37" t="b">
        <v>0</v>
      </c>
    </row>
    <row r="194" spans="1:8" x14ac:dyDescent="0.3">
      <c r="A194" s="37" t="s">
        <v>126</v>
      </c>
      <c r="B194" s="38">
        <v>147500</v>
      </c>
      <c r="E194" s="37" t="b">
        <v>0</v>
      </c>
      <c r="F194" s="37" t="b">
        <v>1</v>
      </c>
      <c r="G194" s="37">
        <v>0</v>
      </c>
      <c r="H194" s="37" t="b">
        <v>0</v>
      </c>
    </row>
    <row r="195" spans="1:8" x14ac:dyDescent="0.3">
      <c r="A195" s="37" t="s">
        <v>0</v>
      </c>
      <c r="B195" s="38">
        <v>87307.5</v>
      </c>
      <c r="E195" s="37" t="b">
        <v>0</v>
      </c>
      <c r="F195" s="37" t="b">
        <v>1</v>
      </c>
      <c r="G195" s="37">
        <v>0</v>
      </c>
      <c r="H195" s="37" t="b">
        <v>0</v>
      </c>
    </row>
    <row r="196" spans="1:8" x14ac:dyDescent="0.3">
      <c r="A196" s="37" t="s">
        <v>4</v>
      </c>
      <c r="B196" s="38">
        <v>98301.5</v>
      </c>
      <c r="E196" s="37" t="b">
        <v>0</v>
      </c>
      <c r="F196" s="37" t="b">
        <v>1</v>
      </c>
      <c r="G196" s="37">
        <v>0</v>
      </c>
      <c r="H196" s="37" t="b">
        <v>0</v>
      </c>
    </row>
    <row r="197" spans="1:8" x14ac:dyDescent="0.3">
      <c r="A197" s="37" t="s">
        <v>128</v>
      </c>
      <c r="B197" s="38">
        <v>157500</v>
      </c>
      <c r="E197" s="37" t="b">
        <v>0</v>
      </c>
      <c r="F197" s="37" t="b">
        <v>1</v>
      </c>
      <c r="G197" s="37">
        <v>0</v>
      </c>
      <c r="H197" s="37" t="b">
        <v>0</v>
      </c>
    </row>
    <row r="198" spans="1:8" x14ac:dyDescent="0.3">
      <c r="A198" s="37" t="s">
        <v>126</v>
      </c>
      <c r="B198" s="38">
        <v>147500</v>
      </c>
      <c r="E198" s="37" t="b">
        <v>0</v>
      </c>
      <c r="F198" s="37" t="b">
        <v>1</v>
      </c>
      <c r="G198" s="37">
        <v>0</v>
      </c>
      <c r="H198" s="37" t="b">
        <v>0</v>
      </c>
    </row>
    <row r="199" spans="1:8" x14ac:dyDescent="0.3">
      <c r="A199" s="37" t="s">
        <v>4</v>
      </c>
      <c r="B199" s="38">
        <v>99150</v>
      </c>
      <c r="E199" s="37" t="b">
        <v>0</v>
      </c>
      <c r="F199" s="37" t="b">
        <v>1</v>
      </c>
      <c r="G199" s="37">
        <v>0</v>
      </c>
      <c r="H199" s="37" t="b">
        <v>0</v>
      </c>
    </row>
    <row r="200" spans="1:8" x14ac:dyDescent="0.3">
      <c r="A200" s="37" t="s">
        <v>0</v>
      </c>
      <c r="B200" s="38">
        <v>89100</v>
      </c>
      <c r="E200" s="37" t="b">
        <v>0</v>
      </c>
      <c r="F200" s="37" t="b">
        <v>1</v>
      </c>
      <c r="G200" s="37">
        <v>0</v>
      </c>
      <c r="H200" s="37" t="b">
        <v>0</v>
      </c>
    </row>
    <row r="201" spans="1:8" x14ac:dyDescent="0.3">
      <c r="A201" s="37" t="s">
        <v>2</v>
      </c>
      <c r="B201" s="38">
        <v>98500</v>
      </c>
      <c r="E201" s="37" t="b">
        <v>1</v>
      </c>
      <c r="F201" s="37" t="b">
        <v>1</v>
      </c>
      <c r="G201" s="37">
        <v>1</v>
      </c>
      <c r="H201" s="37">
        <v>98500</v>
      </c>
    </row>
    <row r="202" spans="1:8" x14ac:dyDescent="0.3">
      <c r="A202" s="37" t="s">
        <v>1</v>
      </c>
      <c r="B202" s="38">
        <v>166000</v>
      </c>
      <c r="E202" s="37" t="b">
        <v>0</v>
      </c>
      <c r="F202" s="37" t="b">
        <v>1</v>
      </c>
      <c r="G202" s="37">
        <v>0</v>
      </c>
      <c r="H202" s="37" t="b">
        <v>0</v>
      </c>
    </row>
    <row r="203" spans="1:8" x14ac:dyDescent="0.3">
      <c r="A203" s="37" t="s">
        <v>4</v>
      </c>
      <c r="B203" s="38">
        <v>96760.5</v>
      </c>
      <c r="E203" s="37" t="b">
        <v>0</v>
      </c>
      <c r="F203" s="37" t="b">
        <v>1</v>
      </c>
      <c r="G203" s="37">
        <v>0</v>
      </c>
      <c r="H203" s="37" t="b">
        <v>0</v>
      </c>
    </row>
    <row r="204" spans="1:8" x14ac:dyDescent="0.3">
      <c r="A204" s="37" t="s">
        <v>2</v>
      </c>
      <c r="B204" s="38">
        <v>98500</v>
      </c>
      <c r="E204" s="37" t="b">
        <v>1</v>
      </c>
      <c r="F204" s="37" t="b">
        <v>1</v>
      </c>
      <c r="G204" s="37">
        <v>1</v>
      </c>
      <c r="H204" s="37">
        <v>98500</v>
      </c>
    </row>
    <row r="205" spans="1:8" x14ac:dyDescent="0.3">
      <c r="A205" s="37" t="s">
        <v>4</v>
      </c>
      <c r="B205" s="38">
        <v>147500</v>
      </c>
      <c r="E205" s="37" t="b">
        <v>0</v>
      </c>
      <c r="F205" s="37" t="b">
        <v>1</v>
      </c>
      <c r="G205" s="37">
        <v>0</v>
      </c>
      <c r="H205" s="37" t="b">
        <v>0</v>
      </c>
    </row>
    <row r="206" spans="1:8" x14ac:dyDescent="0.3">
      <c r="A206" s="37" t="s">
        <v>128</v>
      </c>
      <c r="B206" s="38">
        <v>130500</v>
      </c>
      <c r="E206" s="37" t="b">
        <v>0</v>
      </c>
      <c r="F206" s="37" t="b">
        <v>1</v>
      </c>
      <c r="G206" s="37">
        <v>0</v>
      </c>
      <c r="H206" s="37" t="b">
        <v>0</v>
      </c>
    </row>
    <row r="207" spans="1:8" x14ac:dyDescent="0.3">
      <c r="A207" s="37" t="s">
        <v>1</v>
      </c>
      <c r="B207" s="38">
        <v>156500</v>
      </c>
      <c r="E207" s="37" t="b">
        <v>0</v>
      </c>
      <c r="F207" s="37" t="b">
        <v>1</v>
      </c>
      <c r="G207" s="37">
        <v>0</v>
      </c>
      <c r="H207" s="37" t="b">
        <v>0</v>
      </c>
    </row>
    <row r="208" spans="1:8" x14ac:dyDescent="0.3">
      <c r="A208" s="37" t="s">
        <v>1</v>
      </c>
      <c r="B208" s="38">
        <v>166000</v>
      </c>
      <c r="E208" s="37" t="b">
        <v>0</v>
      </c>
      <c r="F208" s="37" t="b">
        <v>1</v>
      </c>
      <c r="G208" s="37">
        <v>0</v>
      </c>
      <c r="H208" s="37" t="b">
        <v>0</v>
      </c>
    </row>
    <row r="209" spans="1:8" x14ac:dyDescent="0.3">
      <c r="A209" s="37" t="s">
        <v>2</v>
      </c>
      <c r="B209" s="38">
        <v>45000</v>
      </c>
      <c r="E209" s="37" t="b">
        <v>1</v>
      </c>
      <c r="F209" s="37" t="b">
        <v>1</v>
      </c>
      <c r="G209" s="37">
        <v>1</v>
      </c>
      <c r="H209" s="37">
        <v>45000</v>
      </c>
    </row>
    <row r="210" spans="1:8" x14ac:dyDescent="0.3">
      <c r="A210" s="37" t="s">
        <v>1</v>
      </c>
      <c r="B210" s="38">
        <v>69000</v>
      </c>
      <c r="E210" s="37" t="b">
        <v>0</v>
      </c>
      <c r="F210" s="37" t="b">
        <v>1</v>
      </c>
      <c r="G210" s="37">
        <v>0</v>
      </c>
      <c r="H210" s="37" t="b">
        <v>0</v>
      </c>
    </row>
    <row r="211" spans="1:8" x14ac:dyDescent="0.3">
      <c r="A211" s="37" t="s">
        <v>126</v>
      </c>
      <c r="B211" s="38">
        <v>45000</v>
      </c>
      <c r="E211" s="37" t="b">
        <v>0</v>
      </c>
      <c r="F211" s="37" t="b">
        <v>1</v>
      </c>
      <c r="G211" s="37">
        <v>0</v>
      </c>
      <c r="H211" s="37" t="b">
        <v>0</v>
      </c>
    </row>
    <row r="212" spans="1:8" x14ac:dyDescent="0.3">
      <c r="A212" s="37" t="s">
        <v>0</v>
      </c>
      <c r="B212" s="38">
        <v>99150</v>
      </c>
      <c r="E212" s="37" t="b">
        <v>0</v>
      </c>
      <c r="F212" s="37" t="b">
        <v>1</v>
      </c>
      <c r="G212" s="37">
        <v>0</v>
      </c>
      <c r="H212" s="37" t="b">
        <v>0</v>
      </c>
    </row>
    <row r="213" spans="1:8" x14ac:dyDescent="0.3">
      <c r="A213" s="37" t="s">
        <v>0</v>
      </c>
      <c r="B213" s="38">
        <v>99150</v>
      </c>
      <c r="E213" s="37" t="b">
        <v>0</v>
      </c>
      <c r="F213" s="37" t="b">
        <v>1</v>
      </c>
      <c r="G213" s="37">
        <v>0</v>
      </c>
      <c r="H213" s="37" t="b">
        <v>0</v>
      </c>
    </row>
    <row r="214" spans="1:8" x14ac:dyDescent="0.3">
      <c r="A214" s="37" t="s">
        <v>4</v>
      </c>
      <c r="B214" s="38">
        <v>147500</v>
      </c>
      <c r="E214" s="37" t="b">
        <v>0</v>
      </c>
      <c r="F214" s="37" t="b">
        <v>1</v>
      </c>
      <c r="G214" s="37">
        <v>0</v>
      </c>
      <c r="H214" s="37" t="b">
        <v>0</v>
      </c>
    </row>
    <row r="215" spans="1:8" x14ac:dyDescent="0.3">
      <c r="A215" s="37" t="s">
        <v>4</v>
      </c>
      <c r="B215" s="38">
        <v>209000</v>
      </c>
      <c r="E215" s="37" t="b">
        <v>0</v>
      </c>
      <c r="F215" s="37" t="b">
        <v>1</v>
      </c>
      <c r="G215" s="37">
        <v>0</v>
      </c>
      <c r="H215" s="37" t="b">
        <v>0</v>
      </c>
    </row>
    <row r="216" spans="1:8" x14ac:dyDescent="0.3">
      <c r="A216" s="37" t="s">
        <v>1</v>
      </c>
      <c r="B216" s="38">
        <v>79200</v>
      </c>
      <c r="E216" s="37" t="b">
        <v>0</v>
      </c>
      <c r="F216" s="37" t="b">
        <v>1</v>
      </c>
      <c r="G216" s="37">
        <v>0</v>
      </c>
      <c r="H216" s="37" t="b">
        <v>0</v>
      </c>
    </row>
    <row r="217" spans="1:8" x14ac:dyDescent="0.3">
      <c r="A217" s="37" t="s">
        <v>125</v>
      </c>
      <c r="B217" s="38">
        <v>111202</v>
      </c>
      <c r="E217" s="37" t="b">
        <v>0</v>
      </c>
      <c r="F217" s="37" t="b">
        <v>1</v>
      </c>
      <c r="G217" s="37">
        <v>0</v>
      </c>
      <c r="H217" s="37" t="b">
        <v>0</v>
      </c>
    </row>
    <row r="218" spans="1:8" x14ac:dyDescent="0.3">
      <c r="A218" s="37" t="s">
        <v>4</v>
      </c>
      <c r="B218" s="38">
        <v>133000</v>
      </c>
      <c r="E218" s="37" t="b">
        <v>0</v>
      </c>
      <c r="F218" s="37" t="b">
        <v>1</v>
      </c>
      <c r="G218" s="37">
        <v>0</v>
      </c>
      <c r="H218" s="37" t="b">
        <v>0</v>
      </c>
    </row>
    <row r="219" spans="1:8" x14ac:dyDescent="0.3">
      <c r="A219" s="37" t="s">
        <v>2</v>
      </c>
      <c r="B219" s="38">
        <v>45000</v>
      </c>
      <c r="E219" s="37" t="b">
        <v>1</v>
      </c>
      <c r="F219" s="37" t="b">
        <v>1</v>
      </c>
      <c r="G219" s="37">
        <v>1</v>
      </c>
      <c r="H219" s="37">
        <v>45000</v>
      </c>
    </row>
    <row r="220" spans="1:8" x14ac:dyDescent="0.3">
      <c r="A220" s="37" t="s">
        <v>128</v>
      </c>
      <c r="B220" s="38">
        <v>79200</v>
      </c>
      <c r="E220" s="37" t="b">
        <v>0</v>
      </c>
      <c r="F220" s="37" t="b">
        <v>1</v>
      </c>
      <c r="G220" s="37">
        <v>0</v>
      </c>
      <c r="H220" s="37" t="b">
        <v>0</v>
      </c>
    </row>
    <row r="221" spans="1:8" x14ac:dyDescent="0.3">
      <c r="A221" s="37" t="s">
        <v>4</v>
      </c>
      <c r="B221" s="38">
        <v>133000</v>
      </c>
      <c r="E221" s="37" t="b">
        <v>0</v>
      </c>
      <c r="F221" s="37" t="b">
        <v>1</v>
      </c>
      <c r="G221" s="37">
        <v>0</v>
      </c>
      <c r="H221" s="37" t="b">
        <v>0</v>
      </c>
    </row>
    <row r="222" spans="1:8" x14ac:dyDescent="0.3">
      <c r="A222" s="37" t="s">
        <v>0</v>
      </c>
      <c r="B222" s="38">
        <v>64821.5</v>
      </c>
      <c r="E222" s="37" t="b">
        <v>0</v>
      </c>
      <c r="F222" s="37" t="b">
        <v>1</v>
      </c>
      <c r="G222" s="37">
        <v>0</v>
      </c>
      <c r="H222" s="37" t="b">
        <v>0</v>
      </c>
    </row>
    <row r="223" spans="1:8" x14ac:dyDescent="0.3">
      <c r="A223" s="37" t="s">
        <v>129</v>
      </c>
      <c r="B223" s="38">
        <v>89100</v>
      </c>
      <c r="E223" s="37" t="b">
        <v>0</v>
      </c>
      <c r="F223" s="37" t="b">
        <v>1</v>
      </c>
      <c r="G223" s="37">
        <v>0</v>
      </c>
      <c r="H223" s="37" t="b">
        <v>0</v>
      </c>
    </row>
    <row r="224" spans="1:8" x14ac:dyDescent="0.3">
      <c r="A224" s="37" t="s">
        <v>0</v>
      </c>
      <c r="B224" s="38">
        <v>165000</v>
      </c>
      <c r="E224" s="37" t="b">
        <v>0</v>
      </c>
      <c r="F224" s="37" t="b">
        <v>1</v>
      </c>
      <c r="G224" s="37">
        <v>0</v>
      </c>
      <c r="H224" s="37" t="b">
        <v>0</v>
      </c>
    </row>
    <row r="225" spans="1:8" x14ac:dyDescent="0.3">
      <c r="A225" s="37" t="s">
        <v>128</v>
      </c>
      <c r="B225" s="38">
        <v>198000</v>
      </c>
      <c r="E225" s="37" t="b">
        <v>0</v>
      </c>
      <c r="F225" s="37" t="b">
        <v>1</v>
      </c>
      <c r="G225" s="37">
        <v>0</v>
      </c>
      <c r="H225" s="37" t="b">
        <v>0</v>
      </c>
    </row>
    <row r="226" spans="1:8" x14ac:dyDescent="0.3">
      <c r="A226" s="37" t="s">
        <v>0</v>
      </c>
      <c r="B226" s="38">
        <v>157500</v>
      </c>
      <c r="E226" s="37" t="b">
        <v>0</v>
      </c>
      <c r="F226" s="37" t="b">
        <v>1</v>
      </c>
      <c r="G226" s="37">
        <v>0</v>
      </c>
      <c r="H226" s="37" t="b">
        <v>0</v>
      </c>
    </row>
    <row r="227" spans="1:8" x14ac:dyDescent="0.3">
      <c r="A227" s="37" t="s">
        <v>1</v>
      </c>
      <c r="B227" s="38">
        <v>56700</v>
      </c>
      <c r="E227" s="37" t="b">
        <v>0</v>
      </c>
      <c r="F227" s="37" t="b">
        <v>1</v>
      </c>
      <c r="G227" s="37">
        <v>0</v>
      </c>
      <c r="H227" s="37" t="b">
        <v>0</v>
      </c>
    </row>
    <row r="228" spans="1:8" x14ac:dyDescent="0.3">
      <c r="A228" s="37" t="s">
        <v>2</v>
      </c>
      <c r="B228" s="38">
        <v>165000</v>
      </c>
      <c r="E228" s="37" t="b">
        <v>1</v>
      </c>
      <c r="F228" s="37" t="b">
        <v>1</v>
      </c>
      <c r="G228" s="37">
        <v>1</v>
      </c>
      <c r="H228" s="37">
        <v>165000</v>
      </c>
    </row>
    <row r="229" spans="1:8" x14ac:dyDescent="0.3">
      <c r="A229" s="37" t="s">
        <v>126</v>
      </c>
      <c r="B229" s="38">
        <v>147500</v>
      </c>
      <c r="E229" s="37" t="b">
        <v>0</v>
      </c>
      <c r="F229" s="37" t="b">
        <v>1</v>
      </c>
      <c r="G229" s="37">
        <v>0</v>
      </c>
      <c r="H229" s="37" t="b">
        <v>0</v>
      </c>
    </row>
    <row r="230" spans="1:8" x14ac:dyDescent="0.3">
      <c r="A230" s="37" t="s">
        <v>1</v>
      </c>
      <c r="B230" s="38">
        <v>99150</v>
      </c>
      <c r="E230" s="37" t="b">
        <v>0</v>
      </c>
      <c r="F230" s="37" t="b">
        <v>1</v>
      </c>
      <c r="G230" s="37">
        <v>0</v>
      </c>
      <c r="H230" s="37" t="b">
        <v>0</v>
      </c>
    </row>
    <row r="231" spans="1:8" x14ac:dyDescent="0.3">
      <c r="A231" s="37" t="s">
        <v>4</v>
      </c>
      <c r="B231" s="38">
        <v>131580</v>
      </c>
      <c r="E231" s="37" t="b">
        <v>0</v>
      </c>
      <c r="F231" s="37" t="b">
        <v>1</v>
      </c>
      <c r="G231" s="37">
        <v>0</v>
      </c>
      <c r="H231" s="37" t="b">
        <v>0</v>
      </c>
    </row>
    <row r="232" spans="1:8" x14ac:dyDescent="0.3">
      <c r="A232" s="37" t="s">
        <v>4</v>
      </c>
      <c r="B232" s="38">
        <v>98301.5</v>
      </c>
      <c r="E232" s="37" t="b">
        <v>0</v>
      </c>
      <c r="F232" s="37" t="b">
        <v>1</v>
      </c>
      <c r="G232" s="37">
        <v>0</v>
      </c>
      <c r="H232" s="37" t="b">
        <v>0</v>
      </c>
    </row>
    <row r="233" spans="1:8" x14ac:dyDescent="0.3">
      <c r="A233" s="37" t="s">
        <v>4</v>
      </c>
      <c r="B233" s="38">
        <v>147500</v>
      </c>
      <c r="E233" s="37" t="b">
        <v>0</v>
      </c>
      <c r="F233" s="37" t="b">
        <v>1</v>
      </c>
      <c r="G233" s="37">
        <v>0</v>
      </c>
      <c r="H233" s="37" t="b">
        <v>0</v>
      </c>
    </row>
    <row r="234" spans="1:8" x14ac:dyDescent="0.3">
      <c r="A234" s="37" t="s">
        <v>0</v>
      </c>
      <c r="B234" s="38">
        <v>157500</v>
      </c>
      <c r="E234" s="37" t="b">
        <v>0</v>
      </c>
      <c r="F234" s="37" t="b">
        <v>1</v>
      </c>
      <c r="G234" s="37">
        <v>0</v>
      </c>
      <c r="H234" s="37" t="b">
        <v>0</v>
      </c>
    </row>
    <row r="235" spans="1:8" x14ac:dyDescent="0.3">
      <c r="A235" s="37" t="s">
        <v>126</v>
      </c>
      <c r="B235" s="38">
        <v>147500</v>
      </c>
      <c r="E235" s="37" t="b">
        <v>0</v>
      </c>
      <c r="F235" s="37" t="b">
        <v>1</v>
      </c>
      <c r="G235" s="37">
        <v>0</v>
      </c>
      <c r="H235" s="37" t="b">
        <v>0</v>
      </c>
    </row>
    <row r="236" spans="1:8" x14ac:dyDescent="0.3">
      <c r="A236" s="37" t="s">
        <v>2</v>
      </c>
      <c r="B236" s="38">
        <v>98500</v>
      </c>
      <c r="E236" s="37" t="b">
        <v>1</v>
      </c>
      <c r="F236" s="37" t="b">
        <v>1</v>
      </c>
      <c r="G236" s="37">
        <v>1</v>
      </c>
      <c r="H236" s="37">
        <v>98500</v>
      </c>
    </row>
    <row r="237" spans="1:8" x14ac:dyDescent="0.3">
      <c r="A237" s="37" t="s">
        <v>4</v>
      </c>
      <c r="B237" s="38">
        <v>147500</v>
      </c>
      <c r="E237" s="37" t="b">
        <v>0</v>
      </c>
      <c r="F237" s="37" t="b">
        <v>1</v>
      </c>
      <c r="G237" s="37">
        <v>0</v>
      </c>
      <c r="H237" s="37" t="b">
        <v>0</v>
      </c>
    </row>
    <row r="238" spans="1:8" x14ac:dyDescent="0.3">
      <c r="A238" s="37" t="s">
        <v>0</v>
      </c>
      <c r="B238" s="38">
        <v>72900</v>
      </c>
      <c r="E238" s="37" t="b">
        <v>0</v>
      </c>
      <c r="F238" s="37" t="b">
        <v>1</v>
      </c>
      <c r="G238" s="37">
        <v>0</v>
      </c>
      <c r="H238" s="37" t="b">
        <v>0</v>
      </c>
    </row>
    <row r="239" spans="1:8" x14ac:dyDescent="0.3">
      <c r="A239" s="37" t="s">
        <v>128</v>
      </c>
      <c r="B239" s="38">
        <v>147500</v>
      </c>
      <c r="E239" s="37" t="b">
        <v>0</v>
      </c>
      <c r="F239" s="37" t="b">
        <v>1</v>
      </c>
      <c r="G239" s="37">
        <v>0</v>
      </c>
      <c r="H239" s="37" t="b">
        <v>0</v>
      </c>
    </row>
    <row r="240" spans="1:8" x14ac:dyDescent="0.3">
      <c r="A240" s="37" t="s">
        <v>4</v>
      </c>
      <c r="B240" s="38">
        <v>98301.5</v>
      </c>
      <c r="E240" s="37" t="b">
        <v>0</v>
      </c>
      <c r="F240" s="37" t="b">
        <v>1</v>
      </c>
      <c r="G240" s="37">
        <v>0</v>
      </c>
      <c r="H240" s="37" t="b">
        <v>0</v>
      </c>
    </row>
    <row r="241" spans="1:8" x14ac:dyDescent="0.3">
      <c r="A241" s="37" t="s">
        <v>0</v>
      </c>
      <c r="B241" s="38">
        <v>187000</v>
      </c>
      <c r="E241" s="37" t="b">
        <v>0</v>
      </c>
      <c r="F241" s="37" t="b">
        <v>1</v>
      </c>
      <c r="G241" s="37">
        <v>0</v>
      </c>
      <c r="H241" s="37" t="b">
        <v>0</v>
      </c>
    </row>
    <row r="242" spans="1:8" x14ac:dyDescent="0.3">
      <c r="A242" s="37" t="s">
        <v>4</v>
      </c>
      <c r="B242" s="38">
        <v>87500</v>
      </c>
      <c r="E242" s="37" t="b">
        <v>0</v>
      </c>
      <c r="F242" s="37" t="b">
        <v>1</v>
      </c>
      <c r="G242" s="37">
        <v>0</v>
      </c>
      <c r="H242" s="37" t="b">
        <v>0</v>
      </c>
    </row>
    <row r="243" spans="1:8" x14ac:dyDescent="0.3">
      <c r="A243" s="37" t="s">
        <v>4</v>
      </c>
      <c r="B243" s="38">
        <v>98301.5</v>
      </c>
      <c r="E243" s="37" t="b">
        <v>0</v>
      </c>
      <c r="F243" s="37" t="b">
        <v>1</v>
      </c>
      <c r="G243" s="37">
        <v>0</v>
      </c>
      <c r="H243" s="37" t="b">
        <v>0</v>
      </c>
    </row>
    <row r="244" spans="1:8" x14ac:dyDescent="0.3">
      <c r="A244" s="37" t="s">
        <v>0</v>
      </c>
      <c r="B244" s="38">
        <v>87307.5</v>
      </c>
      <c r="E244" s="37" t="b">
        <v>0</v>
      </c>
      <c r="F244" s="37" t="b">
        <v>1</v>
      </c>
      <c r="G244" s="37">
        <v>0</v>
      </c>
      <c r="H244" s="37" t="b">
        <v>0</v>
      </c>
    </row>
    <row r="245" spans="1:8" x14ac:dyDescent="0.3">
      <c r="A245" s="37" t="s">
        <v>2</v>
      </c>
      <c r="B245" s="38">
        <v>100000</v>
      </c>
      <c r="E245" s="37" t="b">
        <v>1</v>
      </c>
      <c r="F245" s="37" t="b">
        <v>1</v>
      </c>
      <c r="G245" s="37">
        <v>1</v>
      </c>
      <c r="H245" s="37">
        <v>100000</v>
      </c>
    </row>
    <row r="246" spans="1:8" x14ac:dyDescent="0.3">
      <c r="A246" s="37" t="s">
        <v>0</v>
      </c>
      <c r="B246" s="38">
        <v>157500</v>
      </c>
      <c r="E246" s="37" t="b">
        <v>0</v>
      </c>
      <c r="F246" s="37" t="b">
        <v>1</v>
      </c>
      <c r="G246" s="37">
        <v>0</v>
      </c>
      <c r="H246" s="37" t="b">
        <v>0</v>
      </c>
    </row>
    <row r="247" spans="1:8" x14ac:dyDescent="0.3">
      <c r="A247" s="37" t="s">
        <v>0</v>
      </c>
      <c r="B247" s="38">
        <v>157500</v>
      </c>
      <c r="E247" s="37" t="b">
        <v>0</v>
      </c>
      <c r="F247" s="37" t="b">
        <v>1</v>
      </c>
      <c r="G247" s="37">
        <v>0</v>
      </c>
      <c r="H247" s="37" t="b">
        <v>0</v>
      </c>
    </row>
    <row r="248" spans="1:8" x14ac:dyDescent="0.3">
      <c r="A248" s="37" t="s">
        <v>1</v>
      </c>
      <c r="B248" s="38">
        <v>99150</v>
      </c>
      <c r="E248" s="37" t="b">
        <v>0</v>
      </c>
      <c r="F248" s="37" t="b">
        <v>1</v>
      </c>
      <c r="G248" s="37">
        <v>0</v>
      </c>
      <c r="H248" s="37" t="b">
        <v>0</v>
      </c>
    </row>
    <row r="249" spans="1:8" x14ac:dyDescent="0.3">
      <c r="A249" s="37" t="s">
        <v>125</v>
      </c>
      <c r="B249" s="38">
        <v>111202</v>
      </c>
      <c r="E249" s="37" t="b">
        <v>0</v>
      </c>
      <c r="F249" s="37" t="b">
        <v>1</v>
      </c>
      <c r="G249" s="37">
        <v>0</v>
      </c>
      <c r="H249" s="37" t="b">
        <v>0</v>
      </c>
    </row>
    <row r="250" spans="1:8" x14ac:dyDescent="0.3">
      <c r="A250" s="37" t="s">
        <v>2</v>
      </c>
      <c r="B250" s="38">
        <v>80850</v>
      </c>
      <c r="E250" s="37" t="b">
        <v>1</v>
      </c>
      <c r="F250" s="37" t="b">
        <v>1</v>
      </c>
      <c r="G250" s="37">
        <v>1</v>
      </c>
      <c r="H250" s="37">
        <v>80850</v>
      </c>
    </row>
    <row r="251" spans="1:8" x14ac:dyDescent="0.3">
      <c r="A251" s="37" t="s">
        <v>128</v>
      </c>
      <c r="B251" s="38">
        <v>157500</v>
      </c>
      <c r="E251" s="37" t="b">
        <v>0</v>
      </c>
      <c r="F251" s="37" t="b">
        <v>1</v>
      </c>
      <c r="G251" s="37">
        <v>0</v>
      </c>
      <c r="H251" s="37" t="b">
        <v>0</v>
      </c>
    </row>
    <row r="252" spans="1:8" x14ac:dyDescent="0.3">
      <c r="A252" s="37" t="s">
        <v>128</v>
      </c>
      <c r="B252" s="38">
        <v>157500</v>
      </c>
      <c r="E252" s="37" t="b">
        <v>0</v>
      </c>
      <c r="F252" s="37" t="b">
        <v>1</v>
      </c>
      <c r="G252" s="37">
        <v>0</v>
      </c>
      <c r="H252" s="37" t="b">
        <v>0</v>
      </c>
    </row>
    <row r="253" spans="1:8" x14ac:dyDescent="0.3">
      <c r="A253" s="37" t="s">
        <v>0</v>
      </c>
      <c r="B253" s="38">
        <v>64821.5</v>
      </c>
      <c r="E253" s="37" t="b">
        <v>0</v>
      </c>
      <c r="F253" s="37" t="b">
        <v>1</v>
      </c>
      <c r="G253" s="37">
        <v>0</v>
      </c>
      <c r="H253" s="37" t="b">
        <v>0</v>
      </c>
    </row>
    <row r="254" spans="1:8" x14ac:dyDescent="0.3">
      <c r="A254" s="37" t="s">
        <v>125</v>
      </c>
      <c r="B254" s="38">
        <v>150500</v>
      </c>
      <c r="E254" s="37" t="b">
        <v>0</v>
      </c>
      <c r="F254" s="37" t="b">
        <v>1</v>
      </c>
      <c r="G254" s="37">
        <v>0</v>
      </c>
      <c r="H254" s="37" t="b">
        <v>0</v>
      </c>
    </row>
    <row r="255" spans="1:8" x14ac:dyDescent="0.3">
      <c r="A255" s="37" t="s">
        <v>2</v>
      </c>
      <c r="B255" s="38">
        <v>79200</v>
      </c>
      <c r="E255" s="37" t="b">
        <v>1</v>
      </c>
      <c r="F255" s="37" t="b">
        <v>1</v>
      </c>
      <c r="G255" s="37">
        <v>1</v>
      </c>
      <c r="H255" s="37">
        <v>79200</v>
      </c>
    </row>
    <row r="256" spans="1:8" x14ac:dyDescent="0.3">
      <c r="A256" s="37" t="s">
        <v>4</v>
      </c>
      <c r="B256" s="38">
        <v>96760.5</v>
      </c>
      <c r="E256" s="37" t="b">
        <v>0</v>
      </c>
      <c r="F256" s="37" t="b">
        <v>1</v>
      </c>
      <c r="G256" s="37">
        <v>0</v>
      </c>
      <c r="H256" s="37" t="b">
        <v>0</v>
      </c>
    </row>
    <row r="257" spans="1:8" x14ac:dyDescent="0.3">
      <c r="A257" s="37" t="s">
        <v>4</v>
      </c>
      <c r="B257" s="38">
        <v>147500</v>
      </c>
      <c r="E257" s="37" t="b">
        <v>0</v>
      </c>
      <c r="F257" s="37" t="b">
        <v>1</v>
      </c>
      <c r="G257" s="37">
        <v>0</v>
      </c>
      <c r="H257" s="37" t="b">
        <v>0</v>
      </c>
    </row>
    <row r="258" spans="1:8" x14ac:dyDescent="0.3">
      <c r="A258" s="37" t="s">
        <v>125</v>
      </c>
      <c r="B258" s="38">
        <v>149637.5</v>
      </c>
      <c r="E258" s="37" t="b">
        <v>0</v>
      </c>
      <c r="F258" s="37" t="b">
        <v>1</v>
      </c>
      <c r="G258" s="37">
        <v>0</v>
      </c>
      <c r="H258" s="37" t="b">
        <v>0</v>
      </c>
    </row>
    <row r="259" spans="1:8" x14ac:dyDescent="0.3">
      <c r="A259" s="37" t="s">
        <v>4</v>
      </c>
      <c r="B259" s="38">
        <v>99150</v>
      </c>
      <c r="E259" s="37" t="b">
        <v>0</v>
      </c>
      <c r="F259" s="37" t="b">
        <v>1</v>
      </c>
      <c r="G259" s="37">
        <v>0</v>
      </c>
      <c r="H259" s="37" t="b">
        <v>0</v>
      </c>
    </row>
    <row r="260" spans="1:8" x14ac:dyDescent="0.3">
      <c r="A260" s="37" t="s">
        <v>4</v>
      </c>
      <c r="B260" s="38">
        <v>45000</v>
      </c>
      <c r="E260" s="37" t="b">
        <v>0</v>
      </c>
      <c r="F260" s="37" t="b">
        <v>1</v>
      </c>
      <c r="G260" s="37">
        <v>0</v>
      </c>
      <c r="H260" s="37" t="b">
        <v>0</v>
      </c>
    </row>
    <row r="261" spans="1:8" x14ac:dyDescent="0.3">
      <c r="A261" s="37" t="s">
        <v>128</v>
      </c>
      <c r="B261" s="38">
        <v>79200</v>
      </c>
      <c r="E261" s="37" t="b">
        <v>0</v>
      </c>
      <c r="F261" s="37" t="b">
        <v>1</v>
      </c>
      <c r="G261" s="37">
        <v>0</v>
      </c>
      <c r="H261" s="37" t="b">
        <v>0</v>
      </c>
    </row>
    <row r="262" spans="1:8" x14ac:dyDescent="0.3">
      <c r="A262" s="37" t="s">
        <v>2</v>
      </c>
      <c r="B262" s="38">
        <v>45000</v>
      </c>
      <c r="E262" s="37" t="b">
        <v>1</v>
      </c>
      <c r="F262" s="37" t="b">
        <v>1</v>
      </c>
      <c r="G262" s="37">
        <v>1</v>
      </c>
      <c r="H262" s="37">
        <v>45000</v>
      </c>
    </row>
    <row r="263" spans="1:8" x14ac:dyDescent="0.3">
      <c r="A263" s="37" t="s">
        <v>4</v>
      </c>
      <c r="B263" s="38">
        <v>147500</v>
      </c>
      <c r="E263" s="37" t="b">
        <v>0</v>
      </c>
      <c r="F263" s="37" t="b">
        <v>1</v>
      </c>
      <c r="G263" s="37">
        <v>0</v>
      </c>
      <c r="H263" s="37" t="b">
        <v>0</v>
      </c>
    </row>
    <row r="264" spans="1:8" x14ac:dyDescent="0.3">
      <c r="A264" s="37" t="s">
        <v>4</v>
      </c>
      <c r="B264" s="38">
        <v>147500</v>
      </c>
      <c r="E264" s="37" t="b">
        <v>0</v>
      </c>
      <c r="F264" s="37" t="b">
        <v>1</v>
      </c>
      <c r="G264" s="37">
        <v>0</v>
      </c>
      <c r="H264" s="37" t="b">
        <v>0</v>
      </c>
    </row>
    <row r="265" spans="1:8" x14ac:dyDescent="0.3">
      <c r="A265" s="37" t="s">
        <v>0</v>
      </c>
      <c r="B265" s="38">
        <v>157500</v>
      </c>
      <c r="E265" s="37" t="b">
        <v>0</v>
      </c>
      <c r="F265" s="37" t="b">
        <v>1</v>
      </c>
      <c r="G265" s="37">
        <v>0</v>
      </c>
      <c r="H265" s="37" t="b">
        <v>0</v>
      </c>
    </row>
    <row r="266" spans="1:8" x14ac:dyDescent="0.3">
      <c r="A266" s="37" t="s">
        <v>125</v>
      </c>
      <c r="B266" s="38">
        <v>111202</v>
      </c>
      <c r="E266" s="37" t="b">
        <v>0</v>
      </c>
      <c r="F266" s="37" t="b">
        <v>1</v>
      </c>
      <c r="G266" s="37">
        <v>0</v>
      </c>
      <c r="H266" s="37" t="b">
        <v>0</v>
      </c>
    </row>
    <row r="267" spans="1:8" x14ac:dyDescent="0.3">
      <c r="A267" s="37" t="s">
        <v>4</v>
      </c>
      <c r="B267" s="38">
        <v>147500</v>
      </c>
      <c r="E267" s="37" t="b">
        <v>0</v>
      </c>
      <c r="F267" s="37" t="b">
        <v>1</v>
      </c>
      <c r="G267" s="37">
        <v>0</v>
      </c>
      <c r="H267" s="37" t="b">
        <v>0</v>
      </c>
    </row>
    <row r="268" spans="1:8" x14ac:dyDescent="0.3">
      <c r="A268" s="37" t="s">
        <v>129</v>
      </c>
      <c r="B268" s="38">
        <v>50400</v>
      </c>
      <c r="E268" s="37" t="b">
        <v>0</v>
      </c>
      <c r="F268" s="37" t="b">
        <v>1</v>
      </c>
      <c r="G268" s="37">
        <v>0</v>
      </c>
      <c r="H268" s="37" t="b">
        <v>0</v>
      </c>
    </row>
    <row r="269" spans="1:8" x14ac:dyDescent="0.3">
      <c r="A269" s="37" t="s">
        <v>0</v>
      </c>
      <c r="B269" s="38">
        <v>250000</v>
      </c>
      <c r="E269" s="37" t="b">
        <v>0</v>
      </c>
      <c r="F269" s="37" t="b">
        <v>1</v>
      </c>
      <c r="G269" s="37">
        <v>0</v>
      </c>
      <c r="H269" s="37" t="b">
        <v>0</v>
      </c>
    </row>
    <row r="270" spans="1:8" x14ac:dyDescent="0.3">
      <c r="A270" s="37" t="s">
        <v>1</v>
      </c>
      <c r="B270" s="38">
        <v>185500</v>
      </c>
      <c r="E270" s="37" t="b">
        <v>0</v>
      </c>
      <c r="F270" s="37" t="b">
        <v>1</v>
      </c>
      <c r="G270" s="37">
        <v>0</v>
      </c>
      <c r="H270" s="37" t="b">
        <v>0</v>
      </c>
    </row>
    <row r="271" spans="1:8" x14ac:dyDescent="0.3">
      <c r="A271" s="37" t="s">
        <v>128</v>
      </c>
      <c r="B271" s="38">
        <v>79200</v>
      </c>
      <c r="E271" s="37" t="b">
        <v>0</v>
      </c>
      <c r="F271" s="37" t="b">
        <v>1</v>
      </c>
      <c r="G271" s="37">
        <v>0</v>
      </c>
      <c r="H271" s="37" t="b">
        <v>0</v>
      </c>
    </row>
    <row r="272" spans="1:8" x14ac:dyDescent="0.3">
      <c r="A272" s="37" t="s">
        <v>128</v>
      </c>
      <c r="B272" s="38">
        <v>157500</v>
      </c>
      <c r="E272" s="37" t="b">
        <v>0</v>
      </c>
      <c r="F272" s="37" t="b">
        <v>1</v>
      </c>
      <c r="G272" s="37">
        <v>0</v>
      </c>
      <c r="H272" s="37" t="b">
        <v>0</v>
      </c>
    </row>
    <row r="273" spans="1:8" x14ac:dyDescent="0.3">
      <c r="A273" s="37" t="s">
        <v>0</v>
      </c>
      <c r="B273" s="38">
        <v>89100</v>
      </c>
      <c r="E273" s="37" t="b">
        <v>0</v>
      </c>
      <c r="F273" s="37" t="b">
        <v>1</v>
      </c>
      <c r="G273" s="37">
        <v>0</v>
      </c>
      <c r="H273" s="37" t="b">
        <v>0</v>
      </c>
    </row>
    <row r="274" spans="1:8" x14ac:dyDescent="0.3">
      <c r="A274" s="37" t="s">
        <v>4</v>
      </c>
      <c r="B274" s="38">
        <v>147500</v>
      </c>
      <c r="E274" s="37" t="b">
        <v>0</v>
      </c>
      <c r="F274" s="37" t="b">
        <v>1</v>
      </c>
      <c r="G274" s="37">
        <v>0</v>
      </c>
      <c r="H274" s="37" t="b">
        <v>0</v>
      </c>
    </row>
    <row r="275" spans="1:8" x14ac:dyDescent="0.3">
      <c r="A275" s="37" t="s">
        <v>0</v>
      </c>
      <c r="B275" s="38">
        <v>80850</v>
      </c>
      <c r="E275" s="37" t="b">
        <v>0</v>
      </c>
      <c r="F275" s="37" t="b">
        <v>1</v>
      </c>
      <c r="G275" s="37">
        <v>0</v>
      </c>
      <c r="H275" s="37" t="b">
        <v>0</v>
      </c>
    </row>
    <row r="276" spans="1:8" x14ac:dyDescent="0.3">
      <c r="A276" s="37" t="s">
        <v>2</v>
      </c>
      <c r="B276" s="38">
        <v>102500</v>
      </c>
      <c r="E276" s="37" t="b">
        <v>1</v>
      </c>
      <c r="F276" s="37" t="b">
        <v>1</v>
      </c>
      <c r="G276" s="37">
        <v>1</v>
      </c>
      <c r="H276" s="37">
        <v>102500</v>
      </c>
    </row>
    <row r="277" spans="1:8" x14ac:dyDescent="0.3">
      <c r="A277" s="37" t="s">
        <v>4</v>
      </c>
      <c r="B277" s="38">
        <v>98283</v>
      </c>
      <c r="E277" s="37" t="b">
        <v>0</v>
      </c>
      <c r="F277" s="37" t="b">
        <v>1</v>
      </c>
      <c r="G277" s="37">
        <v>0</v>
      </c>
      <c r="H277" s="37" t="b">
        <v>0</v>
      </c>
    </row>
    <row r="278" spans="1:8" x14ac:dyDescent="0.3">
      <c r="A278" s="37" t="s">
        <v>1</v>
      </c>
      <c r="B278" s="38">
        <v>80850</v>
      </c>
      <c r="E278" s="37" t="b">
        <v>0</v>
      </c>
      <c r="F278" s="37" t="b">
        <v>1</v>
      </c>
      <c r="G278" s="37">
        <v>0</v>
      </c>
      <c r="H278" s="37" t="b">
        <v>0</v>
      </c>
    </row>
    <row r="279" spans="1:8" x14ac:dyDescent="0.3">
      <c r="A279" s="37" t="s">
        <v>0</v>
      </c>
      <c r="B279" s="38">
        <v>64821.5</v>
      </c>
      <c r="E279" s="37" t="b">
        <v>0</v>
      </c>
      <c r="F279" s="37" t="b">
        <v>1</v>
      </c>
      <c r="G279" s="37">
        <v>0</v>
      </c>
      <c r="H279" s="37" t="b">
        <v>0</v>
      </c>
    </row>
    <row r="280" spans="1:8" x14ac:dyDescent="0.3">
      <c r="A280" s="37" t="s">
        <v>0</v>
      </c>
      <c r="B280" s="38">
        <v>183310</v>
      </c>
      <c r="E280" s="37" t="b">
        <v>0</v>
      </c>
      <c r="F280" s="37" t="b">
        <v>1</v>
      </c>
      <c r="G280" s="37">
        <v>0</v>
      </c>
      <c r="H280" s="37" t="b">
        <v>0</v>
      </c>
    </row>
    <row r="281" spans="1:8" x14ac:dyDescent="0.3">
      <c r="A281" s="37" t="s">
        <v>0</v>
      </c>
      <c r="B281" s="38">
        <v>64821.5</v>
      </c>
      <c r="E281" s="37" t="b">
        <v>0</v>
      </c>
      <c r="F281" s="37" t="b">
        <v>1</v>
      </c>
      <c r="G281" s="37">
        <v>0</v>
      </c>
      <c r="H281" s="37" t="b">
        <v>0</v>
      </c>
    </row>
    <row r="282" spans="1:8" x14ac:dyDescent="0.3">
      <c r="A282" s="37" t="s">
        <v>4</v>
      </c>
      <c r="B282" s="38">
        <v>147500</v>
      </c>
      <c r="E282" s="37" t="b">
        <v>0</v>
      </c>
      <c r="F282" s="37" t="b">
        <v>1</v>
      </c>
      <c r="G282" s="37">
        <v>0</v>
      </c>
      <c r="H282" s="37" t="b">
        <v>0</v>
      </c>
    </row>
    <row r="283" spans="1:8" x14ac:dyDescent="0.3">
      <c r="A283" s="37" t="s">
        <v>129</v>
      </c>
      <c r="B283" s="38">
        <v>200000</v>
      </c>
      <c r="E283" s="37" t="b">
        <v>0</v>
      </c>
      <c r="F283" s="37" t="b">
        <v>1</v>
      </c>
      <c r="G283" s="37">
        <v>0</v>
      </c>
      <c r="H283" s="37" t="b">
        <v>0</v>
      </c>
    </row>
    <row r="284" spans="1:8" x14ac:dyDescent="0.3">
      <c r="A284" s="37" t="s">
        <v>2</v>
      </c>
      <c r="B284" s="38">
        <v>111175</v>
      </c>
      <c r="E284" s="37" t="b">
        <v>1</v>
      </c>
      <c r="F284" s="37" t="b">
        <v>1</v>
      </c>
      <c r="G284" s="37">
        <v>1</v>
      </c>
      <c r="H284" s="37">
        <v>111175</v>
      </c>
    </row>
    <row r="285" spans="1:8" x14ac:dyDescent="0.3">
      <c r="A285" s="37" t="s">
        <v>1</v>
      </c>
      <c r="B285" s="38">
        <v>56700</v>
      </c>
      <c r="E285" s="37" t="b">
        <v>0</v>
      </c>
      <c r="F285" s="37" t="b">
        <v>1</v>
      </c>
      <c r="G285" s="37">
        <v>0</v>
      </c>
      <c r="H285" s="37" t="b">
        <v>0</v>
      </c>
    </row>
    <row r="286" spans="1:8" x14ac:dyDescent="0.3">
      <c r="A286" s="37" t="s">
        <v>129</v>
      </c>
      <c r="B286" s="38">
        <v>79200</v>
      </c>
      <c r="E286" s="37" t="b">
        <v>0</v>
      </c>
      <c r="F286" s="37" t="b">
        <v>1</v>
      </c>
      <c r="G286" s="37">
        <v>0</v>
      </c>
      <c r="H286" s="37" t="b">
        <v>0</v>
      </c>
    </row>
    <row r="287" spans="1:8" x14ac:dyDescent="0.3">
      <c r="A287" s="37" t="s">
        <v>2</v>
      </c>
      <c r="B287" s="38">
        <v>111175</v>
      </c>
      <c r="E287" s="37" t="b">
        <v>1</v>
      </c>
      <c r="F287" s="37" t="b">
        <v>1</v>
      </c>
      <c r="G287" s="37">
        <v>1</v>
      </c>
      <c r="H287" s="37">
        <v>111175</v>
      </c>
    </row>
    <row r="288" spans="1:8" x14ac:dyDescent="0.3">
      <c r="A288" s="37" t="s">
        <v>2</v>
      </c>
      <c r="B288" s="38">
        <v>163782</v>
      </c>
      <c r="E288" s="37" t="b">
        <v>1</v>
      </c>
      <c r="F288" s="37" t="b">
        <v>1</v>
      </c>
      <c r="G288" s="37">
        <v>1</v>
      </c>
      <c r="H288" s="37">
        <v>163782</v>
      </c>
    </row>
    <row r="289" spans="1:8" x14ac:dyDescent="0.3">
      <c r="A289" s="37" t="s">
        <v>0</v>
      </c>
      <c r="B289" s="38">
        <v>51068</v>
      </c>
      <c r="E289" s="37" t="b">
        <v>0</v>
      </c>
      <c r="F289" s="37" t="b">
        <v>1</v>
      </c>
      <c r="G289" s="37">
        <v>0</v>
      </c>
      <c r="H289" s="37" t="b">
        <v>0</v>
      </c>
    </row>
    <row r="290" spans="1:8" x14ac:dyDescent="0.3">
      <c r="A290" s="37" t="s">
        <v>66</v>
      </c>
      <c r="B290" s="38">
        <v>200000</v>
      </c>
      <c r="E290" s="37" t="b">
        <v>0</v>
      </c>
      <c r="F290" s="37" t="b">
        <v>1</v>
      </c>
      <c r="G290" s="37">
        <v>0</v>
      </c>
      <c r="H290" s="37" t="b">
        <v>0</v>
      </c>
    </row>
    <row r="291" spans="1:8" x14ac:dyDescent="0.3">
      <c r="A291" s="37" t="s">
        <v>4</v>
      </c>
      <c r="B291" s="38">
        <v>133000</v>
      </c>
      <c r="E291" s="37" t="b">
        <v>0</v>
      </c>
      <c r="F291" s="37" t="b">
        <v>1</v>
      </c>
      <c r="G291" s="37">
        <v>0</v>
      </c>
      <c r="H291" s="37" t="b">
        <v>0</v>
      </c>
    </row>
    <row r="292" spans="1:8" x14ac:dyDescent="0.3">
      <c r="A292" s="37" t="s">
        <v>128</v>
      </c>
      <c r="B292" s="38">
        <v>183000</v>
      </c>
      <c r="E292" s="37" t="b">
        <v>0</v>
      </c>
      <c r="F292" s="37" t="b">
        <v>1</v>
      </c>
      <c r="G292" s="37">
        <v>0</v>
      </c>
      <c r="H292" s="37" t="b">
        <v>0</v>
      </c>
    </row>
    <row r="293" spans="1:8" x14ac:dyDescent="0.3">
      <c r="A293" s="37" t="s">
        <v>4</v>
      </c>
      <c r="B293" s="38">
        <v>147500</v>
      </c>
      <c r="E293" s="37" t="b">
        <v>0</v>
      </c>
      <c r="F293" s="37" t="b">
        <v>1</v>
      </c>
      <c r="G293" s="37">
        <v>0</v>
      </c>
      <c r="H293" s="37" t="b">
        <v>0</v>
      </c>
    </row>
    <row r="294" spans="1:8" x14ac:dyDescent="0.3">
      <c r="A294" s="37" t="s">
        <v>4</v>
      </c>
      <c r="B294" s="38">
        <v>45000</v>
      </c>
      <c r="E294" s="37" t="b">
        <v>0</v>
      </c>
      <c r="F294" s="37" t="b">
        <v>1</v>
      </c>
      <c r="G294" s="37">
        <v>0</v>
      </c>
      <c r="H294" s="37" t="b">
        <v>0</v>
      </c>
    </row>
    <row r="295" spans="1:8" x14ac:dyDescent="0.3">
      <c r="A295" s="37" t="s">
        <v>2</v>
      </c>
      <c r="B295" s="38">
        <v>111175</v>
      </c>
      <c r="E295" s="37" t="b">
        <v>1</v>
      </c>
      <c r="F295" s="37" t="b">
        <v>1</v>
      </c>
      <c r="G295" s="37">
        <v>1</v>
      </c>
      <c r="H295" s="37">
        <v>111175</v>
      </c>
    </row>
    <row r="296" spans="1:8" x14ac:dyDescent="0.3">
      <c r="A296" s="37" t="s">
        <v>125</v>
      </c>
      <c r="B296" s="38">
        <v>111175</v>
      </c>
      <c r="E296" s="37" t="b">
        <v>0</v>
      </c>
      <c r="F296" s="37" t="b">
        <v>1</v>
      </c>
      <c r="G296" s="37">
        <v>0</v>
      </c>
      <c r="H296" s="37" t="b">
        <v>0</v>
      </c>
    </row>
    <row r="297" spans="1:8" x14ac:dyDescent="0.3">
      <c r="A297" s="37" t="s">
        <v>2</v>
      </c>
      <c r="B297" s="38">
        <v>111175</v>
      </c>
      <c r="E297" s="37" t="b">
        <v>1</v>
      </c>
      <c r="F297" s="37" t="b">
        <v>1</v>
      </c>
      <c r="G297" s="37">
        <v>1</v>
      </c>
      <c r="H297" s="37">
        <v>111175</v>
      </c>
    </row>
    <row r="298" spans="1:8" x14ac:dyDescent="0.3">
      <c r="A298" s="37" t="s">
        <v>2</v>
      </c>
      <c r="B298" s="38">
        <v>111175</v>
      </c>
      <c r="E298" s="37" t="b">
        <v>1</v>
      </c>
      <c r="F298" s="37" t="b">
        <v>1</v>
      </c>
      <c r="G298" s="37">
        <v>1</v>
      </c>
      <c r="H298" s="37">
        <v>111175</v>
      </c>
    </row>
    <row r="299" spans="1:8" x14ac:dyDescent="0.3">
      <c r="A299" s="37" t="s">
        <v>0</v>
      </c>
      <c r="B299" s="38">
        <v>89100</v>
      </c>
      <c r="E299" s="37" t="b">
        <v>0</v>
      </c>
      <c r="F299" s="37" t="b">
        <v>1</v>
      </c>
      <c r="G299" s="37">
        <v>0</v>
      </c>
      <c r="H299" s="37" t="b">
        <v>0</v>
      </c>
    </row>
    <row r="300" spans="1:8" x14ac:dyDescent="0.3">
      <c r="A300" s="37" t="s">
        <v>1</v>
      </c>
      <c r="B300" s="38">
        <v>89100</v>
      </c>
      <c r="E300" s="37" t="b">
        <v>0</v>
      </c>
      <c r="F300" s="37" t="b">
        <v>1</v>
      </c>
      <c r="G300" s="37">
        <v>0</v>
      </c>
      <c r="H300" s="37" t="b">
        <v>0</v>
      </c>
    </row>
    <row r="301" spans="1:8" x14ac:dyDescent="0.3">
      <c r="A301" s="37" t="s">
        <v>1</v>
      </c>
      <c r="B301" s="38">
        <v>106830</v>
      </c>
      <c r="E301" s="37" t="b">
        <v>0</v>
      </c>
      <c r="F301" s="37" t="b">
        <v>1</v>
      </c>
      <c r="G301" s="37">
        <v>0</v>
      </c>
      <c r="H301" s="37" t="b">
        <v>0</v>
      </c>
    </row>
    <row r="302" spans="1:8" x14ac:dyDescent="0.3">
      <c r="A302" s="37" t="s">
        <v>4</v>
      </c>
      <c r="B302" s="38">
        <v>98283</v>
      </c>
      <c r="E302" s="37" t="b">
        <v>0</v>
      </c>
      <c r="F302" s="37" t="b">
        <v>1</v>
      </c>
      <c r="G302" s="37">
        <v>0</v>
      </c>
      <c r="H302" s="37" t="b">
        <v>0</v>
      </c>
    </row>
    <row r="303" spans="1:8" x14ac:dyDescent="0.3">
      <c r="A303" s="37" t="s">
        <v>2</v>
      </c>
      <c r="B303" s="38">
        <v>64800</v>
      </c>
      <c r="E303" s="37" t="b">
        <v>1</v>
      </c>
      <c r="F303" s="37" t="b">
        <v>1</v>
      </c>
      <c r="G303" s="37">
        <v>1</v>
      </c>
      <c r="H303" s="37">
        <v>64800</v>
      </c>
    </row>
    <row r="304" spans="1:8" x14ac:dyDescent="0.3">
      <c r="A304" s="37" t="s">
        <v>125</v>
      </c>
      <c r="B304" s="38">
        <v>111175</v>
      </c>
      <c r="E304" s="37" t="b">
        <v>0</v>
      </c>
      <c r="F304" s="37" t="b">
        <v>1</v>
      </c>
      <c r="G304" s="37">
        <v>0</v>
      </c>
      <c r="H304" s="37" t="b">
        <v>0</v>
      </c>
    </row>
    <row r="305" spans="1:8" x14ac:dyDescent="0.3">
      <c r="A305" s="37" t="s">
        <v>2</v>
      </c>
      <c r="B305" s="38">
        <v>111175</v>
      </c>
      <c r="E305" s="37" t="b">
        <v>1</v>
      </c>
      <c r="F305" s="37" t="b">
        <v>1</v>
      </c>
      <c r="G305" s="37">
        <v>1</v>
      </c>
      <c r="H305" s="37">
        <v>111175</v>
      </c>
    </row>
    <row r="306" spans="1:8" x14ac:dyDescent="0.3">
      <c r="A306" s="37" t="s">
        <v>0</v>
      </c>
      <c r="B306" s="38">
        <v>99150</v>
      </c>
      <c r="E306" s="37" t="b">
        <v>0</v>
      </c>
      <c r="F306" s="37" t="b">
        <v>1</v>
      </c>
      <c r="G306" s="37">
        <v>0</v>
      </c>
      <c r="H306" s="37" t="b">
        <v>0</v>
      </c>
    </row>
    <row r="307" spans="1:8" x14ac:dyDescent="0.3">
      <c r="A307" s="37" t="s">
        <v>4</v>
      </c>
      <c r="B307" s="38">
        <v>96773</v>
      </c>
      <c r="E307" s="37" t="b">
        <v>0</v>
      </c>
      <c r="F307" s="37" t="b">
        <v>1</v>
      </c>
      <c r="G307" s="37">
        <v>0</v>
      </c>
      <c r="H307" s="37" t="b">
        <v>0</v>
      </c>
    </row>
    <row r="308" spans="1:8" x14ac:dyDescent="0.3">
      <c r="A308" s="37" t="s">
        <v>2</v>
      </c>
      <c r="B308" s="38">
        <v>51014</v>
      </c>
      <c r="E308" s="37" t="b">
        <v>1</v>
      </c>
      <c r="F308" s="37" t="b">
        <v>1</v>
      </c>
      <c r="G308" s="37">
        <v>1</v>
      </c>
      <c r="H308" s="37">
        <v>51014</v>
      </c>
    </row>
    <row r="309" spans="1:8" x14ac:dyDescent="0.3">
      <c r="A309" s="37" t="s">
        <v>2</v>
      </c>
      <c r="B309" s="38">
        <v>51014</v>
      </c>
      <c r="E309" s="37" t="b">
        <v>1</v>
      </c>
      <c r="F309" s="37" t="b">
        <v>1</v>
      </c>
      <c r="G309" s="37">
        <v>1</v>
      </c>
      <c r="H309" s="37">
        <v>51014</v>
      </c>
    </row>
    <row r="310" spans="1:8" x14ac:dyDescent="0.3">
      <c r="A310" s="37" t="s">
        <v>4</v>
      </c>
      <c r="B310" s="38">
        <v>96773</v>
      </c>
      <c r="E310" s="37" t="b">
        <v>0</v>
      </c>
      <c r="F310" s="37" t="b">
        <v>1</v>
      </c>
      <c r="G310" s="37">
        <v>0</v>
      </c>
      <c r="H310" s="37" t="b">
        <v>0</v>
      </c>
    </row>
    <row r="311" spans="1:8" x14ac:dyDescent="0.3">
      <c r="A311" s="37" t="s">
        <v>4</v>
      </c>
      <c r="B311" s="38">
        <v>147500</v>
      </c>
      <c r="E311" s="37" t="b">
        <v>0</v>
      </c>
      <c r="F311" s="37" t="b">
        <v>1</v>
      </c>
      <c r="G311" s="37">
        <v>0</v>
      </c>
      <c r="H311" s="37" t="b">
        <v>0</v>
      </c>
    </row>
    <row r="312" spans="1:8" x14ac:dyDescent="0.3">
      <c r="A312" s="37" t="s">
        <v>0</v>
      </c>
      <c r="B312" s="38">
        <v>195500</v>
      </c>
      <c r="E312" s="37" t="b">
        <v>0</v>
      </c>
      <c r="F312" s="37" t="b">
        <v>1</v>
      </c>
      <c r="G312" s="37">
        <v>0</v>
      </c>
      <c r="H312" s="37" t="b">
        <v>0</v>
      </c>
    </row>
    <row r="313" spans="1:8" x14ac:dyDescent="0.3">
      <c r="A313" s="37" t="s">
        <v>126</v>
      </c>
      <c r="B313" s="38">
        <v>147500</v>
      </c>
      <c r="E313" s="37" t="b">
        <v>0</v>
      </c>
      <c r="F313" s="37" t="b">
        <v>1</v>
      </c>
      <c r="G313" s="37">
        <v>0</v>
      </c>
      <c r="H313" s="37" t="b">
        <v>0</v>
      </c>
    </row>
    <row r="314" spans="1:8" x14ac:dyDescent="0.3">
      <c r="A314" s="37" t="s">
        <v>128</v>
      </c>
      <c r="B314" s="38">
        <v>157500</v>
      </c>
      <c r="E314" s="37" t="b">
        <v>0</v>
      </c>
      <c r="F314" s="37" t="b">
        <v>1</v>
      </c>
      <c r="G314" s="37">
        <v>0</v>
      </c>
      <c r="H314" s="37" t="b">
        <v>0</v>
      </c>
    </row>
    <row r="315" spans="1:8" x14ac:dyDescent="0.3">
      <c r="A315" s="37" t="s">
        <v>4</v>
      </c>
      <c r="B315" s="38">
        <v>96773</v>
      </c>
      <c r="E315" s="37" t="b">
        <v>0</v>
      </c>
      <c r="F315" s="37" t="b">
        <v>1</v>
      </c>
      <c r="G315" s="37">
        <v>0</v>
      </c>
      <c r="H315" s="37" t="b">
        <v>0</v>
      </c>
    </row>
    <row r="316" spans="1:8" x14ac:dyDescent="0.3">
      <c r="A316" s="37" t="s">
        <v>125</v>
      </c>
      <c r="B316" s="38">
        <v>51014</v>
      </c>
      <c r="E316" s="37" t="b">
        <v>0</v>
      </c>
      <c r="F316" s="37" t="b">
        <v>1</v>
      </c>
      <c r="G316" s="37">
        <v>0</v>
      </c>
      <c r="H316" s="37" t="b">
        <v>0</v>
      </c>
    </row>
    <row r="317" spans="1:8" x14ac:dyDescent="0.3">
      <c r="A317" s="37" t="s">
        <v>0</v>
      </c>
      <c r="B317" s="38">
        <v>79200</v>
      </c>
      <c r="E317" s="37" t="b">
        <v>0</v>
      </c>
      <c r="F317" s="37" t="b">
        <v>1</v>
      </c>
      <c r="G317" s="37">
        <v>0</v>
      </c>
      <c r="H317" s="37" t="b">
        <v>0</v>
      </c>
    </row>
    <row r="318" spans="1:8" x14ac:dyDescent="0.3">
      <c r="A318" s="37" t="s">
        <v>4</v>
      </c>
      <c r="B318" s="38">
        <v>96773</v>
      </c>
      <c r="E318" s="37" t="b">
        <v>0</v>
      </c>
      <c r="F318" s="37" t="b">
        <v>1</v>
      </c>
      <c r="G318" s="37">
        <v>0</v>
      </c>
      <c r="H318" s="37" t="b">
        <v>0</v>
      </c>
    </row>
    <row r="319" spans="1:8" x14ac:dyDescent="0.3">
      <c r="A319" s="37" t="s">
        <v>0</v>
      </c>
      <c r="B319" s="38">
        <v>53416.5</v>
      </c>
      <c r="E319" s="37" t="b">
        <v>0</v>
      </c>
      <c r="F319" s="37" t="b">
        <v>1</v>
      </c>
      <c r="G319" s="37">
        <v>0</v>
      </c>
      <c r="H319" s="37" t="b">
        <v>0</v>
      </c>
    </row>
    <row r="320" spans="1:8" x14ac:dyDescent="0.3">
      <c r="A320" s="37" t="s">
        <v>2</v>
      </c>
      <c r="B320" s="38">
        <v>51014</v>
      </c>
      <c r="E320" s="37" t="b">
        <v>1</v>
      </c>
      <c r="F320" s="37" t="b">
        <v>1</v>
      </c>
      <c r="G320" s="37">
        <v>1</v>
      </c>
      <c r="H320" s="37">
        <v>51014</v>
      </c>
    </row>
    <row r="321" spans="1:8" x14ac:dyDescent="0.3">
      <c r="A321" s="37" t="s">
        <v>4</v>
      </c>
      <c r="B321" s="38">
        <v>133000</v>
      </c>
      <c r="E321" s="37" t="b">
        <v>0</v>
      </c>
      <c r="F321" s="37" t="b">
        <v>1</v>
      </c>
      <c r="G321" s="37">
        <v>0</v>
      </c>
      <c r="H321" s="37" t="b">
        <v>0</v>
      </c>
    </row>
    <row r="322" spans="1:8" x14ac:dyDescent="0.3">
      <c r="A322" s="37" t="s">
        <v>2</v>
      </c>
      <c r="B322" s="38">
        <v>56700</v>
      </c>
      <c r="E322" s="37" t="b">
        <v>1</v>
      </c>
      <c r="F322" s="37" t="b">
        <v>1</v>
      </c>
      <c r="G322" s="37">
        <v>1</v>
      </c>
      <c r="H322" s="37">
        <v>56700</v>
      </c>
    </row>
    <row r="323" spans="1:8" x14ac:dyDescent="0.3">
      <c r="A323" s="37" t="s">
        <v>2</v>
      </c>
      <c r="B323" s="38">
        <v>109500</v>
      </c>
      <c r="E323" s="37" t="b">
        <v>1</v>
      </c>
      <c r="F323" s="37" t="b">
        <v>1</v>
      </c>
      <c r="G323" s="37">
        <v>1</v>
      </c>
      <c r="H323" s="37">
        <v>109500</v>
      </c>
    </row>
    <row r="324" spans="1:8" x14ac:dyDescent="0.3">
      <c r="A324" s="37" t="s">
        <v>4</v>
      </c>
      <c r="B324" s="38">
        <v>89100</v>
      </c>
      <c r="E324" s="37" t="b">
        <v>0</v>
      </c>
      <c r="F324" s="37" t="b">
        <v>1</v>
      </c>
      <c r="G324" s="37">
        <v>0</v>
      </c>
      <c r="H324" s="37" t="b">
        <v>0</v>
      </c>
    </row>
    <row r="325" spans="1:8" x14ac:dyDescent="0.3">
      <c r="A325" s="37" t="s">
        <v>4</v>
      </c>
      <c r="B325" s="38">
        <v>131580</v>
      </c>
      <c r="E325" s="37" t="b">
        <v>0</v>
      </c>
      <c r="F325" s="37" t="b">
        <v>1</v>
      </c>
      <c r="G325" s="37">
        <v>0</v>
      </c>
      <c r="H325" s="37" t="b">
        <v>0</v>
      </c>
    </row>
    <row r="326" spans="1:8" x14ac:dyDescent="0.3">
      <c r="A326" s="37" t="s">
        <v>2</v>
      </c>
      <c r="B326" s="38">
        <v>64800</v>
      </c>
      <c r="E326" s="37" t="b">
        <v>1</v>
      </c>
      <c r="F326" s="37" t="b">
        <v>1</v>
      </c>
      <c r="G326" s="37">
        <v>1</v>
      </c>
      <c r="H326" s="37">
        <v>64800</v>
      </c>
    </row>
    <row r="327" spans="1:8" x14ac:dyDescent="0.3">
      <c r="A327" s="37" t="s">
        <v>4</v>
      </c>
      <c r="B327" s="38">
        <v>147500</v>
      </c>
      <c r="E327" s="37" t="b">
        <v>0</v>
      </c>
      <c r="F327" s="37" t="b">
        <v>1</v>
      </c>
      <c r="G327" s="37">
        <v>0</v>
      </c>
      <c r="H327" s="37" t="b">
        <v>0</v>
      </c>
    </row>
    <row r="328" spans="1:8" x14ac:dyDescent="0.3">
      <c r="A328" s="37" t="s">
        <v>0</v>
      </c>
      <c r="B328" s="38">
        <v>89100</v>
      </c>
      <c r="E328" s="37" t="b">
        <v>0</v>
      </c>
      <c r="F328" s="37" t="b">
        <v>1</v>
      </c>
      <c r="G328" s="37">
        <v>0</v>
      </c>
      <c r="H328" s="37" t="b">
        <v>0</v>
      </c>
    </row>
    <row r="329" spans="1:8" x14ac:dyDescent="0.3">
      <c r="A329" s="37" t="s">
        <v>2</v>
      </c>
      <c r="B329" s="38">
        <v>111175</v>
      </c>
      <c r="E329" s="37" t="b">
        <v>1</v>
      </c>
      <c r="F329" s="37" t="b">
        <v>1</v>
      </c>
      <c r="G329" s="37">
        <v>1</v>
      </c>
      <c r="H329" s="37">
        <v>111175</v>
      </c>
    </row>
    <row r="330" spans="1:8" x14ac:dyDescent="0.3">
      <c r="A330" s="37" t="s">
        <v>2</v>
      </c>
      <c r="B330" s="38">
        <v>165000</v>
      </c>
      <c r="E330" s="37" t="b">
        <v>1</v>
      </c>
      <c r="F330" s="37" t="b">
        <v>1</v>
      </c>
      <c r="G330" s="37">
        <v>1</v>
      </c>
      <c r="H330" s="37">
        <v>165000</v>
      </c>
    </row>
    <row r="331" spans="1:8" x14ac:dyDescent="0.3">
      <c r="A331" s="37" t="s">
        <v>2</v>
      </c>
      <c r="B331" s="38">
        <v>63000</v>
      </c>
      <c r="E331" s="37" t="b">
        <v>1</v>
      </c>
      <c r="F331" s="37" t="b">
        <v>1</v>
      </c>
      <c r="G331" s="37">
        <v>1</v>
      </c>
      <c r="H331" s="37">
        <v>63000</v>
      </c>
    </row>
    <row r="332" spans="1:8" x14ac:dyDescent="0.3">
      <c r="A332" s="37" t="s">
        <v>2</v>
      </c>
      <c r="B332" s="38">
        <v>89100</v>
      </c>
      <c r="E332" s="37" t="b">
        <v>1</v>
      </c>
      <c r="F332" s="37" t="b">
        <v>1</v>
      </c>
      <c r="G332" s="37">
        <v>1</v>
      </c>
      <c r="H332" s="37">
        <v>89100</v>
      </c>
    </row>
    <row r="333" spans="1:8" x14ac:dyDescent="0.3">
      <c r="A333" s="37" t="s">
        <v>125</v>
      </c>
      <c r="B333" s="38">
        <v>111175</v>
      </c>
      <c r="E333" s="37" t="b">
        <v>0</v>
      </c>
      <c r="F333" s="37" t="b">
        <v>1</v>
      </c>
      <c r="G333" s="37">
        <v>0</v>
      </c>
      <c r="H333" s="37" t="b">
        <v>0</v>
      </c>
    </row>
    <row r="334" spans="1:8" x14ac:dyDescent="0.3">
      <c r="A334" s="37" t="s">
        <v>4</v>
      </c>
      <c r="B334" s="38">
        <v>98283</v>
      </c>
      <c r="E334" s="37" t="b">
        <v>0</v>
      </c>
      <c r="F334" s="37" t="b">
        <v>1</v>
      </c>
      <c r="G334" s="37">
        <v>0</v>
      </c>
      <c r="H334" s="37" t="b">
        <v>0</v>
      </c>
    </row>
    <row r="335" spans="1:8" x14ac:dyDescent="0.3">
      <c r="A335" s="37" t="s">
        <v>2</v>
      </c>
      <c r="B335" s="38">
        <v>105650</v>
      </c>
      <c r="E335" s="37" t="b">
        <v>1</v>
      </c>
      <c r="F335" s="37" t="b">
        <v>1</v>
      </c>
      <c r="G335" s="37">
        <v>1</v>
      </c>
      <c r="H335" s="37">
        <v>105650</v>
      </c>
    </row>
    <row r="336" spans="1:8" x14ac:dyDescent="0.3">
      <c r="A336" s="37" t="s">
        <v>128</v>
      </c>
      <c r="B336" s="38">
        <v>105650</v>
      </c>
      <c r="E336" s="37" t="b">
        <v>0</v>
      </c>
      <c r="F336" s="37" t="b">
        <v>1</v>
      </c>
      <c r="G336" s="37">
        <v>0</v>
      </c>
      <c r="H336" s="37" t="b">
        <v>0</v>
      </c>
    </row>
    <row r="337" spans="1:8" x14ac:dyDescent="0.3">
      <c r="A337" s="37" t="s">
        <v>129</v>
      </c>
      <c r="B337" s="38">
        <v>156500</v>
      </c>
      <c r="E337" s="37" t="b">
        <v>0</v>
      </c>
      <c r="F337" s="37" t="b">
        <v>1</v>
      </c>
      <c r="G337" s="37">
        <v>0</v>
      </c>
      <c r="H337" s="37" t="b">
        <v>0</v>
      </c>
    </row>
    <row r="338" spans="1:8" x14ac:dyDescent="0.3">
      <c r="A338" s="37" t="s">
        <v>0</v>
      </c>
      <c r="B338" s="38">
        <v>56700</v>
      </c>
      <c r="E338" s="37" t="b">
        <v>0</v>
      </c>
      <c r="F338" s="37" t="b">
        <v>1</v>
      </c>
      <c r="G338" s="37">
        <v>0</v>
      </c>
      <c r="H338" s="37" t="b">
        <v>0</v>
      </c>
    </row>
    <row r="339" spans="1:8" x14ac:dyDescent="0.3">
      <c r="A339" s="37" t="s">
        <v>1</v>
      </c>
      <c r="B339" s="38">
        <v>104668</v>
      </c>
      <c r="E339" s="37" t="b">
        <v>0</v>
      </c>
      <c r="F339" s="37" t="b">
        <v>1</v>
      </c>
      <c r="G339" s="37">
        <v>0</v>
      </c>
      <c r="H339" s="37" t="b">
        <v>0</v>
      </c>
    </row>
    <row r="340" spans="1:8" x14ac:dyDescent="0.3">
      <c r="A340" s="37" t="s">
        <v>2</v>
      </c>
      <c r="B340" s="38">
        <v>111175</v>
      </c>
      <c r="E340" s="37" t="b">
        <v>1</v>
      </c>
      <c r="F340" s="37" t="b">
        <v>1</v>
      </c>
      <c r="G340" s="37">
        <v>1</v>
      </c>
      <c r="H340" s="37">
        <v>111175</v>
      </c>
    </row>
    <row r="341" spans="1:8" x14ac:dyDescent="0.3">
      <c r="A341" s="37" t="s">
        <v>0</v>
      </c>
      <c r="B341" s="38">
        <v>157500</v>
      </c>
      <c r="E341" s="37" t="b">
        <v>0</v>
      </c>
      <c r="F341" s="37" t="b">
        <v>1</v>
      </c>
      <c r="G341" s="37">
        <v>0</v>
      </c>
      <c r="H341" s="37" t="b">
        <v>0</v>
      </c>
    </row>
    <row r="342" spans="1:8" x14ac:dyDescent="0.3">
      <c r="A342" s="37" t="s">
        <v>2</v>
      </c>
      <c r="B342" s="38">
        <v>111175</v>
      </c>
      <c r="E342" s="37" t="b">
        <v>1</v>
      </c>
      <c r="F342" s="37" t="b">
        <v>1</v>
      </c>
      <c r="G342" s="37">
        <v>1</v>
      </c>
      <c r="H342" s="37">
        <v>111175</v>
      </c>
    </row>
    <row r="343" spans="1:8" x14ac:dyDescent="0.3">
      <c r="A343" s="37" t="s">
        <v>125</v>
      </c>
      <c r="B343" s="38">
        <v>111175</v>
      </c>
      <c r="E343" s="37" t="b">
        <v>0</v>
      </c>
      <c r="F343" s="37" t="b">
        <v>1</v>
      </c>
      <c r="G343" s="37">
        <v>0</v>
      </c>
      <c r="H343" s="37" t="b">
        <v>0</v>
      </c>
    </row>
    <row r="344" spans="1:8" x14ac:dyDescent="0.3">
      <c r="A344" s="37" t="s">
        <v>126</v>
      </c>
      <c r="B344" s="38">
        <v>89100</v>
      </c>
      <c r="E344" s="37" t="b">
        <v>0</v>
      </c>
      <c r="F344" s="37" t="b">
        <v>1</v>
      </c>
      <c r="G344" s="37">
        <v>0</v>
      </c>
      <c r="H344" s="37" t="b">
        <v>0</v>
      </c>
    </row>
    <row r="345" spans="1:8" x14ac:dyDescent="0.3">
      <c r="A345" s="37" t="s">
        <v>125</v>
      </c>
      <c r="B345" s="38">
        <v>111175</v>
      </c>
      <c r="E345" s="37" t="b">
        <v>0</v>
      </c>
      <c r="F345" s="37" t="b">
        <v>1</v>
      </c>
      <c r="G345" s="37">
        <v>0</v>
      </c>
      <c r="H345" s="37" t="b">
        <v>0</v>
      </c>
    </row>
    <row r="346" spans="1:8" x14ac:dyDescent="0.3">
      <c r="A346" s="37" t="s">
        <v>0</v>
      </c>
      <c r="B346" s="38">
        <v>272500</v>
      </c>
      <c r="E346" s="37" t="b">
        <v>0</v>
      </c>
      <c r="F346" s="37" t="b">
        <v>1</v>
      </c>
      <c r="G346" s="37">
        <v>0</v>
      </c>
      <c r="H346" s="37" t="b">
        <v>0</v>
      </c>
    </row>
    <row r="347" spans="1:8" x14ac:dyDescent="0.3">
      <c r="A347" s="37" t="s">
        <v>2</v>
      </c>
      <c r="B347" s="38">
        <v>166419.5</v>
      </c>
      <c r="E347" s="37" t="b">
        <v>1</v>
      </c>
      <c r="F347" s="37" t="b">
        <v>1</v>
      </c>
      <c r="G347" s="37">
        <v>1</v>
      </c>
      <c r="H347" s="37">
        <v>166419.5</v>
      </c>
    </row>
    <row r="348" spans="1:8" x14ac:dyDescent="0.3">
      <c r="A348" s="37" t="s">
        <v>2</v>
      </c>
      <c r="B348" s="38">
        <v>56700</v>
      </c>
      <c r="E348" s="37" t="b">
        <v>1</v>
      </c>
      <c r="F348" s="37" t="b">
        <v>1</v>
      </c>
      <c r="G348" s="37">
        <v>1</v>
      </c>
      <c r="H348" s="37">
        <v>56700</v>
      </c>
    </row>
    <row r="349" spans="1:8" x14ac:dyDescent="0.3">
      <c r="A349" s="37" t="s">
        <v>2</v>
      </c>
      <c r="B349" s="38">
        <v>79200</v>
      </c>
      <c r="E349" s="37" t="b">
        <v>1</v>
      </c>
      <c r="F349" s="37" t="b">
        <v>1</v>
      </c>
      <c r="G349" s="37">
        <v>1</v>
      </c>
      <c r="H349" s="37">
        <v>79200</v>
      </c>
    </row>
    <row r="350" spans="1:8" x14ac:dyDescent="0.3">
      <c r="A350" s="37" t="s">
        <v>129</v>
      </c>
      <c r="B350" s="38">
        <v>56700</v>
      </c>
      <c r="E350" s="37" t="b">
        <v>0</v>
      </c>
      <c r="F350" s="37" t="b">
        <v>1</v>
      </c>
      <c r="G350" s="37">
        <v>0</v>
      </c>
      <c r="H350" s="37" t="b">
        <v>0</v>
      </c>
    </row>
    <row r="351" spans="1:8" x14ac:dyDescent="0.3">
      <c r="A351" s="37" t="s">
        <v>126</v>
      </c>
      <c r="B351" s="38">
        <v>147500</v>
      </c>
      <c r="E351" s="37" t="b">
        <v>0</v>
      </c>
      <c r="F351" s="37" t="b">
        <v>1</v>
      </c>
      <c r="G351" s="37">
        <v>0</v>
      </c>
      <c r="H351" s="37" t="b">
        <v>0</v>
      </c>
    </row>
    <row r="352" spans="1:8" x14ac:dyDescent="0.3">
      <c r="A352" s="37" t="s">
        <v>128</v>
      </c>
      <c r="B352" s="38">
        <v>157500</v>
      </c>
      <c r="E352" s="37" t="b">
        <v>0</v>
      </c>
      <c r="F352" s="37" t="b">
        <v>1</v>
      </c>
      <c r="G352" s="37">
        <v>0</v>
      </c>
      <c r="H352" s="37" t="b">
        <v>0</v>
      </c>
    </row>
    <row r="353" spans="1:8" x14ac:dyDescent="0.3">
      <c r="A353" s="37" t="s">
        <v>4</v>
      </c>
      <c r="B353" s="38">
        <v>131580</v>
      </c>
      <c r="E353" s="37" t="b">
        <v>0</v>
      </c>
      <c r="F353" s="37" t="b">
        <v>1</v>
      </c>
      <c r="G353" s="37">
        <v>0</v>
      </c>
      <c r="H353" s="37" t="b">
        <v>0</v>
      </c>
    </row>
    <row r="354" spans="1:8" x14ac:dyDescent="0.3">
      <c r="A354" s="37" t="s">
        <v>1</v>
      </c>
      <c r="B354" s="38">
        <v>104668</v>
      </c>
      <c r="E354" s="37" t="b">
        <v>0</v>
      </c>
      <c r="F354" s="37" t="b">
        <v>1</v>
      </c>
      <c r="G354" s="37">
        <v>0</v>
      </c>
      <c r="H354" s="37" t="b">
        <v>0</v>
      </c>
    </row>
    <row r="355" spans="1:8" x14ac:dyDescent="0.3">
      <c r="A355" s="37" t="s">
        <v>0</v>
      </c>
      <c r="B355" s="38">
        <v>166941.5</v>
      </c>
      <c r="E355" s="37" t="b">
        <v>0</v>
      </c>
      <c r="F355" s="37" t="b">
        <v>1</v>
      </c>
      <c r="G355" s="37">
        <v>0</v>
      </c>
      <c r="H355" s="37" t="b">
        <v>0</v>
      </c>
    </row>
    <row r="356" spans="1:8" x14ac:dyDescent="0.3">
      <c r="A356" s="37" t="s">
        <v>2</v>
      </c>
      <c r="B356" s="38">
        <v>51014</v>
      </c>
      <c r="E356" s="37" t="b">
        <v>1</v>
      </c>
      <c r="F356" s="37" t="b">
        <v>1</v>
      </c>
      <c r="G356" s="37">
        <v>1</v>
      </c>
      <c r="H356" s="37">
        <v>51014</v>
      </c>
    </row>
    <row r="357" spans="1:8" x14ac:dyDescent="0.3">
      <c r="A357" s="37" t="s">
        <v>4</v>
      </c>
      <c r="B357" s="38">
        <v>98283</v>
      </c>
      <c r="E357" s="37" t="b">
        <v>0</v>
      </c>
      <c r="F357" s="37" t="b">
        <v>1</v>
      </c>
      <c r="G357" s="37">
        <v>0</v>
      </c>
      <c r="H357" s="37" t="b">
        <v>0</v>
      </c>
    </row>
    <row r="358" spans="1:8" x14ac:dyDescent="0.3">
      <c r="A358" s="37" t="s">
        <v>0</v>
      </c>
      <c r="B358" s="38">
        <v>109500</v>
      </c>
      <c r="E358" s="37" t="b">
        <v>0</v>
      </c>
      <c r="F358" s="37" t="b">
        <v>1</v>
      </c>
      <c r="G358" s="37">
        <v>0</v>
      </c>
      <c r="H358" s="37" t="b">
        <v>0</v>
      </c>
    </row>
    <row r="359" spans="1:8" x14ac:dyDescent="0.3">
      <c r="A359" s="37" t="s">
        <v>2</v>
      </c>
      <c r="B359" s="38">
        <v>111175</v>
      </c>
      <c r="E359" s="37" t="b">
        <v>1</v>
      </c>
      <c r="F359" s="37" t="b">
        <v>1</v>
      </c>
      <c r="G359" s="37">
        <v>1</v>
      </c>
      <c r="H359" s="37">
        <v>111175</v>
      </c>
    </row>
    <row r="360" spans="1:8" x14ac:dyDescent="0.3">
      <c r="A360" s="37" t="s">
        <v>125</v>
      </c>
      <c r="B360" s="38">
        <v>89100</v>
      </c>
      <c r="E360" s="37" t="b">
        <v>0</v>
      </c>
      <c r="F360" s="37" t="b">
        <v>1</v>
      </c>
      <c r="G360" s="37">
        <v>0</v>
      </c>
      <c r="H360" s="37" t="b">
        <v>0</v>
      </c>
    </row>
    <row r="361" spans="1:8" x14ac:dyDescent="0.3">
      <c r="A361" s="37" t="s">
        <v>2</v>
      </c>
      <c r="B361" s="38">
        <v>64800</v>
      </c>
      <c r="E361" s="37" t="b">
        <v>1</v>
      </c>
      <c r="F361" s="37" t="b">
        <v>1</v>
      </c>
      <c r="G361" s="37">
        <v>1</v>
      </c>
      <c r="H361" s="37">
        <v>64800</v>
      </c>
    </row>
    <row r="362" spans="1:8" x14ac:dyDescent="0.3">
      <c r="A362" s="37" t="s">
        <v>4</v>
      </c>
      <c r="B362" s="38">
        <v>98283</v>
      </c>
      <c r="E362" s="37" t="b">
        <v>0</v>
      </c>
      <c r="F362" s="37" t="b">
        <v>1</v>
      </c>
      <c r="G362" s="37">
        <v>0</v>
      </c>
      <c r="H362" s="37" t="b">
        <v>0</v>
      </c>
    </row>
    <row r="363" spans="1:8" x14ac:dyDescent="0.3">
      <c r="A363" s="37" t="s">
        <v>2</v>
      </c>
      <c r="B363" s="38">
        <v>51014</v>
      </c>
      <c r="E363" s="37" t="b">
        <v>1</v>
      </c>
      <c r="F363" s="37" t="b">
        <v>1</v>
      </c>
      <c r="G363" s="37">
        <v>1</v>
      </c>
      <c r="H363" s="37">
        <v>51014</v>
      </c>
    </row>
    <row r="364" spans="1:8" x14ac:dyDescent="0.3">
      <c r="A364" s="37" t="s">
        <v>4</v>
      </c>
      <c r="B364" s="38">
        <v>147500</v>
      </c>
      <c r="E364" s="37" t="b">
        <v>0</v>
      </c>
      <c r="F364" s="37" t="b">
        <v>1</v>
      </c>
      <c r="G364" s="37">
        <v>0</v>
      </c>
      <c r="H364" s="37" t="b">
        <v>0</v>
      </c>
    </row>
    <row r="365" spans="1:8" x14ac:dyDescent="0.3">
      <c r="A365" s="37" t="s">
        <v>4</v>
      </c>
      <c r="B365" s="38">
        <v>56700</v>
      </c>
      <c r="E365" s="37" t="b">
        <v>0</v>
      </c>
      <c r="F365" s="37" t="b">
        <v>1</v>
      </c>
      <c r="G365" s="37">
        <v>0</v>
      </c>
      <c r="H365" s="37" t="b">
        <v>0</v>
      </c>
    </row>
    <row r="366" spans="1:8" x14ac:dyDescent="0.3">
      <c r="A366" s="37" t="s">
        <v>2</v>
      </c>
      <c r="B366" s="38">
        <v>51014</v>
      </c>
      <c r="E366" s="37" t="b">
        <v>1</v>
      </c>
      <c r="F366" s="37" t="b">
        <v>1</v>
      </c>
      <c r="G366" s="37">
        <v>1</v>
      </c>
      <c r="H366" s="37">
        <v>51014</v>
      </c>
    </row>
    <row r="367" spans="1:8" x14ac:dyDescent="0.3">
      <c r="A367" s="37" t="s">
        <v>0</v>
      </c>
      <c r="B367" s="38">
        <v>157500</v>
      </c>
      <c r="E367" s="37" t="b">
        <v>0</v>
      </c>
      <c r="F367" s="37" t="b">
        <v>1</v>
      </c>
      <c r="G367" s="37">
        <v>0</v>
      </c>
      <c r="H367" s="37" t="b">
        <v>0</v>
      </c>
    </row>
    <row r="368" spans="1:8" x14ac:dyDescent="0.3">
      <c r="A368" s="37" t="s">
        <v>1</v>
      </c>
      <c r="B368" s="38">
        <v>172500</v>
      </c>
      <c r="E368" s="37" t="b">
        <v>0</v>
      </c>
      <c r="F368" s="37" t="b">
        <v>1</v>
      </c>
      <c r="G368" s="37">
        <v>0</v>
      </c>
      <c r="H368" s="37" t="b">
        <v>0</v>
      </c>
    </row>
    <row r="369" spans="1:8" x14ac:dyDescent="0.3">
      <c r="A369" s="37" t="s">
        <v>4</v>
      </c>
      <c r="B369" s="38">
        <v>45000</v>
      </c>
      <c r="E369" s="37" t="b">
        <v>0</v>
      </c>
      <c r="F369" s="37" t="b">
        <v>1</v>
      </c>
      <c r="G369" s="37">
        <v>0</v>
      </c>
      <c r="H369" s="37" t="b">
        <v>0</v>
      </c>
    </row>
    <row r="370" spans="1:8" x14ac:dyDescent="0.3">
      <c r="A370" s="37" t="s">
        <v>128</v>
      </c>
      <c r="B370" s="38">
        <v>79200</v>
      </c>
      <c r="E370" s="37" t="b">
        <v>0</v>
      </c>
      <c r="F370" s="37" t="b">
        <v>1</v>
      </c>
      <c r="G370" s="37">
        <v>0</v>
      </c>
      <c r="H370" s="37" t="b">
        <v>0</v>
      </c>
    </row>
    <row r="371" spans="1:8" x14ac:dyDescent="0.3">
      <c r="A371" s="37" t="s">
        <v>4</v>
      </c>
      <c r="B371" s="38">
        <v>96773</v>
      </c>
      <c r="E371" s="37" t="b">
        <v>0</v>
      </c>
      <c r="F371" s="37" t="b">
        <v>1</v>
      </c>
      <c r="G371" s="37">
        <v>0</v>
      </c>
      <c r="H371" s="37" t="b">
        <v>0</v>
      </c>
    </row>
    <row r="372" spans="1:8" x14ac:dyDescent="0.3">
      <c r="A372" s="37" t="s">
        <v>4</v>
      </c>
      <c r="B372" s="38">
        <v>133000</v>
      </c>
      <c r="E372" s="37" t="b">
        <v>0</v>
      </c>
      <c r="F372" s="37" t="b">
        <v>1</v>
      </c>
      <c r="G372" s="37">
        <v>0</v>
      </c>
      <c r="H372" s="37" t="b">
        <v>0</v>
      </c>
    </row>
    <row r="373" spans="1:8" x14ac:dyDescent="0.3">
      <c r="A373" s="37" t="s">
        <v>4</v>
      </c>
      <c r="B373" s="38">
        <v>102500</v>
      </c>
      <c r="E373" s="37" t="b">
        <v>0</v>
      </c>
      <c r="F373" s="37" t="b">
        <v>1</v>
      </c>
      <c r="G373" s="37">
        <v>0</v>
      </c>
      <c r="H373" s="37" t="b">
        <v>0</v>
      </c>
    </row>
    <row r="374" spans="1:8" x14ac:dyDescent="0.3">
      <c r="A374" s="37" t="s">
        <v>2</v>
      </c>
      <c r="B374" s="38">
        <v>165000</v>
      </c>
      <c r="E374" s="37" t="b">
        <v>1</v>
      </c>
      <c r="F374" s="37" t="b">
        <v>1</v>
      </c>
      <c r="G374" s="37">
        <v>1</v>
      </c>
      <c r="H374" s="37">
        <v>165000</v>
      </c>
    </row>
    <row r="375" spans="1:8" x14ac:dyDescent="0.3">
      <c r="A375" s="37" t="s">
        <v>0</v>
      </c>
      <c r="B375" s="38">
        <v>109500</v>
      </c>
      <c r="E375" s="37" t="b">
        <v>0</v>
      </c>
      <c r="F375" s="37" t="b">
        <v>1</v>
      </c>
      <c r="G375" s="37">
        <v>0</v>
      </c>
      <c r="H375" s="37" t="b">
        <v>0</v>
      </c>
    </row>
    <row r="376" spans="1:8" x14ac:dyDescent="0.3">
      <c r="A376" s="37" t="s">
        <v>0</v>
      </c>
      <c r="B376" s="38">
        <v>139216</v>
      </c>
      <c r="E376" s="37" t="b">
        <v>0</v>
      </c>
      <c r="F376" s="37" t="b">
        <v>1</v>
      </c>
      <c r="G376" s="37">
        <v>0</v>
      </c>
      <c r="H376" s="37" t="b">
        <v>0</v>
      </c>
    </row>
    <row r="377" spans="1:8" x14ac:dyDescent="0.3">
      <c r="A377" s="37" t="s">
        <v>2</v>
      </c>
      <c r="B377" s="38">
        <v>51014</v>
      </c>
      <c r="E377" s="37" t="b">
        <v>1</v>
      </c>
      <c r="F377" s="37" t="b">
        <v>1</v>
      </c>
      <c r="G377" s="37">
        <v>1</v>
      </c>
      <c r="H377" s="37">
        <v>51014</v>
      </c>
    </row>
    <row r="378" spans="1:8" x14ac:dyDescent="0.3">
      <c r="A378" s="37" t="s">
        <v>1</v>
      </c>
      <c r="B378" s="38">
        <v>104668</v>
      </c>
      <c r="E378" s="37" t="b">
        <v>0</v>
      </c>
      <c r="F378" s="37" t="b">
        <v>1</v>
      </c>
      <c r="G378" s="37">
        <v>0</v>
      </c>
      <c r="H378" s="37" t="b">
        <v>0</v>
      </c>
    </row>
    <row r="379" spans="1:8" x14ac:dyDescent="0.3">
      <c r="A379" s="37" t="s">
        <v>2</v>
      </c>
      <c r="B379" s="38">
        <v>79200</v>
      </c>
      <c r="E379" s="37" t="b">
        <v>1</v>
      </c>
      <c r="F379" s="37" t="b">
        <v>1</v>
      </c>
      <c r="G379" s="37">
        <v>1</v>
      </c>
      <c r="H379" s="37">
        <v>79200</v>
      </c>
    </row>
    <row r="380" spans="1:8" x14ac:dyDescent="0.3">
      <c r="A380" s="37" t="s">
        <v>0</v>
      </c>
      <c r="B380" s="38">
        <v>79200</v>
      </c>
      <c r="E380" s="37" t="b">
        <v>0</v>
      </c>
      <c r="F380" s="37" t="b">
        <v>1</v>
      </c>
      <c r="G380" s="37">
        <v>0</v>
      </c>
      <c r="H380" s="37" t="b">
        <v>0</v>
      </c>
    </row>
    <row r="381" spans="1:8" x14ac:dyDescent="0.3">
      <c r="A381" s="37" t="s">
        <v>4</v>
      </c>
      <c r="B381" s="38">
        <v>147500</v>
      </c>
      <c r="E381" s="37" t="b">
        <v>0</v>
      </c>
      <c r="F381" s="37" t="b">
        <v>1</v>
      </c>
      <c r="G381" s="37">
        <v>0</v>
      </c>
      <c r="H381" s="37" t="b">
        <v>0</v>
      </c>
    </row>
    <row r="382" spans="1:8" x14ac:dyDescent="0.3">
      <c r="A382" s="37" t="s">
        <v>4</v>
      </c>
      <c r="B382" s="38">
        <v>131580</v>
      </c>
      <c r="E382" s="37" t="b">
        <v>0</v>
      </c>
      <c r="F382" s="37" t="b">
        <v>1</v>
      </c>
      <c r="G382" s="37">
        <v>0</v>
      </c>
      <c r="H382" s="37" t="b">
        <v>0</v>
      </c>
    </row>
    <row r="383" spans="1:8" x14ac:dyDescent="0.3">
      <c r="A383" s="37" t="s">
        <v>2</v>
      </c>
      <c r="B383" s="38">
        <v>105650</v>
      </c>
      <c r="E383" s="37" t="b">
        <v>1</v>
      </c>
      <c r="F383" s="37" t="b">
        <v>1</v>
      </c>
      <c r="G383" s="37">
        <v>1</v>
      </c>
      <c r="H383" s="37">
        <v>105650</v>
      </c>
    </row>
    <row r="384" spans="1:8" x14ac:dyDescent="0.3">
      <c r="A384" s="37" t="s">
        <v>2</v>
      </c>
      <c r="B384" s="38">
        <v>56700</v>
      </c>
      <c r="E384" s="37" t="b">
        <v>1</v>
      </c>
      <c r="F384" s="37" t="b">
        <v>1</v>
      </c>
      <c r="G384" s="37">
        <v>1</v>
      </c>
      <c r="H384" s="37">
        <v>56700</v>
      </c>
    </row>
    <row r="385" spans="1:8" x14ac:dyDescent="0.3">
      <c r="A385" s="37" t="s">
        <v>1</v>
      </c>
      <c r="B385" s="38">
        <v>166000</v>
      </c>
      <c r="E385" s="37" t="b">
        <v>0</v>
      </c>
      <c r="F385" s="37" t="b">
        <v>1</v>
      </c>
      <c r="G385" s="37">
        <v>0</v>
      </c>
      <c r="H385" s="37" t="b">
        <v>0</v>
      </c>
    </row>
    <row r="386" spans="1:8" x14ac:dyDescent="0.3">
      <c r="A386" s="37" t="s">
        <v>4</v>
      </c>
      <c r="B386" s="38">
        <v>79200</v>
      </c>
      <c r="E386" s="37" t="b">
        <v>0</v>
      </c>
      <c r="F386" s="37" t="b">
        <v>1</v>
      </c>
      <c r="G386" s="37">
        <v>0</v>
      </c>
      <c r="H386" s="37" t="b">
        <v>0</v>
      </c>
    </row>
    <row r="387" spans="1:8" x14ac:dyDescent="0.3">
      <c r="A387" s="37" t="s">
        <v>1</v>
      </c>
      <c r="B387" s="38">
        <v>89100</v>
      </c>
      <c r="E387" s="37" t="b">
        <v>0</v>
      </c>
      <c r="F387" s="37" t="b">
        <v>1</v>
      </c>
      <c r="G387" s="37">
        <v>0</v>
      </c>
      <c r="H387" s="37" t="b">
        <v>0</v>
      </c>
    </row>
    <row r="388" spans="1:8" x14ac:dyDescent="0.3">
      <c r="A388" s="37" t="s">
        <v>1</v>
      </c>
      <c r="B388" s="38">
        <v>166000</v>
      </c>
      <c r="E388" s="37" t="b">
        <v>0</v>
      </c>
      <c r="F388" s="37" t="b">
        <v>1</v>
      </c>
      <c r="G388" s="37">
        <v>0</v>
      </c>
      <c r="H388" s="37" t="b">
        <v>0</v>
      </c>
    </row>
    <row r="389" spans="1:8" x14ac:dyDescent="0.3">
      <c r="A389" s="37" t="s">
        <v>1</v>
      </c>
      <c r="B389" s="38">
        <v>99150</v>
      </c>
      <c r="E389" s="37" t="b">
        <v>0</v>
      </c>
      <c r="F389" s="37" t="b">
        <v>1</v>
      </c>
      <c r="G389" s="37">
        <v>0</v>
      </c>
      <c r="H389" s="37" t="b">
        <v>0</v>
      </c>
    </row>
    <row r="390" spans="1:8" x14ac:dyDescent="0.3">
      <c r="A390" s="37" t="s">
        <v>4</v>
      </c>
      <c r="B390" s="38">
        <v>98283</v>
      </c>
      <c r="E390" s="37" t="b">
        <v>0</v>
      </c>
      <c r="F390" s="37" t="b">
        <v>1</v>
      </c>
      <c r="G390" s="37">
        <v>0</v>
      </c>
      <c r="H390" s="37" t="b">
        <v>0</v>
      </c>
    </row>
    <row r="391" spans="1:8" x14ac:dyDescent="0.3">
      <c r="A391" s="37" t="s">
        <v>126</v>
      </c>
      <c r="B391" s="38">
        <v>147500</v>
      </c>
      <c r="E391" s="37" t="b">
        <v>0</v>
      </c>
      <c r="F391" s="37" t="b">
        <v>1</v>
      </c>
      <c r="G391" s="37">
        <v>0</v>
      </c>
      <c r="H391" s="37" t="b">
        <v>0</v>
      </c>
    </row>
    <row r="392" spans="1:8" x14ac:dyDescent="0.3">
      <c r="A392" s="37" t="s">
        <v>128</v>
      </c>
      <c r="B392" s="38">
        <v>157500</v>
      </c>
      <c r="E392" s="37" t="b">
        <v>0</v>
      </c>
      <c r="F392" s="37" t="b">
        <v>1</v>
      </c>
      <c r="G392" s="37">
        <v>0</v>
      </c>
      <c r="H392" s="37" t="b">
        <v>0</v>
      </c>
    </row>
    <row r="393" spans="1:8" x14ac:dyDescent="0.3">
      <c r="A393" s="37" t="s">
        <v>0</v>
      </c>
      <c r="B393" s="38">
        <v>105650</v>
      </c>
      <c r="E393" s="37" t="b">
        <v>0</v>
      </c>
      <c r="F393" s="37" t="b">
        <v>1</v>
      </c>
      <c r="G393" s="37">
        <v>0</v>
      </c>
      <c r="H393" s="37" t="b">
        <v>0</v>
      </c>
    </row>
    <row r="394" spans="1:8" x14ac:dyDescent="0.3">
      <c r="A394" s="37" t="s">
        <v>4</v>
      </c>
      <c r="B394" s="38">
        <v>98283</v>
      </c>
      <c r="E394" s="37" t="b">
        <v>0</v>
      </c>
      <c r="F394" s="37" t="b">
        <v>1</v>
      </c>
      <c r="G394" s="37">
        <v>0</v>
      </c>
      <c r="H394" s="37" t="b">
        <v>0</v>
      </c>
    </row>
    <row r="395" spans="1:8" x14ac:dyDescent="0.3">
      <c r="A395" s="37" t="s">
        <v>4</v>
      </c>
      <c r="B395" s="38">
        <v>249000</v>
      </c>
      <c r="E395" s="37" t="b">
        <v>0</v>
      </c>
      <c r="F395" s="37" t="b">
        <v>1</v>
      </c>
      <c r="G395" s="37">
        <v>0</v>
      </c>
      <c r="H395" s="37" t="b">
        <v>0</v>
      </c>
    </row>
    <row r="396" spans="1:8" x14ac:dyDescent="0.3">
      <c r="A396" s="37" t="s">
        <v>2</v>
      </c>
      <c r="B396" s="38">
        <v>51014</v>
      </c>
      <c r="E396" s="37" t="b">
        <v>1</v>
      </c>
      <c r="F396" s="37" t="b">
        <v>1</v>
      </c>
      <c r="G396" s="37">
        <v>1</v>
      </c>
      <c r="H396" s="37">
        <v>51014</v>
      </c>
    </row>
    <row r="397" spans="1:8" x14ac:dyDescent="0.3">
      <c r="A397" s="37" t="s">
        <v>52</v>
      </c>
      <c r="B397" s="38">
        <v>79200</v>
      </c>
      <c r="E397" s="37" t="b">
        <v>0</v>
      </c>
      <c r="F397" s="37" t="b">
        <v>1</v>
      </c>
      <c r="G397" s="37">
        <v>0</v>
      </c>
      <c r="H397" s="37" t="b">
        <v>0</v>
      </c>
    </row>
    <row r="398" spans="1:8" x14ac:dyDescent="0.3">
      <c r="A398" s="37" t="s">
        <v>2</v>
      </c>
      <c r="B398" s="38">
        <v>111175</v>
      </c>
      <c r="E398" s="37" t="b">
        <v>1</v>
      </c>
      <c r="F398" s="37" t="b">
        <v>1</v>
      </c>
      <c r="G398" s="37">
        <v>1</v>
      </c>
      <c r="H398" s="37">
        <v>111175</v>
      </c>
    </row>
    <row r="399" spans="1:8" x14ac:dyDescent="0.3">
      <c r="A399" s="37" t="s">
        <v>0</v>
      </c>
      <c r="B399" s="38">
        <v>88128</v>
      </c>
      <c r="E399" s="37" t="b">
        <v>0</v>
      </c>
      <c r="F399" s="37" t="b">
        <v>1</v>
      </c>
      <c r="G399" s="37">
        <v>0</v>
      </c>
      <c r="H399" s="37" t="b">
        <v>0</v>
      </c>
    </row>
    <row r="400" spans="1:8" x14ac:dyDescent="0.3">
      <c r="A400" s="37" t="s">
        <v>4</v>
      </c>
      <c r="B400" s="38">
        <v>96773</v>
      </c>
      <c r="E400" s="37" t="b">
        <v>0</v>
      </c>
      <c r="F400" s="37" t="b">
        <v>1</v>
      </c>
      <c r="G400" s="37">
        <v>0</v>
      </c>
      <c r="H400" s="37" t="b">
        <v>0</v>
      </c>
    </row>
    <row r="401" spans="1:8" x14ac:dyDescent="0.3">
      <c r="A401" s="37" t="s">
        <v>4</v>
      </c>
      <c r="B401" s="38">
        <v>147500</v>
      </c>
      <c r="E401" s="37" t="b">
        <v>0</v>
      </c>
      <c r="F401" s="37" t="b">
        <v>1</v>
      </c>
      <c r="G401" s="37">
        <v>0</v>
      </c>
      <c r="H401" s="37" t="b">
        <v>0</v>
      </c>
    </row>
    <row r="402" spans="1:8" x14ac:dyDescent="0.3">
      <c r="A402" s="37" t="s">
        <v>1</v>
      </c>
      <c r="B402" s="38">
        <v>89100</v>
      </c>
      <c r="E402" s="37" t="b">
        <v>0</v>
      </c>
      <c r="F402" s="37" t="b">
        <v>1</v>
      </c>
      <c r="G402" s="37">
        <v>0</v>
      </c>
      <c r="H402" s="37" t="b">
        <v>0</v>
      </c>
    </row>
    <row r="403" spans="1:8" x14ac:dyDescent="0.3">
      <c r="A403" s="37" t="s">
        <v>0</v>
      </c>
      <c r="B403" s="38">
        <v>195249.5</v>
      </c>
      <c r="E403" s="37" t="b">
        <v>0</v>
      </c>
      <c r="F403" s="37" t="b">
        <v>1</v>
      </c>
      <c r="G403" s="37">
        <v>0</v>
      </c>
      <c r="H403" s="37" t="b">
        <v>0</v>
      </c>
    </row>
    <row r="404" spans="1:8" x14ac:dyDescent="0.3">
      <c r="A404" s="37" t="s">
        <v>0</v>
      </c>
      <c r="B404" s="38">
        <v>79200</v>
      </c>
      <c r="E404" s="37" t="b">
        <v>0</v>
      </c>
      <c r="F404" s="37" t="b">
        <v>1</v>
      </c>
      <c r="G404" s="37">
        <v>0</v>
      </c>
      <c r="H404" s="37" t="b">
        <v>0</v>
      </c>
    </row>
    <row r="405" spans="1:8" x14ac:dyDescent="0.3">
      <c r="A405" s="37" t="s">
        <v>4</v>
      </c>
      <c r="B405" s="38">
        <v>165000</v>
      </c>
      <c r="E405" s="37" t="b">
        <v>0</v>
      </c>
      <c r="F405" s="37" t="b">
        <v>1</v>
      </c>
      <c r="G405" s="37">
        <v>0</v>
      </c>
      <c r="H405" s="37" t="b">
        <v>0</v>
      </c>
    </row>
    <row r="406" spans="1:8" x14ac:dyDescent="0.3">
      <c r="A406" s="37" t="s">
        <v>128</v>
      </c>
      <c r="B406" s="38">
        <v>157500</v>
      </c>
      <c r="E406" s="37" t="b">
        <v>0</v>
      </c>
      <c r="F406" s="37" t="b">
        <v>1</v>
      </c>
      <c r="G406" s="37">
        <v>0</v>
      </c>
      <c r="H406" s="37" t="b">
        <v>0</v>
      </c>
    </row>
    <row r="407" spans="1:8" x14ac:dyDescent="0.3">
      <c r="A407" s="37" t="s">
        <v>0</v>
      </c>
      <c r="B407" s="38">
        <v>64821.5</v>
      </c>
      <c r="E407" s="37" t="b">
        <v>0</v>
      </c>
      <c r="F407" s="37" t="b">
        <v>1</v>
      </c>
      <c r="G407" s="37">
        <v>0</v>
      </c>
      <c r="H407" s="37" t="b">
        <v>0</v>
      </c>
    </row>
    <row r="408" spans="1:8" x14ac:dyDescent="0.3">
      <c r="A408" s="37" t="s">
        <v>126</v>
      </c>
      <c r="B408" s="38">
        <v>157500</v>
      </c>
      <c r="E408" s="37" t="b">
        <v>0</v>
      </c>
      <c r="F408" s="37" t="b">
        <v>1</v>
      </c>
      <c r="G408" s="37">
        <v>0</v>
      </c>
      <c r="H408" s="37" t="b">
        <v>0</v>
      </c>
    </row>
    <row r="409" spans="1:8" x14ac:dyDescent="0.3">
      <c r="A409" s="37" t="s">
        <v>1</v>
      </c>
      <c r="B409" s="38">
        <v>89100</v>
      </c>
      <c r="E409" s="37" t="b">
        <v>0</v>
      </c>
      <c r="F409" s="37" t="b">
        <v>1</v>
      </c>
      <c r="G409" s="37">
        <v>0</v>
      </c>
      <c r="H409" s="37" t="b">
        <v>0</v>
      </c>
    </row>
    <row r="410" spans="1:8" x14ac:dyDescent="0.3">
      <c r="A410" s="37" t="s">
        <v>4</v>
      </c>
      <c r="B410" s="38">
        <v>89100</v>
      </c>
      <c r="E410" s="37" t="b">
        <v>0</v>
      </c>
      <c r="F410" s="37" t="b">
        <v>1</v>
      </c>
      <c r="G410" s="37">
        <v>0</v>
      </c>
      <c r="H410" s="37" t="b">
        <v>0</v>
      </c>
    </row>
    <row r="411" spans="1:8" x14ac:dyDescent="0.3">
      <c r="A411" s="37" t="s">
        <v>4</v>
      </c>
      <c r="B411" s="38">
        <v>147500</v>
      </c>
      <c r="E411" s="37" t="b">
        <v>0</v>
      </c>
      <c r="F411" s="37" t="b">
        <v>1</v>
      </c>
      <c r="G411" s="37">
        <v>0</v>
      </c>
      <c r="H411" s="37" t="b">
        <v>0</v>
      </c>
    </row>
    <row r="412" spans="1:8" x14ac:dyDescent="0.3">
      <c r="A412" s="37" t="s">
        <v>129</v>
      </c>
      <c r="B412" s="38">
        <v>44418.5</v>
      </c>
      <c r="E412" s="37" t="b">
        <v>0</v>
      </c>
      <c r="F412" s="37" t="b">
        <v>1</v>
      </c>
      <c r="G412" s="37">
        <v>0</v>
      </c>
      <c r="H412" s="37" t="b">
        <v>0</v>
      </c>
    </row>
    <row r="413" spans="1:8" x14ac:dyDescent="0.3">
      <c r="A413" s="37" t="s">
        <v>128</v>
      </c>
      <c r="B413" s="38">
        <v>157500</v>
      </c>
      <c r="E413" s="37" t="b">
        <v>0</v>
      </c>
      <c r="F413" s="37" t="b">
        <v>1</v>
      </c>
      <c r="G413" s="37">
        <v>0</v>
      </c>
      <c r="H413" s="37" t="b">
        <v>0</v>
      </c>
    </row>
    <row r="414" spans="1:8" x14ac:dyDescent="0.3">
      <c r="A414" s="37" t="s">
        <v>1</v>
      </c>
      <c r="B414" s="38">
        <v>185500</v>
      </c>
      <c r="E414" s="37" t="b">
        <v>0</v>
      </c>
      <c r="F414" s="37" t="b">
        <v>1</v>
      </c>
      <c r="G414" s="37">
        <v>0</v>
      </c>
      <c r="H414" s="37" t="b">
        <v>0</v>
      </c>
    </row>
    <row r="415" spans="1:8" x14ac:dyDescent="0.3">
      <c r="A415" s="37" t="s">
        <v>126</v>
      </c>
      <c r="B415" s="38">
        <v>147500</v>
      </c>
      <c r="E415" s="37" t="b">
        <v>0</v>
      </c>
      <c r="F415" s="37" t="b">
        <v>1</v>
      </c>
      <c r="G415" s="37">
        <v>0</v>
      </c>
      <c r="H415" s="37" t="b">
        <v>0</v>
      </c>
    </row>
    <row r="416" spans="1:8" x14ac:dyDescent="0.3">
      <c r="A416" s="37" t="s">
        <v>126</v>
      </c>
      <c r="B416" s="38">
        <v>147500</v>
      </c>
      <c r="E416" s="37" t="b">
        <v>0</v>
      </c>
      <c r="F416" s="37" t="b">
        <v>1</v>
      </c>
      <c r="G416" s="37">
        <v>0</v>
      </c>
      <c r="H416" s="37" t="b">
        <v>0</v>
      </c>
    </row>
    <row r="417" spans="1:8" x14ac:dyDescent="0.3">
      <c r="A417" s="37" t="s">
        <v>128</v>
      </c>
      <c r="B417" s="38">
        <v>160000</v>
      </c>
      <c r="E417" s="37" t="b">
        <v>0</v>
      </c>
      <c r="F417" s="37" t="b">
        <v>1</v>
      </c>
      <c r="G417" s="37">
        <v>0</v>
      </c>
      <c r="H417" s="37" t="b">
        <v>0</v>
      </c>
    </row>
    <row r="418" spans="1:8" x14ac:dyDescent="0.3">
      <c r="A418" s="37" t="s">
        <v>2</v>
      </c>
      <c r="B418" s="38">
        <v>51014</v>
      </c>
      <c r="E418" s="37" t="b">
        <v>1</v>
      </c>
      <c r="F418" s="37" t="b">
        <v>1</v>
      </c>
      <c r="G418" s="37">
        <v>1</v>
      </c>
      <c r="H418" s="37">
        <v>51014</v>
      </c>
    </row>
    <row r="419" spans="1:8" x14ac:dyDescent="0.3">
      <c r="A419" s="37" t="s">
        <v>2</v>
      </c>
      <c r="B419" s="38">
        <v>98500</v>
      </c>
      <c r="E419" s="37" t="b">
        <v>1</v>
      </c>
      <c r="F419" s="37" t="b">
        <v>1</v>
      </c>
      <c r="G419" s="37">
        <v>1</v>
      </c>
      <c r="H419" s="37">
        <v>98500</v>
      </c>
    </row>
    <row r="420" spans="1:8" x14ac:dyDescent="0.3">
      <c r="A420" s="37" t="s">
        <v>125</v>
      </c>
      <c r="B420" s="38">
        <v>111175</v>
      </c>
      <c r="E420" s="37" t="b">
        <v>0</v>
      </c>
      <c r="F420" s="37" t="b">
        <v>1</v>
      </c>
      <c r="G420" s="37">
        <v>0</v>
      </c>
      <c r="H420" s="37" t="b">
        <v>0</v>
      </c>
    </row>
    <row r="421" spans="1:8" x14ac:dyDescent="0.3">
      <c r="A421" s="37" t="s">
        <v>0</v>
      </c>
      <c r="B421" s="38">
        <v>131867</v>
      </c>
      <c r="E421" s="37" t="b">
        <v>0</v>
      </c>
      <c r="F421" s="37" t="b">
        <v>1</v>
      </c>
      <c r="G421" s="37">
        <v>0</v>
      </c>
      <c r="H421" s="37" t="b">
        <v>0</v>
      </c>
    </row>
    <row r="422" spans="1:8" x14ac:dyDescent="0.3">
      <c r="A422" s="37" t="s">
        <v>0</v>
      </c>
      <c r="B422" s="38">
        <v>207500</v>
      </c>
      <c r="E422" s="37" t="b">
        <v>0</v>
      </c>
      <c r="F422" s="37" t="b">
        <v>1</v>
      </c>
      <c r="G422" s="37">
        <v>0</v>
      </c>
      <c r="H422" s="37" t="b">
        <v>0</v>
      </c>
    </row>
    <row r="423" spans="1:8" x14ac:dyDescent="0.3">
      <c r="A423" s="37" t="s">
        <v>0</v>
      </c>
      <c r="B423" s="38">
        <v>157500</v>
      </c>
      <c r="E423" s="37" t="b">
        <v>0</v>
      </c>
      <c r="F423" s="37" t="b">
        <v>1</v>
      </c>
      <c r="G423" s="37">
        <v>0</v>
      </c>
      <c r="H423" s="37" t="b">
        <v>0</v>
      </c>
    </row>
    <row r="424" spans="1:8" x14ac:dyDescent="0.3">
      <c r="A424" s="37" t="s">
        <v>4</v>
      </c>
      <c r="B424" s="38">
        <v>147500</v>
      </c>
      <c r="E424" s="37" t="b">
        <v>0</v>
      </c>
      <c r="F424" s="37" t="b">
        <v>1</v>
      </c>
      <c r="G424" s="37">
        <v>0</v>
      </c>
      <c r="H424" s="37" t="b">
        <v>0</v>
      </c>
    </row>
    <row r="425" spans="1:8" x14ac:dyDescent="0.3">
      <c r="A425" s="37" t="s">
        <v>0</v>
      </c>
      <c r="B425" s="38">
        <v>147500</v>
      </c>
      <c r="E425" s="37" t="b">
        <v>0</v>
      </c>
      <c r="F425" s="37" t="b">
        <v>1</v>
      </c>
      <c r="G425" s="37">
        <v>0</v>
      </c>
      <c r="H425" s="37" t="b">
        <v>0</v>
      </c>
    </row>
    <row r="426" spans="1:8" x14ac:dyDescent="0.3">
      <c r="A426" s="37" t="s">
        <v>2</v>
      </c>
      <c r="B426" s="38">
        <v>51014</v>
      </c>
      <c r="E426" s="37" t="b">
        <v>1</v>
      </c>
      <c r="F426" s="37" t="b">
        <v>1</v>
      </c>
      <c r="G426" s="37">
        <v>1</v>
      </c>
      <c r="H426" s="37">
        <v>51014</v>
      </c>
    </row>
    <row r="427" spans="1:8" x14ac:dyDescent="0.3">
      <c r="A427" s="37" t="s">
        <v>0</v>
      </c>
      <c r="B427" s="38">
        <v>64821.5</v>
      </c>
      <c r="E427" s="37" t="b">
        <v>0</v>
      </c>
      <c r="F427" s="37" t="b">
        <v>1</v>
      </c>
      <c r="G427" s="37">
        <v>0</v>
      </c>
      <c r="H427" s="37" t="b">
        <v>0</v>
      </c>
    </row>
    <row r="428" spans="1:8" x14ac:dyDescent="0.3">
      <c r="A428" s="37" t="s">
        <v>125</v>
      </c>
      <c r="B428" s="38">
        <v>111175</v>
      </c>
      <c r="E428" s="37" t="b">
        <v>0</v>
      </c>
      <c r="F428" s="37" t="b">
        <v>1</v>
      </c>
      <c r="G428" s="37">
        <v>0</v>
      </c>
      <c r="H428" s="37" t="b">
        <v>0</v>
      </c>
    </row>
    <row r="429" spans="1:8" x14ac:dyDescent="0.3">
      <c r="A429" s="37" t="s">
        <v>2</v>
      </c>
      <c r="B429" s="38">
        <v>111175</v>
      </c>
      <c r="E429" s="37" t="b">
        <v>1</v>
      </c>
      <c r="F429" s="37" t="b">
        <v>1</v>
      </c>
      <c r="G429" s="37">
        <v>1</v>
      </c>
      <c r="H429" s="37">
        <v>111175</v>
      </c>
    </row>
    <row r="430" spans="1:8" x14ac:dyDescent="0.3">
      <c r="A430" s="37" t="s">
        <v>1</v>
      </c>
      <c r="B430" s="38">
        <v>166000</v>
      </c>
      <c r="E430" s="37" t="b">
        <v>0</v>
      </c>
      <c r="F430" s="37" t="b">
        <v>1</v>
      </c>
      <c r="G430" s="37">
        <v>0</v>
      </c>
      <c r="H430" s="37" t="b">
        <v>0</v>
      </c>
    </row>
    <row r="431" spans="1:8" x14ac:dyDescent="0.3">
      <c r="A431" s="37" t="s">
        <v>4</v>
      </c>
      <c r="B431" s="38">
        <v>50400</v>
      </c>
      <c r="E431" s="37" t="b">
        <v>0</v>
      </c>
      <c r="F431" s="37" t="b">
        <v>1</v>
      </c>
      <c r="G431" s="37">
        <v>0</v>
      </c>
      <c r="H431" s="37" t="b">
        <v>0</v>
      </c>
    </row>
    <row r="432" spans="1:8" x14ac:dyDescent="0.3">
      <c r="A432" s="37" t="s">
        <v>4</v>
      </c>
      <c r="B432" s="38">
        <v>147500</v>
      </c>
      <c r="E432" s="37" t="b">
        <v>0</v>
      </c>
      <c r="F432" s="37" t="b">
        <v>1</v>
      </c>
      <c r="G432" s="37">
        <v>0</v>
      </c>
      <c r="H432" s="37" t="b">
        <v>0</v>
      </c>
    </row>
    <row r="433" spans="1:8" x14ac:dyDescent="0.3">
      <c r="A433" s="37" t="s">
        <v>126</v>
      </c>
      <c r="B433" s="38">
        <v>147500</v>
      </c>
      <c r="E433" s="37" t="b">
        <v>0</v>
      </c>
      <c r="F433" s="37" t="b">
        <v>1</v>
      </c>
      <c r="G433" s="37">
        <v>0</v>
      </c>
      <c r="H433" s="37" t="b">
        <v>0</v>
      </c>
    </row>
    <row r="434" spans="1:8" x14ac:dyDescent="0.3">
      <c r="A434" s="37" t="s">
        <v>52</v>
      </c>
      <c r="B434" s="38">
        <v>63000</v>
      </c>
      <c r="E434" s="37" t="b">
        <v>0</v>
      </c>
      <c r="F434" s="37" t="b">
        <v>1</v>
      </c>
      <c r="G434" s="37">
        <v>0</v>
      </c>
      <c r="H434" s="37" t="b">
        <v>0</v>
      </c>
    </row>
    <row r="435" spans="1:8" x14ac:dyDescent="0.3">
      <c r="A435" s="37" t="s">
        <v>0</v>
      </c>
      <c r="B435" s="38">
        <v>88128</v>
      </c>
      <c r="E435" s="37" t="b">
        <v>0</v>
      </c>
      <c r="F435" s="37" t="b">
        <v>1</v>
      </c>
      <c r="G435" s="37">
        <v>0</v>
      </c>
      <c r="H435" s="37" t="b">
        <v>0</v>
      </c>
    </row>
    <row r="436" spans="1:8" x14ac:dyDescent="0.3">
      <c r="A436" s="37" t="s">
        <v>0</v>
      </c>
      <c r="B436" s="38">
        <v>56700</v>
      </c>
      <c r="E436" s="37" t="b">
        <v>0</v>
      </c>
      <c r="F436" s="37" t="b">
        <v>1</v>
      </c>
      <c r="G436" s="37">
        <v>0</v>
      </c>
      <c r="H436" s="37" t="b">
        <v>0</v>
      </c>
    </row>
    <row r="437" spans="1:8" x14ac:dyDescent="0.3">
      <c r="A437" s="37" t="s">
        <v>0</v>
      </c>
      <c r="B437" s="38">
        <v>157500</v>
      </c>
      <c r="E437" s="37" t="b">
        <v>0</v>
      </c>
      <c r="F437" s="37" t="b">
        <v>1</v>
      </c>
      <c r="G437" s="37">
        <v>0</v>
      </c>
      <c r="H437" s="37" t="b">
        <v>0</v>
      </c>
    </row>
    <row r="438" spans="1:8" x14ac:dyDescent="0.3">
      <c r="A438" s="37" t="s">
        <v>4</v>
      </c>
      <c r="B438" s="38">
        <v>147500</v>
      </c>
      <c r="E438" s="37" t="b">
        <v>0</v>
      </c>
      <c r="F438" s="37" t="b">
        <v>1</v>
      </c>
      <c r="G438" s="37">
        <v>0</v>
      </c>
      <c r="H438" s="37" t="b">
        <v>0</v>
      </c>
    </row>
    <row r="439" spans="1:8" x14ac:dyDescent="0.3">
      <c r="A439" s="37" t="s">
        <v>2</v>
      </c>
      <c r="B439" s="38">
        <v>99150</v>
      </c>
      <c r="E439" s="37" t="b">
        <v>1</v>
      </c>
      <c r="F439" s="37" t="b">
        <v>1</v>
      </c>
      <c r="G439" s="37">
        <v>1</v>
      </c>
      <c r="H439" s="37">
        <v>99150</v>
      </c>
    </row>
    <row r="440" spans="1:8" x14ac:dyDescent="0.3">
      <c r="A440" s="37" t="s">
        <v>126</v>
      </c>
      <c r="B440" s="38">
        <v>147500</v>
      </c>
      <c r="E440" s="37" t="b">
        <v>0</v>
      </c>
      <c r="F440" s="37" t="b">
        <v>1</v>
      </c>
      <c r="G440" s="37">
        <v>0</v>
      </c>
      <c r="H440" s="37" t="b">
        <v>0</v>
      </c>
    </row>
    <row r="441" spans="1:8" x14ac:dyDescent="0.3">
      <c r="A441" s="37" t="s">
        <v>2</v>
      </c>
      <c r="B441" s="38">
        <v>165000</v>
      </c>
      <c r="E441" s="37" t="b">
        <v>1</v>
      </c>
      <c r="F441" s="37" t="b">
        <v>1</v>
      </c>
      <c r="G441" s="37">
        <v>1</v>
      </c>
      <c r="H441" s="37">
        <v>165000</v>
      </c>
    </row>
    <row r="442" spans="1:8" x14ac:dyDescent="0.3">
      <c r="A442" s="37" t="s">
        <v>4</v>
      </c>
      <c r="B442" s="38">
        <v>147500</v>
      </c>
      <c r="E442" s="37" t="b">
        <v>0</v>
      </c>
      <c r="F442" s="37" t="b">
        <v>1</v>
      </c>
      <c r="G442" s="37">
        <v>0</v>
      </c>
      <c r="H442" s="37" t="b">
        <v>0</v>
      </c>
    </row>
    <row r="443" spans="1:8" x14ac:dyDescent="0.3">
      <c r="A443" s="37" t="s">
        <v>2</v>
      </c>
      <c r="B443" s="38">
        <v>51014</v>
      </c>
      <c r="E443" s="37" t="b">
        <v>1</v>
      </c>
      <c r="F443" s="37" t="b">
        <v>1</v>
      </c>
      <c r="G443" s="37">
        <v>1</v>
      </c>
      <c r="H443" s="37">
        <v>51014</v>
      </c>
    </row>
    <row r="444" spans="1:8" x14ac:dyDescent="0.3">
      <c r="A444" s="37" t="s">
        <v>0</v>
      </c>
      <c r="B444" s="38">
        <v>56700</v>
      </c>
      <c r="E444" s="37" t="b">
        <v>0</v>
      </c>
      <c r="F444" s="37" t="b">
        <v>1</v>
      </c>
      <c r="G444" s="37">
        <v>0</v>
      </c>
      <c r="H444" s="37" t="b">
        <v>0</v>
      </c>
    </row>
    <row r="445" spans="1:8" x14ac:dyDescent="0.3">
      <c r="A445" s="37" t="s">
        <v>2</v>
      </c>
      <c r="B445" s="38">
        <v>147500</v>
      </c>
      <c r="E445" s="37" t="b">
        <v>1</v>
      </c>
      <c r="F445" s="37" t="b">
        <v>1</v>
      </c>
      <c r="G445" s="37">
        <v>1</v>
      </c>
      <c r="H445" s="37">
        <v>147500</v>
      </c>
    </row>
    <row r="446" spans="1:8" x14ac:dyDescent="0.3">
      <c r="A446" s="37" t="s">
        <v>0</v>
      </c>
      <c r="B446" s="38">
        <v>64821.5</v>
      </c>
      <c r="E446" s="37" t="b">
        <v>0</v>
      </c>
      <c r="F446" s="37" t="b">
        <v>1</v>
      </c>
      <c r="G446" s="37">
        <v>0</v>
      </c>
      <c r="H446" s="37" t="b">
        <v>0</v>
      </c>
    </row>
    <row r="447" spans="1:8" x14ac:dyDescent="0.3">
      <c r="A447" s="37" t="s">
        <v>4</v>
      </c>
      <c r="B447" s="38">
        <v>209500</v>
      </c>
      <c r="E447" s="37" t="b">
        <v>0</v>
      </c>
      <c r="F447" s="37" t="b">
        <v>1</v>
      </c>
      <c r="G447" s="37">
        <v>0</v>
      </c>
      <c r="H447" s="37" t="b">
        <v>0</v>
      </c>
    </row>
    <row r="448" spans="1:8" x14ac:dyDescent="0.3">
      <c r="A448" s="37" t="s">
        <v>0</v>
      </c>
      <c r="B448" s="38">
        <v>64821.5</v>
      </c>
      <c r="E448" s="37" t="b">
        <v>0</v>
      </c>
      <c r="F448" s="37" t="b">
        <v>1</v>
      </c>
      <c r="G448" s="37">
        <v>0</v>
      </c>
      <c r="H448" s="37" t="b">
        <v>0</v>
      </c>
    </row>
    <row r="449" spans="1:8" x14ac:dyDescent="0.3">
      <c r="A449" s="37" t="s">
        <v>1</v>
      </c>
      <c r="B449" s="38">
        <v>166000</v>
      </c>
      <c r="E449" s="37" t="b">
        <v>0</v>
      </c>
      <c r="F449" s="37" t="b">
        <v>1</v>
      </c>
      <c r="G449" s="37">
        <v>0</v>
      </c>
      <c r="H449" s="37" t="b">
        <v>0</v>
      </c>
    </row>
    <row r="450" spans="1:8" x14ac:dyDescent="0.3">
      <c r="A450" s="37" t="s">
        <v>2</v>
      </c>
      <c r="B450" s="38">
        <v>200000</v>
      </c>
      <c r="E450" s="37" t="b">
        <v>1</v>
      </c>
      <c r="F450" s="37" t="b">
        <v>1</v>
      </c>
      <c r="G450" s="37">
        <v>1</v>
      </c>
      <c r="H450" s="37">
        <v>200000</v>
      </c>
    </row>
    <row r="451" spans="1:8" x14ac:dyDescent="0.3">
      <c r="A451" s="37" t="s">
        <v>2</v>
      </c>
      <c r="B451" s="38">
        <v>44100</v>
      </c>
      <c r="E451" s="37" t="b">
        <v>1</v>
      </c>
      <c r="F451" s="37" t="b">
        <v>1</v>
      </c>
      <c r="G451" s="37">
        <v>1</v>
      </c>
      <c r="H451" s="37">
        <v>44100</v>
      </c>
    </row>
    <row r="452" spans="1:8" x14ac:dyDescent="0.3">
      <c r="A452" s="37" t="s">
        <v>0</v>
      </c>
      <c r="B452" s="38">
        <v>192000</v>
      </c>
      <c r="E452" s="37" t="b">
        <v>0</v>
      </c>
      <c r="F452" s="37" t="b">
        <v>1</v>
      </c>
      <c r="G452" s="37">
        <v>0</v>
      </c>
      <c r="H452" s="37" t="b">
        <v>0</v>
      </c>
    </row>
    <row r="453" spans="1:8" x14ac:dyDescent="0.3">
      <c r="A453" s="37" t="s">
        <v>4</v>
      </c>
      <c r="B453" s="38">
        <v>147500</v>
      </c>
      <c r="E453" s="37" t="b">
        <v>0</v>
      </c>
      <c r="F453" s="37" t="b">
        <v>1</v>
      </c>
      <c r="G453" s="37">
        <v>0</v>
      </c>
      <c r="H453" s="37" t="b">
        <v>0</v>
      </c>
    </row>
    <row r="454" spans="1:8" x14ac:dyDescent="0.3">
      <c r="A454" s="37" t="s">
        <v>2</v>
      </c>
      <c r="B454" s="38">
        <v>165000</v>
      </c>
      <c r="E454" s="37" t="b">
        <v>1</v>
      </c>
      <c r="F454" s="37" t="b">
        <v>1</v>
      </c>
      <c r="G454" s="37">
        <v>1</v>
      </c>
      <c r="H454" s="37">
        <v>165000</v>
      </c>
    </row>
    <row r="455" spans="1:8" x14ac:dyDescent="0.3">
      <c r="A455" s="37" t="s">
        <v>2</v>
      </c>
      <c r="B455" s="38">
        <v>51014</v>
      </c>
      <c r="E455" s="37" t="b">
        <v>1</v>
      </c>
      <c r="F455" s="37" t="b">
        <v>1</v>
      </c>
      <c r="G455" s="37">
        <v>1</v>
      </c>
      <c r="H455" s="37">
        <v>51014</v>
      </c>
    </row>
    <row r="456" spans="1:8" x14ac:dyDescent="0.3">
      <c r="A456" s="37" t="s">
        <v>125</v>
      </c>
      <c r="B456" s="38">
        <v>99150</v>
      </c>
      <c r="E456" s="37" t="b">
        <v>0</v>
      </c>
      <c r="F456" s="37" t="b">
        <v>1</v>
      </c>
      <c r="G456" s="37">
        <v>0</v>
      </c>
      <c r="H456" s="37" t="b">
        <v>0</v>
      </c>
    </row>
    <row r="457" spans="1:8" x14ac:dyDescent="0.3">
      <c r="A457" s="37" t="s">
        <v>0</v>
      </c>
      <c r="B457" s="38">
        <v>80850</v>
      </c>
      <c r="E457" s="37" t="b">
        <v>0</v>
      </c>
      <c r="F457" s="37" t="b">
        <v>1</v>
      </c>
      <c r="G457" s="37">
        <v>0</v>
      </c>
      <c r="H457" s="37" t="b">
        <v>0</v>
      </c>
    </row>
    <row r="458" spans="1:8" x14ac:dyDescent="0.3">
      <c r="A458" s="37" t="s">
        <v>0</v>
      </c>
      <c r="B458" s="38">
        <v>147500</v>
      </c>
      <c r="E458" s="37" t="b">
        <v>0</v>
      </c>
      <c r="F458" s="37" t="b">
        <v>1</v>
      </c>
      <c r="G458" s="37">
        <v>0</v>
      </c>
      <c r="H458" s="37" t="b">
        <v>0</v>
      </c>
    </row>
    <row r="459" spans="1:8" x14ac:dyDescent="0.3">
      <c r="A459" s="37" t="s">
        <v>128</v>
      </c>
      <c r="B459" s="38">
        <v>157500</v>
      </c>
      <c r="E459" s="37" t="b">
        <v>0</v>
      </c>
      <c r="F459" s="37" t="b">
        <v>1</v>
      </c>
      <c r="G459" s="37">
        <v>0</v>
      </c>
      <c r="H459" s="37" t="b">
        <v>0</v>
      </c>
    </row>
    <row r="460" spans="1:8" x14ac:dyDescent="0.3">
      <c r="A460" s="37" t="s">
        <v>2</v>
      </c>
      <c r="B460" s="38">
        <v>72900</v>
      </c>
      <c r="E460" s="37" t="b">
        <v>1</v>
      </c>
      <c r="F460" s="37" t="b">
        <v>1</v>
      </c>
      <c r="G460" s="37">
        <v>1</v>
      </c>
      <c r="H460" s="37">
        <v>72900</v>
      </c>
    </row>
    <row r="461" spans="1:8" x14ac:dyDescent="0.3">
      <c r="A461" s="37" t="s">
        <v>4</v>
      </c>
      <c r="B461" s="38">
        <v>99150</v>
      </c>
      <c r="E461" s="37" t="b">
        <v>0</v>
      </c>
      <c r="F461" s="37" t="b">
        <v>1</v>
      </c>
      <c r="G461" s="37">
        <v>0</v>
      </c>
      <c r="H461" s="37" t="b">
        <v>0</v>
      </c>
    </row>
    <row r="462" spans="1:8" x14ac:dyDescent="0.3">
      <c r="A462" s="37" t="s">
        <v>126</v>
      </c>
      <c r="B462" s="38">
        <v>147500</v>
      </c>
      <c r="E462" s="37" t="b">
        <v>0</v>
      </c>
      <c r="F462" s="37" t="b">
        <v>1</v>
      </c>
      <c r="G462" s="37">
        <v>0</v>
      </c>
      <c r="H462" s="37" t="b">
        <v>0</v>
      </c>
    </row>
    <row r="463" spans="1:8" x14ac:dyDescent="0.3">
      <c r="A463" s="37" t="s">
        <v>128</v>
      </c>
      <c r="B463" s="38">
        <v>105300</v>
      </c>
      <c r="E463" s="37" t="b">
        <v>0</v>
      </c>
      <c r="F463" s="37" t="b">
        <v>1</v>
      </c>
      <c r="G463" s="37">
        <v>0</v>
      </c>
      <c r="H463" s="37" t="b">
        <v>0</v>
      </c>
    </row>
    <row r="464" spans="1:8" x14ac:dyDescent="0.3">
      <c r="A464" s="37" t="s">
        <v>128</v>
      </c>
      <c r="B464" s="38">
        <v>158500</v>
      </c>
      <c r="E464" s="37" t="b">
        <v>0</v>
      </c>
      <c r="F464" s="37" t="b">
        <v>1</v>
      </c>
      <c r="G464" s="37">
        <v>0</v>
      </c>
      <c r="H464" s="37" t="b">
        <v>0</v>
      </c>
    </row>
    <row r="465" spans="1:8" x14ac:dyDescent="0.3">
      <c r="A465" s="37" t="s">
        <v>2</v>
      </c>
      <c r="B465" s="38">
        <v>102500</v>
      </c>
      <c r="E465" s="37" t="b">
        <v>1</v>
      </c>
      <c r="F465" s="37" t="b">
        <v>1</v>
      </c>
      <c r="G465" s="37">
        <v>1</v>
      </c>
      <c r="H465" s="37">
        <v>102500</v>
      </c>
    </row>
    <row r="466" spans="1:8" x14ac:dyDescent="0.3">
      <c r="A466" s="37" t="s">
        <v>128</v>
      </c>
      <c r="B466" s="38">
        <v>157500</v>
      </c>
      <c r="E466" s="37" t="b">
        <v>0</v>
      </c>
      <c r="F466" s="37" t="b">
        <v>1</v>
      </c>
      <c r="G466" s="37">
        <v>0</v>
      </c>
      <c r="H466" s="37" t="b">
        <v>0</v>
      </c>
    </row>
    <row r="467" spans="1:8" x14ac:dyDescent="0.3">
      <c r="A467" s="37" t="s">
        <v>0</v>
      </c>
      <c r="B467" s="38">
        <v>157500</v>
      </c>
      <c r="E467" s="37" t="b">
        <v>0</v>
      </c>
      <c r="F467" s="37" t="b">
        <v>1</v>
      </c>
      <c r="G467" s="37">
        <v>0</v>
      </c>
      <c r="H467" s="37" t="b">
        <v>0</v>
      </c>
    </row>
    <row r="468" spans="1:8" x14ac:dyDescent="0.3">
      <c r="A468" s="37" t="s">
        <v>2</v>
      </c>
      <c r="B468" s="38">
        <v>51014</v>
      </c>
      <c r="E468" s="37" t="b">
        <v>1</v>
      </c>
      <c r="F468" s="37" t="b">
        <v>1</v>
      </c>
      <c r="G468" s="37">
        <v>1</v>
      </c>
      <c r="H468" s="37">
        <v>51014</v>
      </c>
    </row>
    <row r="469" spans="1:8" x14ac:dyDescent="0.3">
      <c r="A469" s="37" t="s">
        <v>0</v>
      </c>
      <c r="B469" s="38">
        <v>131867</v>
      </c>
      <c r="E469" s="37" t="b">
        <v>0</v>
      </c>
      <c r="F469" s="37" t="b">
        <v>1</v>
      </c>
      <c r="G469" s="37">
        <v>0</v>
      </c>
      <c r="H469" s="37" t="b">
        <v>0</v>
      </c>
    </row>
    <row r="470" spans="1:8" x14ac:dyDescent="0.3">
      <c r="A470" s="37" t="s">
        <v>2</v>
      </c>
      <c r="B470" s="38">
        <v>44100</v>
      </c>
      <c r="E470" s="37" t="b">
        <v>1</v>
      </c>
      <c r="F470" s="37" t="b">
        <v>1</v>
      </c>
      <c r="G470" s="37">
        <v>1</v>
      </c>
      <c r="H470" s="37">
        <v>44100</v>
      </c>
    </row>
    <row r="471" spans="1:8" x14ac:dyDescent="0.3">
      <c r="A471" s="37" t="s">
        <v>0</v>
      </c>
      <c r="B471" s="38">
        <v>157500</v>
      </c>
      <c r="E471" s="37" t="b">
        <v>0</v>
      </c>
      <c r="F471" s="37" t="b">
        <v>1</v>
      </c>
      <c r="G471" s="37">
        <v>0</v>
      </c>
      <c r="H471" s="37" t="b">
        <v>0</v>
      </c>
    </row>
    <row r="472" spans="1:8" x14ac:dyDescent="0.3">
      <c r="A472" s="37" t="s">
        <v>128</v>
      </c>
      <c r="B472" s="38">
        <v>89100</v>
      </c>
      <c r="E472" s="37" t="b">
        <v>0</v>
      </c>
      <c r="F472" s="37" t="b">
        <v>1</v>
      </c>
      <c r="G472" s="37">
        <v>0</v>
      </c>
      <c r="H472" s="37" t="b">
        <v>0</v>
      </c>
    </row>
    <row r="473" spans="1:8" x14ac:dyDescent="0.3">
      <c r="A473" s="37" t="s">
        <v>52</v>
      </c>
      <c r="B473" s="38">
        <v>63000</v>
      </c>
      <c r="E473" s="37" t="b">
        <v>0</v>
      </c>
      <c r="F473" s="37" t="b">
        <v>1</v>
      </c>
      <c r="G473" s="37">
        <v>0</v>
      </c>
      <c r="H473" s="37" t="b">
        <v>0</v>
      </c>
    </row>
    <row r="474" spans="1:8" x14ac:dyDescent="0.3">
      <c r="A474" s="37" t="s">
        <v>126</v>
      </c>
      <c r="B474" s="38">
        <v>147500</v>
      </c>
      <c r="E474" s="37" t="b">
        <v>0</v>
      </c>
      <c r="F474" s="37" t="b">
        <v>1</v>
      </c>
      <c r="G474" s="37">
        <v>0</v>
      </c>
      <c r="H474" s="37" t="b">
        <v>0</v>
      </c>
    </row>
    <row r="475" spans="1:8" x14ac:dyDescent="0.3">
      <c r="A475" s="37" t="s">
        <v>125</v>
      </c>
      <c r="B475" s="38">
        <v>49566.5</v>
      </c>
      <c r="E475" s="37" t="b">
        <v>0</v>
      </c>
      <c r="F475" s="37" t="b">
        <v>1</v>
      </c>
      <c r="G475" s="37">
        <v>0</v>
      </c>
      <c r="H475" s="37" t="b">
        <v>0</v>
      </c>
    </row>
    <row r="476" spans="1:8" x14ac:dyDescent="0.3">
      <c r="A476" s="37" t="s">
        <v>2</v>
      </c>
      <c r="B476" s="38">
        <v>89100</v>
      </c>
      <c r="E476" s="37" t="b">
        <v>1</v>
      </c>
      <c r="F476" s="37" t="b">
        <v>1</v>
      </c>
      <c r="G476" s="37">
        <v>1</v>
      </c>
      <c r="H476" s="37">
        <v>89100</v>
      </c>
    </row>
    <row r="477" spans="1:8" x14ac:dyDescent="0.3">
      <c r="A477" s="37" t="s">
        <v>4</v>
      </c>
      <c r="B477" s="38">
        <v>98283</v>
      </c>
      <c r="E477" s="37" t="b">
        <v>0</v>
      </c>
      <c r="F477" s="37" t="b">
        <v>1</v>
      </c>
      <c r="G477" s="37">
        <v>0</v>
      </c>
      <c r="H477" s="37" t="b">
        <v>0</v>
      </c>
    </row>
    <row r="478" spans="1:8" x14ac:dyDescent="0.3">
      <c r="A478" s="37" t="s">
        <v>4</v>
      </c>
      <c r="B478" s="38">
        <v>200000</v>
      </c>
      <c r="E478" s="37" t="b">
        <v>0</v>
      </c>
      <c r="F478" s="37" t="b">
        <v>1</v>
      </c>
      <c r="G478" s="37">
        <v>0</v>
      </c>
      <c r="H478" s="37" t="b">
        <v>0</v>
      </c>
    </row>
    <row r="479" spans="1:8" x14ac:dyDescent="0.3">
      <c r="A479" s="37" t="s">
        <v>125</v>
      </c>
      <c r="B479" s="38">
        <v>167000</v>
      </c>
      <c r="E479" s="37" t="b">
        <v>0</v>
      </c>
      <c r="F479" s="37" t="b">
        <v>1</v>
      </c>
      <c r="G479" s="37">
        <v>0</v>
      </c>
      <c r="H479" s="37" t="b">
        <v>0</v>
      </c>
    </row>
    <row r="480" spans="1:8" x14ac:dyDescent="0.3">
      <c r="A480" s="37" t="s">
        <v>0</v>
      </c>
      <c r="B480" s="38">
        <v>79200</v>
      </c>
      <c r="E480" s="37" t="b">
        <v>0</v>
      </c>
      <c r="F480" s="37" t="b">
        <v>1</v>
      </c>
      <c r="G480" s="37">
        <v>0</v>
      </c>
      <c r="H480" s="37" t="b">
        <v>0</v>
      </c>
    </row>
    <row r="481" spans="1:8" x14ac:dyDescent="0.3">
      <c r="A481" s="37" t="s">
        <v>2</v>
      </c>
      <c r="B481" s="38">
        <v>51014</v>
      </c>
      <c r="E481" s="37" t="b">
        <v>1</v>
      </c>
      <c r="F481" s="37" t="b">
        <v>1</v>
      </c>
      <c r="G481" s="37">
        <v>1</v>
      </c>
      <c r="H481" s="37">
        <v>51014</v>
      </c>
    </row>
    <row r="482" spans="1:8" x14ac:dyDescent="0.3">
      <c r="A482" s="37" t="s">
        <v>1</v>
      </c>
      <c r="B482" s="38">
        <v>166000</v>
      </c>
      <c r="E482" s="37" t="b">
        <v>0</v>
      </c>
      <c r="F482" s="37" t="b">
        <v>1</v>
      </c>
      <c r="G482" s="37">
        <v>0</v>
      </c>
      <c r="H482" s="37" t="b">
        <v>0</v>
      </c>
    </row>
    <row r="483" spans="1:8" x14ac:dyDescent="0.3">
      <c r="A483" s="37" t="s">
        <v>0</v>
      </c>
      <c r="B483" s="38">
        <v>64821.5</v>
      </c>
      <c r="E483" s="37" t="b">
        <v>0</v>
      </c>
      <c r="F483" s="37" t="b">
        <v>1</v>
      </c>
      <c r="G483" s="37">
        <v>0</v>
      </c>
      <c r="H483" s="37" t="b">
        <v>0</v>
      </c>
    </row>
    <row r="484" spans="1:8" x14ac:dyDescent="0.3">
      <c r="A484" s="37" t="s">
        <v>128</v>
      </c>
      <c r="B484" s="38">
        <v>157500</v>
      </c>
      <c r="E484" s="37" t="b">
        <v>0</v>
      </c>
      <c r="F484" s="37" t="b">
        <v>1</v>
      </c>
      <c r="G484" s="37">
        <v>0</v>
      </c>
      <c r="H484" s="37" t="b">
        <v>0</v>
      </c>
    </row>
    <row r="485" spans="1:8" x14ac:dyDescent="0.3">
      <c r="A485" s="37" t="s">
        <v>4</v>
      </c>
      <c r="B485" s="38">
        <v>147500</v>
      </c>
      <c r="E485" s="37" t="b">
        <v>0</v>
      </c>
      <c r="F485" s="37" t="b">
        <v>1</v>
      </c>
      <c r="G485" s="37">
        <v>0</v>
      </c>
      <c r="H485" s="37" t="b">
        <v>0</v>
      </c>
    </row>
    <row r="486" spans="1:8" x14ac:dyDescent="0.3">
      <c r="A486" s="37" t="s">
        <v>0</v>
      </c>
      <c r="B486" s="38">
        <v>89100</v>
      </c>
      <c r="E486" s="37" t="b">
        <v>0</v>
      </c>
      <c r="F486" s="37" t="b">
        <v>1</v>
      </c>
      <c r="G486" s="37">
        <v>0</v>
      </c>
      <c r="H486" s="37" t="b">
        <v>0</v>
      </c>
    </row>
    <row r="487" spans="1:8" x14ac:dyDescent="0.3">
      <c r="A487" s="37" t="s">
        <v>4</v>
      </c>
      <c r="B487" s="38">
        <v>98283</v>
      </c>
      <c r="E487" s="37" t="b">
        <v>0</v>
      </c>
      <c r="F487" s="37" t="b">
        <v>1</v>
      </c>
      <c r="G487" s="37">
        <v>0</v>
      </c>
      <c r="H487" s="37" t="b">
        <v>0</v>
      </c>
    </row>
    <row r="488" spans="1:8" x14ac:dyDescent="0.3">
      <c r="A488" s="37" t="s">
        <v>0</v>
      </c>
      <c r="B488" s="38">
        <v>157500</v>
      </c>
      <c r="E488" s="37" t="b">
        <v>0</v>
      </c>
      <c r="F488" s="37" t="b">
        <v>1</v>
      </c>
      <c r="G488" s="37">
        <v>0</v>
      </c>
      <c r="H488" s="37" t="b">
        <v>0</v>
      </c>
    </row>
    <row r="489" spans="1:8" x14ac:dyDescent="0.3">
      <c r="A489" s="37" t="s">
        <v>0</v>
      </c>
      <c r="B489" s="38">
        <v>93600</v>
      </c>
      <c r="E489" s="37" t="b">
        <v>0</v>
      </c>
      <c r="F489" s="37" t="b">
        <v>1</v>
      </c>
      <c r="G489" s="37">
        <v>0</v>
      </c>
      <c r="H489" s="37" t="b">
        <v>0</v>
      </c>
    </row>
    <row r="490" spans="1:8" x14ac:dyDescent="0.3">
      <c r="A490" s="37" t="s">
        <v>1</v>
      </c>
      <c r="B490" s="38">
        <v>79200</v>
      </c>
      <c r="E490" s="37" t="b">
        <v>0</v>
      </c>
      <c r="F490" s="37" t="b">
        <v>1</v>
      </c>
      <c r="G490" s="37">
        <v>0</v>
      </c>
      <c r="H490" s="37" t="b">
        <v>0</v>
      </c>
    </row>
    <row r="491" spans="1:8" x14ac:dyDescent="0.3">
      <c r="A491" s="37" t="s">
        <v>126</v>
      </c>
      <c r="B491" s="38">
        <v>147500</v>
      </c>
      <c r="E491" s="37" t="b">
        <v>0</v>
      </c>
      <c r="F491" s="37" t="b">
        <v>1</v>
      </c>
      <c r="G491" s="37">
        <v>0</v>
      </c>
      <c r="H491" s="37" t="b">
        <v>0</v>
      </c>
    </row>
    <row r="492" spans="1:8" x14ac:dyDescent="0.3">
      <c r="A492" s="37" t="s">
        <v>126</v>
      </c>
      <c r="B492" s="38">
        <v>147500</v>
      </c>
      <c r="E492" s="37" t="b">
        <v>0</v>
      </c>
      <c r="F492" s="37" t="b">
        <v>1</v>
      </c>
      <c r="G492" s="37">
        <v>0</v>
      </c>
      <c r="H492" s="37" t="b">
        <v>0</v>
      </c>
    </row>
    <row r="493" spans="1:8" x14ac:dyDescent="0.3">
      <c r="A493" s="37" t="s">
        <v>1</v>
      </c>
      <c r="B493" s="38">
        <v>166000</v>
      </c>
      <c r="E493" s="37" t="b">
        <v>0</v>
      </c>
      <c r="F493" s="37" t="b">
        <v>1</v>
      </c>
      <c r="G493" s="37">
        <v>0</v>
      </c>
      <c r="H493" s="37" t="b">
        <v>0</v>
      </c>
    </row>
    <row r="494" spans="1:8" x14ac:dyDescent="0.3">
      <c r="A494" s="37" t="s">
        <v>0</v>
      </c>
      <c r="B494" s="38">
        <v>190000</v>
      </c>
      <c r="E494" s="37" t="b">
        <v>0</v>
      </c>
      <c r="F494" s="37" t="b">
        <v>1</v>
      </c>
      <c r="G494" s="37">
        <v>0</v>
      </c>
      <c r="H494" s="37" t="b">
        <v>0</v>
      </c>
    </row>
    <row r="495" spans="1:8" x14ac:dyDescent="0.3">
      <c r="A495" s="37" t="s">
        <v>0</v>
      </c>
      <c r="B495" s="38">
        <v>157500</v>
      </c>
      <c r="E495" s="37" t="b">
        <v>0</v>
      </c>
      <c r="F495" s="37" t="b">
        <v>1</v>
      </c>
      <c r="G495" s="37">
        <v>0</v>
      </c>
      <c r="H495" s="37" t="b">
        <v>0</v>
      </c>
    </row>
    <row r="496" spans="1:8" x14ac:dyDescent="0.3">
      <c r="A496" s="37" t="s">
        <v>4</v>
      </c>
      <c r="B496" s="38">
        <v>147500</v>
      </c>
      <c r="E496" s="37" t="b">
        <v>0</v>
      </c>
      <c r="F496" s="37" t="b">
        <v>1</v>
      </c>
      <c r="G496" s="37">
        <v>0</v>
      </c>
      <c r="H496" s="37" t="b">
        <v>0</v>
      </c>
    </row>
    <row r="497" spans="1:8" x14ac:dyDescent="0.3">
      <c r="A497" s="37" t="s">
        <v>2</v>
      </c>
      <c r="B497" s="38">
        <v>51014</v>
      </c>
      <c r="E497" s="37" t="b">
        <v>1</v>
      </c>
      <c r="F497" s="37" t="b">
        <v>1</v>
      </c>
      <c r="G497" s="37">
        <v>1</v>
      </c>
      <c r="H497" s="37">
        <v>51014</v>
      </c>
    </row>
    <row r="498" spans="1:8" x14ac:dyDescent="0.3">
      <c r="A498" s="37" t="s">
        <v>4</v>
      </c>
      <c r="B498" s="38">
        <v>147500</v>
      </c>
      <c r="E498" s="37" t="b">
        <v>0</v>
      </c>
      <c r="F498" s="37" t="b">
        <v>1</v>
      </c>
      <c r="G498" s="37">
        <v>0</v>
      </c>
      <c r="H498" s="37" t="b">
        <v>0</v>
      </c>
    </row>
    <row r="499" spans="1:8" x14ac:dyDescent="0.3">
      <c r="A499" s="37" t="s">
        <v>128</v>
      </c>
      <c r="B499" s="38">
        <v>157500</v>
      </c>
      <c r="E499" s="37" t="b">
        <v>0</v>
      </c>
      <c r="F499" s="37" t="b">
        <v>1</v>
      </c>
      <c r="G499" s="37">
        <v>0</v>
      </c>
      <c r="H499" s="37" t="b">
        <v>0</v>
      </c>
    </row>
    <row r="500" spans="1:8" x14ac:dyDescent="0.3">
      <c r="A500" s="37" t="s">
        <v>4</v>
      </c>
      <c r="B500" s="38">
        <v>147500</v>
      </c>
      <c r="E500" s="37" t="b">
        <v>0</v>
      </c>
      <c r="F500" s="37" t="b">
        <v>1</v>
      </c>
      <c r="G500" s="37">
        <v>0</v>
      </c>
      <c r="H500" s="37" t="b">
        <v>0</v>
      </c>
    </row>
    <row r="501" spans="1:8" x14ac:dyDescent="0.3">
      <c r="A501" s="37" t="s">
        <v>1</v>
      </c>
      <c r="B501" s="38">
        <v>166000</v>
      </c>
      <c r="E501" s="37" t="b">
        <v>0</v>
      </c>
      <c r="F501" s="37" t="b">
        <v>1</v>
      </c>
      <c r="G501" s="37">
        <v>0</v>
      </c>
      <c r="H501" s="37" t="b">
        <v>0</v>
      </c>
    </row>
    <row r="502" spans="1:8" x14ac:dyDescent="0.3">
      <c r="A502" s="37" t="s">
        <v>125</v>
      </c>
      <c r="B502" s="38">
        <v>111175</v>
      </c>
      <c r="E502" s="37" t="b">
        <v>0</v>
      </c>
      <c r="F502" s="37" t="b">
        <v>1</v>
      </c>
      <c r="G502" s="37">
        <v>0</v>
      </c>
      <c r="H502" s="37" t="b">
        <v>0</v>
      </c>
    </row>
    <row r="503" spans="1:8" x14ac:dyDescent="0.3">
      <c r="A503" s="37" t="s">
        <v>128</v>
      </c>
      <c r="B503" s="38">
        <v>157500</v>
      </c>
      <c r="E503" s="37" t="b">
        <v>0</v>
      </c>
      <c r="F503" s="37" t="b">
        <v>1</v>
      </c>
      <c r="G503" s="37">
        <v>0</v>
      </c>
      <c r="H503" s="37" t="b">
        <v>0</v>
      </c>
    </row>
    <row r="504" spans="1:8" x14ac:dyDescent="0.3">
      <c r="A504" s="37" t="s">
        <v>2</v>
      </c>
      <c r="B504" s="38">
        <v>111175</v>
      </c>
      <c r="E504" s="37" t="b">
        <v>1</v>
      </c>
      <c r="F504" s="37" t="b">
        <v>1</v>
      </c>
      <c r="G504" s="37">
        <v>1</v>
      </c>
      <c r="H504" s="37">
        <v>111175</v>
      </c>
    </row>
    <row r="505" spans="1:8" x14ac:dyDescent="0.3">
      <c r="A505" s="37" t="s">
        <v>126</v>
      </c>
      <c r="B505" s="38">
        <v>147500</v>
      </c>
      <c r="E505" s="37" t="b">
        <v>0</v>
      </c>
      <c r="F505" s="37" t="b">
        <v>1</v>
      </c>
      <c r="G505" s="37">
        <v>0</v>
      </c>
      <c r="H505" s="37" t="b">
        <v>0</v>
      </c>
    </row>
    <row r="506" spans="1:8" x14ac:dyDescent="0.3">
      <c r="A506" s="37" t="s">
        <v>128</v>
      </c>
      <c r="B506" s="38">
        <v>157500</v>
      </c>
      <c r="E506" s="37" t="b">
        <v>0</v>
      </c>
      <c r="F506" s="37" t="b">
        <v>1</v>
      </c>
      <c r="G506" s="37">
        <v>0</v>
      </c>
      <c r="H506" s="37" t="b">
        <v>0</v>
      </c>
    </row>
    <row r="507" spans="1:8" x14ac:dyDescent="0.3">
      <c r="A507" s="37" t="s">
        <v>1</v>
      </c>
      <c r="B507" s="38">
        <v>44100</v>
      </c>
      <c r="E507" s="37" t="b">
        <v>0</v>
      </c>
      <c r="F507" s="37" t="b">
        <v>1</v>
      </c>
      <c r="G507" s="37">
        <v>0</v>
      </c>
      <c r="H507" s="37" t="b">
        <v>0</v>
      </c>
    </row>
    <row r="508" spans="1:8" x14ac:dyDescent="0.3">
      <c r="A508" s="37" t="s">
        <v>0</v>
      </c>
      <c r="B508" s="38">
        <v>99150</v>
      </c>
      <c r="E508" s="37" t="b">
        <v>0</v>
      </c>
      <c r="F508" s="37" t="b">
        <v>1</v>
      </c>
      <c r="G508" s="37">
        <v>0</v>
      </c>
      <c r="H508" s="37" t="b">
        <v>0</v>
      </c>
    </row>
    <row r="509" spans="1:8" x14ac:dyDescent="0.3">
      <c r="A509" s="37" t="s">
        <v>0</v>
      </c>
      <c r="B509" s="38">
        <v>157500</v>
      </c>
      <c r="E509" s="37" t="b">
        <v>0</v>
      </c>
      <c r="F509" s="37" t="b">
        <v>1</v>
      </c>
      <c r="G509" s="37">
        <v>0</v>
      </c>
      <c r="H509" s="37" t="b">
        <v>0</v>
      </c>
    </row>
    <row r="510" spans="1:8" x14ac:dyDescent="0.3">
      <c r="A510" s="37" t="s">
        <v>4</v>
      </c>
      <c r="B510" s="38">
        <v>99150</v>
      </c>
      <c r="E510" s="37" t="b">
        <v>0</v>
      </c>
      <c r="F510" s="37" t="b">
        <v>1</v>
      </c>
      <c r="G510" s="37">
        <v>0</v>
      </c>
      <c r="H510" s="37" t="b">
        <v>0</v>
      </c>
    </row>
    <row r="511" spans="1:8" x14ac:dyDescent="0.3">
      <c r="A511" s="37" t="s">
        <v>2</v>
      </c>
      <c r="B511" s="38">
        <v>51014</v>
      </c>
      <c r="E511" s="37" t="b">
        <v>1</v>
      </c>
      <c r="F511" s="37" t="b">
        <v>1</v>
      </c>
      <c r="G511" s="37">
        <v>1</v>
      </c>
      <c r="H511" s="37">
        <v>51014</v>
      </c>
    </row>
    <row r="512" spans="1:8" x14ac:dyDescent="0.3">
      <c r="A512" s="37" t="s">
        <v>128</v>
      </c>
      <c r="B512" s="38">
        <v>157500</v>
      </c>
      <c r="E512" s="37" t="b">
        <v>0</v>
      </c>
      <c r="F512" s="37" t="b">
        <v>1</v>
      </c>
      <c r="G512" s="37">
        <v>0</v>
      </c>
      <c r="H512" s="37" t="b">
        <v>0</v>
      </c>
    </row>
    <row r="513" spans="1:8" x14ac:dyDescent="0.3">
      <c r="A513" s="37" t="s">
        <v>1</v>
      </c>
      <c r="B513" s="38">
        <v>166000</v>
      </c>
      <c r="E513" s="37" t="b">
        <v>0</v>
      </c>
      <c r="F513" s="37" t="b">
        <v>1</v>
      </c>
      <c r="G513" s="37">
        <v>0</v>
      </c>
      <c r="H513" s="37" t="b">
        <v>0</v>
      </c>
    </row>
    <row r="514" spans="1:8" x14ac:dyDescent="0.3">
      <c r="A514" s="37" t="s">
        <v>2</v>
      </c>
      <c r="B514" s="38">
        <v>51014</v>
      </c>
      <c r="E514" s="37" t="b">
        <v>1</v>
      </c>
      <c r="F514" s="37" t="b">
        <v>1</v>
      </c>
      <c r="G514" s="37">
        <v>1</v>
      </c>
      <c r="H514" s="37">
        <v>51014</v>
      </c>
    </row>
    <row r="515" spans="1:8" x14ac:dyDescent="0.3">
      <c r="A515" s="37" t="s">
        <v>1</v>
      </c>
      <c r="B515" s="38">
        <v>116950</v>
      </c>
      <c r="E515" s="37" t="b">
        <v>0</v>
      </c>
      <c r="F515" s="37" t="b">
        <v>1</v>
      </c>
      <c r="G515" s="37">
        <v>0</v>
      </c>
      <c r="H515" s="37" t="b">
        <v>0</v>
      </c>
    </row>
    <row r="516" spans="1:8" x14ac:dyDescent="0.3">
      <c r="A516" s="37" t="s">
        <v>0</v>
      </c>
      <c r="B516" s="38">
        <v>56700</v>
      </c>
      <c r="E516" s="37" t="b">
        <v>0</v>
      </c>
      <c r="F516" s="37" t="b">
        <v>1</v>
      </c>
      <c r="G516" s="37">
        <v>0</v>
      </c>
      <c r="H516" s="37" t="b">
        <v>0</v>
      </c>
    </row>
    <row r="517" spans="1:8" x14ac:dyDescent="0.3">
      <c r="A517" s="37" t="s">
        <v>128</v>
      </c>
      <c r="B517" s="38">
        <v>72900</v>
      </c>
      <c r="E517" s="37" t="b">
        <v>0</v>
      </c>
      <c r="F517" s="37" t="b">
        <v>1</v>
      </c>
      <c r="G517" s="37">
        <v>0</v>
      </c>
      <c r="H517" s="37" t="b">
        <v>0</v>
      </c>
    </row>
    <row r="518" spans="1:8" x14ac:dyDescent="0.3">
      <c r="A518" s="37" t="s">
        <v>125</v>
      </c>
      <c r="B518" s="38">
        <v>105300</v>
      </c>
      <c r="E518" s="37" t="b">
        <v>0</v>
      </c>
      <c r="F518" s="37" t="b">
        <v>1</v>
      </c>
      <c r="G518" s="37">
        <v>0</v>
      </c>
      <c r="H518" s="37" t="b">
        <v>0</v>
      </c>
    </row>
    <row r="519" spans="1:8" x14ac:dyDescent="0.3">
      <c r="A519" s="37" t="s">
        <v>4</v>
      </c>
      <c r="B519" s="38">
        <v>72900</v>
      </c>
      <c r="E519" s="37" t="b">
        <v>0</v>
      </c>
      <c r="F519" s="37" t="b">
        <v>1</v>
      </c>
      <c r="G519" s="37">
        <v>0</v>
      </c>
      <c r="H519" s="37" t="b">
        <v>0</v>
      </c>
    </row>
    <row r="520" spans="1:8" x14ac:dyDescent="0.3">
      <c r="A520" s="37" t="s">
        <v>1</v>
      </c>
      <c r="B520" s="38">
        <v>99150</v>
      </c>
      <c r="E520" s="37" t="b">
        <v>0</v>
      </c>
      <c r="F520" s="37" t="b">
        <v>1</v>
      </c>
      <c r="G520" s="37">
        <v>0</v>
      </c>
      <c r="H520" s="37" t="b">
        <v>0</v>
      </c>
    </row>
    <row r="521" spans="1:8" x14ac:dyDescent="0.3">
      <c r="A521" s="37" t="s">
        <v>2</v>
      </c>
      <c r="B521" s="38">
        <v>98500</v>
      </c>
      <c r="E521" s="37" t="b">
        <v>1</v>
      </c>
      <c r="F521" s="37" t="b">
        <v>1</v>
      </c>
      <c r="G521" s="37">
        <v>1</v>
      </c>
      <c r="H521" s="37">
        <v>98500</v>
      </c>
    </row>
    <row r="522" spans="1:8" x14ac:dyDescent="0.3">
      <c r="A522" s="37" t="s">
        <v>0</v>
      </c>
      <c r="B522" s="38">
        <v>122500</v>
      </c>
      <c r="E522" s="37" t="b">
        <v>0</v>
      </c>
      <c r="F522" s="37" t="b">
        <v>1</v>
      </c>
      <c r="G522" s="37">
        <v>0</v>
      </c>
      <c r="H522" s="37" t="b">
        <v>0</v>
      </c>
    </row>
    <row r="523" spans="1:8" x14ac:dyDescent="0.3">
      <c r="A523" s="37" t="s">
        <v>2</v>
      </c>
      <c r="B523" s="38">
        <v>98500</v>
      </c>
      <c r="E523" s="37" t="b">
        <v>1</v>
      </c>
      <c r="F523" s="37" t="b">
        <v>1</v>
      </c>
      <c r="G523" s="37">
        <v>1</v>
      </c>
      <c r="H523" s="37">
        <v>98500</v>
      </c>
    </row>
    <row r="524" spans="1:8" x14ac:dyDescent="0.3">
      <c r="A524" s="37" t="s">
        <v>2</v>
      </c>
      <c r="B524" s="38">
        <v>111175</v>
      </c>
      <c r="E524" s="37" t="b">
        <v>1</v>
      </c>
      <c r="F524" s="37" t="b">
        <v>1</v>
      </c>
      <c r="G524" s="37">
        <v>1</v>
      </c>
      <c r="H524" s="37">
        <v>111175</v>
      </c>
    </row>
    <row r="525" spans="1:8" x14ac:dyDescent="0.3">
      <c r="A525" s="37" t="s">
        <v>2</v>
      </c>
      <c r="B525" s="38">
        <v>98500</v>
      </c>
      <c r="E525" s="37" t="b">
        <v>1</v>
      </c>
      <c r="F525" s="37" t="b">
        <v>1</v>
      </c>
      <c r="G525" s="37">
        <v>1</v>
      </c>
      <c r="H525" s="37">
        <v>98500</v>
      </c>
    </row>
    <row r="526" spans="1:8" x14ac:dyDescent="0.3">
      <c r="A526" s="37" t="s">
        <v>4</v>
      </c>
      <c r="B526" s="38">
        <v>109750</v>
      </c>
      <c r="E526" s="37" t="b">
        <v>0</v>
      </c>
      <c r="F526" s="37" t="b">
        <v>1</v>
      </c>
      <c r="G526" s="37">
        <v>0</v>
      </c>
      <c r="H526" s="37" t="b">
        <v>0</v>
      </c>
    </row>
    <row r="527" spans="1:8" x14ac:dyDescent="0.3">
      <c r="A527" s="37" t="s">
        <v>2</v>
      </c>
      <c r="B527" s="38">
        <v>51014</v>
      </c>
      <c r="E527" s="37" t="b">
        <v>1</v>
      </c>
      <c r="F527" s="37" t="b">
        <v>1</v>
      </c>
      <c r="G527" s="37">
        <v>1</v>
      </c>
      <c r="H527" s="37">
        <v>51014</v>
      </c>
    </row>
    <row r="528" spans="1:8" x14ac:dyDescent="0.3">
      <c r="A528" s="37" t="s">
        <v>125</v>
      </c>
      <c r="B528" s="38">
        <v>111175</v>
      </c>
      <c r="E528" s="37" t="b">
        <v>0</v>
      </c>
      <c r="F528" s="37" t="b">
        <v>1</v>
      </c>
      <c r="G528" s="37">
        <v>0</v>
      </c>
      <c r="H528" s="37" t="b">
        <v>0</v>
      </c>
    </row>
    <row r="529" spans="1:8" x14ac:dyDescent="0.3">
      <c r="A529" s="37" t="s">
        <v>128</v>
      </c>
      <c r="B529" s="38">
        <v>157500</v>
      </c>
      <c r="E529" s="37" t="b">
        <v>0</v>
      </c>
      <c r="F529" s="37" t="b">
        <v>1</v>
      </c>
      <c r="G529" s="37">
        <v>0</v>
      </c>
      <c r="H529" s="37" t="b">
        <v>0</v>
      </c>
    </row>
    <row r="530" spans="1:8" x14ac:dyDescent="0.3">
      <c r="A530" s="37" t="s">
        <v>0</v>
      </c>
      <c r="B530" s="38">
        <v>131867</v>
      </c>
      <c r="E530" s="37" t="b">
        <v>0</v>
      </c>
      <c r="F530" s="37" t="b">
        <v>1</v>
      </c>
      <c r="G530" s="37">
        <v>0</v>
      </c>
      <c r="H530" s="37" t="b">
        <v>0</v>
      </c>
    </row>
    <row r="531" spans="1:8" x14ac:dyDescent="0.3">
      <c r="A531" s="37" t="s">
        <v>128</v>
      </c>
      <c r="B531" s="38">
        <v>79200</v>
      </c>
      <c r="E531" s="37" t="b">
        <v>0</v>
      </c>
      <c r="F531" s="37" t="b">
        <v>1</v>
      </c>
      <c r="G531" s="37">
        <v>0</v>
      </c>
      <c r="H531" s="37" t="b">
        <v>0</v>
      </c>
    </row>
    <row r="532" spans="1:8" x14ac:dyDescent="0.3">
      <c r="A532" s="37" t="s">
        <v>2</v>
      </c>
      <c r="B532" s="38">
        <v>111175</v>
      </c>
      <c r="E532" s="37" t="b">
        <v>1</v>
      </c>
      <c r="F532" s="37" t="b">
        <v>1</v>
      </c>
      <c r="G532" s="37">
        <v>1</v>
      </c>
      <c r="H532" s="37">
        <v>111175</v>
      </c>
    </row>
    <row r="533" spans="1:8" x14ac:dyDescent="0.3">
      <c r="A533" s="37" t="s">
        <v>4</v>
      </c>
      <c r="B533" s="38">
        <v>98283</v>
      </c>
      <c r="E533" s="37" t="b">
        <v>0</v>
      </c>
      <c r="F533" s="37" t="b">
        <v>1</v>
      </c>
      <c r="G533" s="37">
        <v>0</v>
      </c>
      <c r="H533" s="37" t="b">
        <v>0</v>
      </c>
    </row>
    <row r="534" spans="1:8" x14ac:dyDescent="0.3">
      <c r="A534" s="37" t="s">
        <v>0</v>
      </c>
      <c r="B534" s="38">
        <v>88128</v>
      </c>
      <c r="E534" s="37" t="b">
        <v>0</v>
      </c>
      <c r="F534" s="37" t="b">
        <v>1</v>
      </c>
      <c r="G534" s="37">
        <v>0</v>
      </c>
      <c r="H534" s="37" t="b">
        <v>0</v>
      </c>
    </row>
    <row r="535" spans="1:8" x14ac:dyDescent="0.3">
      <c r="A535" s="37" t="s">
        <v>2</v>
      </c>
      <c r="B535" s="38">
        <v>56700</v>
      </c>
      <c r="E535" s="37" t="b">
        <v>1</v>
      </c>
      <c r="F535" s="37" t="b">
        <v>1</v>
      </c>
      <c r="G535" s="37">
        <v>1</v>
      </c>
      <c r="H535" s="37">
        <v>56700</v>
      </c>
    </row>
    <row r="536" spans="1:8" x14ac:dyDescent="0.3">
      <c r="A536" s="37" t="s">
        <v>4</v>
      </c>
      <c r="B536" s="38">
        <v>98283</v>
      </c>
      <c r="E536" s="37" t="b">
        <v>0</v>
      </c>
      <c r="F536" s="37" t="b">
        <v>1</v>
      </c>
      <c r="G536" s="37">
        <v>0</v>
      </c>
      <c r="H536" s="37" t="b">
        <v>0</v>
      </c>
    </row>
    <row r="537" spans="1:8" x14ac:dyDescent="0.3">
      <c r="A537" s="37" t="s">
        <v>1</v>
      </c>
      <c r="B537" s="38">
        <v>72000</v>
      </c>
      <c r="E537" s="37" t="b">
        <v>0</v>
      </c>
      <c r="F537" s="37" t="b">
        <v>1</v>
      </c>
      <c r="G537" s="37">
        <v>0</v>
      </c>
      <c r="H537" s="37" t="b">
        <v>0</v>
      </c>
    </row>
    <row r="538" spans="1:8" x14ac:dyDescent="0.3">
      <c r="A538" s="37" t="s">
        <v>1</v>
      </c>
      <c r="B538" s="38">
        <v>166000</v>
      </c>
      <c r="E538" s="37" t="b">
        <v>0</v>
      </c>
      <c r="F538" s="37" t="b">
        <v>1</v>
      </c>
      <c r="G538" s="37">
        <v>0</v>
      </c>
      <c r="H538" s="37" t="b">
        <v>0</v>
      </c>
    </row>
    <row r="539" spans="1:8" x14ac:dyDescent="0.3">
      <c r="A539" s="37" t="s">
        <v>126</v>
      </c>
      <c r="B539" s="38">
        <v>147500</v>
      </c>
      <c r="E539" s="37" t="b">
        <v>0</v>
      </c>
      <c r="F539" s="37" t="b">
        <v>1</v>
      </c>
      <c r="G539" s="37">
        <v>0</v>
      </c>
      <c r="H539" s="37" t="b">
        <v>0</v>
      </c>
    </row>
    <row r="540" spans="1:8" x14ac:dyDescent="0.3">
      <c r="A540" s="37" t="s">
        <v>1</v>
      </c>
      <c r="B540" s="38">
        <v>166000</v>
      </c>
      <c r="E540" s="37" t="b">
        <v>0</v>
      </c>
      <c r="F540" s="37" t="b">
        <v>1</v>
      </c>
      <c r="G540" s="37">
        <v>0</v>
      </c>
      <c r="H540" s="37" t="b">
        <v>0</v>
      </c>
    </row>
    <row r="541" spans="1:8" x14ac:dyDescent="0.3">
      <c r="A541" s="37" t="s">
        <v>129</v>
      </c>
      <c r="B541" s="38">
        <v>79200</v>
      </c>
      <c r="E541" s="37" t="b">
        <v>0</v>
      </c>
      <c r="F541" s="37" t="b">
        <v>1</v>
      </c>
      <c r="G541" s="37">
        <v>0</v>
      </c>
      <c r="H541" s="37" t="b">
        <v>0</v>
      </c>
    </row>
    <row r="542" spans="1:8" x14ac:dyDescent="0.3">
      <c r="A542" s="37" t="s">
        <v>2</v>
      </c>
      <c r="B542" s="38">
        <v>165000</v>
      </c>
      <c r="E542" s="37" t="b">
        <v>1</v>
      </c>
      <c r="F542" s="37" t="b">
        <v>1</v>
      </c>
      <c r="G542" s="37">
        <v>1</v>
      </c>
      <c r="H542" s="37">
        <v>165000</v>
      </c>
    </row>
    <row r="543" spans="1:8" x14ac:dyDescent="0.3">
      <c r="A543" s="37" t="s">
        <v>2</v>
      </c>
      <c r="B543" s="38">
        <v>89100</v>
      </c>
      <c r="E543" s="37" t="b">
        <v>1</v>
      </c>
      <c r="F543" s="37" t="b">
        <v>1</v>
      </c>
      <c r="G543" s="37">
        <v>1</v>
      </c>
      <c r="H543" s="37">
        <v>89100</v>
      </c>
    </row>
    <row r="544" spans="1:8" x14ac:dyDescent="0.3">
      <c r="A544" s="37" t="s">
        <v>0</v>
      </c>
      <c r="B544" s="38">
        <v>192000</v>
      </c>
      <c r="E544" s="37" t="b">
        <v>0</v>
      </c>
      <c r="F544" s="37" t="b">
        <v>1</v>
      </c>
      <c r="G544" s="37">
        <v>0</v>
      </c>
      <c r="H544" s="37" t="b">
        <v>0</v>
      </c>
    </row>
    <row r="545" spans="1:8" x14ac:dyDescent="0.3">
      <c r="A545" s="37" t="s">
        <v>126</v>
      </c>
      <c r="B545" s="38">
        <v>147500</v>
      </c>
      <c r="E545" s="37" t="b">
        <v>0</v>
      </c>
      <c r="F545" s="37" t="b">
        <v>1</v>
      </c>
      <c r="G545" s="37">
        <v>0</v>
      </c>
      <c r="H545" s="37" t="b">
        <v>0</v>
      </c>
    </row>
    <row r="546" spans="1:8" x14ac:dyDescent="0.3">
      <c r="A546" s="37" t="s">
        <v>0</v>
      </c>
      <c r="B546" s="38">
        <v>90000</v>
      </c>
      <c r="E546" s="37" t="b">
        <v>0</v>
      </c>
      <c r="F546" s="37" t="b">
        <v>1</v>
      </c>
      <c r="G546" s="37">
        <v>0</v>
      </c>
      <c r="H546" s="37" t="b">
        <v>0</v>
      </c>
    </row>
    <row r="547" spans="1:8" x14ac:dyDescent="0.3">
      <c r="A547" s="37" t="s">
        <v>1</v>
      </c>
      <c r="B547" s="38">
        <v>185500</v>
      </c>
      <c r="E547" s="37" t="b">
        <v>0</v>
      </c>
      <c r="F547" s="37" t="b">
        <v>1</v>
      </c>
      <c r="G547" s="37">
        <v>0</v>
      </c>
      <c r="H547" s="37" t="b">
        <v>0</v>
      </c>
    </row>
    <row r="548" spans="1:8" x14ac:dyDescent="0.3">
      <c r="A548" s="37" t="s">
        <v>2</v>
      </c>
      <c r="B548" s="38">
        <v>111175</v>
      </c>
      <c r="E548" s="37" t="b">
        <v>1</v>
      </c>
      <c r="F548" s="37" t="b">
        <v>1</v>
      </c>
      <c r="G548" s="37">
        <v>1</v>
      </c>
      <c r="H548" s="37">
        <v>111175</v>
      </c>
    </row>
    <row r="549" spans="1:8" x14ac:dyDescent="0.3">
      <c r="A549" s="37" t="s">
        <v>4</v>
      </c>
      <c r="B549" s="38">
        <v>131580</v>
      </c>
      <c r="E549" s="37" t="b">
        <v>0</v>
      </c>
      <c r="F549" s="37" t="b">
        <v>1</v>
      </c>
      <c r="G549" s="37">
        <v>0</v>
      </c>
      <c r="H549" s="37" t="b">
        <v>0</v>
      </c>
    </row>
    <row r="550" spans="1:8" x14ac:dyDescent="0.3">
      <c r="A550" s="37" t="s">
        <v>128</v>
      </c>
      <c r="B550" s="38">
        <v>157500</v>
      </c>
      <c r="E550" s="37" t="b">
        <v>0</v>
      </c>
      <c r="F550" s="37" t="b">
        <v>1</v>
      </c>
      <c r="G550" s="37">
        <v>0</v>
      </c>
      <c r="H550" s="37" t="b">
        <v>0</v>
      </c>
    </row>
    <row r="551" spans="1:8" x14ac:dyDescent="0.3">
      <c r="A551" s="37" t="s">
        <v>0</v>
      </c>
      <c r="B551" s="38">
        <v>99150</v>
      </c>
      <c r="E551" s="37" t="b">
        <v>0</v>
      </c>
      <c r="F551" s="37" t="b">
        <v>1</v>
      </c>
      <c r="G551" s="37">
        <v>0</v>
      </c>
      <c r="H551" s="37" t="b">
        <v>0</v>
      </c>
    </row>
    <row r="552" spans="1:8" x14ac:dyDescent="0.3">
      <c r="A552" s="37" t="s">
        <v>1</v>
      </c>
      <c r="B552" s="38">
        <v>185500</v>
      </c>
      <c r="E552" s="37" t="b">
        <v>0</v>
      </c>
      <c r="F552" s="37" t="b">
        <v>1</v>
      </c>
      <c r="G552" s="37">
        <v>0</v>
      </c>
      <c r="H552" s="37" t="b">
        <v>0</v>
      </c>
    </row>
    <row r="553" spans="1:8" x14ac:dyDescent="0.3">
      <c r="A553" s="37" t="s">
        <v>128</v>
      </c>
      <c r="B553" s="38">
        <v>157500</v>
      </c>
      <c r="E553" s="37" t="b">
        <v>0</v>
      </c>
      <c r="F553" s="37" t="b">
        <v>1</v>
      </c>
      <c r="G553" s="37">
        <v>0</v>
      </c>
      <c r="H553" s="37" t="b">
        <v>0</v>
      </c>
    </row>
    <row r="554" spans="1:8" x14ac:dyDescent="0.3">
      <c r="A554" s="37" t="s">
        <v>0</v>
      </c>
      <c r="B554" s="38">
        <v>88128</v>
      </c>
      <c r="E554" s="37" t="b">
        <v>0</v>
      </c>
      <c r="F554" s="37" t="b">
        <v>1</v>
      </c>
      <c r="G554" s="37">
        <v>0</v>
      </c>
      <c r="H554" s="37" t="b">
        <v>0</v>
      </c>
    </row>
    <row r="555" spans="1:8" x14ac:dyDescent="0.3">
      <c r="A555" s="37" t="s">
        <v>4</v>
      </c>
      <c r="B555" s="38">
        <v>98283</v>
      </c>
      <c r="E555" s="37" t="b">
        <v>0</v>
      </c>
      <c r="F555" s="37" t="b">
        <v>1</v>
      </c>
      <c r="G555" s="37">
        <v>0</v>
      </c>
      <c r="H555" s="37" t="b">
        <v>0</v>
      </c>
    </row>
    <row r="556" spans="1:8" x14ac:dyDescent="0.3">
      <c r="A556" s="37" t="s">
        <v>0</v>
      </c>
      <c r="B556" s="38">
        <v>56700</v>
      </c>
      <c r="E556" s="37" t="b">
        <v>0</v>
      </c>
      <c r="F556" s="37" t="b">
        <v>1</v>
      </c>
      <c r="G556" s="37">
        <v>0</v>
      </c>
      <c r="H556" s="37" t="b">
        <v>0</v>
      </c>
    </row>
    <row r="557" spans="1:8" x14ac:dyDescent="0.3">
      <c r="A557" s="37" t="s">
        <v>4</v>
      </c>
      <c r="B557" s="38">
        <v>147500</v>
      </c>
      <c r="E557" s="37" t="b">
        <v>0</v>
      </c>
      <c r="F557" s="37" t="b">
        <v>1</v>
      </c>
      <c r="G557" s="37">
        <v>0</v>
      </c>
      <c r="H557" s="37" t="b">
        <v>0</v>
      </c>
    </row>
    <row r="558" spans="1:8" x14ac:dyDescent="0.3">
      <c r="A558" s="37" t="s">
        <v>4</v>
      </c>
      <c r="B558" s="38">
        <v>147500</v>
      </c>
      <c r="E558" s="37" t="b">
        <v>0</v>
      </c>
      <c r="F558" s="37" t="b">
        <v>1</v>
      </c>
      <c r="G558" s="37">
        <v>0</v>
      </c>
      <c r="H558" s="37" t="b">
        <v>0</v>
      </c>
    </row>
    <row r="559" spans="1:8" x14ac:dyDescent="0.3">
      <c r="A559" s="37" t="s">
        <v>126</v>
      </c>
      <c r="B559" s="38">
        <v>147500</v>
      </c>
      <c r="E559" s="37" t="b">
        <v>0</v>
      </c>
      <c r="F559" s="37" t="b">
        <v>1</v>
      </c>
      <c r="G559" s="37">
        <v>0</v>
      </c>
      <c r="H559" s="37" t="b">
        <v>0</v>
      </c>
    </row>
    <row r="560" spans="1:8" x14ac:dyDescent="0.3">
      <c r="A560" s="37" t="s">
        <v>125</v>
      </c>
      <c r="B560" s="38">
        <v>90000</v>
      </c>
      <c r="E560" s="37" t="b">
        <v>0</v>
      </c>
      <c r="F560" s="37" t="b">
        <v>1</v>
      </c>
      <c r="G560" s="37">
        <v>0</v>
      </c>
      <c r="H560" s="37" t="b">
        <v>0</v>
      </c>
    </row>
    <row r="561" spans="1:8" x14ac:dyDescent="0.3">
      <c r="A561" s="37" t="s">
        <v>2</v>
      </c>
      <c r="B561" s="38">
        <v>89100</v>
      </c>
      <c r="E561" s="37" t="b">
        <v>1</v>
      </c>
      <c r="F561" s="37" t="b">
        <v>1</v>
      </c>
      <c r="G561" s="37">
        <v>1</v>
      </c>
      <c r="H561" s="37">
        <v>89100</v>
      </c>
    </row>
    <row r="562" spans="1:8" x14ac:dyDescent="0.3">
      <c r="A562" s="37" t="s">
        <v>4</v>
      </c>
      <c r="B562" s="38">
        <v>98283</v>
      </c>
      <c r="E562" s="37" t="b">
        <v>0</v>
      </c>
      <c r="F562" s="37" t="b">
        <v>1</v>
      </c>
      <c r="G562" s="37">
        <v>0</v>
      </c>
      <c r="H562" s="37" t="b">
        <v>0</v>
      </c>
    </row>
    <row r="563" spans="1:8" x14ac:dyDescent="0.3">
      <c r="A563" s="37" t="s">
        <v>0</v>
      </c>
      <c r="B563" s="38">
        <v>157500</v>
      </c>
      <c r="E563" s="37" t="b">
        <v>0</v>
      </c>
      <c r="F563" s="37" t="b">
        <v>1</v>
      </c>
      <c r="G563" s="37">
        <v>0</v>
      </c>
      <c r="H563" s="37" t="b">
        <v>0</v>
      </c>
    </row>
    <row r="564" spans="1:8" x14ac:dyDescent="0.3">
      <c r="A564" s="37" t="s">
        <v>126</v>
      </c>
      <c r="B564" s="38">
        <v>147500</v>
      </c>
      <c r="E564" s="37" t="b">
        <v>0</v>
      </c>
      <c r="F564" s="37" t="b">
        <v>1</v>
      </c>
      <c r="G564" s="37">
        <v>0</v>
      </c>
      <c r="H564" s="37" t="b">
        <v>0</v>
      </c>
    </row>
    <row r="565" spans="1:8" x14ac:dyDescent="0.3">
      <c r="A565" s="37" t="s">
        <v>0</v>
      </c>
      <c r="B565" s="38">
        <v>88128</v>
      </c>
      <c r="E565" s="37" t="b">
        <v>0</v>
      </c>
      <c r="F565" s="37" t="b">
        <v>1</v>
      </c>
      <c r="G565" s="37">
        <v>0</v>
      </c>
      <c r="H565" s="37" t="b">
        <v>0</v>
      </c>
    </row>
    <row r="566" spans="1:8" x14ac:dyDescent="0.3">
      <c r="A566" s="37" t="s">
        <v>4</v>
      </c>
      <c r="B566" s="38">
        <v>133000</v>
      </c>
      <c r="E566" s="37" t="b">
        <v>0</v>
      </c>
      <c r="F566" s="37" t="b">
        <v>1</v>
      </c>
      <c r="G566" s="37">
        <v>0</v>
      </c>
      <c r="H566" s="37" t="b">
        <v>0</v>
      </c>
    </row>
    <row r="567" spans="1:8" x14ac:dyDescent="0.3">
      <c r="A567" s="37" t="s">
        <v>2</v>
      </c>
      <c r="B567" s="38">
        <v>80850</v>
      </c>
      <c r="E567" s="37" t="b">
        <v>1</v>
      </c>
      <c r="F567" s="37" t="b">
        <v>1</v>
      </c>
      <c r="G567" s="37">
        <v>1</v>
      </c>
      <c r="H567" s="37">
        <v>80850</v>
      </c>
    </row>
    <row r="568" spans="1:8" x14ac:dyDescent="0.3">
      <c r="A568" s="37" t="s">
        <v>125</v>
      </c>
      <c r="B568" s="38">
        <v>111175</v>
      </c>
      <c r="E568" s="37" t="b">
        <v>0</v>
      </c>
      <c r="F568" s="37" t="b">
        <v>1</v>
      </c>
      <c r="G568" s="37">
        <v>0</v>
      </c>
      <c r="H568" s="37" t="b">
        <v>0</v>
      </c>
    </row>
    <row r="569" spans="1:8" x14ac:dyDescent="0.3">
      <c r="A569" s="37" t="s">
        <v>4</v>
      </c>
      <c r="B569" s="38">
        <v>45000</v>
      </c>
      <c r="E569" s="37" t="b">
        <v>0</v>
      </c>
      <c r="F569" s="37" t="b">
        <v>1</v>
      </c>
      <c r="G569" s="37">
        <v>0</v>
      </c>
      <c r="H569" s="37" t="b">
        <v>0</v>
      </c>
    </row>
    <row r="570" spans="1:8" x14ac:dyDescent="0.3">
      <c r="A570" s="37" t="s">
        <v>0</v>
      </c>
      <c r="B570" s="38">
        <v>88128</v>
      </c>
      <c r="E570" s="37" t="b">
        <v>0</v>
      </c>
      <c r="F570" s="37" t="b">
        <v>1</v>
      </c>
      <c r="G570" s="37">
        <v>0</v>
      </c>
      <c r="H570" s="37" t="b">
        <v>0</v>
      </c>
    </row>
    <row r="571" spans="1:8" x14ac:dyDescent="0.3">
      <c r="A571" s="37" t="s">
        <v>1</v>
      </c>
      <c r="B571" s="38">
        <v>89100</v>
      </c>
      <c r="E571" s="37" t="b">
        <v>0</v>
      </c>
      <c r="F571" s="37" t="b">
        <v>1</v>
      </c>
      <c r="G571" s="37">
        <v>0</v>
      </c>
      <c r="H571" s="37" t="b">
        <v>0</v>
      </c>
    </row>
    <row r="572" spans="1:8" x14ac:dyDescent="0.3">
      <c r="A572" s="37" t="s">
        <v>126</v>
      </c>
      <c r="B572" s="38">
        <v>147500</v>
      </c>
      <c r="E572" s="37" t="b">
        <v>0</v>
      </c>
      <c r="F572" s="37" t="b">
        <v>1</v>
      </c>
      <c r="G572" s="37">
        <v>0</v>
      </c>
      <c r="H572" s="37" t="b">
        <v>0</v>
      </c>
    </row>
    <row r="573" spans="1:8" x14ac:dyDescent="0.3">
      <c r="A573" s="37" t="s">
        <v>2</v>
      </c>
      <c r="B573" s="38">
        <v>111175</v>
      </c>
      <c r="E573" s="37" t="b">
        <v>1</v>
      </c>
      <c r="F573" s="37" t="b">
        <v>1</v>
      </c>
      <c r="G573" s="37">
        <v>1</v>
      </c>
      <c r="H573" s="37">
        <v>111175</v>
      </c>
    </row>
    <row r="574" spans="1:8" x14ac:dyDescent="0.3">
      <c r="A574" s="37" t="s">
        <v>4</v>
      </c>
      <c r="B574" s="38">
        <v>249000</v>
      </c>
      <c r="E574" s="37" t="b">
        <v>0</v>
      </c>
      <c r="F574" s="37" t="b">
        <v>1</v>
      </c>
      <c r="G574" s="37">
        <v>0</v>
      </c>
      <c r="H574" s="37" t="b">
        <v>0</v>
      </c>
    </row>
    <row r="575" spans="1:8" x14ac:dyDescent="0.3">
      <c r="A575" s="37" t="s">
        <v>4</v>
      </c>
      <c r="B575" s="38">
        <v>145000</v>
      </c>
      <c r="E575" s="37" t="b">
        <v>0</v>
      </c>
      <c r="F575" s="37" t="b">
        <v>1</v>
      </c>
      <c r="G575" s="37">
        <v>0</v>
      </c>
      <c r="H575" s="37" t="b">
        <v>0</v>
      </c>
    </row>
    <row r="576" spans="1:8" x14ac:dyDescent="0.3">
      <c r="A576" s="37" t="s">
        <v>0</v>
      </c>
      <c r="B576" s="38">
        <v>69300</v>
      </c>
      <c r="E576" s="37" t="b">
        <v>0</v>
      </c>
      <c r="F576" s="37" t="b">
        <v>1</v>
      </c>
      <c r="G576" s="37">
        <v>0</v>
      </c>
      <c r="H576" s="37" t="b">
        <v>0</v>
      </c>
    </row>
    <row r="577" spans="1:8" x14ac:dyDescent="0.3">
      <c r="A577" s="37" t="s">
        <v>1</v>
      </c>
      <c r="B577" s="38">
        <v>44418.5</v>
      </c>
      <c r="E577" s="37" t="b">
        <v>0</v>
      </c>
      <c r="F577" s="37" t="b">
        <v>1</v>
      </c>
      <c r="G577" s="37">
        <v>0</v>
      </c>
      <c r="H577" s="37" t="b">
        <v>0</v>
      </c>
    </row>
    <row r="578" spans="1:8" x14ac:dyDescent="0.3">
      <c r="A578" s="37" t="s">
        <v>1</v>
      </c>
      <c r="B578" s="38">
        <v>166000</v>
      </c>
      <c r="E578" s="37" t="b">
        <v>0</v>
      </c>
      <c r="F578" s="37" t="b">
        <v>1</v>
      </c>
      <c r="G578" s="37">
        <v>0</v>
      </c>
      <c r="H578" s="37" t="b">
        <v>0</v>
      </c>
    </row>
    <row r="579" spans="1:8" x14ac:dyDescent="0.3">
      <c r="A579" s="37" t="s">
        <v>126</v>
      </c>
      <c r="B579" s="38">
        <v>147500</v>
      </c>
      <c r="E579" s="37" t="b">
        <v>0</v>
      </c>
      <c r="F579" s="37" t="b">
        <v>1</v>
      </c>
      <c r="G579" s="37">
        <v>0</v>
      </c>
      <c r="H579" s="37" t="b">
        <v>0</v>
      </c>
    </row>
    <row r="580" spans="1:8" x14ac:dyDescent="0.3">
      <c r="A580" s="37" t="s">
        <v>0</v>
      </c>
      <c r="B580" s="38">
        <v>44100</v>
      </c>
      <c r="E580" s="37" t="b">
        <v>0</v>
      </c>
      <c r="F580" s="37" t="b">
        <v>1</v>
      </c>
      <c r="G580" s="37">
        <v>0</v>
      </c>
      <c r="H580" s="37" t="b">
        <v>0</v>
      </c>
    </row>
    <row r="581" spans="1:8" x14ac:dyDescent="0.3">
      <c r="A581" s="37" t="s">
        <v>0</v>
      </c>
      <c r="B581" s="38">
        <v>152625</v>
      </c>
      <c r="E581" s="37" t="b">
        <v>0</v>
      </c>
      <c r="F581" s="37" t="b">
        <v>1</v>
      </c>
      <c r="G581" s="37">
        <v>0</v>
      </c>
      <c r="H581" s="37" t="b">
        <v>0</v>
      </c>
    </row>
    <row r="582" spans="1:8" x14ac:dyDescent="0.3">
      <c r="A582" s="37" t="s">
        <v>4</v>
      </c>
      <c r="B582" s="38">
        <v>99150</v>
      </c>
      <c r="E582" s="37" t="b">
        <v>0</v>
      </c>
      <c r="F582" s="37" t="b">
        <v>1</v>
      </c>
      <c r="G582" s="37">
        <v>0</v>
      </c>
      <c r="H582" s="37" t="b">
        <v>0</v>
      </c>
    </row>
    <row r="583" spans="1:8" x14ac:dyDescent="0.3">
      <c r="A583" s="37" t="s">
        <v>126</v>
      </c>
      <c r="B583" s="38">
        <v>147500</v>
      </c>
      <c r="E583" s="37" t="b">
        <v>0</v>
      </c>
      <c r="F583" s="37" t="b">
        <v>1</v>
      </c>
      <c r="G583" s="37">
        <v>0</v>
      </c>
      <c r="H583" s="37" t="b">
        <v>0</v>
      </c>
    </row>
    <row r="584" spans="1:8" x14ac:dyDescent="0.3">
      <c r="A584" s="37" t="s">
        <v>1</v>
      </c>
      <c r="B584" s="38">
        <v>79200</v>
      </c>
      <c r="E584" s="37" t="b">
        <v>0</v>
      </c>
      <c r="F584" s="37" t="b">
        <v>1</v>
      </c>
      <c r="G584" s="37">
        <v>0</v>
      </c>
      <c r="H584" s="37" t="b">
        <v>0</v>
      </c>
    </row>
    <row r="585" spans="1:8" x14ac:dyDescent="0.3">
      <c r="A585" s="37" t="s">
        <v>0</v>
      </c>
      <c r="B585" s="38">
        <v>88128</v>
      </c>
      <c r="E585" s="37" t="b">
        <v>0</v>
      </c>
      <c r="F585" s="37" t="b">
        <v>1</v>
      </c>
      <c r="G585" s="37">
        <v>0</v>
      </c>
      <c r="H585" s="37" t="b">
        <v>0</v>
      </c>
    </row>
    <row r="586" spans="1:8" x14ac:dyDescent="0.3">
      <c r="A586" s="37" t="s">
        <v>2</v>
      </c>
      <c r="B586" s="38">
        <v>98500</v>
      </c>
      <c r="E586" s="37" t="b">
        <v>1</v>
      </c>
      <c r="F586" s="37" t="b">
        <v>1</v>
      </c>
      <c r="G586" s="37">
        <v>1</v>
      </c>
      <c r="H586" s="37">
        <v>98500</v>
      </c>
    </row>
    <row r="587" spans="1:8" x14ac:dyDescent="0.3">
      <c r="A587" s="37" t="s">
        <v>0</v>
      </c>
      <c r="B587" s="38">
        <v>157500</v>
      </c>
      <c r="E587" s="37" t="b">
        <v>0</v>
      </c>
      <c r="F587" s="37" t="b">
        <v>1</v>
      </c>
      <c r="G587" s="37">
        <v>0</v>
      </c>
      <c r="H587" s="37" t="b">
        <v>0</v>
      </c>
    </row>
    <row r="588" spans="1:8" x14ac:dyDescent="0.3">
      <c r="A588" s="37" t="s">
        <v>4</v>
      </c>
      <c r="B588" s="38">
        <v>96773</v>
      </c>
      <c r="E588" s="37" t="b">
        <v>0</v>
      </c>
      <c r="F588" s="37" t="b">
        <v>1</v>
      </c>
      <c r="G588" s="37">
        <v>0</v>
      </c>
      <c r="H588" s="37" t="b">
        <v>0</v>
      </c>
    </row>
    <row r="589" spans="1:8" x14ac:dyDescent="0.3">
      <c r="A589" s="37" t="s">
        <v>4</v>
      </c>
      <c r="B589" s="38">
        <v>64800</v>
      </c>
      <c r="E589" s="37" t="b">
        <v>0</v>
      </c>
      <c r="F589" s="37" t="b">
        <v>1</v>
      </c>
      <c r="G589" s="37">
        <v>0</v>
      </c>
      <c r="H589" s="37" t="b">
        <v>0</v>
      </c>
    </row>
    <row r="590" spans="1:8" x14ac:dyDescent="0.3">
      <c r="A590" s="37" t="s">
        <v>129</v>
      </c>
      <c r="B590" s="38">
        <v>89100</v>
      </c>
      <c r="E590" s="37" t="b">
        <v>0</v>
      </c>
      <c r="F590" s="37" t="b">
        <v>1</v>
      </c>
      <c r="G590" s="37">
        <v>0</v>
      </c>
      <c r="H590" s="37" t="b">
        <v>0</v>
      </c>
    </row>
    <row r="591" spans="1:8" x14ac:dyDescent="0.3">
      <c r="A591" s="37" t="s">
        <v>129</v>
      </c>
      <c r="B591" s="38">
        <v>72900</v>
      </c>
      <c r="E591" s="37" t="b">
        <v>0</v>
      </c>
      <c r="F591" s="37" t="b">
        <v>1</v>
      </c>
      <c r="G591" s="37">
        <v>0</v>
      </c>
      <c r="H591" s="37" t="b">
        <v>0</v>
      </c>
    </row>
    <row r="592" spans="1:8" x14ac:dyDescent="0.3">
      <c r="A592" s="37" t="s">
        <v>1</v>
      </c>
      <c r="B592" s="38">
        <v>166000</v>
      </c>
      <c r="E592" s="37" t="b">
        <v>0</v>
      </c>
      <c r="F592" s="37" t="b">
        <v>1</v>
      </c>
      <c r="G592" s="37">
        <v>0</v>
      </c>
      <c r="H592" s="37" t="b">
        <v>0</v>
      </c>
    </row>
    <row r="593" spans="1:8" x14ac:dyDescent="0.3">
      <c r="A593" s="37" t="s">
        <v>4</v>
      </c>
      <c r="B593" s="38">
        <v>147500</v>
      </c>
      <c r="E593" s="37" t="b">
        <v>0</v>
      </c>
      <c r="F593" s="37" t="b">
        <v>1</v>
      </c>
      <c r="G593" s="37">
        <v>0</v>
      </c>
      <c r="H593" s="37" t="b">
        <v>0</v>
      </c>
    </row>
    <row r="594" spans="1:8" x14ac:dyDescent="0.3">
      <c r="A594" s="37" t="s">
        <v>2</v>
      </c>
      <c r="B594" s="38">
        <v>80850</v>
      </c>
      <c r="E594" s="37" t="b">
        <v>1</v>
      </c>
      <c r="F594" s="37" t="b">
        <v>1</v>
      </c>
      <c r="G594" s="37">
        <v>1</v>
      </c>
      <c r="H594" s="37">
        <v>80850</v>
      </c>
    </row>
    <row r="595" spans="1:8" x14ac:dyDescent="0.3">
      <c r="A595" s="37" t="s">
        <v>2</v>
      </c>
      <c r="B595" s="38">
        <v>51014</v>
      </c>
      <c r="E595" s="37" t="b">
        <v>1</v>
      </c>
      <c r="F595" s="37" t="b">
        <v>1</v>
      </c>
      <c r="G595" s="37">
        <v>1</v>
      </c>
      <c r="H595" s="37">
        <v>51014</v>
      </c>
    </row>
    <row r="596" spans="1:8" x14ac:dyDescent="0.3">
      <c r="A596" s="37" t="s">
        <v>129</v>
      </c>
      <c r="B596" s="38">
        <v>79200</v>
      </c>
      <c r="E596" s="37" t="b">
        <v>0</v>
      </c>
      <c r="F596" s="37" t="b">
        <v>1</v>
      </c>
      <c r="G596" s="37">
        <v>0</v>
      </c>
      <c r="H596" s="37" t="b">
        <v>0</v>
      </c>
    </row>
    <row r="597" spans="1:8" x14ac:dyDescent="0.3">
      <c r="A597" s="37" t="s">
        <v>2</v>
      </c>
      <c r="B597" s="38">
        <v>98500</v>
      </c>
      <c r="E597" s="37" t="b">
        <v>1</v>
      </c>
      <c r="F597" s="37" t="b">
        <v>1</v>
      </c>
      <c r="G597" s="37">
        <v>1</v>
      </c>
      <c r="H597" s="37">
        <v>98500</v>
      </c>
    </row>
    <row r="598" spans="1:8" x14ac:dyDescent="0.3">
      <c r="A598" s="37" t="s">
        <v>2</v>
      </c>
      <c r="B598" s="38">
        <v>111175</v>
      </c>
      <c r="E598" s="37" t="b">
        <v>1</v>
      </c>
      <c r="F598" s="37" t="b">
        <v>1</v>
      </c>
      <c r="G598" s="37">
        <v>1</v>
      </c>
      <c r="H598" s="37">
        <v>111175</v>
      </c>
    </row>
    <row r="599" spans="1:8" x14ac:dyDescent="0.3">
      <c r="A599" s="37" t="s">
        <v>0</v>
      </c>
      <c r="B599" s="38">
        <v>157500</v>
      </c>
      <c r="E599" s="37" t="b">
        <v>0</v>
      </c>
      <c r="F599" s="37" t="b">
        <v>1</v>
      </c>
      <c r="G599" s="37">
        <v>0</v>
      </c>
      <c r="H599" s="37" t="b">
        <v>0</v>
      </c>
    </row>
    <row r="600" spans="1:8" x14ac:dyDescent="0.3">
      <c r="A600" s="37" t="s">
        <v>2</v>
      </c>
      <c r="B600" s="38">
        <v>200000</v>
      </c>
      <c r="E600" s="37" t="b">
        <v>1</v>
      </c>
      <c r="F600" s="37" t="b">
        <v>1</v>
      </c>
      <c r="G600" s="37">
        <v>1</v>
      </c>
      <c r="H600" s="37">
        <v>200000</v>
      </c>
    </row>
    <row r="601" spans="1:8" x14ac:dyDescent="0.3">
      <c r="A601" s="37" t="s">
        <v>66</v>
      </c>
      <c r="B601" s="38">
        <v>79200</v>
      </c>
      <c r="E601" s="37" t="b">
        <v>0</v>
      </c>
      <c r="F601" s="37" t="b">
        <v>1</v>
      </c>
      <c r="G601" s="37">
        <v>0</v>
      </c>
      <c r="H601" s="37" t="b">
        <v>0</v>
      </c>
    </row>
    <row r="602" spans="1:8" x14ac:dyDescent="0.3">
      <c r="A602" s="37" t="s">
        <v>0</v>
      </c>
      <c r="B602" s="38">
        <v>69300</v>
      </c>
      <c r="E602" s="37" t="b">
        <v>0</v>
      </c>
      <c r="F602" s="37" t="b">
        <v>1</v>
      </c>
      <c r="G602" s="37">
        <v>0</v>
      </c>
      <c r="H602" s="37" t="b">
        <v>0</v>
      </c>
    </row>
    <row r="603" spans="1:8" x14ac:dyDescent="0.3">
      <c r="A603" s="37" t="s">
        <v>2</v>
      </c>
      <c r="B603" s="38">
        <v>111175</v>
      </c>
      <c r="E603" s="37" t="b">
        <v>1</v>
      </c>
      <c r="F603" s="37" t="b">
        <v>1</v>
      </c>
      <c r="G603" s="37">
        <v>1</v>
      </c>
      <c r="H603" s="37">
        <v>111175</v>
      </c>
    </row>
    <row r="604" spans="1:8" x14ac:dyDescent="0.3">
      <c r="A604" s="37" t="s">
        <v>4</v>
      </c>
      <c r="B604" s="38">
        <v>79200</v>
      </c>
      <c r="E604" s="37" t="b">
        <v>0</v>
      </c>
      <c r="F604" s="37" t="b">
        <v>1</v>
      </c>
      <c r="G604" s="37">
        <v>0</v>
      </c>
      <c r="H604" s="37" t="b">
        <v>0</v>
      </c>
    </row>
    <row r="605" spans="1:8" x14ac:dyDescent="0.3">
      <c r="A605" s="37" t="s">
        <v>4</v>
      </c>
      <c r="B605" s="38">
        <v>147500</v>
      </c>
      <c r="E605" s="37" t="b">
        <v>0</v>
      </c>
      <c r="F605" s="37" t="b">
        <v>1</v>
      </c>
      <c r="G605" s="37">
        <v>0</v>
      </c>
      <c r="H605" s="37" t="b">
        <v>0</v>
      </c>
    </row>
    <row r="606" spans="1:8" x14ac:dyDescent="0.3">
      <c r="A606" s="37" t="s">
        <v>129</v>
      </c>
      <c r="B606" s="38">
        <v>89100</v>
      </c>
      <c r="E606" s="37" t="b">
        <v>0</v>
      </c>
      <c r="F606" s="37" t="b">
        <v>1</v>
      </c>
      <c r="G606" s="37">
        <v>0</v>
      </c>
      <c r="H606" s="37" t="b">
        <v>0</v>
      </c>
    </row>
    <row r="607" spans="1:8" x14ac:dyDescent="0.3">
      <c r="A607" s="37" t="s">
        <v>0</v>
      </c>
      <c r="B607" s="38">
        <v>157500</v>
      </c>
      <c r="E607" s="37" t="b">
        <v>0</v>
      </c>
      <c r="F607" s="37" t="b">
        <v>1</v>
      </c>
      <c r="G607" s="37">
        <v>0</v>
      </c>
      <c r="H607" s="37" t="b">
        <v>0</v>
      </c>
    </row>
    <row r="608" spans="1:8" x14ac:dyDescent="0.3">
      <c r="A608" s="37" t="s">
        <v>0</v>
      </c>
      <c r="B608" s="38">
        <v>157500</v>
      </c>
      <c r="E608" s="37" t="b">
        <v>0</v>
      </c>
      <c r="F608" s="37" t="b">
        <v>1</v>
      </c>
      <c r="G608" s="37">
        <v>0</v>
      </c>
      <c r="H608" s="37" t="b">
        <v>0</v>
      </c>
    </row>
    <row r="609" spans="1:8" x14ac:dyDescent="0.3">
      <c r="A609" s="37" t="s">
        <v>4</v>
      </c>
      <c r="B609" s="38">
        <v>89100</v>
      </c>
      <c r="E609" s="37" t="b">
        <v>0</v>
      </c>
      <c r="F609" s="37" t="b">
        <v>1</v>
      </c>
      <c r="G609" s="37">
        <v>0</v>
      </c>
      <c r="H609" s="37" t="b">
        <v>0</v>
      </c>
    </row>
    <row r="610" spans="1:8" x14ac:dyDescent="0.3">
      <c r="A610" s="37" t="s">
        <v>4</v>
      </c>
      <c r="B610" s="38">
        <v>147500</v>
      </c>
      <c r="E610" s="37" t="b">
        <v>0</v>
      </c>
      <c r="F610" s="37" t="b">
        <v>1</v>
      </c>
      <c r="G610" s="37">
        <v>0</v>
      </c>
      <c r="H610" s="37" t="b">
        <v>0</v>
      </c>
    </row>
    <row r="611" spans="1:8" x14ac:dyDescent="0.3">
      <c r="A611" s="37" t="s">
        <v>128</v>
      </c>
      <c r="B611" s="38">
        <v>88128</v>
      </c>
      <c r="E611" s="37" t="b">
        <v>0</v>
      </c>
      <c r="F611" s="37" t="b">
        <v>1</v>
      </c>
      <c r="G611" s="37">
        <v>0</v>
      </c>
      <c r="H611" s="37" t="b">
        <v>0</v>
      </c>
    </row>
    <row r="612" spans="1:8" x14ac:dyDescent="0.3">
      <c r="A612" s="37" t="s">
        <v>1</v>
      </c>
      <c r="B612" s="38">
        <v>285000</v>
      </c>
      <c r="E612" s="37" t="b">
        <v>0</v>
      </c>
      <c r="F612" s="37" t="b">
        <v>1</v>
      </c>
      <c r="G612" s="37">
        <v>0</v>
      </c>
      <c r="H612" s="37" t="b">
        <v>0</v>
      </c>
    </row>
    <row r="613" spans="1:8" x14ac:dyDescent="0.3">
      <c r="A613" s="37" t="s">
        <v>0</v>
      </c>
      <c r="B613" s="38">
        <v>93600</v>
      </c>
      <c r="E613" s="37" t="b">
        <v>0</v>
      </c>
      <c r="F613" s="37" t="b">
        <v>1</v>
      </c>
      <c r="G613" s="37">
        <v>0</v>
      </c>
      <c r="H613" s="37" t="b">
        <v>0</v>
      </c>
    </row>
    <row r="614" spans="1:8" x14ac:dyDescent="0.3">
      <c r="A614" s="37" t="s">
        <v>2</v>
      </c>
      <c r="B614" s="38">
        <v>102500</v>
      </c>
      <c r="E614" s="37" t="b">
        <v>1</v>
      </c>
      <c r="F614" s="37" t="b">
        <v>1</v>
      </c>
      <c r="G614" s="37">
        <v>1</v>
      </c>
      <c r="H614" s="37">
        <v>102500</v>
      </c>
    </row>
    <row r="615" spans="1:8" x14ac:dyDescent="0.3">
      <c r="A615" s="37" t="s">
        <v>128</v>
      </c>
      <c r="B615" s="38">
        <v>157500</v>
      </c>
      <c r="E615" s="37" t="b">
        <v>0</v>
      </c>
      <c r="F615" s="37" t="b">
        <v>1</v>
      </c>
      <c r="G615" s="37">
        <v>0</v>
      </c>
      <c r="H615" s="37" t="b">
        <v>0</v>
      </c>
    </row>
    <row r="616" spans="1:8" x14ac:dyDescent="0.3">
      <c r="A616" s="37" t="s">
        <v>1</v>
      </c>
      <c r="B616" s="38">
        <v>89100</v>
      </c>
      <c r="E616" s="37" t="b">
        <v>0</v>
      </c>
      <c r="F616" s="37" t="b">
        <v>1</v>
      </c>
      <c r="G616" s="37">
        <v>0</v>
      </c>
      <c r="H616" s="37" t="b">
        <v>0</v>
      </c>
    </row>
    <row r="617" spans="1:8" x14ac:dyDescent="0.3">
      <c r="A617" s="37" t="s">
        <v>125</v>
      </c>
      <c r="B617" s="38">
        <v>111175</v>
      </c>
      <c r="E617" s="37" t="b">
        <v>0</v>
      </c>
      <c r="F617" s="37" t="b">
        <v>1</v>
      </c>
      <c r="G617" s="37">
        <v>0</v>
      </c>
      <c r="H617" s="37" t="b">
        <v>0</v>
      </c>
    </row>
    <row r="618" spans="1:8" x14ac:dyDescent="0.3">
      <c r="A618" s="37" t="s">
        <v>4</v>
      </c>
      <c r="B618" s="38">
        <v>131580</v>
      </c>
      <c r="E618" s="37" t="b">
        <v>0</v>
      </c>
      <c r="F618" s="37" t="b">
        <v>1</v>
      </c>
      <c r="G618" s="37">
        <v>0</v>
      </c>
      <c r="H618" s="37" t="b">
        <v>0</v>
      </c>
    </row>
    <row r="619" spans="1:8" x14ac:dyDescent="0.3">
      <c r="A619" s="37" t="s">
        <v>125</v>
      </c>
      <c r="B619" s="38">
        <v>98500</v>
      </c>
      <c r="E619" s="37" t="b">
        <v>0</v>
      </c>
      <c r="F619" s="37" t="b">
        <v>1</v>
      </c>
      <c r="G619" s="37">
        <v>0</v>
      </c>
      <c r="H619" s="37" t="b">
        <v>0</v>
      </c>
    </row>
    <row r="620" spans="1:8" x14ac:dyDescent="0.3">
      <c r="A620" s="37" t="s">
        <v>2</v>
      </c>
      <c r="B620" s="38">
        <v>111175</v>
      </c>
      <c r="E620" s="37" t="b">
        <v>1</v>
      </c>
      <c r="F620" s="37" t="b">
        <v>1</v>
      </c>
      <c r="G620" s="37">
        <v>1</v>
      </c>
      <c r="H620" s="37">
        <v>111175</v>
      </c>
    </row>
    <row r="621" spans="1:8" x14ac:dyDescent="0.3">
      <c r="A621" s="37" t="s">
        <v>125</v>
      </c>
      <c r="B621" s="38">
        <v>89100</v>
      </c>
      <c r="E621" s="37" t="b">
        <v>0</v>
      </c>
      <c r="F621" s="37" t="b">
        <v>1</v>
      </c>
      <c r="G621" s="37">
        <v>0</v>
      </c>
      <c r="H621" s="37" t="b">
        <v>0</v>
      </c>
    </row>
    <row r="622" spans="1:8" x14ac:dyDescent="0.3">
      <c r="A622" s="37" t="s">
        <v>2</v>
      </c>
      <c r="B622" s="38">
        <v>200000</v>
      </c>
      <c r="E622" s="37" t="b">
        <v>1</v>
      </c>
      <c r="F622" s="37" t="b">
        <v>1</v>
      </c>
      <c r="G622" s="37">
        <v>1</v>
      </c>
      <c r="H622" s="37">
        <v>200000</v>
      </c>
    </row>
    <row r="623" spans="1:8" x14ac:dyDescent="0.3">
      <c r="A623" s="37" t="s">
        <v>4</v>
      </c>
      <c r="B623" s="38">
        <v>147500</v>
      </c>
      <c r="E623" s="37" t="b">
        <v>0</v>
      </c>
      <c r="F623" s="37" t="b">
        <v>1</v>
      </c>
      <c r="G623" s="37">
        <v>0</v>
      </c>
      <c r="H623" s="37" t="b">
        <v>0</v>
      </c>
    </row>
    <row r="624" spans="1:8" x14ac:dyDescent="0.3">
      <c r="A624" s="37" t="s">
        <v>0</v>
      </c>
      <c r="B624" s="38"/>
      <c r="E624" s="37" t="b">
        <v>0</v>
      </c>
      <c r="F624" s="37" t="b">
        <v>0</v>
      </c>
      <c r="G624" s="37">
        <v>0</v>
      </c>
      <c r="H624" s="37" t="b">
        <v>0</v>
      </c>
    </row>
    <row r="625" spans="1:8" x14ac:dyDescent="0.3">
      <c r="A625" s="37" t="s">
        <v>2</v>
      </c>
      <c r="B625" s="38"/>
      <c r="E625" s="37" t="b">
        <v>1</v>
      </c>
      <c r="F625" s="37" t="b">
        <v>0</v>
      </c>
      <c r="G625" s="37">
        <v>0</v>
      </c>
      <c r="H625" s="37" t="b">
        <v>0</v>
      </c>
    </row>
    <row r="626" spans="1:8" x14ac:dyDescent="0.3">
      <c r="A626" s="37" t="s">
        <v>2</v>
      </c>
      <c r="B626" s="38"/>
      <c r="E626" s="37" t="b">
        <v>1</v>
      </c>
      <c r="F626" s="37" t="b">
        <v>0</v>
      </c>
      <c r="G626" s="37">
        <v>0</v>
      </c>
      <c r="H626" s="37" t="b">
        <v>0</v>
      </c>
    </row>
    <row r="627" spans="1:8" x14ac:dyDescent="0.3">
      <c r="A627" s="37" t="s">
        <v>2</v>
      </c>
      <c r="B627" s="38"/>
      <c r="E627" s="37" t="b">
        <v>1</v>
      </c>
      <c r="F627" s="37" t="b">
        <v>0</v>
      </c>
      <c r="G627" s="37">
        <v>0</v>
      </c>
      <c r="H627" s="37" t="b">
        <v>0</v>
      </c>
    </row>
    <row r="628" spans="1:8" x14ac:dyDescent="0.3">
      <c r="A628" s="37" t="s">
        <v>2</v>
      </c>
      <c r="B628" s="38"/>
      <c r="E628" s="37" t="b">
        <v>1</v>
      </c>
      <c r="F628" s="37" t="b">
        <v>0</v>
      </c>
      <c r="G628" s="37">
        <v>0</v>
      </c>
      <c r="H628" s="37" t="b">
        <v>0</v>
      </c>
    </row>
    <row r="629" spans="1:8" x14ac:dyDescent="0.3">
      <c r="A629" s="37" t="s">
        <v>0</v>
      </c>
      <c r="B629" s="38"/>
      <c r="E629" s="37" t="b">
        <v>0</v>
      </c>
      <c r="F629" s="37" t="b">
        <v>0</v>
      </c>
      <c r="G629" s="37">
        <v>0</v>
      </c>
      <c r="H629" s="37" t="b">
        <v>0</v>
      </c>
    </row>
    <row r="630" spans="1:8" x14ac:dyDescent="0.3">
      <c r="A630" s="37" t="s">
        <v>126</v>
      </c>
      <c r="B630" s="38">
        <v>150000</v>
      </c>
      <c r="E630" s="37" t="b">
        <v>0</v>
      </c>
      <c r="F630" s="37" t="b">
        <v>1</v>
      </c>
      <c r="G630" s="37">
        <v>0</v>
      </c>
      <c r="H630" s="37" t="b">
        <v>0</v>
      </c>
    </row>
    <row r="631" spans="1:8" x14ac:dyDescent="0.3">
      <c r="A631" s="37" t="s">
        <v>4</v>
      </c>
      <c r="B631" s="38">
        <v>117500</v>
      </c>
      <c r="E631" s="37" t="b">
        <v>0</v>
      </c>
      <c r="F631" s="37" t="b">
        <v>1</v>
      </c>
      <c r="G631" s="37">
        <v>0</v>
      </c>
      <c r="H631" s="37" t="b">
        <v>0</v>
      </c>
    </row>
    <row r="632" spans="1:8" x14ac:dyDescent="0.3">
      <c r="A632" s="37" t="s">
        <v>128</v>
      </c>
      <c r="B632" s="38">
        <v>107500</v>
      </c>
      <c r="E632" s="37" t="b">
        <v>0</v>
      </c>
      <c r="F632" s="37" t="b">
        <v>1</v>
      </c>
      <c r="G632" s="37">
        <v>0</v>
      </c>
      <c r="H632" s="37" t="b">
        <v>0</v>
      </c>
    </row>
    <row r="633" spans="1:8" x14ac:dyDescent="0.3">
      <c r="A633" s="37" t="s">
        <v>4</v>
      </c>
      <c r="B633" s="38">
        <v>235000</v>
      </c>
      <c r="E633" s="37" t="b">
        <v>0</v>
      </c>
      <c r="F633" s="37" t="b">
        <v>1</v>
      </c>
      <c r="G633" s="37">
        <v>0</v>
      </c>
      <c r="H633" s="37" t="b">
        <v>0</v>
      </c>
    </row>
    <row r="634" spans="1:8" x14ac:dyDescent="0.3">
      <c r="A634" s="37" t="s">
        <v>0</v>
      </c>
      <c r="B634" s="38">
        <v>55000</v>
      </c>
      <c r="E634" s="37" t="b">
        <v>0</v>
      </c>
      <c r="F634" s="37" t="b">
        <v>1</v>
      </c>
      <c r="G634" s="37">
        <v>0</v>
      </c>
      <c r="H634" s="37" t="b">
        <v>0</v>
      </c>
    </row>
    <row r="635" spans="1:8" x14ac:dyDescent="0.3">
      <c r="A635" s="37" t="s">
        <v>4</v>
      </c>
      <c r="B635" s="38">
        <v>50500</v>
      </c>
      <c r="E635" s="37" t="b">
        <v>0</v>
      </c>
      <c r="F635" s="37" t="b">
        <v>1</v>
      </c>
      <c r="G635" s="37">
        <v>0</v>
      </c>
      <c r="H635" s="37" t="b">
        <v>0</v>
      </c>
    </row>
    <row r="636" spans="1:8" x14ac:dyDescent="0.3">
      <c r="A636" s="37" t="s">
        <v>128</v>
      </c>
      <c r="B636" s="38">
        <v>75000</v>
      </c>
      <c r="E636" s="37" t="b">
        <v>0</v>
      </c>
      <c r="F636" s="37" t="b">
        <v>1</v>
      </c>
      <c r="G636" s="37">
        <v>0</v>
      </c>
      <c r="H636" s="37" t="b">
        <v>0</v>
      </c>
    </row>
    <row r="637" spans="1:8" x14ac:dyDescent="0.3">
      <c r="A637" s="37" t="s">
        <v>0</v>
      </c>
      <c r="B637" s="38">
        <v>63000</v>
      </c>
      <c r="E637" s="37" t="b">
        <v>0</v>
      </c>
      <c r="F637" s="37" t="b">
        <v>1</v>
      </c>
      <c r="G637" s="37">
        <v>0</v>
      </c>
      <c r="H637" s="37" t="b">
        <v>0</v>
      </c>
    </row>
    <row r="638" spans="1:8" x14ac:dyDescent="0.3">
      <c r="A638" s="37" t="s">
        <v>4</v>
      </c>
      <c r="B638" s="38">
        <v>140000</v>
      </c>
      <c r="E638" s="37" t="b">
        <v>0</v>
      </c>
      <c r="F638" s="37" t="b">
        <v>1</v>
      </c>
      <c r="G638" s="37">
        <v>0</v>
      </c>
      <c r="H638" s="37" t="b">
        <v>0</v>
      </c>
    </row>
    <row r="639" spans="1:8" x14ac:dyDescent="0.3">
      <c r="A639" s="37" t="s">
        <v>1</v>
      </c>
      <c r="B639" s="38">
        <v>65000</v>
      </c>
      <c r="E639" s="37" t="b">
        <v>0</v>
      </c>
      <c r="F639" s="37" t="b">
        <v>1</v>
      </c>
      <c r="G639" s="37">
        <v>0</v>
      </c>
      <c r="H639" s="37" t="b">
        <v>0</v>
      </c>
    </row>
    <row r="640" spans="1:8" x14ac:dyDescent="0.3">
      <c r="A640" s="37" t="s">
        <v>129</v>
      </c>
      <c r="B640" s="38">
        <v>65000</v>
      </c>
      <c r="E640" s="37" t="b">
        <v>0</v>
      </c>
      <c r="F640" s="37" t="b">
        <v>1</v>
      </c>
      <c r="G640" s="37">
        <v>0</v>
      </c>
      <c r="H640" s="37" t="b">
        <v>0</v>
      </c>
    </row>
    <row r="641" spans="1:8" x14ac:dyDescent="0.3">
      <c r="A641" s="37" t="s">
        <v>2</v>
      </c>
      <c r="B641" s="38">
        <v>47500</v>
      </c>
      <c r="E641" s="37" t="b">
        <v>1</v>
      </c>
      <c r="F641" s="37" t="b">
        <v>1</v>
      </c>
      <c r="G641" s="37">
        <v>1</v>
      </c>
      <c r="H641" s="37">
        <v>47500</v>
      </c>
    </row>
    <row r="642" spans="1:8" x14ac:dyDescent="0.3">
      <c r="A642" s="37" t="s">
        <v>4</v>
      </c>
      <c r="B642" s="38">
        <v>91000</v>
      </c>
      <c r="E642" s="37" t="b">
        <v>0</v>
      </c>
      <c r="F642" s="37" t="b">
        <v>1</v>
      </c>
      <c r="G642" s="37">
        <v>0</v>
      </c>
      <c r="H642" s="37" t="b">
        <v>0</v>
      </c>
    </row>
    <row r="643" spans="1:8" x14ac:dyDescent="0.3">
      <c r="A643" s="37" t="s">
        <v>4</v>
      </c>
      <c r="B643" s="38">
        <v>50000</v>
      </c>
      <c r="E643" s="37" t="b">
        <v>0</v>
      </c>
      <c r="F643" s="37" t="b">
        <v>1</v>
      </c>
      <c r="G643" s="37">
        <v>0</v>
      </c>
      <c r="H643" s="37" t="b">
        <v>0</v>
      </c>
    </row>
    <row r="644" spans="1:8" x14ac:dyDescent="0.3">
      <c r="A644" s="37" t="s">
        <v>66</v>
      </c>
      <c r="B644" s="38">
        <v>110000</v>
      </c>
      <c r="E644" s="37" t="b">
        <v>0</v>
      </c>
      <c r="F644" s="37" t="b">
        <v>1</v>
      </c>
      <c r="G644" s="37">
        <v>0</v>
      </c>
      <c r="H644" s="37" t="b">
        <v>0</v>
      </c>
    </row>
    <row r="645" spans="1:8" x14ac:dyDescent="0.3">
      <c r="A645" s="37" t="s">
        <v>126</v>
      </c>
      <c r="B645" s="38">
        <v>142000</v>
      </c>
      <c r="E645" s="37" t="b">
        <v>0</v>
      </c>
      <c r="F645" s="37" t="b">
        <v>1</v>
      </c>
      <c r="G645" s="37">
        <v>0</v>
      </c>
      <c r="H645" s="37" t="b">
        <v>0</v>
      </c>
    </row>
    <row r="646" spans="1:8" x14ac:dyDescent="0.3">
      <c r="A646" s="37" t="s">
        <v>0</v>
      </c>
      <c r="B646" s="38">
        <v>37107.19921875</v>
      </c>
      <c r="E646" s="37" t="b">
        <v>0</v>
      </c>
      <c r="F646" s="37" t="b">
        <v>1</v>
      </c>
      <c r="G646" s="37">
        <v>0</v>
      </c>
      <c r="H646" s="37" t="b">
        <v>0</v>
      </c>
    </row>
    <row r="647" spans="1:8" x14ac:dyDescent="0.3">
      <c r="A647" s="37" t="s">
        <v>2</v>
      </c>
      <c r="B647" s="38"/>
      <c r="E647" s="37" t="b">
        <v>1</v>
      </c>
      <c r="F647" s="37" t="b">
        <v>0</v>
      </c>
      <c r="G647" s="37">
        <v>0</v>
      </c>
      <c r="H647" s="37" t="b">
        <v>0</v>
      </c>
    </row>
    <row r="648" spans="1:8" x14ac:dyDescent="0.3">
      <c r="A648" s="37" t="s">
        <v>52</v>
      </c>
      <c r="B648" s="38"/>
      <c r="E648" s="37" t="b">
        <v>0</v>
      </c>
      <c r="F648" s="37" t="b">
        <v>0</v>
      </c>
      <c r="G648" s="37">
        <v>0</v>
      </c>
      <c r="H648" s="37" t="b">
        <v>0</v>
      </c>
    </row>
    <row r="649" spans="1:8" x14ac:dyDescent="0.3">
      <c r="A649" s="37" t="s">
        <v>125</v>
      </c>
      <c r="B649" s="38"/>
      <c r="E649" s="37" t="b">
        <v>0</v>
      </c>
      <c r="F649" s="37" t="b">
        <v>0</v>
      </c>
      <c r="G649" s="37">
        <v>0</v>
      </c>
      <c r="H649" s="37" t="b">
        <v>0</v>
      </c>
    </row>
    <row r="650" spans="1:8" x14ac:dyDescent="0.3">
      <c r="A650" s="37" t="s">
        <v>2</v>
      </c>
      <c r="B650" s="38"/>
      <c r="E650" s="37" t="b">
        <v>1</v>
      </c>
      <c r="F650" s="37" t="b">
        <v>0</v>
      </c>
      <c r="G650" s="37">
        <v>0</v>
      </c>
      <c r="H650" s="37" t="b">
        <v>0</v>
      </c>
    </row>
    <row r="651" spans="1:8" x14ac:dyDescent="0.3">
      <c r="A651" s="37" t="s">
        <v>2</v>
      </c>
      <c r="B651" s="38"/>
      <c r="E651" s="37" t="b">
        <v>1</v>
      </c>
      <c r="F651" s="37" t="b">
        <v>0</v>
      </c>
      <c r="G651" s="37">
        <v>0</v>
      </c>
      <c r="H651" s="37" t="b">
        <v>0</v>
      </c>
    </row>
    <row r="652" spans="1:8" x14ac:dyDescent="0.3">
      <c r="A652" s="37" t="s">
        <v>0</v>
      </c>
      <c r="B652" s="38"/>
      <c r="E652" s="37" t="b">
        <v>0</v>
      </c>
      <c r="F652" s="37" t="b">
        <v>0</v>
      </c>
      <c r="G652" s="37">
        <v>0</v>
      </c>
      <c r="H652" s="37" t="b">
        <v>0</v>
      </c>
    </row>
    <row r="653" spans="1:8" x14ac:dyDescent="0.3">
      <c r="A653" s="37" t="s">
        <v>0</v>
      </c>
      <c r="B653" s="38"/>
      <c r="E653" s="37" t="b">
        <v>0</v>
      </c>
      <c r="F653" s="37" t="b">
        <v>0</v>
      </c>
      <c r="G653" s="37">
        <v>0</v>
      </c>
      <c r="H653" s="37" t="b">
        <v>0</v>
      </c>
    </row>
    <row r="654" spans="1:8" x14ac:dyDescent="0.3">
      <c r="A654" s="37" t="s">
        <v>0</v>
      </c>
      <c r="B654" s="38"/>
      <c r="E654" s="37" t="b">
        <v>0</v>
      </c>
      <c r="F654" s="37" t="b">
        <v>0</v>
      </c>
      <c r="G654" s="37">
        <v>0</v>
      </c>
      <c r="H654" s="37" t="b">
        <v>0</v>
      </c>
    </row>
    <row r="655" spans="1:8" x14ac:dyDescent="0.3">
      <c r="A655" s="37" t="s">
        <v>0</v>
      </c>
      <c r="B655" s="38"/>
      <c r="E655" s="37" t="b">
        <v>0</v>
      </c>
      <c r="F655" s="37" t="b">
        <v>0</v>
      </c>
      <c r="G655" s="37">
        <v>0</v>
      </c>
      <c r="H655" s="37" t="b">
        <v>0</v>
      </c>
    </row>
    <row r="656" spans="1:8" x14ac:dyDescent="0.3">
      <c r="A656" s="37" t="s">
        <v>0</v>
      </c>
      <c r="B656" s="38"/>
      <c r="E656" s="37" t="b">
        <v>0</v>
      </c>
      <c r="F656" s="37" t="b">
        <v>0</v>
      </c>
      <c r="G656" s="37">
        <v>0</v>
      </c>
      <c r="H656" s="37" t="b">
        <v>0</v>
      </c>
    </row>
    <row r="657" spans="1:8" x14ac:dyDescent="0.3">
      <c r="A657" s="37" t="s">
        <v>2</v>
      </c>
      <c r="B657" s="38"/>
      <c r="E657" s="37" t="b">
        <v>1</v>
      </c>
      <c r="F657" s="37" t="b">
        <v>0</v>
      </c>
      <c r="G657" s="37">
        <v>0</v>
      </c>
      <c r="H657" s="37" t="b">
        <v>0</v>
      </c>
    </row>
    <row r="658" spans="1:8" x14ac:dyDescent="0.3">
      <c r="A658" s="37" t="s">
        <v>0</v>
      </c>
      <c r="B658" s="38"/>
      <c r="E658" s="37" t="b">
        <v>0</v>
      </c>
      <c r="F658" s="37" t="b">
        <v>0</v>
      </c>
      <c r="G658" s="37">
        <v>0</v>
      </c>
      <c r="H658" s="37" t="b">
        <v>0</v>
      </c>
    </row>
    <row r="659" spans="1:8" x14ac:dyDescent="0.3">
      <c r="A659" s="37" t="s">
        <v>0</v>
      </c>
      <c r="B659" s="38"/>
      <c r="E659" s="37" t="b">
        <v>0</v>
      </c>
      <c r="F659" s="37" t="b">
        <v>0</v>
      </c>
      <c r="G659" s="37">
        <v>0</v>
      </c>
      <c r="H659" s="37" t="b">
        <v>0</v>
      </c>
    </row>
    <row r="660" spans="1:8" x14ac:dyDescent="0.3">
      <c r="A660" s="37" t="s">
        <v>129</v>
      </c>
      <c r="B660" s="38"/>
      <c r="E660" s="37" t="b">
        <v>0</v>
      </c>
      <c r="F660" s="37" t="b">
        <v>0</v>
      </c>
      <c r="G660" s="37">
        <v>0</v>
      </c>
      <c r="H660" s="37" t="b">
        <v>0</v>
      </c>
    </row>
    <row r="661" spans="1:8" x14ac:dyDescent="0.3">
      <c r="A661" s="37" t="s">
        <v>0</v>
      </c>
      <c r="B661" s="38"/>
      <c r="E661" s="37" t="b">
        <v>0</v>
      </c>
      <c r="F661" s="37" t="b">
        <v>0</v>
      </c>
      <c r="G661" s="37">
        <v>0</v>
      </c>
      <c r="H661" s="37" t="b">
        <v>0</v>
      </c>
    </row>
    <row r="662" spans="1:8" x14ac:dyDescent="0.3">
      <c r="A662" s="37" t="s">
        <v>2</v>
      </c>
      <c r="B662" s="38"/>
      <c r="E662" s="37" t="b">
        <v>1</v>
      </c>
      <c r="F662" s="37" t="b">
        <v>0</v>
      </c>
      <c r="G662" s="37">
        <v>0</v>
      </c>
      <c r="H662" s="37" t="b">
        <v>0</v>
      </c>
    </row>
    <row r="663" spans="1:8" x14ac:dyDescent="0.3">
      <c r="A663" s="37" t="s">
        <v>2</v>
      </c>
      <c r="B663" s="38"/>
      <c r="E663" s="37" t="b">
        <v>1</v>
      </c>
      <c r="F663" s="37" t="b">
        <v>0</v>
      </c>
      <c r="G663" s="37">
        <v>0</v>
      </c>
      <c r="H663" s="37" t="b">
        <v>0</v>
      </c>
    </row>
    <row r="664" spans="1:8" x14ac:dyDescent="0.3">
      <c r="A664" s="37" t="s">
        <v>2</v>
      </c>
      <c r="B664" s="38"/>
      <c r="E664" s="37" t="b">
        <v>1</v>
      </c>
      <c r="F664" s="37" t="b">
        <v>0</v>
      </c>
      <c r="G664" s="37">
        <v>0</v>
      </c>
      <c r="H664" s="37" t="b">
        <v>0</v>
      </c>
    </row>
    <row r="665" spans="1:8" x14ac:dyDescent="0.3">
      <c r="A665" s="37" t="s">
        <v>2</v>
      </c>
      <c r="B665" s="38"/>
      <c r="E665" s="37" t="b">
        <v>1</v>
      </c>
      <c r="F665" s="37" t="b">
        <v>0</v>
      </c>
      <c r="G665" s="37">
        <v>0</v>
      </c>
      <c r="H665" s="37" t="b">
        <v>0</v>
      </c>
    </row>
    <row r="666" spans="1:8" x14ac:dyDescent="0.3">
      <c r="A666" s="37" t="s">
        <v>2</v>
      </c>
      <c r="B666" s="38"/>
      <c r="E666" s="37" t="b">
        <v>1</v>
      </c>
      <c r="F666" s="37" t="b">
        <v>0</v>
      </c>
      <c r="G666" s="37">
        <v>0</v>
      </c>
      <c r="H666" s="37" t="b">
        <v>0</v>
      </c>
    </row>
    <row r="667" spans="1:8" x14ac:dyDescent="0.3">
      <c r="A667" s="37" t="s">
        <v>0</v>
      </c>
      <c r="B667" s="38"/>
      <c r="E667" s="37" t="b">
        <v>0</v>
      </c>
      <c r="F667" s="37" t="b">
        <v>0</v>
      </c>
      <c r="G667" s="37">
        <v>0</v>
      </c>
      <c r="H667" s="37" t="b">
        <v>0</v>
      </c>
    </row>
    <row r="668" spans="1:8" x14ac:dyDescent="0.3">
      <c r="A668" s="37" t="s">
        <v>2</v>
      </c>
      <c r="B668" s="38"/>
      <c r="E668" s="37" t="b">
        <v>1</v>
      </c>
      <c r="F668" s="37" t="b">
        <v>0</v>
      </c>
      <c r="G668" s="37">
        <v>0</v>
      </c>
      <c r="H668" s="37" t="b">
        <v>0</v>
      </c>
    </row>
    <row r="669" spans="1:8" x14ac:dyDescent="0.3">
      <c r="A669" s="37" t="s">
        <v>0</v>
      </c>
      <c r="B669" s="38"/>
      <c r="E669" s="37" t="b">
        <v>0</v>
      </c>
      <c r="F669" s="37" t="b">
        <v>0</v>
      </c>
      <c r="G669" s="37">
        <v>0</v>
      </c>
      <c r="H669" s="37" t="b">
        <v>0</v>
      </c>
    </row>
    <row r="670" spans="1:8" x14ac:dyDescent="0.3">
      <c r="A670" s="37" t="s">
        <v>0</v>
      </c>
      <c r="B670" s="38"/>
      <c r="E670" s="37" t="b">
        <v>0</v>
      </c>
      <c r="F670" s="37" t="b">
        <v>0</v>
      </c>
      <c r="G670" s="37">
        <v>0</v>
      </c>
      <c r="H670" s="37" t="b">
        <v>0</v>
      </c>
    </row>
    <row r="671" spans="1:8" x14ac:dyDescent="0.3">
      <c r="A671" s="37" t="s">
        <v>0</v>
      </c>
      <c r="B671" s="38"/>
      <c r="E671" s="37" t="b">
        <v>0</v>
      </c>
      <c r="F671" s="37" t="b">
        <v>0</v>
      </c>
      <c r="G671" s="37">
        <v>0</v>
      </c>
      <c r="H671" s="37" t="b">
        <v>0</v>
      </c>
    </row>
    <row r="672" spans="1:8" x14ac:dyDescent="0.3">
      <c r="A672" s="37" t="s">
        <v>128</v>
      </c>
      <c r="B672" s="38"/>
      <c r="E672" s="37" t="b">
        <v>0</v>
      </c>
      <c r="F672" s="37" t="b">
        <v>0</v>
      </c>
      <c r="G672" s="37">
        <v>0</v>
      </c>
      <c r="H672" s="37" t="b">
        <v>0</v>
      </c>
    </row>
    <row r="673" spans="1:8" x14ac:dyDescent="0.3">
      <c r="A673" s="37" t="s">
        <v>128</v>
      </c>
      <c r="B673" s="38"/>
      <c r="E673" s="37" t="b">
        <v>0</v>
      </c>
      <c r="F673" s="37" t="b">
        <v>0</v>
      </c>
      <c r="G673" s="37">
        <v>0</v>
      </c>
      <c r="H673" s="37" t="b">
        <v>0</v>
      </c>
    </row>
    <row r="674" spans="1:8" x14ac:dyDescent="0.3">
      <c r="A674" s="37" t="s">
        <v>128</v>
      </c>
      <c r="B674" s="38"/>
      <c r="E674" s="37" t="b">
        <v>0</v>
      </c>
      <c r="F674" s="37" t="b">
        <v>0</v>
      </c>
      <c r="G674" s="37">
        <v>0</v>
      </c>
      <c r="H674" s="37" t="b">
        <v>0</v>
      </c>
    </row>
    <row r="675" spans="1:8" x14ac:dyDescent="0.3">
      <c r="A675" s="37" t="s">
        <v>128</v>
      </c>
      <c r="B675" s="38"/>
      <c r="E675" s="37" t="b">
        <v>0</v>
      </c>
      <c r="F675" s="37" t="b">
        <v>0</v>
      </c>
      <c r="G675" s="37">
        <v>0</v>
      </c>
      <c r="H675" s="37" t="b">
        <v>0</v>
      </c>
    </row>
    <row r="676" spans="1:8" x14ac:dyDescent="0.3">
      <c r="A676" s="37" t="s">
        <v>2</v>
      </c>
      <c r="B676" s="38"/>
      <c r="E676" s="37" t="b">
        <v>1</v>
      </c>
      <c r="F676" s="37" t="b">
        <v>0</v>
      </c>
      <c r="G676" s="37">
        <v>0</v>
      </c>
      <c r="H676" s="37" t="b">
        <v>0</v>
      </c>
    </row>
    <row r="677" spans="1:8" x14ac:dyDescent="0.3">
      <c r="A677" s="37" t="s">
        <v>125</v>
      </c>
      <c r="B677" s="38"/>
      <c r="E677" s="37" t="b">
        <v>0</v>
      </c>
      <c r="F677" s="37" t="b">
        <v>0</v>
      </c>
      <c r="G677" s="37">
        <v>0</v>
      </c>
      <c r="H677" s="37" t="b">
        <v>0</v>
      </c>
    </row>
    <row r="678" spans="1:8" x14ac:dyDescent="0.3">
      <c r="A678" s="37" t="s">
        <v>2</v>
      </c>
      <c r="B678" s="38"/>
      <c r="E678" s="37" t="b">
        <v>1</v>
      </c>
      <c r="F678" s="37" t="b">
        <v>0</v>
      </c>
      <c r="G678" s="37">
        <v>0</v>
      </c>
      <c r="H678" s="37" t="b">
        <v>0</v>
      </c>
    </row>
    <row r="679" spans="1:8" x14ac:dyDescent="0.3">
      <c r="A679" s="37" t="s">
        <v>2</v>
      </c>
      <c r="B679" s="38"/>
      <c r="E679" s="37" t="b">
        <v>1</v>
      </c>
      <c r="F679" s="37" t="b">
        <v>0</v>
      </c>
      <c r="G679" s="37">
        <v>0</v>
      </c>
      <c r="H679" s="37" t="b">
        <v>0</v>
      </c>
    </row>
    <row r="680" spans="1:8" x14ac:dyDescent="0.3">
      <c r="A680" s="37" t="s">
        <v>125</v>
      </c>
      <c r="B680" s="38"/>
      <c r="E680" s="37" t="b">
        <v>0</v>
      </c>
      <c r="F680" s="37" t="b">
        <v>0</v>
      </c>
      <c r="G680" s="37">
        <v>0</v>
      </c>
      <c r="H680" s="37" t="b">
        <v>0</v>
      </c>
    </row>
    <row r="681" spans="1:8" x14ac:dyDescent="0.3">
      <c r="A681" s="37" t="s">
        <v>2</v>
      </c>
      <c r="B681" s="38"/>
      <c r="E681" s="37" t="b">
        <v>1</v>
      </c>
      <c r="F681" s="37" t="b">
        <v>0</v>
      </c>
      <c r="G681" s="37">
        <v>0</v>
      </c>
      <c r="H681" s="37" t="b">
        <v>0</v>
      </c>
    </row>
    <row r="682" spans="1:8" x14ac:dyDescent="0.3">
      <c r="A682" s="37" t="s">
        <v>0</v>
      </c>
      <c r="B682" s="38"/>
      <c r="E682" s="37" t="b">
        <v>0</v>
      </c>
      <c r="F682" s="37" t="b">
        <v>0</v>
      </c>
      <c r="G682" s="37">
        <v>0</v>
      </c>
      <c r="H682" s="37" t="b">
        <v>0</v>
      </c>
    </row>
    <row r="683" spans="1:8" x14ac:dyDescent="0.3">
      <c r="A683" s="37" t="s">
        <v>125</v>
      </c>
      <c r="B683" s="38"/>
      <c r="E683" s="37" t="b">
        <v>0</v>
      </c>
      <c r="F683" s="37" t="b">
        <v>0</v>
      </c>
      <c r="G683" s="37">
        <v>0</v>
      </c>
      <c r="H683" s="37" t="b">
        <v>0</v>
      </c>
    </row>
    <row r="684" spans="1:8" x14ac:dyDescent="0.3">
      <c r="A684" s="37" t="s">
        <v>128</v>
      </c>
      <c r="B684" s="38"/>
      <c r="E684" s="37" t="b">
        <v>0</v>
      </c>
      <c r="F684" s="37" t="b">
        <v>0</v>
      </c>
      <c r="G684" s="37">
        <v>0</v>
      </c>
      <c r="H684" s="37" t="b">
        <v>0</v>
      </c>
    </row>
    <row r="685" spans="1:8" x14ac:dyDescent="0.3">
      <c r="A685" s="37" t="s">
        <v>0</v>
      </c>
      <c r="B685" s="38"/>
      <c r="E685" s="37" t="b">
        <v>0</v>
      </c>
      <c r="F685" s="37" t="b">
        <v>0</v>
      </c>
      <c r="G685" s="37">
        <v>0</v>
      </c>
      <c r="H685" s="37" t="b">
        <v>0</v>
      </c>
    </row>
    <row r="686" spans="1:8" x14ac:dyDescent="0.3">
      <c r="A686" s="37" t="s">
        <v>2</v>
      </c>
      <c r="B686" s="38"/>
      <c r="E686" s="37" t="b">
        <v>1</v>
      </c>
      <c r="F686" s="37" t="b">
        <v>0</v>
      </c>
      <c r="G686" s="37">
        <v>0</v>
      </c>
      <c r="H686" s="37" t="b">
        <v>0</v>
      </c>
    </row>
    <row r="687" spans="1:8" x14ac:dyDescent="0.3">
      <c r="A687" s="37" t="s">
        <v>128</v>
      </c>
      <c r="B687" s="38"/>
      <c r="E687" s="37" t="b">
        <v>0</v>
      </c>
      <c r="F687" s="37" t="b">
        <v>0</v>
      </c>
      <c r="G687" s="37">
        <v>0</v>
      </c>
      <c r="H687" s="37" t="b">
        <v>0</v>
      </c>
    </row>
    <row r="688" spans="1:8" x14ac:dyDescent="0.3">
      <c r="A688" s="37" t="s">
        <v>2</v>
      </c>
      <c r="B688" s="38">
        <v>218500</v>
      </c>
      <c r="E688" s="37" t="b">
        <v>1</v>
      </c>
      <c r="F688" s="37" t="b">
        <v>1</v>
      </c>
      <c r="G688" s="37">
        <v>1</v>
      </c>
      <c r="H688" s="37">
        <v>218500</v>
      </c>
    </row>
    <row r="689" spans="1:8" x14ac:dyDescent="0.3">
      <c r="A689" s="37" t="s">
        <v>0</v>
      </c>
      <c r="B689" s="38"/>
      <c r="E689" s="37" t="b">
        <v>0</v>
      </c>
      <c r="F689" s="37" t="b">
        <v>0</v>
      </c>
      <c r="G689" s="37">
        <v>0</v>
      </c>
      <c r="H689" s="37" t="b">
        <v>0</v>
      </c>
    </row>
    <row r="690" spans="1:8" x14ac:dyDescent="0.3">
      <c r="A690" s="37" t="s">
        <v>4</v>
      </c>
      <c r="B690" s="38"/>
      <c r="E690" s="37" t="b">
        <v>0</v>
      </c>
      <c r="F690" s="37" t="b">
        <v>0</v>
      </c>
      <c r="G690" s="37">
        <v>0</v>
      </c>
      <c r="H690" s="37" t="b">
        <v>0</v>
      </c>
    </row>
    <row r="691" spans="1:8" x14ac:dyDescent="0.3">
      <c r="A691" s="37" t="s">
        <v>4</v>
      </c>
      <c r="B691" s="38"/>
      <c r="E691" s="37" t="b">
        <v>0</v>
      </c>
      <c r="F691" s="37" t="b">
        <v>0</v>
      </c>
      <c r="G691" s="37">
        <v>0</v>
      </c>
      <c r="H691" s="37" t="b">
        <v>0</v>
      </c>
    </row>
    <row r="692" spans="1:8" x14ac:dyDescent="0.3">
      <c r="A692" s="37" t="s">
        <v>4</v>
      </c>
      <c r="B692" s="38"/>
      <c r="E692" s="37" t="b">
        <v>0</v>
      </c>
      <c r="F692" s="37" t="b">
        <v>0</v>
      </c>
      <c r="G692" s="37">
        <v>0</v>
      </c>
      <c r="H692" s="37" t="b">
        <v>0</v>
      </c>
    </row>
    <row r="693" spans="1:8" x14ac:dyDescent="0.3">
      <c r="A693" s="37" t="s">
        <v>2</v>
      </c>
      <c r="B693" s="38"/>
      <c r="E693" s="37" t="b">
        <v>1</v>
      </c>
      <c r="F693" s="37" t="b">
        <v>0</v>
      </c>
      <c r="G693" s="37">
        <v>0</v>
      </c>
      <c r="H693" s="37" t="b">
        <v>0</v>
      </c>
    </row>
    <row r="694" spans="1:8" x14ac:dyDescent="0.3">
      <c r="A694" s="37" t="s">
        <v>2</v>
      </c>
      <c r="B694" s="38">
        <v>138615</v>
      </c>
      <c r="E694" s="37" t="b">
        <v>1</v>
      </c>
      <c r="F694" s="37" t="b">
        <v>1</v>
      </c>
      <c r="G694" s="37">
        <v>1</v>
      </c>
      <c r="H694" s="37">
        <v>138615</v>
      </c>
    </row>
    <row r="695" spans="1:8" x14ac:dyDescent="0.3">
      <c r="A695" s="37" t="s">
        <v>128</v>
      </c>
      <c r="B695" s="38">
        <v>105515</v>
      </c>
      <c r="E695" s="37" t="b">
        <v>0</v>
      </c>
      <c r="F695" s="37" t="b">
        <v>1</v>
      </c>
      <c r="G695" s="37">
        <v>0</v>
      </c>
      <c r="H695" s="37" t="b">
        <v>0</v>
      </c>
    </row>
    <row r="696" spans="1:8" x14ac:dyDescent="0.3">
      <c r="A696" s="37" t="s">
        <v>2</v>
      </c>
      <c r="B696" s="38">
        <v>101540</v>
      </c>
      <c r="E696" s="37" t="b">
        <v>1</v>
      </c>
      <c r="F696" s="37" t="b">
        <v>1</v>
      </c>
      <c r="G696" s="37">
        <v>1</v>
      </c>
      <c r="H696" s="37">
        <v>101540</v>
      </c>
    </row>
    <row r="697" spans="1:8" x14ac:dyDescent="0.3">
      <c r="A697" s="37" t="s">
        <v>4</v>
      </c>
      <c r="B697" s="38">
        <v>208114</v>
      </c>
      <c r="E697" s="37" t="b">
        <v>0</v>
      </c>
      <c r="F697" s="37" t="b">
        <v>1</v>
      </c>
      <c r="G697" s="37">
        <v>0</v>
      </c>
      <c r="H697" s="37" t="b">
        <v>0</v>
      </c>
    </row>
    <row r="698" spans="1:8" x14ac:dyDescent="0.3">
      <c r="A698" s="37" t="s">
        <v>128</v>
      </c>
      <c r="B698" s="38">
        <v>102000</v>
      </c>
      <c r="E698" s="37" t="b">
        <v>0</v>
      </c>
      <c r="F698" s="37" t="b">
        <v>1</v>
      </c>
      <c r="G698" s="37">
        <v>0</v>
      </c>
      <c r="H698" s="37" t="b">
        <v>0</v>
      </c>
    </row>
    <row r="699" spans="1:8" x14ac:dyDescent="0.3">
      <c r="A699" s="37" t="s">
        <v>0</v>
      </c>
      <c r="B699" s="38">
        <v>105000</v>
      </c>
      <c r="E699" s="37" t="b">
        <v>0</v>
      </c>
      <c r="F699" s="37" t="b">
        <v>1</v>
      </c>
      <c r="G699" s="37">
        <v>0</v>
      </c>
      <c r="H699" s="37" t="b">
        <v>0</v>
      </c>
    </row>
    <row r="700" spans="1:8" x14ac:dyDescent="0.3">
      <c r="A700" s="37" t="s">
        <v>2</v>
      </c>
      <c r="B700" s="38">
        <v>100000</v>
      </c>
      <c r="E700" s="37" t="b">
        <v>1</v>
      </c>
      <c r="F700" s="37" t="b">
        <v>1</v>
      </c>
      <c r="G700" s="37">
        <v>1</v>
      </c>
      <c r="H700" s="37">
        <v>100000</v>
      </c>
    </row>
    <row r="701" spans="1:8" x14ac:dyDescent="0.3">
      <c r="A701" s="37" t="s">
        <v>4</v>
      </c>
      <c r="B701" s="38">
        <v>190950</v>
      </c>
      <c r="E701" s="37" t="b">
        <v>0</v>
      </c>
      <c r="F701" s="37" t="b">
        <v>1</v>
      </c>
      <c r="G701" s="37">
        <v>0</v>
      </c>
      <c r="H701" s="37" t="b">
        <v>0</v>
      </c>
    </row>
    <row r="702" spans="1:8" x14ac:dyDescent="0.3">
      <c r="A702" s="37" t="s">
        <v>126</v>
      </c>
      <c r="B702" s="38">
        <v>156596</v>
      </c>
      <c r="E702" s="37" t="b">
        <v>0</v>
      </c>
      <c r="F702" s="37" t="b">
        <v>1</v>
      </c>
      <c r="G702" s="37">
        <v>0</v>
      </c>
      <c r="H702" s="37" t="b">
        <v>0</v>
      </c>
    </row>
    <row r="703" spans="1:8" x14ac:dyDescent="0.3">
      <c r="A703" s="37" t="s">
        <v>2</v>
      </c>
      <c r="B703" s="38"/>
      <c r="E703" s="37" t="b">
        <v>1</v>
      </c>
      <c r="F703" s="37" t="b">
        <v>0</v>
      </c>
      <c r="G703" s="37">
        <v>0</v>
      </c>
      <c r="H703" s="37" t="b">
        <v>0</v>
      </c>
    </row>
    <row r="704" spans="1:8" x14ac:dyDescent="0.3">
      <c r="A704" s="37" t="s">
        <v>2</v>
      </c>
      <c r="B704" s="38">
        <v>133285</v>
      </c>
      <c r="E704" s="37" t="b">
        <v>1</v>
      </c>
      <c r="F704" s="37" t="b">
        <v>1</v>
      </c>
      <c r="G704" s="37">
        <v>1</v>
      </c>
      <c r="H704" s="37">
        <v>133285</v>
      </c>
    </row>
    <row r="705" spans="1:8" x14ac:dyDescent="0.3">
      <c r="A705" s="37" t="s">
        <v>2</v>
      </c>
      <c r="B705" s="38"/>
      <c r="E705" s="37" t="b">
        <v>1</v>
      </c>
      <c r="F705" s="37" t="b">
        <v>0</v>
      </c>
      <c r="G705" s="37">
        <v>0</v>
      </c>
      <c r="H705" s="37" t="b">
        <v>0</v>
      </c>
    </row>
    <row r="706" spans="1:8" x14ac:dyDescent="0.3">
      <c r="A706" s="37" t="s">
        <v>4</v>
      </c>
      <c r="B706" s="38">
        <v>138200</v>
      </c>
      <c r="E706" s="37" t="b">
        <v>0</v>
      </c>
      <c r="F706" s="37" t="b">
        <v>1</v>
      </c>
      <c r="G706" s="37">
        <v>0</v>
      </c>
      <c r="H706" s="37" t="b">
        <v>0</v>
      </c>
    </row>
    <row r="707" spans="1:8" x14ac:dyDescent="0.3">
      <c r="A707" s="37" t="s">
        <v>0</v>
      </c>
      <c r="B707" s="38">
        <v>78300</v>
      </c>
      <c r="E707" s="37" t="b">
        <v>0</v>
      </c>
      <c r="F707" s="37" t="b">
        <v>1</v>
      </c>
      <c r="G707" s="37">
        <v>0</v>
      </c>
      <c r="H707" s="37" t="b">
        <v>0</v>
      </c>
    </row>
    <row r="708" spans="1:8" x14ac:dyDescent="0.3">
      <c r="A708" s="37" t="s">
        <v>2</v>
      </c>
      <c r="B708" s="38">
        <v>172015</v>
      </c>
      <c r="E708" s="37" t="b">
        <v>1</v>
      </c>
      <c r="F708" s="37" t="b">
        <v>1</v>
      </c>
      <c r="G708" s="37">
        <v>1</v>
      </c>
      <c r="H708" s="37">
        <v>172015</v>
      </c>
    </row>
    <row r="709" spans="1:8" x14ac:dyDescent="0.3">
      <c r="A709" s="37" t="s">
        <v>126</v>
      </c>
      <c r="B709" s="38">
        <v>156596</v>
      </c>
      <c r="E709" s="37" t="b">
        <v>0</v>
      </c>
      <c r="F709" s="37" t="b">
        <v>1</v>
      </c>
      <c r="G709" s="37">
        <v>0</v>
      </c>
      <c r="H709" s="37" t="b">
        <v>0</v>
      </c>
    </row>
    <row r="710" spans="1:8" x14ac:dyDescent="0.3">
      <c r="A710" s="37" t="s">
        <v>0</v>
      </c>
      <c r="B710" s="38">
        <v>225000</v>
      </c>
      <c r="E710" s="37" t="b">
        <v>0</v>
      </c>
      <c r="F710" s="37" t="b">
        <v>1</v>
      </c>
      <c r="G710" s="37">
        <v>0</v>
      </c>
      <c r="H710" s="37" t="b">
        <v>0</v>
      </c>
    </row>
    <row r="711" spans="1:8" x14ac:dyDescent="0.3">
      <c r="A711" s="37" t="s">
        <v>2</v>
      </c>
      <c r="B711" s="38">
        <v>144481.5</v>
      </c>
      <c r="E711" s="37" t="b">
        <v>1</v>
      </c>
      <c r="F711" s="37" t="b">
        <v>1</v>
      </c>
      <c r="G711" s="37">
        <v>1</v>
      </c>
      <c r="H711" s="37">
        <v>144481.5</v>
      </c>
    </row>
    <row r="712" spans="1:8" x14ac:dyDescent="0.3">
      <c r="A712" s="37" t="s">
        <v>2</v>
      </c>
      <c r="B712" s="38">
        <v>81350</v>
      </c>
      <c r="E712" s="37" t="b">
        <v>1</v>
      </c>
      <c r="F712" s="37" t="b">
        <v>1</v>
      </c>
      <c r="G712" s="37">
        <v>1</v>
      </c>
      <c r="H712" s="37">
        <v>81350</v>
      </c>
    </row>
    <row r="713" spans="1:8" x14ac:dyDescent="0.3">
      <c r="A713" s="37" t="s">
        <v>0</v>
      </c>
      <c r="B713" s="38"/>
      <c r="E713" s="37" t="b">
        <v>0</v>
      </c>
      <c r="F713" s="37" t="b">
        <v>0</v>
      </c>
      <c r="G713" s="37">
        <v>0</v>
      </c>
      <c r="H713" s="37" t="b">
        <v>0</v>
      </c>
    </row>
    <row r="714" spans="1:8" x14ac:dyDescent="0.3">
      <c r="A714" s="37" t="s">
        <v>2</v>
      </c>
      <c r="B714" s="38"/>
      <c r="E714" s="37" t="b">
        <v>1</v>
      </c>
      <c r="F714" s="37" t="b">
        <v>0</v>
      </c>
      <c r="G714" s="37">
        <v>0</v>
      </c>
      <c r="H714" s="37" t="b">
        <v>0</v>
      </c>
    </row>
    <row r="715" spans="1:8" x14ac:dyDescent="0.3">
      <c r="A715" s="37" t="s">
        <v>125</v>
      </c>
      <c r="B715" s="38"/>
      <c r="E715" s="37" t="b">
        <v>0</v>
      </c>
      <c r="F715" s="37" t="b">
        <v>0</v>
      </c>
      <c r="G715" s="37">
        <v>0</v>
      </c>
      <c r="H715" s="37" t="b">
        <v>0</v>
      </c>
    </row>
    <row r="716" spans="1:8" x14ac:dyDescent="0.3">
      <c r="A716" s="37" t="s">
        <v>128</v>
      </c>
      <c r="B716" s="38"/>
      <c r="E716" s="37" t="b">
        <v>0</v>
      </c>
      <c r="F716" s="37" t="b">
        <v>0</v>
      </c>
      <c r="G716" s="37">
        <v>0</v>
      </c>
      <c r="H716" s="37" t="b">
        <v>0</v>
      </c>
    </row>
    <row r="717" spans="1:8" x14ac:dyDescent="0.3">
      <c r="A717" s="37" t="s">
        <v>0</v>
      </c>
      <c r="B717" s="38"/>
      <c r="E717" s="37" t="b">
        <v>0</v>
      </c>
      <c r="F717" s="37" t="b">
        <v>0</v>
      </c>
      <c r="G717" s="37">
        <v>0</v>
      </c>
      <c r="H717" s="37" t="b">
        <v>0</v>
      </c>
    </row>
    <row r="718" spans="1:8" x14ac:dyDescent="0.3">
      <c r="A718" s="37" t="s">
        <v>0</v>
      </c>
      <c r="B718" s="38"/>
      <c r="E718" s="37" t="b">
        <v>0</v>
      </c>
      <c r="F718" s="37" t="b">
        <v>0</v>
      </c>
      <c r="G718" s="37">
        <v>0</v>
      </c>
      <c r="H718" s="37" t="b">
        <v>0</v>
      </c>
    </row>
    <row r="719" spans="1:8" x14ac:dyDescent="0.3">
      <c r="A719" s="37" t="s">
        <v>0</v>
      </c>
      <c r="B719" s="38">
        <v>129982</v>
      </c>
      <c r="E719" s="37" t="b">
        <v>0</v>
      </c>
      <c r="F719" s="37" t="b">
        <v>1</v>
      </c>
      <c r="G719" s="37">
        <v>0</v>
      </c>
      <c r="H719" s="37" t="b">
        <v>0</v>
      </c>
    </row>
    <row r="720" spans="1:8" x14ac:dyDescent="0.3">
      <c r="A720" s="37" t="s">
        <v>128</v>
      </c>
      <c r="B720" s="38">
        <v>150000</v>
      </c>
      <c r="E720" s="37" t="b">
        <v>0</v>
      </c>
      <c r="F720" s="37" t="b">
        <v>1</v>
      </c>
      <c r="G720" s="37">
        <v>0</v>
      </c>
      <c r="H720" s="37" t="b">
        <v>0</v>
      </c>
    </row>
    <row r="721" spans="1:8" x14ac:dyDescent="0.3">
      <c r="A721" s="37" t="s">
        <v>4</v>
      </c>
      <c r="B721" s="38">
        <v>172475.5</v>
      </c>
      <c r="E721" s="37" t="b">
        <v>0</v>
      </c>
      <c r="F721" s="37" t="b">
        <v>1</v>
      </c>
      <c r="G721" s="37">
        <v>0</v>
      </c>
      <c r="H721" s="37" t="b">
        <v>0</v>
      </c>
    </row>
    <row r="722" spans="1:8" x14ac:dyDescent="0.3">
      <c r="A722" s="37" t="s">
        <v>0</v>
      </c>
      <c r="B722" s="38">
        <v>185000</v>
      </c>
      <c r="E722" s="37" t="b">
        <v>0</v>
      </c>
      <c r="F722" s="37" t="b">
        <v>1</v>
      </c>
      <c r="G722" s="37">
        <v>0</v>
      </c>
      <c r="H722" s="37" t="b">
        <v>0</v>
      </c>
    </row>
    <row r="723" spans="1:8" x14ac:dyDescent="0.3">
      <c r="A723" s="37" t="s">
        <v>0</v>
      </c>
      <c r="B723" s="38">
        <v>157000</v>
      </c>
      <c r="E723" s="37" t="b">
        <v>0</v>
      </c>
      <c r="F723" s="37" t="b">
        <v>1</v>
      </c>
      <c r="G723" s="37">
        <v>0</v>
      </c>
      <c r="H723" s="37" t="b">
        <v>0</v>
      </c>
    </row>
    <row r="724" spans="1:8" x14ac:dyDescent="0.3">
      <c r="A724" s="37" t="s">
        <v>0</v>
      </c>
      <c r="B724" s="38">
        <v>170500</v>
      </c>
      <c r="E724" s="37" t="b">
        <v>0</v>
      </c>
      <c r="F724" s="37" t="b">
        <v>1</v>
      </c>
      <c r="G724" s="37">
        <v>0</v>
      </c>
      <c r="H724" s="37" t="b">
        <v>0</v>
      </c>
    </row>
    <row r="725" spans="1:8" x14ac:dyDescent="0.3">
      <c r="A725" s="37" t="s">
        <v>0</v>
      </c>
      <c r="B725" s="38">
        <v>133340</v>
      </c>
      <c r="E725" s="37" t="b">
        <v>0</v>
      </c>
      <c r="F725" s="37" t="b">
        <v>1</v>
      </c>
      <c r="G725" s="37">
        <v>0</v>
      </c>
      <c r="H725" s="37" t="b">
        <v>0</v>
      </c>
    </row>
    <row r="726" spans="1:8" x14ac:dyDescent="0.3">
      <c r="A726" s="37" t="s">
        <v>0</v>
      </c>
      <c r="B726" s="38">
        <v>135720</v>
      </c>
      <c r="E726" s="37" t="b">
        <v>0</v>
      </c>
      <c r="F726" s="37" t="b">
        <v>1</v>
      </c>
      <c r="G726" s="37">
        <v>0</v>
      </c>
      <c r="H726" s="37" t="b">
        <v>0</v>
      </c>
    </row>
    <row r="727" spans="1:8" x14ac:dyDescent="0.3">
      <c r="A727" s="37" t="s">
        <v>0</v>
      </c>
      <c r="B727" s="38">
        <v>106150</v>
      </c>
      <c r="E727" s="37" t="b">
        <v>0</v>
      </c>
      <c r="F727" s="37" t="b">
        <v>1</v>
      </c>
      <c r="G727" s="37">
        <v>0</v>
      </c>
      <c r="H727" s="37" t="b">
        <v>0</v>
      </c>
    </row>
    <row r="728" spans="1:8" x14ac:dyDescent="0.3">
      <c r="A728" s="37" t="s">
        <v>4</v>
      </c>
      <c r="B728" s="38">
        <v>136000</v>
      </c>
      <c r="E728" s="37" t="b">
        <v>0</v>
      </c>
      <c r="F728" s="37" t="b">
        <v>1</v>
      </c>
      <c r="G728" s="37">
        <v>0</v>
      </c>
      <c r="H728" s="37" t="b">
        <v>0</v>
      </c>
    </row>
    <row r="729" spans="1:8" x14ac:dyDescent="0.3">
      <c r="A729" s="37" t="s">
        <v>128</v>
      </c>
      <c r="B729" s="38">
        <v>191000</v>
      </c>
      <c r="E729" s="37" t="b">
        <v>0</v>
      </c>
      <c r="F729" s="37" t="b">
        <v>1</v>
      </c>
      <c r="G729" s="37">
        <v>0</v>
      </c>
      <c r="H729" s="37" t="b">
        <v>0</v>
      </c>
    </row>
    <row r="730" spans="1:8" x14ac:dyDescent="0.3">
      <c r="A730" s="37" t="s">
        <v>2</v>
      </c>
      <c r="B730" s="38">
        <v>70600</v>
      </c>
      <c r="E730" s="37" t="b">
        <v>1</v>
      </c>
      <c r="F730" s="37" t="b">
        <v>1</v>
      </c>
      <c r="G730" s="37">
        <v>1</v>
      </c>
      <c r="H730" s="37">
        <v>70600</v>
      </c>
    </row>
    <row r="731" spans="1:8" x14ac:dyDescent="0.3">
      <c r="A731" s="37" t="s">
        <v>128</v>
      </c>
      <c r="B731" s="38">
        <v>86150</v>
      </c>
      <c r="E731" s="37" t="b">
        <v>0</v>
      </c>
      <c r="F731" s="37" t="b">
        <v>1</v>
      </c>
      <c r="G731" s="37">
        <v>0</v>
      </c>
      <c r="H731" s="37" t="b">
        <v>0</v>
      </c>
    </row>
    <row r="732" spans="1:8" x14ac:dyDescent="0.3">
      <c r="A732" s="37" t="s">
        <v>4</v>
      </c>
      <c r="B732" s="38">
        <v>184500</v>
      </c>
      <c r="E732" s="37" t="b">
        <v>0</v>
      </c>
      <c r="F732" s="37" t="b">
        <v>1</v>
      </c>
      <c r="G732" s="37">
        <v>0</v>
      </c>
      <c r="H732" s="37" t="b">
        <v>0</v>
      </c>
    </row>
    <row r="733" spans="1:8" x14ac:dyDescent="0.3">
      <c r="A733" s="37" t="s">
        <v>0</v>
      </c>
      <c r="B733" s="38">
        <v>164500</v>
      </c>
      <c r="E733" s="37" t="b">
        <v>0</v>
      </c>
      <c r="F733" s="37" t="b">
        <v>1</v>
      </c>
      <c r="G733" s="37">
        <v>0</v>
      </c>
      <c r="H733" s="37" t="b">
        <v>0</v>
      </c>
    </row>
    <row r="734" spans="1:8" x14ac:dyDescent="0.3">
      <c r="A734" s="37" t="s">
        <v>4</v>
      </c>
      <c r="B734" s="38">
        <v>145000</v>
      </c>
      <c r="E734" s="37" t="b">
        <v>0</v>
      </c>
      <c r="F734" s="37" t="b">
        <v>1</v>
      </c>
      <c r="G734" s="37">
        <v>0</v>
      </c>
      <c r="H734" s="37" t="b">
        <v>0</v>
      </c>
    </row>
    <row r="735" spans="1:8" x14ac:dyDescent="0.3">
      <c r="A735" s="37" t="s">
        <v>0</v>
      </c>
      <c r="B735" s="38">
        <v>190000</v>
      </c>
      <c r="E735" s="37" t="b">
        <v>0</v>
      </c>
      <c r="F735" s="37" t="b">
        <v>1</v>
      </c>
      <c r="G735" s="37">
        <v>0</v>
      </c>
      <c r="H735" s="37" t="b">
        <v>0</v>
      </c>
    </row>
    <row r="736" spans="1:8" x14ac:dyDescent="0.3">
      <c r="A736" s="37" t="s">
        <v>0</v>
      </c>
      <c r="B736" s="38">
        <v>168018.5</v>
      </c>
      <c r="E736" s="37" t="b">
        <v>0</v>
      </c>
      <c r="F736" s="37" t="b">
        <v>1</v>
      </c>
      <c r="G736" s="37">
        <v>0</v>
      </c>
      <c r="H736" s="37" t="b">
        <v>0</v>
      </c>
    </row>
    <row r="737" spans="1:8" x14ac:dyDescent="0.3">
      <c r="A737" s="37" t="s">
        <v>0</v>
      </c>
      <c r="B737" s="38">
        <v>150000</v>
      </c>
      <c r="E737" s="37" t="b">
        <v>0</v>
      </c>
      <c r="F737" s="37" t="b">
        <v>1</v>
      </c>
      <c r="G737" s="37">
        <v>0</v>
      </c>
      <c r="H737" s="37" t="b">
        <v>0</v>
      </c>
    </row>
    <row r="738" spans="1:8" x14ac:dyDescent="0.3">
      <c r="A738" s="37" t="s">
        <v>4</v>
      </c>
      <c r="B738" s="38">
        <v>146000</v>
      </c>
      <c r="E738" s="37" t="b">
        <v>0</v>
      </c>
      <c r="F738" s="37" t="b">
        <v>1</v>
      </c>
      <c r="G738" s="37">
        <v>0</v>
      </c>
      <c r="H738" s="37" t="b">
        <v>0</v>
      </c>
    </row>
    <row r="739" spans="1:8" x14ac:dyDescent="0.3">
      <c r="A739" s="37" t="s">
        <v>4</v>
      </c>
      <c r="B739" s="38">
        <v>101001.5</v>
      </c>
      <c r="E739" s="37" t="b">
        <v>0</v>
      </c>
      <c r="F739" s="37" t="b">
        <v>1</v>
      </c>
      <c r="G739" s="37">
        <v>0</v>
      </c>
      <c r="H739" s="37" t="b">
        <v>0</v>
      </c>
    </row>
    <row r="740" spans="1:8" x14ac:dyDescent="0.3">
      <c r="A740" s="37" t="s">
        <v>0</v>
      </c>
      <c r="B740" s="38">
        <v>79000</v>
      </c>
      <c r="E740" s="37" t="b">
        <v>0</v>
      </c>
      <c r="F740" s="37" t="b">
        <v>1</v>
      </c>
      <c r="G740" s="37">
        <v>0</v>
      </c>
      <c r="H740" s="37" t="b">
        <v>0</v>
      </c>
    </row>
    <row r="741" spans="1:8" x14ac:dyDescent="0.3">
      <c r="A741" s="37" t="s">
        <v>0</v>
      </c>
      <c r="B741" s="38">
        <v>190000</v>
      </c>
      <c r="E741" s="37" t="b">
        <v>0</v>
      </c>
      <c r="F741" s="37" t="b">
        <v>1</v>
      </c>
      <c r="G741" s="37">
        <v>0</v>
      </c>
      <c r="H741" s="37" t="b">
        <v>0</v>
      </c>
    </row>
    <row r="742" spans="1:8" x14ac:dyDescent="0.3">
      <c r="A742" s="37" t="s">
        <v>0</v>
      </c>
      <c r="B742" s="38">
        <v>142500</v>
      </c>
      <c r="E742" s="37" t="b">
        <v>0</v>
      </c>
      <c r="F742" s="37" t="b">
        <v>1</v>
      </c>
      <c r="G742" s="37">
        <v>0</v>
      </c>
      <c r="H742" s="37" t="b">
        <v>0</v>
      </c>
    </row>
    <row r="743" spans="1:8" x14ac:dyDescent="0.3">
      <c r="A743" s="37" t="s">
        <v>2</v>
      </c>
      <c r="B743" s="38">
        <v>132500</v>
      </c>
      <c r="E743" s="37" t="b">
        <v>1</v>
      </c>
      <c r="F743" s="37" t="b">
        <v>1</v>
      </c>
      <c r="G743" s="37">
        <v>1</v>
      </c>
      <c r="H743" s="37">
        <v>132500</v>
      </c>
    </row>
    <row r="744" spans="1:8" x14ac:dyDescent="0.3">
      <c r="A744" s="37" t="s">
        <v>0</v>
      </c>
      <c r="B744" s="38">
        <v>97500</v>
      </c>
      <c r="E744" s="37" t="b">
        <v>0</v>
      </c>
      <c r="F744" s="37" t="b">
        <v>1</v>
      </c>
      <c r="G744" s="37">
        <v>0</v>
      </c>
      <c r="H744" s="37" t="b">
        <v>0</v>
      </c>
    </row>
    <row r="745" spans="1:8" x14ac:dyDescent="0.3">
      <c r="A745" s="37" t="s">
        <v>128</v>
      </c>
      <c r="B745" s="38">
        <v>242597</v>
      </c>
      <c r="E745" s="37" t="b">
        <v>0</v>
      </c>
      <c r="F745" s="37" t="b">
        <v>1</v>
      </c>
      <c r="G745" s="37">
        <v>0</v>
      </c>
      <c r="H745" s="37" t="b">
        <v>0</v>
      </c>
    </row>
    <row r="746" spans="1:8" x14ac:dyDescent="0.3">
      <c r="A746" s="37" t="s">
        <v>0</v>
      </c>
      <c r="B746" s="38">
        <v>119550</v>
      </c>
      <c r="E746" s="37" t="b">
        <v>0</v>
      </c>
      <c r="F746" s="37" t="b">
        <v>1</v>
      </c>
      <c r="G746" s="37">
        <v>0</v>
      </c>
      <c r="H746" s="37" t="b">
        <v>0</v>
      </c>
    </row>
    <row r="747" spans="1:8" x14ac:dyDescent="0.3">
      <c r="A747" s="37" t="s">
        <v>0</v>
      </c>
      <c r="B747" s="38">
        <v>119550</v>
      </c>
      <c r="E747" s="37" t="b">
        <v>0</v>
      </c>
      <c r="F747" s="37" t="b">
        <v>1</v>
      </c>
      <c r="G747" s="37">
        <v>0</v>
      </c>
      <c r="H747" s="37" t="b">
        <v>0</v>
      </c>
    </row>
    <row r="748" spans="1:8" x14ac:dyDescent="0.3">
      <c r="A748" s="37" t="s">
        <v>128</v>
      </c>
      <c r="B748" s="38">
        <v>152650</v>
      </c>
      <c r="E748" s="37" t="b">
        <v>0</v>
      </c>
      <c r="F748" s="37" t="b">
        <v>1</v>
      </c>
      <c r="G748" s="37">
        <v>0</v>
      </c>
      <c r="H748" s="37" t="b">
        <v>0</v>
      </c>
    </row>
    <row r="749" spans="1:8" x14ac:dyDescent="0.3">
      <c r="A749" s="37" t="s">
        <v>128</v>
      </c>
      <c r="B749" s="38">
        <v>157500</v>
      </c>
      <c r="E749" s="37" t="b">
        <v>0</v>
      </c>
      <c r="F749" s="37" t="b">
        <v>1</v>
      </c>
      <c r="G749" s="37">
        <v>0</v>
      </c>
      <c r="H749" s="37" t="b">
        <v>0</v>
      </c>
    </row>
    <row r="750" spans="1:8" x14ac:dyDescent="0.3">
      <c r="A750" s="37" t="s">
        <v>0</v>
      </c>
      <c r="B750" s="38">
        <v>137110</v>
      </c>
      <c r="E750" s="37" t="b">
        <v>0</v>
      </c>
      <c r="F750" s="37" t="b">
        <v>1</v>
      </c>
      <c r="G750" s="37">
        <v>0</v>
      </c>
      <c r="H750" s="37" t="b">
        <v>0</v>
      </c>
    </row>
    <row r="751" spans="1:8" x14ac:dyDescent="0.3">
      <c r="A751" s="37" t="s">
        <v>128</v>
      </c>
      <c r="B751" s="38">
        <v>113450</v>
      </c>
      <c r="E751" s="37" t="b">
        <v>0</v>
      </c>
      <c r="F751" s="37" t="b">
        <v>1</v>
      </c>
      <c r="G751" s="37">
        <v>0</v>
      </c>
      <c r="H751" s="37" t="b">
        <v>0</v>
      </c>
    </row>
    <row r="752" spans="1:8" x14ac:dyDescent="0.3">
      <c r="A752" s="37" t="s">
        <v>0</v>
      </c>
      <c r="B752" s="38">
        <v>135000</v>
      </c>
      <c r="E752" s="37" t="b">
        <v>0</v>
      </c>
      <c r="F752" s="37" t="b">
        <v>1</v>
      </c>
      <c r="G752" s="37">
        <v>0</v>
      </c>
      <c r="H752" s="37" t="b">
        <v>0</v>
      </c>
    </row>
    <row r="753" spans="1:8" x14ac:dyDescent="0.3">
      <c r="A753" s="37" t="s">
        <v>128</v>
      </c>
      <c r="B753" s="38">
        <v>220500</v>
      </c>
      <c r="E753" s="37" t="b">
        <v>0</v>
      </c>
      <c r="F753" s="37" t="b">
        <v>1</v>
      </c>
      <c r="G753" s="37">
        <v>0</v>
      </c>
      <c r="H753" s="37" t="b">
        <v>0</v>
      </c>
    </row>
    <row r="754" spans="1:8" x14ac:dyDescent="0.3">
      <c r="A754" s="37" t="s">
        <v>128</v>
      </c>
      <c r="B754" s="38">
        <v>193500</v>
      </c>
      <c r="E754" s="37" t="b">
        <v>0</v>
      </c>
      <c r="F754" s="37" t="b">
        <v>1</v>
      </c>
      <c r="G754" s="37">
        <v>0</v>
      </c>
      <c r="H754" s="37" t="b">
        <v>0</v>
      </c>
    </row>
    <row r="755" spans="1:8" x14ac:dyDescent="0.3">
      <c r="A755" s="37" t="s">
        <v>128</v>
      </c>
      <c r="B755" s="38">
        <v>193499</v>
      </c>
      <c r="E755" s="37" t="b">
        <v>0</v>
      </c>
      <c r="F755" s="37" t="b">
        <v>1</v>
      </c>
      <c r="G755" s="37">
        <v>0</v>
      </c>
      <c r="H755" s="37" t="b">
        <v>0</v>
      </c>
    </row>
    <row r="756" spans="1:8" x14ac:dyDescent="0.3">
      <c r="A756" s="37" t="s">
        <v>4</v>
      </c>
      <c r="B756" s="38">
        <v>200256</v>
      </c>
      <c r="E756" s="37" t="b">
        <v>0</v>
      </c>
      <c r="F756" s="37" t="b">
        <v>1</v>
      </c>
      <c r="G756" s="37">
        <v>0</v>
      </c>
      <c r="H756" s="37" t="b">
        <v>0</v>
      </c>
    </row>
    <row r="757" spans="1:8" x14ac:dyDescent="0.3">
      <c r="A757" s="37" t="s">
        <v>0</v>
      </c>
      <c r="B757" s="38">
        <v>110000</v>
      </c>
      <c r="E757" s="37" t="b">
        <v>0</v>
      </c>
      <c r="F757" s="37" t="b">
        <v>1</v>
      </c>
      <c r="G757" s="37">
        <v>0</v>
      </c>
      <c r="H757" s="37" t="b">
        <v>0</v>
      </c>
    </row>
    <row r="758" spans="1:8" x14ac:dyDescent="0.3">
      <c r="A758" s="37" t="s">
        <v>0</v>
      </c>
      <c r="B758" s="38">
        <v>140000</v>
      </c>
      <c r="E758" s="37" t="b">
        <v>0</v>
      </c>
      <c r="F758" s="37" t="b">
        <v>1</v>
      </c>
      <c r="G758" s="37">
        <v>0</v>
      </c>
      <c r="H758" s="37" t="b">
        <v>0</v>
      </c>
    </row>
    <row r="759" spans="1:8" x14ac:dyDescent="0.3">
      <c r="A759" s="37" t="s">
        <v>4</v>
      </c>
      <c r="B759" s="38">
        <v>99800</v>
      </c>
      <c r="E759" s="37" t="b">
        <v>0</v>
      </c>
      <c r="F759" s="37" t="b">
        <v>1</v>
      </c>
      <c r="G759" s="37">
        <v>0</v>
      </c>
      <c r="H759" s="37" t="b">
        <v>0</v>
      </c>
    </row>
    <row r="760" spans="1:8" x14ac:dyDescent="0.3">
      <c r="A760" s="37" t="s">
        <v>0</v>
      </c>
      <c r="B760" s="38">
        <v>160000</v>
      </c>
      <c r="E760" s="37" t="b">
        <v>0</v>
      </c>
      <c r="F760" s="37" t="b">
        <v>1</v>
      </c>
      <c r="G760" s="37">
        <v>0</v>
      </c>
      <c r="H760" s="37" t="b">
        <v>0</v>
      </c>
    </row>
    <row r="761" spans="1:8" x14ac:dyDescent="0.3">
      <c r="A761" s="37" t="s">
        <v>0</v>
      </c>
      <c r="B761" s="38">
        <v>136950</v>
      </c>
      <c r="E761" s="37" t="b">
        <v>0</v>
      </c>
      <c r="F761" s="37" t="b">
        <v>1</v>
      </c>
      <c r="G761" s="37">
        <v>0</v>
      </c>
      <c r="H761" s="37" t="b">
        <v>0</v>
      </c>
    </row>
    <row r="762" spans="1:8" x14ac:dyDescent="0.3">
      <c r="A762" s="37" t="s">
        <v>2</v>
      </c>
      <c r="B762" s="38">
        <v>95000</v>
      </c>
      <c r="E762" s="37" t="b">
        <v>1</v>
      </c>
      <c r="F762" s="37" t="b">
        <v>1</v>
      </c>
      <c r="G762" s="37">
        <v>1</v>
      </c>
      <c r="H762" s="37">
        <v>95000</v>
      </c>
    </row>
    <row r="763" spans="1:8" x14ac:dyDescent="0.3">
      <c r="A763" s="37" t="s">
        <v>128</v>
      </c>
      <c r="B763" s="38">
        <v>193500</v>
      </c>
      <c r="E763" s="37" t="b">
        <v>0</v>
      </c>
      <c r="F763" s="37" t="b">
        <v>1</v>
      </c>
      <c r="G763" s="37">
        <v>0</v>
      </c>
      <c r="H763" s="37" t="b">
        <v>0</v>
      </c>
    </row>
    <row r="764" spans="1:8" x14ac:dyDescent="0.3">
      <c r="A764" s="37" t="s">
        <v>4</v>
      </c>
      <c r="B764" s="38">
        <v>180000</v>
      </c>
      <c r="E764" s="37" t="b">
        <v>0</v>
      </c>
      <c r="F764" s="37" t="b">
        <v>1</v>
      </c>
      <c r="G764" s="37">
        <v>0</v>
      </c>
      <c r="H764" s="37" t="b">
        <v>0</v>
      </c>
    </row>
    <row r="765" spans="1:8" x14ac:dyDescent="0.3">
      <c r="A765" s="37" t="s">
        <v>128</v>
      </c>
      <c r="B765" s="38">
        <v>245000</v>
      </c>
      <c r="E765" s="37" t="b">
        <v>0</v>
      </c>
      <c r="F765" s="37" t="b">
        <v>1</v>
      </c>
      <c r="G765" s="37">
        <v>0</v>
      </c>
      <c r="H765" s="37" t="b">
        <v>0</v>
      </c>
    </row>
    <row r="766" spans="1:8" x14ac:dyDescent="0.3">
      <c r="A766" s="37" t="s">
        <v>0</v>
      </c>
      <c r="B766" s="38">
        <v>135000</v>
      </c>
      <c r="E766" s="37" t="b">
        <v>0</v>
      </c>
      <c r="F766" s="37" t="b">
        <v>1</v>
      </c>
      <c r="G766" s="37">
        <v>0</v>
      </c>
      <c r="H766" s="37" t="b">
        <v>0</v>
      </c>
    </row>
    <row r="767" spans="1:8" x14ac:dyDescent="0.3">
      <c r="A767" s="37" t="s">
        <v>0</v>
      </c>
      <c r="B767" s="38">
        <v>245000</v>
      </c>
      <c r="E767" s="37" t="b">
        <v>0</v>
      </c>
      <c r="F767" s="37" t="b">
        <v>1</v>
      </c>
      <c r="G767" s="37">
        <v>0</v>
      </c>
      <c r="H767" s="37" t="b">
        <v>0</v>
      </c>
    </row>
    <row r="768" spans="1:8" x14ac:dyDescent="0.3">
      <c r="A768" s="37" t="s">
        <v>0</v>
      </c>
      <c r="B768" s="38">
        <v>157375</v>
      </c>
      <c r="E768" s="37" t="b">
        <v>0</v>
      </c>
      <c r="F768" s="37" t="b">
        <v>1</v>
      </c>
      <c r="G768" s="37">
        <v>0</v>
      </c>
      <c r="H768" s="37" t="b">
        <v>0</v>
      </c>
    </row>
    <row r="769" spans="1:8" x14ac:dyDescent="0.3">
      <c r="A769" s="37" t="s">
        <v>1</v>
      </c>
      <c r="B769" s="38">
        <v>228000</v>
      </c>
      <c r="E769" s="37" t="b">
        <v>0</v>
      </c>
      <c r="F769" s="37" t="b">
        <v>1</v>
      </c>
      <c r="G769" s="37">
        <v>0</v>
      </c>
      <c r="H769" s="37" t="b">
        <v>0</v>
      </c>
    </row>
    <row r="770" spans="1:8" x14ac:dyDescent="0.3">
      <c r="A770" s="37" t="s">
        <v>126</v>
      </c>
      <c r="B770" s="38">
        <v>181500</v>
      </c>
      <c r="E770" s="37" t="b">
        <v>0</v>
      </c>
      <c r="F770" s="37" t="b">
        <v>1</v>
      </c>
      <c r="G770" s="37">
        <v>0</v>
      </c>
      <c r="H770" s="37" t="b">
        <v>0</v>
      </c>
    </row>
    <row r="771" spans="1:8" x14ac:dyDescent="0.3">
      <c r="A771" s="37" t="s">
        <v>0</v>
      </c>
      <c r="B771" s="38">
        <v>157000</v>
      </c>
      <c r="E771" s="37" t="b">
        <v>0</v>
      </c>
      <c r="F771" s="37" t="b">
        <v>1</v>
      </c>
      <c r="G771" s="37">
        <v>0</v>
      </c>
      <c r="H771" s="37" t="b">
        <v>0</v>
      </c>
    </row>
    <row r="772" spans="1:8" x14ac:dyDescent="0.3">
      <c r="A772" s="37" t="s">
        <v>128</v>
      </c>
      <c r="B772" s="38">
        <v>245000</v>
      </c>
      <c r="E772" s="37" t="b">
        <v>0</v>
      </c>
      <c r="F772" s="37" t="b">
        <v>1</v>
      </c>
      <c r="G772" s="37">
        <v>0</v>
      </c>
      <c r="H772" s="37" t="b">
        <v>0</v>
      </c>
    </row>
    <row r="773" spans="1:8" x14ac:dyDescent="0.3">
      <c r="A773" s="37" t="s">
        <v>125</v>
      </c>
      <c r="B773" s="38">
        <v>126000</v>
      </c>
      <c r="E773" s="37" t="b">
        <v>0</v>
      </c>
      <c r="F773" s="37" t="b">
        <v>1</v>
      </c>
      <c r="G773" s="37">
        <v>0</v>
      </c>
      <c r="H773" s="37" t="b">
        <v>0</v>
      </c>
    </row>
    <row r="774" spans="1:8" x14ac:dyDescent="0.3">
      <c r="A774" s="37" t="s">
        <v>128</v>
      </c>
      <c r="B774" s="38">
        <v>150000</v>
      </c>
      <c r="E774" s="37" t="b">
        <v>0</v>
      </c>
      <c r="F774" s="37" t="b">
        <v>1</v>
      </c>
      <c r="G774" s="37">
        <v>0</v>
      </c>
      <c r="H774" s="37" t="b">
        <v>0</v>
      </c>
    </row>
    <row r="775" spans="1:8" x14ac:dyDescent="0.3">
      <c r="A775" s="37" t="s">
        <v>128</v>
      </c>
      <c r="B775" s="38">
        <v>176500</v>
      </c>
      <c r="E775" s="37" t="b">
        <v>0</v>
      </c>
      <c r="F775" s="37" t="b">
        <v>1</v>
      </c>
      <c r="G775" s="37">
        <v>0</v>
      </c>
      <c r="H775" s="37" t="b">
        <v>0</v>
      </c>
    </row>
    <row r="776" spans="1:8" x14ac:dyDescent="0.3">
      <c r="A776" s="37" t="s">
        <v>128</v>
      </c>
      <c r="B776" s="38">
        <v>198000</v>
      </c>
      <c r="E776" s="37" t="b">
        <v>0</v>
      </c>
      <c r="F776" s="37" t="b">
        <v>1</v>
      </c>
      <c r="G776" s="37">
        <v>0</v>
      </c>
      <c r="H776" s="37" t="b">
        <v>0</v>
      </c>
    </row>
    <row r="777" spans="1:8" x14ac:dyDescent="0.3">
      <c r="A777" s="37" t="s">
        <v>128</v>
      </c>
      <c r="B777" s="38">
        <v>172500</v>
      </c>
      <c r="E777" s="37" t="b">
        <v>0</v>
      </c>
      <c r="F777" s="37" t="b">
        <v>1</v>
      </c>
      <c r="G777" s="37">
        <v>0</v>
      </c>
      <c r="H777" s="37" t="b">
        <v>0</v>
      </c>
    </row>
    <row r="778" spans="1:8" x14ac:dyDescent="0.3">
      <c r="A778" s="37" t="s">
        <v>126</v>
      </c>
      <c r="B778" s="38">
        <v>168500</v>
      </c>
      <c r="E778" s="37" t="b">
        <v>0</v>
      </c>
      <c r="F778" s="37" t="b">
        <v>1</v>
      </c>
      <c r="G778" s="37">
        <v>0</v>
      </c>
      <c r="H778" s="37" t="b">
        <v>0</v>
      </c>
    </row>
    <row r="779" spans="1:8" x14ac:dyDescent="0.3">
      <c r="A779" s="37" t="s">
        <v>126</v>
      </c>
      <c r="B779" s="38">
        <v>200000</v>
      </c>
      <c r="E779" s="37" t="b">
        <v>0</v>
      </c>
      <c r="F779" s="37" t="b">
        <v>1</v>
      </c>
      <c r="G779" s="37">
        <v>0</v>
      </c>
      <c r="H779" s="37" t="b">
        <v>0</v>
      </c>
    </row>
    <row r="780" spans="1:8" x14ac:dyDescent="0.3">
      <c r="A780" s="37" t="s">
        <v>126</v>
      </c>
      <c r="B780" s="38">
        <v>170000</v>
      </c>
      <c r="E780" s="37" t="b">
        <v>0</v>
      </c>
      <c r="F780" s="37" t="b">
        <v>1</v>
      </c>
      <c r="G780" s="37">
        <v>0</v>
      </c>
      <c r="H780" s="37" t="b">
        <v>0</v>
      </c>
    </row>
    <row r="781" spans="1:8" x14ac:dyDescent="0.3">
      <c r="A781" s="37" t="s">
        <v>128</v>
      </c>
      <c r="B781" s="38">
        <v>202000</v>
      </c>
      <c r="E781" s="37" t="b">
        <v>0</v>
      </c>
      <c r="F781" s="37" t="b">
        <v>1</v>
      </c>
      <c r="G781" s="37">
        <v>0</v>
      </c>
      <c r="H781" s="37" t="b">
        <v>0</v>
      </c>
    </row>
    <row r="782" spans="1:8" x14ac:dyDescent="0.3">
      <c r="A782" s="37" t="s">
        <v>2</v>
      </c>
      <c r="B782" s="38">
        <v>88000</v>
      </c>
      <c r="E782" s="37" t="b">
        <v>1</v>
      </c>
      <c r="F782" s="37" t="b">
        <v>1</v>
      </c>
      <c r="G782" s="37">
        <v>1</v>
      </c>
      <c r="H782" s="37">
        <v>88000</v>
      </c>
    </row>
    <row r="783" spans="1:8" x14ac:dyDescent="0.3">
      <c r="A783" s="37" t="s">
        <v>125</v>
      </c>
      <c r="B783" s="38">
        <v>106661.5</v>
      </c>
      <c r="E783" s="37" t="b">
        <v>0</v>
      </c>
      <c r="F783" s="37" t="b">
        <v>1</v>
      </c>
      <c r="G783" s="37">
        <v>0</v>
      </c>
      <c r="H783" s="37" t="b">
        <v>0</v>
      </c>
    </row>
    <row r="784" spans="1:8" x14ac:dyDescent="0.3">
      <c r="A784" s="37" t="s">
        <v>128</v>
      </c>
      <c r="B784" s="38">
        <v>205000</v>
      </c>
      <c r="E784" s="37" t="b">
        <v>0</v>
      </c>
      <c r="F784" s="37" t="b">
        <v>1</v>
      </c>
      <c r="G784" s="37">
        <v>0</v>
      </c>
      <c r="H784" s="37" t="b">
        <v>0</v>
      </c>
    </row>
    <row r="785" spans="1:8" x14ac:dyDescent="0.3">
      <c r="A785" s="37" t="s">
        <v>0</v>
      </c>
      <c r="B785" s="38">
        <v>185000</v>
      </c>
      <c r="E785" s="37" t="b">
        <v>0</v>
      </c>
      <c r="F785" s="37" t="b">
        <v>1</v>
      </c>
      <c r="G785" s="37">
        <v>0</v>
      </c>
      <c r="H785" s="37" t="b">
        <v>0</v>
      </c>
    </row>
    <row r="786" spans="1:8" x14ac:dyDescent="0.3">
      <c r="A786" s="37" t="s">
        <v>0</v>
      </c>
      <c r="B786" s="38">
        <v>235375</v>
      </c>
      <c r="E786" s="37" t="b">
        <v>0</v>
      </c>
      <c r="F786" s="37" t="b">
        <v>1</v>
      </c>
      <c r="G786" s="37">
        <v>0</v>
      </c>
      <c r="H786" s="37" t="b">
        <v>0</v>
      </c>
    </row>
    <row r="787" spans="1:8" x14ac:dyDescent="0.3">
      <c r="A787" s="37" t="s">
        <v>4</v>
      </c>
      <c r="B787" s="38">
        <v>177500</v>
      </c>
      <c r="E787" s="37" t="b">
        <v>0</v>
      </c>
      <c r="F787" s="37" t="b">
        <v>1</v>
      </c>
      <c r="G787" s="37">
        <v>0</v>
      </c>
      <c r="H787" s="37" t="b">
        <v>0</v>
      </c>
    </row>
    <row r="788" spans="1:8" x14ac:dyDescent="0.3">
      <c r="A788" s="37" t="s">
        <v>125</v>
      </c>
      <c r="B788" s="38">
        <v>148290</v>
      </c>
      <c r="E788" s="37" t="b">
        <v>0</v>
      </c>
      <c r="F788" s="37" t="b">
        <v>1</v>
      </c>
      <c r="G788" s="37">
        <v>0</v>
      </c>
      <c r="H788" s="37" t="b">
        <v>0</v>
      </c>
    </row>
    <row r="789" spans="1:8" x14ac:dyDescent="0.3">
      <c r="A789" s="37" t="s">
        <v>4</v>
      </c>
      <c r="B789" s="38">
        <v>193562.5</v>
      </c>
      <c r="E789" s="37" t="b">
        <v>0</v>
      </c>
      <c r="F789" s="37" t="b">
        <v>1</v>
      </c>
      <c r="G789" s="37">
        <v>0</v>
      </c>
      <c r="H789" s="37" t="b">
        <v>0</v>
      </c>
    </row>
    <row r="790" spans="1:8" x14ac:dyDescent="0.3">
      <c r="A790" s="37" t="s">
        <v>126</v>
      </c>
      <c r="B790" s="38">
        <v>180000</v>
      </c>
      <c r="E790" s="37" t="b">
        <v>0</v>
      </c>
      <c r="F790" s="37" t="b">
        <v>1</v>
      </c>
      <c r="G790" s="37">
        <v>0</v>
      </c>
      <c r="H790" s="37" t="b">
        <v>0</v>
      </c>
    </row>
    <row r="791" spans="1:8" x14ac:dyDescent="0.3">
      <c r="A791" s="37" t="s">
        <v>2</v>
      </c>
      <c r="B791" s="38">
        <v>138516</v>
      </c>
      <c r="E791" s="37" t="b">
        <v>1</v>
      </c>
      <c r="F791" s="37" t="b">
        <v>1</v>
      </c>
      <c r="G791" s="37">
        <v>1</v>
      </c>
      <c r="H791" s="37">
        <v>138516</v>
      </c>
    </row>
    <row r="792" spans="1:8" x14ac:dyDescent="0.3">
      <c r="A792" s="37" t="s">
        <v>128</v>
      </c>
      <c r="B792" s="38">
        <v>229500</v>
      </c>
      <c r="E792" s="37" t="b">
        <v>0</v>
      </c>
      <c r="F792" s="37" t="b">
        <v>1</v>
      </c>
      <c r="G792" s="37">
        <v>0</v>
      </c>
      <c r="H792" s="37" t="b">
        <v>0</v>
      </c>
    </row>
    <row r="793" spans="1:8" x14ac:dyDescent="0.3">
      <c r="A793" s="37" t="s">
        <v>4</v>
      </c>
      <c r="B793" s="38">
        <v>136125</v>
      </c>
      <c r="E793" s="37" t="b">
        <v>0</v>
      </c>
      <c r="F793" s="37" t="b">
        <v>1</v>
      </c>
      <c r="G793" s="37">
        <v>0</v>
      </c>
      <c r="H793" s="37" t="b">
        <v>0</v>
      </c>
    </row>
    <row r="794" spans="1:8" x14ac:dyDescent="0.3">
      <c r="A794" s="37" t="s">
        <v>0</v>
      </c>
      <c r="B794" s="38">
        <v>135720</v>
      </c>
      <c r="E794" s="37" t="b">
        <v>0</v>
      </c>
      <c r="F794" s="37" t="b">
        <v>1</v>
      </c>
      <c r="G794" s="37">
        <v>0</v>
      </c>
      <c r="H794" s="37" t="b">
        <v>0</v>
      </c>
    </row>
    <row r="795" spans="1:8" x14ac:dyDescent="0.3">
      <c r="A795" s="37" t="s">
        <v>125</v>
      </c>
      <c r="B795" s="38">
        <v>160000</v>
      </c>
      <c r="E795" s="37" t="b">
        <v>0</v>
      </c>
      <c r="F795" s="37" t="b">
        <v>1</v>
      </c>
      <c r="G795" s="37">
        <v>0</v>
      </c>
      <c r="H795" s="37" t="b">
        <v>0</v>
      </c>
    </row>
    <row r="796" spans="1:8" x14ac:dyDescent="0.3">
      <c r="A796" s="37" t="s">
        <v>0</v>
      </c>
      <c r="B796" s="38">
        <v>185000</v>
      </c>
      <c r="E796" s="37" t="b">
        <v>0</v>
      </c>
      <c r="F796" s="37" t="b">
        <v>1</v>
      </c>
      <c r="G796" s="37">
        <v>0</v>
      </c>
      <c r="H796" s="37" t="b">
        <v>0</v>
      </c>
    </row>
    <row r="797" spans="1:8" x14ac:dyDescent="0.3">
      <c r="A797" s="37" t="s">
        <v>0</v>
      </c>
      <c r="B797" s="38">
        <v>277500</v>
      </c>
      <c r="E797" s="37" t="b">
        <v>0</v>
      </c>
      <c r="F797" s="37" t="b">
        <v>1</v>
      </c>
      <c r="G797" s="37">
        <v>0</v>
      </c>
      <c r="H797" s="37" t="b">
        <v>0</v>
      </c>
    </row>
    <row r="798" spans="1:8" x14ac:dyDescent="0.3">
      <c r="A798" s="37" t="s">
        <v>0</v>
      </c>
      <c r="B798" s="38">
        <v>152625</v>
      </c>
      <c r="E798" s="37" t="b">
        <v>0</v>
      </c>
      <c r="F798" s="37" t="b">
        <v>1</v>
      </c>
      <c r="G798" s="37">
        <v>0</v>
      </c>
      <c r="H798" s="37" t="b">
        <v>0</v>
      </c>
    </row>
    <row r="799" spans="1:8" x14ac:dyDescent="0.3">
      <c r="A799" s="37" t="s">
        <v>0</v>
      </c>
      <c r="B799" s="38">
        <v>178500</v>
      </c>
      <c r="E799" s="37" t="b">
        <v>0</v>
      </c>
      <c r="F799" s="37" t="b">
        <v>1</v>
      </c>
      <c r="G799" s="37">
        <v>0</v>
      </c>
      <c r="H799" s="37" t="b">
        <v>0</v>
      </c>
    </row>
    <row r="800" spans="1:8" x14ac:dyDescent="0.3">
      <c r="A800" s="37" t="s">
        <v>4</v>
      </c>
      <c r="B800" s="38">
        <v>140000</v>
      </c>
      <c r="E800" s="37" t="b">
        <v>0</v>
      </c>
      <c r="F800" s="37" t="b">
        <v>1</v>
      </c>
      <c r="G800" s="37">
        <v>0</v>
      </c>
      <c r="H800" s="37" t="b">
        <v>0</v>
      </c>
    </row>
    <row r="801" spans="1:8" x14ac:dyDescent="0.3">
      <c r="A801" s="37" t="s">
        <v>4</v>
      </c>
      <c r="B801" s="38">
        <v>146000</v>
      </c>
      <c r="E801" s="37" t="b">
        <v>0</v>
      </c>
      <c r="F801" s="37" t="b">
        <v>1</v>
      </c>
      <c r="G801" s="37">
        <v>0</v>
      </c>
      <c r="H801" s="37" t="b">
        <v>0</v>
      </c>
    </row>
    <row r="802" spans="1:8" x14ac:dyDescent="0.3">
      <c r="A802" s="37" t="s">
        <v>126</v>
      </c>
      <c r="B802" s="38">
        <v>182000</v>
      </c>
      <c r="E802" s="37" t="b">
        <v>0</v>
      </c>
      <c r="F802" s="37" t="b">
        <v>1</v>
      </c>
      <c r="G802" s="37">
        <v>0</v>
      </c>
      <c r="H802" s="37" t="b">
        <v>0</v>
      </c>
    </row>
    <row r="803" spans="1:8" x14ac:dyDescent="0.3">
      <c r="A803" s="37" t="s">
        <v>2</v>
      </c>
      <c r="B803" s="38">
        <v>55000</v>
      </c>
      <c r="E803" s="37" t="b">
        <v>1</v>
      </c>
      <c r="F803" s="37" t="b">
        <v>1</v>
      </c>
      <c r="G803" s="37">
        <v>1</v>
      </c>
      <c r="H803" s="37">
        <v>55000</v>
      </c>
    </row>
    <row r="804" spans="1:8" x14ac:dyDescent="0.3">
      <c r="A804" s="37" t="s">
        <v>4</v>
      </c>
      <c r="B804" s="38">
        <v>207500</v>
      </c>
      <c r="E804" s="37" t="b">
        <v>0</v>
      </c>
      <c r="F804" s="37" t="b">
        <v>1</v>
      </c>
      <c r="G804" s="37">
        <v>0</v>
      </c>
      <c r="H804" s="37" t="b">
        <v>0</v>
      </c>
    </row>
    <row r="805" spans="1:8" x14ac:dyDescent="0.3">
      <c r="A805" s="37" t="s">
        <v>4</v>
      </c>
      <c r="B805" s="38">
        <v>112500</v>
      </c>
      <c r="E805" s="37" t="b">
        <v>0</v>
      </c>
      <c r="F805" s="37" t="b">
        <v>1</v>
      </c>
      <c r="G805" s="37">
        <v>0</v>
      </c>
      <c r="H805" s="37" t="b">
        <v>0</v>
      </c>
    </row>
    <row r="806" spans="1:8" x14ac:dyDescent="0.3">
      <c r="A806" s="37" t="s">
        <v>2</v>
      </c>
      <c r="B806" s="38"/>
      <c r="E806" s="37" t="b">
        <v>1</v>
      </c>
      <c r="F806" s="37" t="b">
        <v>0</v>
      </c>
      <c r="G806" s="37">
        <v>0</v>
      </c>
      <c r="H806" s="37" t="b">
        <v>0</v>
      </c>
    </row>
    <row r="807" spans="1:8" x14ac:dyDescent="0.3">
      <c r="A807" s="37" t="s">
        <v>4</v>
      </c>
      <c r="B807" s="38"/>
      <c r="E807" s="37" t="b">
        <v>0</v>
      </c>
      <c r="F807" s="37" t="b">
        <v>0</v>
      </c>
      <c r="G807" s="37">
        <v>0</v>
      </c>
      <c r="H807" s="37" t="b">
        <v>0</v>
      </c>
    </row>
    <row r="808" spans="1:8" x14ac:dyDescent="0.3">
      <c r="A808" s="37" t="s">
        <v>0</v>
      </c>
      <c r="B808" s="38">
        <v>84692</v>
      </c>
      <c r="E808" s="37" t="b">
        <v>0</v>
      </c>
      <c r="F808" s="37" t="b">
        <v>1</v>
      </c>
      <c r="G808" s="37">
        <v>0</v>
      </c>
      <c r="H808" s="37" t="b">
        <v>0</v>
      </c>
    </row>
    <row r="809" spans="1:8" x14ac:dyDescent="0.3">
      <c r="A809" s="37" t="s">
        <v>0</v>
      </c>
      <c r="B809" s="38"/>
      <c r="E809" s="37" t="b">
        <v>0</v>
      </c>
      <c r="F809" s="37" t="b">
        <v>0</v>
      </c>
      <c r="G809" s="37">
        <v>0</v>
      </c>
      <c r="H809" s="37" t="b">
        <v>0</v>
      </c>
    </row>
    <row r="810" spans="1:8" x14ac:dyDescent="0.3">
      <c r="A810" s="37" t="s">
        <v>2</v>
      </c>
      <c r="B810" s="38"/>
      <c r="E810" s="37" t="b">
        <v>1</v>
      </c>
      <c r="F810" s="37" t="b">
        <v>0</v>
      </c>
      <c r="G810" s="37">
        <v>0</v>
      </c>
      <c r="H810" s="37" t="b">
        <v>0</v>
      </c>
    </row>
    <row r="811" spans="1:8" x14ac:dyDescent="0.3">
      <c r="A811" s="37" t="s">
        <v>0</v>
      </c>
      <c r="B811" s="38">
        <v>162000</v>
      </c>
      <c r="E811" s="37" t="b">
        <v>0</v>
      </c>
      <c r="F811" s="37" t="b">
        <v>1</v>
      </c>
      <c r="G811" s="37">
        <v>0</v>
      </c>
      <c r="H811" s="37" t="b">
        <v>0</v>
      </c>
    </row>
    <row r="812" spans="1:8" x14ac:dyDescent="0.3">
      <c r="A812" s="37" t="s">
        <v>126</v>
      </c>
      <c r="B812" s="38">
        <v>180000</v>
      </c>
      <c r="E812" s="37" t="b">
        <v>0</v>
      </c>
      <c r="F812" s="37" t="b">
        <v>1</v>
      </c>
      <c r="G812" s="37">
        <v>0</v>
      </c>
      <c r="H812" s="37" t="b">
        <v>0</v>
      </c>
    </row>
    <row r="813" spans="1:8" x14ac:dyDescent="0.3">
      <c r="A813" s="37" t="s">
        <v>0</v>
      </c>
      <c r="B813" s="38">
        <v>212500</v>
      </c>
      <c r="E813" s="37" t="b">
        <v>0</v>
      </c>
      <c r="F813" s="37" t="b">
        <v>1</v>
      </c>
      <c r="G813" s="37">
        <v>0</v>
      </c>
      <c r="H813" s="37" t="b">
        <v>0</v>
      </c>
    </row>
    <row r="814" spans="1:8" x14ac:dyDescent="0.3">
      <c r="A814" s="37" t="s">
        <v>128</v>
      </c>
      <c r="B814" s="38">
        <v>140000</v>
      </c>
      <c r="E814" s="37" t="b">
        <v>0</v>
      </c>
      <c r="F814" s="37" t="b">
        <v>1</v>
      </c>
      <c r="G814" s="37">
        <v>0</v>
      </c>
      <c r="H814" s="37" t="b">
        <v>0</v>
      </c>
    </row>
    <row r="815" spans="1:8" x14ac:dyDescent="0.3">
      <c r="A815" s="37" t="s">
        <v>126</v>
      </c>
      <c r="B815" s="38">
        <v>156596</v>
      </c>
      <c r="E815" s="37" t="b">
        <v>0</v>
      </c>
      <c r="F815" s="37" t="b">
        <v>1</v>
      </c>
      <c r="G815" s="37">
        <v>0</v>
      </c>
      <c r="H815" s="37" t="b">
        <v>0</v>
      </c>
    </row>
    <row r="816" spans="1:8" x14ac:dyDescent="0.3">
      <c r="A816" s="37" t="s">
        <v>0</v>
      </c>
      <c r="B816" s="38"/>
      <c r="E816" s="37" t="b">
        <v>0</v>
      </c>
      <c r="F816" s="37" t="b">
        <v>0</v>
      </c>
      <c r="G816" s="37">
        <v>0</v>
      </c>
      <c r="H816" s="37" t="b">
        <v>0</v>
      </c>
    </row>
    <row r="817" spans="1:8" x14ac:dyDescent="0.3">
      <c r="A817" s="37" t="s">
        <v>0</v>
      </c>
      <c r="B817" s="38">
        <v>100000</v>
      </c>
      <c r="E817" s="37" t="b">
        <v>0</v>
      </c>
      <c r="F817" s="37" t="b">
        <v>1</v>
      </c>
      <c r="G817" s="37">
        <v>0</v>
      </c>
      <c r="H817" s="37" t="b">
        <v>0</v>
      </c>
    </row>
    <row r="818" spans="1:8" x14ac:dyDescent="0.3">
      <c r="A818" s="37" t="s">
        <v>128</v>
      </c>
      <c r="B818" s="38"/>
      <c r="E818" s="37" t="b">
        <v>0</v>
      </c>
      <c r="F818" s="37" t="b">
        <v>0</v>
      </c>
      <c r="G818" s="37">
        <v>0</v>
      </c>
      <c r="H818" s="37" t="b">
        <v>0</v>
      </c>
    </row>
    <row r="819" spans="1:8" x14ac:dyDescent="0.3">
      <c r="A819" s="37" t="s">
        <v>0</v>
      </c>
      <c r="B819" s="38"/>
      <c r="E819" s="37" t="b">
        <v>0</v>
      </c>
      <c r="F819" s="37" t="b">
        <v>0</v>
      </c>
      <c r="G819" s="37">
        <v>0</v>
      </c>
      <c r="H819" s="37" t="b">
        <v>0</v>
      </c>
    </row>
    <row r="820" spans="1:8" x14ac:dyDescent="0.3">
      <c r="A820" s="37" t="s">
        <v>0</v>
      </c>
      <c r="B820" s="38"/>
      <c r="E820" s="37" t="b">
        <v>0</v>
      </c>
      <c r="F820" s="37" t="b">
        <v>0</v>
      </c>
      <c r="G820" s="37">
        <v>0</v>
      </c>
      <c r="H820" s="37" t="b">
        <v>0</v>
      </c>
    </row>
    <row r="821" spans="1:8" x14ac:dyDescent="0.3">
      <c r="A821" s="37" t="s">
        <v>0</v>
      </c>
      <c r="B821" s="38"/>
      <c r="E821" s="37" t="b">
        <v>0</v>
      </c>
      <c r="F821" s="37" t="b">
        <v>0</v>
      </c>
      <c r="G821" s="37">
        <v>0</v>
      </c>
      <c r="H821" s="37" t="b">
        <v>0</v>
      </c>
    </row>
    <row r="822" spans="1:8" x14ac:dyDescent="0.3">
      <c r="A822" s="37" t="s">
        <v>128</v>
      </c>
      <c r="B822" s="38"/>
      <c r="E822" s="37" t="b">
        <v>0</v>
      </c>
      <c r="F822" s="37" t="b">
        <v>0</v>
      </c>
      <c r="G822" s="37">
        <v>0</v>
      </c>
      <c r="H822" s="37" t="b">
        <v>0</v>
      </c>
    </row>
    <row r="823" spans="1:8" x14ac:dyDescent="0.3">
      <c r="A823" s="37" t="s">
        <v>0</v>
      </c>
      <c r="B823" s="38"/>
      <c r="E823" s="37" t="b">
        <v>0</v>
      </c>
      <c r="F823" s="37" t="b">
        <v>0</v>
      </c>
      <c r="G823" s="37">
        <v>0</v>
      </c>
      <c r="H823" s="37" t="b">
        <v>0</v>
      </c>
    </row>
    <row r="824" spans="1:8" x14ac:dyDescent="0.3">
      <c r="A824" s="37" t="s">
        <v>125</v>
      </c>
      <c r="B824" s="38"/>
      <c r="E824" s="37" t="b">
        <v>0</v>
      </c>
      <c r="F824" s="37" t="b">
        <v>0</v>
      </c>
      <c r="G824" s="37">
        <v>0</v>
      </c>
      <c r="H824" s="37" t="b">
        <v>0</v>
      </c>
    </row>
    <row r="825" spans="1:8" x14ac:dyDescent="0.3">
      <c r="A825" s="37" t="s">
        <v>2</v>
      </c>
      <c r="B825" s="38"/>
      <c r="E825" s="37" t="b">
        <v>1</v>
      </c>
      <c r="F825" s="37" t="b">
        <v>0</v>
      </c>
      <c r="G825" s="37">
        <v>0</v>
      </c>
      <c r="H825" s="37" t="b">
        <v>0</v>
      </c>
    </row>
    <row r="826" spans="1:8" x14ac:dyDescent="0.3">
      <c r="A826" s="37" t="s">
        <v>2</v>
      </c>
      <c r="B826" s="38"/>
      <c r="E826" s="37" t="b">
        <v>1</v>
      </c>
      <c r="F826" s="37" t="b">
        <v>0</v>
      </c>
      <c r="G826" s="37">
        <v>0</v>
      </c>
      <c r="H826" s="37" t="b">
        <v>0</v>
      </c>
    </row>
    <row r="827" spans="1:8" x14ac:dyDescent="0.3">
      <c r="A827" s="37" t="s">
        <v>125</v>
      </c>
      <c r="B827" s="38"/>
      <c r="E827" s="37" t="b">
        <v>0</v>
      </c>
      <c r="F827" s="37" t="b">
        <v>0</v>
      </c>
      <c r="G827" s="37">
        <v>0</v>
      </c>
      <c r="H827" s="37" t="b">
        <v>0</v>
      </c>
    </row>
    <row r="828" spans="1:8" x14ac:dyDescent="0.3">
      <c r="A828" s="37" t="s">
        <v>2</v>
      </c>
      <c r="B828" s="38"/>
      <c r="E828" s="37" t="b">
        <v>1</v>
      </c>
      <c r="F828" s="37" t="b">
        <v>0</v>
      </c>
      <c r="G828" s="37">
        <v>0</v>
      </c>
      <c r="H828" s="37" t="b">
        <v>0</v>
      </c>
    </row>
    <row r="829" spans="1:8" x14ac:dyDescent="0.3">
      <c r="A829" s="37" t="s">
        <v>2</v>
      </c>
      <c r="B829" s="38"/>
      <c r="E829" s="37" t="b">
        <v>1</v>
      </c>
      <c r="F829" s="37" t="b">
        <v>0</v>
      </c>
      <c r="G829" s="37">
        <v>0</v>
      </c>
      <c r="H829" s="37" t="b">
        <v>0</v>
      </c>
    </row>
    <row r="830" spans="1:8" x14ac:dyDescent="0.3">
      <c r="A830" s="37" t="s">
        <v>2</v>
      </c>
      <c r="B830" s="38"/>
      <c r="E830" s="37" t="b">
        <v>1</v>
      </c>
      <c r="F830" s="37" t="b">
        <v>0</v>
      </c>
      <c r="G830" s="37">
        <v>0</v>
      </c>
      <c r="H830" s="37" t="b">
        <v>0</v>
      </c>
    </row>
    <row r="831" spans="1:8" x14ac:dyDescent="0.3">
      <c r="A831" s="37" t="s">
        <v>125</v>
      </c>
      <c r="B831" s="38"/>
      <c r="E831" s="37" t="b">
        <v>0</v>
      </c>
      <c r="F831" s="37" t="b">
        <v>0</v>
      </c>
      <c r="G831" s="37">
        <v>0</v>
      </c>
      <c r="H831" s="37" t="b">
        <v>0</v>
      </c>
    </row>
    <row r="832" spans="1:8" x14ac:dyDescent="0.3">
      <c r="A832" s="37" t="s">
        <v>125</v>
      </c>
      <c r="B832" s="38"/>
      <c r="E832" s="37" t="b">
        <v>0</v>
      </c>
      <c r="F832" s="37" t="b">
        <v>0</v>
      </c>
      <c r="G832" s="37">
        <v>0</v>
      </c>
      <c r="H832" s="37" t="b">
        <v>0</v>
      </c>
    </row>
    <row r="833" spans="1:8" x14ac:dyDescent="0.3">
      <c r="A833" s="37" t="s">
        <v>0</v>
      </c>
      <c r="B833" s="38"/>
      <c r="E833" s="37" t="b">
        <v>0</v>
      </c>
      <c r="F833" s="37" t="b">
        <v>0</v>
      </c>
      <c r="G833" s="37">
        <v>0</v>
      </c>
      <c r="H833" s="37" t="b">
        <v>0</v>
      </c>
    </row>
    <row r="834" spans="1:8" x14ac:dyDescent="0.3">
      <c r="A834" s="37" t="s">
        <v>0</v>
      </c>
      <c r="B834" s="38"/>
      <c r="E834" s="37" t="b">
        <v>0</v>
      </c>
      <c r="F834" s="37" t="b">
        <v>0</v>
      </c>
      <c r="G834" s="37">
        <v>0</v>
      </c>
      <c r="H834" s="37" t="b">
        <v>0</v>
      </c>
    </row>
    <row r="835" spans="1:8" x14ac:dyDescent="0.3">
      <c r="A835" s="37" t="s">
        <v>0</v>
      </c>
      <c r="B835" s="38"/>
      <c r="E835" s="37" t="b">
        <v>0</v>
      </c>
      <c r="F835" s="37" t="b">
        <v>0</v>
      </c>
      <c r="G835" s="37">
        <v>0</v>
      </c>
      <c r="H835" s="37" t="b">
        <v>0</v>
      </c>
    </row>
    <row r="836" spans="1:8" x14ac:dyDescent="0.3">
      <c r="A836" s="37" t="s">
        <v>0</v>
      </c>
      <c r="B836" s="38"/>
      <c r="E836" s="37" t="b">
        <v>0</v>
      </c>
      <c r="F836" s="37" t="b">
        <v>0</v>
      </c>
      <c r="G836" s="37">
        <v>0</v>
      </c>
      <c r="H836" s="37" t="b">
        <v>0</v>
      </c>
    </row>
    <row r="837" spans="1:8" x14ac:dyDescent="0.3">
      <c r="A837" s="37" t="s">
        <v>2</v>
      </c>
      <c r="B837" s="38"/>
      <c r="E837" s="37" t="b">
        <v>1</v>
      </c>
      <c r="F837" s="37" t="b">
        <v>0</v>
      </c>
      <c r="G837" s="37">
        <v>0</v>
      </c>
      <c r="H837" s="37" t="b">
        <v>0</v>
      </c>
    </row>
    <row r="838" spans="1:8" x14ac:dyDescent="0.3">
      <c r="A838" s="37" t="s">
        <v>2</v>
      </c>
      <c r="B838" s="38"/>
      <c r="E838" s="37" t="b">
        <v>1</v>
      </c>
      <c r="F838" s="37" t="b">
        <v>0</v>
      </c>
      <c r="G838" s="37">
        <v>0</v>
      </c>
      <c r="H838" s="37" t="b">
        <v>0</v>
      </c>
    </row>
    <row r="839" spans="1:8" x14ac:dyDescent="0.3">
      <c r="A839" s="37" t="s">
        <v>0</v>
      </c>
      <c r="B839" s="38"/>
      <c r="E839" s="37" t="b">
        <v>0</v>
      </c>
      <c r="F839" s="37" t="b">
        <v>0</v>
      </c>
      <c r="G839" s="37">
        <v>0</v>
      </c>
      <c r="H839" s="37" t="b">
        <v>0</v>
      </c>
    </row>
    <row r="840" spans="1:8" x14ac:dyDescent="0.3">
      <c r="A840" s="37" t="s">
        <v>0</v>
      </c>
      <c r="B840" s="38">
        <v>112996</v>
      </c>
      <c r="E840" s="37" t="b">
        <v>0</v>
      </c>
      <c r="F840" s="37" t="b">
        <v>1</v>
      </c>
      <c r="G840" s="37">
        <v>0</v>
      </c>
      <c r="H840" s="37" t="b">
        <v>0</v>
      </c>
    </row>
    <row r="841" spans="1:8" x14ac:dyDescent="0.3">
      <c r="A841" s="37" t="s">
        <v>2</v>
      </c>
      <c r="B841" s="38">
        <v>112500</v>
      </c>
      <c r="E841" s="37" t="b">
        <v>1</v>
      </c>
      <c r="F841" s="37" t="b">
        <v>1</v>
      </c>
      <c r="G841" s="37">
        <v>1</v>
      </c>
      <c r="H841" s="37">
        <v>112500</v>
      </c>
    </row>
    <row r="842" spans="1:8" x14ac:dyDescent="0.3">
      <c r="A842" s="37" t="s">
        <v>0</v>
      </c>
      <c r="B842" s="38">
        <v>112500</v>
      </c>
      <c r="E842" s="37" t="b">
        <v>0</v>
      </c>
      <c r="F842" s="37" t="b">
        <v>1</v>
      </c>
      <c r="G842" s="37">
        <v>0</v>
      </c>
      <c r="H842" s="37" t="b">
        <v>0</v>
      </c>
    </row>
    <row r="843" spans="1:8" x14ac:dyDescent="0.3">
      <c r="A843" s="37" t="s">
        <v>2</v>
      </c>
      <c r="B843" s="38">
        <v>137500</v>
      </c>
      <c r="E843" s="37" t="b">
        <v>1</v>
      </c>
      <c r="F843" s="37" t="b">
        <v>1</v>
      </c>
      <c r="G843" s="37">
        <v>1</v>
      </c>
      <c r="H843" s="37">
        <v>137500</v>
      </c>
    </row>
    <row r="844" spans="1:8" x14ac:dyDescent="0.3">
      <c r="A844" s="37" t="s">
        <v>0</v>
      </c>
      <c r="B844" s="38">
        <v>137500</v>
      </c>
      <c r="E844" s="37" t="b">
        <v>0</v>
      </c>
      <c r="F844" s="37" t="b">
        <v>1</v>
      </c>
      <c r="G844" s="37">
        <v>0</v>
      </c>
      <c r="H844" s="37" t="b">
        <v>0</v>
      </c>
    </row>
    <row r="845" spans="1:8" x14ac:dyDescent="0.3">
      <c r="A845" s="37" t="s">
        <v>2</v>
      </c>
      <c r="B845" s="38">
        <v>137500</v>
      </c>
      <c r="E845" s="37" t="b">
        <v>1</v>
      </c>
      <c r="F845" s="37" t="b">
        <v>1</v>
      </c>
      <c r="G845" s="37">
        <v>1</v>
      </c>
      <c r="H845" s="37">
        <v>137500</v>
      </c>
    </row>
    <row r="846" spans="1:8" x14ac:dyDescent="0.3">
      <c r="A846" s="37" t="s">
        <v>4</v>
      </c>
      <c r="B846" s="38">
        <v>95000</v>
      </c>
      <c r="E846" s="37" t="b">
        <v>0</v>
      </c>
      <c r="F846" s="37" t="b">
        <v>1</v>
      </c>
      <c r="G846" s="37">
        <v>0</v>
      </c>
      <c r="H846" s="37" t="b">
        <v>0</v>
      </c>
    </row>
    <row r="847" spans="1:8" x14ac:dyDescent="0.3">
      <c r="A847" s="37" t="s">
        <v>2</v>
      </c>
      <c r="B847" s="38">
        <v>95000</v>
      </c>
      <c r="E847" s="37" t="b">
        <v>1</v>
      </c>
      <c r="F847" s="37" t="b">
        <v>1</v>
      </c>
      <c r="G847" s="37">
        <v>1</v>
      </c>
      <c r="H847" s="37">
        <v>95000</v>
      </c>
    </row>
    <row r="848" spans="1:8" x14ac:dyDescent="0.3">
      <c r="A848" s="37" t="s">
        <v>52</v>
      </c>
      <c r="B848" s="38">
        <v>137500</v>
      </c>
      <c r="E848" s="37" t="b">
        <v>0</v>
      </c>
      <c r="F848" s="37" t="b">
        <v>1</v>
      </c>
      <c r="G848" s="37">
        <v>0</v>
      </c>
      <c r="H848" s="37" t="b">
        <v>0</v>
      </c>
    </row>
    <row r="849" spans="1:8" x14ac:dyDescent="0.3">
      <c r="A849" s="37" t="s">
        <v>2</v>
      </c>
      <c r="B849" s="38">
        <v>101540</v>
      </c>
      <c r="E849" s="37" t="b">
        <v>1</v>
      </c>
      <c r="F849" s="37" t="b">
        <v>1</v>
      </c>
      <c r="G849" s="37">
        <v>1</v>
      </c>
      <c r="H849" s="37">
        <v>101540</v>
      </c>
    </row>
    <row r="850" spans="1:8" x14ac:dyDescent="0.3">
      <c r="A850" s="37" t="s">
        <v>2</v>
      </c>
      <c r="B850" s="38">
        <v>133285</v>
      </c>
      <c r="E850" s="37" t="b">
        <v>1</v>
      </c>
      <c r="F850" s="37" t="b">
        <v>1</v>
      </c>
      <c r="G850" s="37">
        <v>1</v>
      </c>
      <c r="H850" s="37">
        <v>133285</v>
      </c>
    </row>
    <row r="851" spans="1:8" x14ac:dyDescent="0.3">
      <c r="A851" s="37" t="s">
        <v>2</v>
      </c>
      <c r="B851" s="38">
        <v>82430</v>
      </c>
      <c r="E851" s="37" t="b">
        <v>1</v>
      </c>
      <c r="F851" s="37" t="b">
        <v>1</v>
      </c>
      <c r="G851" s="37">
        <v>1</v>
      </c>
      <c r="H851" s="37">
        <v>82430</v>
      </c>
    </row>
    <row r="852" spans="1:8" x14ac:dyDescent="0.3">
      <c r="A852" s="37" t="s">
        <v>0</v>
      </c>
      <c r="B852" s="38">
        <v>130000</v>
      </c>
      <c r="E852" s="37" t="b">
        <v>0</v>
      </c>
      <c r="F852" s="37" t="b">
        <v>1</v>
      </c>
      <c r="G852" s="37">
        <v>0</v>
      </c>
      <c r="H852" s="37" t="b">
        <v>0</v>
      </c>
    </row>
    <row r="853" spans="1:8" x14ac:dyDescent="0.3">
      <c r="A853" s="37" t="s">
        <v>0</v>
      </c>
      <c r="B853" s="38">
        <v>141500</v>
      </c>
      <c r="E853" s="37" t="b">
        <v>0</v>
      </c>
      <c r="F853" s="37" t="b">
        <v>1</v>
      </c>
      <c r="G853" s="37">
        <v>0</v>
      </c>
      <c r="H853" s="37" t="b">
        <v>0</v>
      </c>
    </row>
    <row r="854" spans="1:8" x14ac:dyDescent="0.3">
      <c r="A854" s="37" t="s">
        <v>2</v>
      </c>
      <c r="B854" s="38">
        <v>132315</v>
      </c>
      <c r="E854" s="37" t="b">
        <v>1</v>
      </c>
      <c r="F854" s="37" t="b">
        <v>1</v>
      </c>
      <c r="G854" s="37">
        <v>1</v>
      </c>
      <c r="H854" s="37">
        <v>132315</v>
      </c>
    </row>
    <row r="855" spans="1:8" x14ac:dyDescent="0.3">
      <c r="A855" s="37" t="s">
        <v>2</v>
      </c>
      <c r="B855" s="38"/>
      <c r="E855" s="37" t="b">
        <v>1</v>
      </c>
      <c r="F855" s="37" t="b">
        <v>0</v>
      </c>
      <c r="G855" s="37">
        <v>0</v>
      </c>
      <c r="H855" s="37" t="b">
        <v>0</v>
      </c>
    </row>
    <row r="856" spans="1:8" x14ac:dyDescent="0.3">
      <c r="A856" s="37" t="s">
        <v>4</v>
      </c>
      <c r="B856" s="38">
        <v>96500</v>
      </c>
      <c r="E856" s="37" t="b">
        <v>0</v>
      </c>
      <c r="F856" s="37" t="b">
        <v>1</v>
      </c>
      <c r="G856" s="37">
        <v>0</v>
      </c>
      <c r="H856" s="37" t="b">
        <v>0</v>
      </c>
    </row>
    <row r="857" spans="1:8" x14ac:dyDescent="0.3">
      <c r="A857" s="37" t="s">
        <v>128</v>
      </c>
      <c r="B857" s="38"/>
      <c r="E857" s="37" t="b">
        <v>0</v>
      </c>
      <c r="F857" s="37" t="b">
        <v>0</v>
      </c>
      <c r="G857" s="37">
        <v>0</v>
      </c>
      <c r="H857" s="37" t="b">
        <v>0</v>
      </c>
    </row>
    <row r="858" spans="1:8" x14ac:dyDescent="0.3">
      <c r="A858" s="37" t="s">
        <v>125</v>
      </c>
      <c r="B858" s="38">
        <v>155000</v>
      </c>
      <c r="E858" s="37" t="b">
        <v>0</v>
      </c>
      <c r="F858" s="37" t="b">
        <v>1</v>
      </c>
      <c r="G858" s="37">
        <v>0</v>
      </c>
      <c r="H858" s="37" t="b">
        <v>0</v>
      </c>
    </row>
    <row r="859" spans="1:8" x14ac:dyDescent="0.3">
      <c r="A859" s="37" t="s">
        <v>2</v>
      </c>
      <c r="B859" s="38"/>
      <c r="E859" s="37" t="b">
        <v>1</v>
      </c>
      <c r="F859" s="37" t="b">
        <v>0</v>
      </c>
      <c r="G859" s="37">
        <v>0</v>
      </c>
      <c r="H859" s="37" t="b">
        <v>0</v>
      </c>
    </row>
    <row r="860" spans="1:8" x14ac:dyDescent="0.3">
      <c r="A860" s="37" t="s">
        <v>125</v>
      </c>
      <c r="B860" s="38">
        <v>149000</v>
      </c>
      <c r="E860" s="37" t="b">
        <v>0</v>
      </c>
      <c r="F860" s="37" t="b">
        <v>1</v>
      </c>
      <c r="G860" s="37">
        <v>0</v>
      </c>
      <c r="H860" s="37" t="b">
        <v>0</v>
      </c>
    </row>
    <row r="861" spans="1:8" x14ac:dyDescent="0.3">
      <c r="A861" s="37" t="s">
        <v>0</v>
      </c>
      <c r="B861" s="38">
        <v>145000</v>
      </c>
      <c r="E861" s="37" t="b">
        <v>0</v>
      </c>
      <c r="F861" s="37" t="b">
        <v>1</v>
      </c>
      <c r="G861" s="37">
        <v>0</v>
      </c>
      <c r="H861" s="37" t="b">
        <v>0</v>
      </c>
    </row>
    <row r="862" spans="1:8" x14ac:dyDescent="0.3">
      <c r="A862" s="37" t="s">
        <v>126</v>
      </c>
      <c r="B862" s="38">
        <v>185000</v>
      </c>
      <c r="E862" s="37" t="b">
        <v>0</v>
      </c>
      <c r="F862" s="37" t="b">
        <v>1</v>
      </c>
      <c r="G862" s="37">
        <v>0</v>
      </c>
      <c r="H862" s="37" t="b">
        <v>0</v>
      </c>
    </row>
    <row r="863" spans="1:8" x14ac:dyDescent="0.3">
      <c r="A863" s="37" t="s">
        <v>2</v>
      </c>
      <c r="B863" s="38">
        <v>77500</v>
      </c>
      <c r="E863" s="37" t="b">
        <v>1</v>
      </c>
      <c r="F863" s="37" t="b">
        <v>1</v>
      </c>
      <c r="G863" s="37">
        <v>1</v>
      </c>
      <c r="H863" s="37">
        <v>77500</v>
      </c>
    </row>
    <row r="864" spans="1:8" x14ac:dyDescent="0.3">
      <c r="A864" s="37" t="s">
        <v>125</v>
      </c>
      <c r="B864" s="38">
        <v>115000</v>
      </c>
      <c r="E864" s="37" t="b">
        <v>0</v>
      </c>
      <c r="F864" s="37" t="b">
        <v>1</v>
      </c>
      <c r="G864" s="37">
        <v>0</v>
      </c>
      <c r="H864" s="37" t="b">
        <v>0</v>
      </c>
    </row>
    <row r="865" spans="1:8" x14ac:dyDescent="0.3">
      <c r="A865" s="37" t="s">
        <v>126</v>
      </c>
      <c r="B865" s="38">
        <v>185000</v>
      </c>
      <c r="E865" s="37" t="b">
        <v>0</v>
      </c>
      <c r="F865" s="37" t="b">
        <v>1</v>
      </c>
      <c r="G865" s="37">
        <v>0</v>
      </c>
      <c r="H865" s="37" t="b">
        <v>0</v>
      </c>
    </row>
    <row r="866" spans="1:8" x14ac:dyDescent="0.3">
      <c r="A866" s="37" t="s">
        <v>126</v>
      </c>
      <c r="B866" s="38">
        <v>170672</v>
      </c>
      <c r="E866" s="37" t="b">
        <v>0</v>
      </c>
      <c r="F866" s="37" t="b">
        <v>1</v>
      </c>
      <c r="G866" s="37">
        <v>0</v>
      </c>
      <c r="H866" s="37" t="b">
        <v>0</v>
      </c>
    </row>
    <row r="867" spans="1:8" x14ac:dyDescent="0.3">
      <c r="A867" s="37" t="s">
        <v>4</v>
      </c>
      <c r="B867" s="38"/>
      <c r="E867" s="37" t="b">
        <v>0</v>
      </c>
      <c r="F867" s="37" t="b">
        <v>0</v>
      </c>
      <c r="G867" s="37">
        <v>0</v>
      </c>
      <c r="H867" s="37" t="b">
        <v>0</v>
      </c>
    </row>
    <row r="868" spans="1:8" x14ac:dyDescent="0.3">
      <c r="A868" s="37" t="s">
        <v>2</v>
      </c>
      <c r="B868" s="38"/>
      <c r="E868" s="37" t="b">
        <v>1</v>
      </c>
      <c r="F868" s="37" t="b">
        <v>0</v>
      </c>
      <c r="G868" s="37">
        <v>0</v>
      </c>
      <c r="H868" s="37" t="b">
        <v>0</v>
      </c>
    </row>
    <row r="869" spans="1:8" x14ac:dyDescent="0.3">
      <c r="A869" s="37" t="s">
        <v>2</v>
      </c>
      <c r="B869" s="38"/>
      <c r="E869" s="37" t="b">
        <v>1</v>
      </c>
      <c r="F869" s="37" t="b">
        <v>0</v>
      </c>
      <c r="G869" s="37">
        <v>0</v>
      </c>
      <c r="H869" s="37" t="b">
        <v>0</v>
      </c>
    </row>
    <row r="870" spans="1:8" x14ac:dyDescent="0.3">
      <c r="A870" s="37" t="s">
        <v>125</v>
      </c>
      <c r="B870" s="38"/>
      <c r="E870" s="37" t="b">
        <v>0</v>
      </c>
      <c r="F870" s="37" t="b">
        <v>0</v>
      </c>
      <c r="G870" s="37">
        <v>0</v>
      </c>
      <c r="H870" s="37" t="b">
        <v>0</v>
      </c>
    </row>
    <row r="871" spans="1:8" x14ac:dyDescent="0.3">
      <c r="A871" s="37" t="s">
        <v>2</v>
      </c>
      <c r="B871" s="38"/>
      <c r="E871" s="37" t="b">
        <v>1</v>
      </c>
      <c r="F871" s="37" t="b">
        <v>0</v>
      </c>
      <c r="G871" s="37">
        <v>0</v>
      </c>
      <c r="H871" s="37" t="b">
        <v>0</v>
      </c>
    </row>
    <row r="872" spans="1:8" x14ac:dyDescent="0.3">
      <c r="A872" s="37" t="s">
        <v>2</v>
      </c>
      <c r="B872" s="38"/>
      <c r="E872" s="37" t="b">
        <v>1</v>
      </c>
      <c r="F872" s="37" t="b">
        <v>0</v>
      </c>
      <c r="G872" s="37">
        <v>0</v>
      </c>
      <c r="H872" s="37" t="b">
        <v>0</v>
      </c>
    </row>
    <row r="873" spans="1:8" x14ac:dyDescent="0.3">
      <c r="A873" s="37" t="s">
        <v>2</v>
      </c>
      <c r="B873" s="38"/>
      <c r="E873" s="37" t="b">
        <v>1</v>
      </c>
      <c r="F873" s="37" t="b">
        <v>0</v>
      </c>
      <c r="G873" s="37">
        <v>0</v>
      </c>
      <c r="H873" s="37" t="b">
        <v>0</v>
      </c>
    </row>
    <row r="874" spans="1:8" x14ac:dyDescent="0.3">
      <c r="A874" s="37" t="s">
        <v>0</v>
      </c>
      <c r="B874" s="38"/>
      <c r="E874" s="37" t="b">
        <v>0</v>
      </c>
      <c r="F874" s="37" t="b">
        <v>0</v>
      </c>
      <c r="G874" s="37">
        <v>0</v>
      </c>
      <c r="H874" s="37" t="b">
        <v>0</v>
      </c>
    </row>
    <row r="875" spans="1:8" x14ac:dyDescent="0.3">
      <c r="A875" s="37" t="s">
        <v>0</v>
      </c>
      <c r="B875" s="38"/>
      <c r="E875" s="37" t="b">
        <v>0</v>
      </c>
      <c r="F875" s="37" t="b">
        <v>0</v>
      </c>
      <c r="G875" s="37">
        <v>0</v>
      </c>
      <c r="H875" s="37" t="b">
        <v>0</v>
      </c>
    </row>
    <row r="876" spans="1:8" x14ac:dyDescent="0.3">
      <c r="A876" s="37" t="s">
        <v>0</v>
      </c>
      <c r="B876" s="38"/>
      <c r="E876" s="37" t="b">
        <v>0</v>
      </c>
      <c r="F876" s="37" t="b">
        <v>0</v>
      </c>
      <c r="G876" s="37">
        <v>0</v>
      </c>
      <c r="H876" s="37" t="b">
        <v>0</v>
      </c>
    </row>
    <row r="877" spans="1:8" x14ac:dyDescent="0.3">
      <c r="A877" s="37" t="s">
        <v>2</v>
      </c>
      <c r="B877" s="38"/>
      <c r="E877" s="37" t="b">
        <v>1</v>
      </c>
      <c r="F877" s="37" t="b">
        <v>0</v>
      </c>
      <c r="G877" s="37">
        <v>0</v>
      </c>
      <c r="H877" s="37" t="b">
        <v>0</v>
      </c>
    </row>
    <row r="878" spans="1:8" x14ac:dyDescent="0.3">
      <c r="A878" s="37" t="s">
        <v>0</v>
      </c>
      <c r="B878" s="38"/>
      <c r="E878" s="37" t="b">
        <v>0</v>
      </c>
      <c r="F878" s="37" t="b">
        <v>0</v>
      </c>
      <c r="G878" s="37">
        <v>0</v>
      </c>
      <c r="H878" s="37" t="b">
        <v>0</v>
      </c>
    </row>
    <row r="879" spans="1:8" x14ac:dyDescent="0.3">
      <c r="A879" s="37" t="s">
        <v>0</v>
      </c>
      <c r="B879" s="38"/>
      <c r="E879" s="37" t="b">
        <v>0</v>
      </c>
      <c r="F879" s="37" t="b">
        <v>0</v>
      </c>
      <c r="G879" s="37">
        <v>0</v>
      </c>
      <c r="H879" s="37" t="b">
        <v>0</v>
      </c>
    </row>
    <row r="880" spans="1:8" x14ac:dyDescent="0.3">
      <c r="A880" s="37" t="s">
        <v>0</v>
      </c>
      <c r="B880" s="38"/>
      <c r="E880" s="37" t="b">
        <v>0</v>
      </c>
      <c r="F880" s="37" t="b">
        <v>0</v>
      </c>
      <c r="G880" s="37">
        <v>0</v>
      </c>
      <c r="H880" s="37" t="b">
        <v>0</v>
      </c>
    </row>
    <row r="881" spans="1:8" x14ac:dyDescent="0.3">
      <c r="A881" s="37" t="s">
        <v>0</v>
      </c>
      <c r="B881" s="38">
        <v>145000</v>
      </c>
      <c r="E881" s="37" t="b">
        <v>0</v>
      </c>
      <c r="F881" s="37" t="b">
        <v>1</v>
      </c>
      <c r="G881" s="37">
        <v>0</v>
      </c>
      <c r="H881" s="37" t="b">
        <v>0</v>
      </c>
    </row>
    <row r="882" spans="1:8" x14ac:dyDescent="0.3">
      <c r="A882" s="37" t="s">
        <v>2</v>
      </c>
      <c r="B882" s="38">
        <v>77500</v>
      </c>
      <c r="E882" s="37" t="b">
        <v>1</v>
      </c>
      <c r="F882" s="37" t="b">
        <v>1</v>
      </c>
      <c r="G882" s="37">
        <v>1</v>
      </c>
      <c r="H882" s="37">
        <v>77500</v>
      </c>
    </row>
    <row r="883" spans="1:8" x14ac:dyDescent="0.3">
      <c r="A883" s="37" t="s">
        <v>4</v>
      </c>
      <c r="B883" s="38"/>
      <c r="E883" s="37" t="b">
        <v>0</v>
      </c>
      <c r="F883" s="37" t="b">
        <v>0</v>
      </c>
      <c r="G883" s="37">
        <v>0</v>
      </c>
      <c r="H883" s="37" t="b">
        <v>0</v>
      </c>
    </row>
    <row r="884" spans="1:8" x14ac:dyDescent="0.3">
      <c r="A884" s="37" t="s">
        <v>4</v>
      </c>
      <c r="B884" s="38">
        <v>102500</v>
      </c>
      <c r="E884" s="37" t="b">
        <v>0</v>
      </c>
      <c r="F884" s="37" t="b">
        <v>1</v>
      </c>
      <c r="G884" s="37">
        <v>0</v>
      </c>
      <c r="H884" s="37" t="b">
        <v>0</v>
      </c>
    </row>
    <row r="885" spans="1:8" x14ac:dyDescent="0.3">
      <c r="A885" s="37" t="s">
        <v>4</v>
      </c>
      <c r="B885" s="38">
        <v>160000</v>
      </c>
      <c r="E885" s="37" t="b">
        <v>0</v>
      </c>
      <c r="F885" s="37" t="b">
        <v>1</v>
      </c>
      <c r="G885" s="37">
        <v>0</v>
      </c>
      <c r="H885" s="37" t="b">
        <v>0</v>
      </c>
    </row>
    <row r="886" spans="1:8" x14ac:dyDescent="0.3">
      <c r="A886" s="37" t="s">
        <v>2</v>
      </c>
      <c r="B886" s="38">
        <v>180000</v>
      </c>
      <c r="E886" s="37" t="b">
        <v>1</v>
      </c>
      <c r="F886" s="37" t="b">
        <v>1</v>
      </c>
      <c r="G886" s="37">
        <v>1</v>
      </c>
      <c r="H886" s="37">
        <v>180000</v>
      </c>
    </row>
    <row r="887" spans="1:8" x14ac:dyDescent="0.3">
      <c r="A887" s="37" t="s">
        <v>2</v>
      </c>
      <c r="B887" s="38">
        <v>130000</v>
      </c>
      <c r="E887" s="37" t="b">
        <v>1</v>
      </c>
      <c r="F887" s="37" t="b">
        <v>1</v>
      </c>
      <c r="G887" s="37">
        <v>1</v>
      </c>
      <c r="H887" s="37">
        <v>130000</v>
      </c>
    </row>
    <row r="888" spans="1:8" x14ac:dyDescent="0.3">
      <c r="A888" s="37" t="s">
        <v>2</v>
      </c>
      <c r="B888" s="38">
        <v>70000</v>
      </c>
      <c r="E888" s="37" t="b">
        <v>1</v>
      </c>
      <c r="F888" s="37" t="b">
        <v>1</v>
      </c>
      <c r="G888" s="37">
        <v>1</v>
      </c>
      <c r="H888" s="37">
        <v>70000</v>
      </c>
    </row>
    <row r="889" spans="1:8" x14ac:dyDescent="0.3">
      <c r="A889" s="37" t="s">
        <v>2</v>
      </c>
      <c r="B889" s="38"/>
      <c r="E889" s="37" t="b">
        <v>1</v>
      </c>
      <c r="F889" s="37" t="b">
        <v>0</v>
      </c>
      <c r="G889" s="37">
        <v>0</v>
      </c>
      <c r="H889" s="37" t="b">
        <v>0</v>
      </c>
    </row>
    <row r="890" spans="1:8" x14ac:dyDescent="0.3">
      <c r="A890" s="37" t="s">
        <v>0</v>
      </c>
      <c r="B890" s="38"/>
      <c r="E890" s="37" t="b">
        <v>0</v>
      </c>
      <c r="F890" s="37" t="b">
        <v>0</v>
      </c>
      <c r="G890" s="37">
        <v>0</v>
      </c>
      <c r="H890" s="37" t="b">
        <v>0</v>
      </c>
    </row>
    <row r="891" spans="1:8" x14ac:dyDescent="0.3">
      <c r="A891" s="37" t="s">
        <v>2</v>
      </c>
      <c r="B891" s="38"/>
      <c r="E891" s="37" t="b">
        <v>1</v>
      </c>
      <c r="F891" s="37" t="b">
        <v>0</v>
      </c>
      <c r="G891" s="37">
        <v>0</v>
      </c>
      <c r="H891" s="37" t="b">
        <v>0</v>
      </c>
    </row>
    <row r="892" spans="1:8" x14ac:dyDescent="0.3">
      <c r="A892" s="37" t="s">
        <v>0</v>
      </c>
      <c r="B892" s="38">
        <v>175000</v>
      </c>
      <c r="E892" s="37" t="b">
        <v>0</v>
      </c>
      <c r="F892" s="37" t="b">
        <v>1</v>
      </c>
      <c r="G892" s="37">
        <v>0</v>
      </c>
      <c r="H892" s="37" t="b">
        <v>0</v>
      </c>
    </row>
    <row r="893" spans="1:8" x14ac:dyDescent="0.3">
      <c r="A893" s="37" t="s">
        <v>2</v>
      </c>
      <c r="B893" s="38"/>
      <c r="E893" s="37" t="b">
        <v>1</v>
      </c>
      <c r="F893" s="37" t="b">
        <v>0</v>
      </c>
      <c r="G893" s="37">
        <v>0</v>
      </c>
      <c r="H893" s="37" t="b">
        <v>0</v>
      </c>
    </row>
    <row r="894" spans="1:8" x14ac:dyDescent="0.3">
      <c r="A894" s="37" t="s">
        <v>4</v>
      </c>
      <c r="B894" s="38">
        <v>150000</v>
      </c>
      <c r="E894" s="37" t="b">
        <v>0</v>
      </c>
      <c r="F894" s="37" t="b">
        <v>1</v>
      </c>
      <c r="G894" s="37">
        <v>0</v>
      </c>
      <c r="H894" s="37" t="b">
        <v>0</v>
      </c>
    </row>
    <row r="895" spans="1:8" x14ac:dyDescent="0.3">
      <c r="A895" s="37" t="s">
        <v>4</v>
      </c>
      <c r="B895" s="38"/>
      <c r="E895" s="37" t="b">
        <v>0</v>
      </c>
      <c r="F895" s="37" t="b">
        <v>0</v>
      </c>
      <c r="G895" s="37">
        <v>0</v>
      </c>
      <c r="H895" s="37" t="b">
        <v>0</v>
      </c>
    </row>
    <row r="896" spans="1:8" x14ac:dyDescent="0.3">
      <c r="A896" s="37" t="s">
        <v>0</v>
      </c>
      <c r="B896" s="38"/>
      <c r="E896" s="37" t="b">
        <v>0</v>
      </c>
      <c r="F896" s="37" t="b">
        <v>0</v>
      </c>
      <c r="G896" s="37">
        <v>0</v>
      </c>
      <c r="H896" s="37" t="b">
        <v>0</v>
      </c>
    </row>
    <row r="897" spans="1:8" x14ac:dyDescent="0.3">
      <c r="A897" s="37" t="s">
        <v>2</v>
      </c>
      <c r="B897" s="38"/>
      <c r="E897" s="37" t="b">
        <v>1</v>
      </c>
      <c r="F897" s="37" t="b">
        <v>0</v>
      </c>
      <c r="G897" s="37">
        <v>0</v>
      </c>
      <c r="H897" s="37" t="b">
        <v>0</v>
      </c>
    </row>
    <row r="898" spans="1:8" x14ac:dyDescent="0.3">
      <c r="A898" s="37" t="s">
        <v>2</v>
      </c>
      <c r="B898" s="38">
        <v>115791.5</v>
      </c>
      <c r="E898" s="37" t="b">
        <v>1</v>
      </c>
      <c r="F898" s="37" t="b">
        <v>1</v>
      </c>
      <c r="G898" s="37">
        <v>1</v>
      </c>
      <c r="H898" s="37">
        <v>115791.5</v>
      </c>
    </row>
    <row r="899" spans="1:8" x14ac:dyDescent="0.3">
      <c r="A899" s="37" t="s">
        <v>0</v>
      </c>
      <c r="B899" s="38"/>
      <c r="E899" s="37" t="b">
        <v>0</v>
      </c>
      <c r="F899" s="37" t="b">
        <v>0</v>
      </c>
      <c r="G899" s="37">
        <v>0</v>
      </c>
      <c r="H899" s="37" t="b">
        <v>0</v>
      </c>
    </row>
    <row r="900" spans="1:8" x14ac:dyDescent="0.3">
      <c r="A900" s="37" t="s">
        <v>4</v>
      </c>
      <c r="B900" s="38"/>
      <c r="E900" s="37" t="b">
        <v>0</v>
      </c>
      <c r="F900" s="37" t="b">
        <v>0</v>
      </c>
      <c r="G900" s="37">
        <v>0</v>
      </c>
      <c r="H900" s="37" t="b">
        <v>0</v>
      </c>
    </row>
    <row r="901" spans="1:8" x14ac:dyDescent="0.3">
      <c r="A901" s="37" t="s">
        <v>2</v>
      </c>
      <c r="B901" s="38"/>
      <c r="E901" s="37" t="b">
        <v>1</v>
      </c>
      <c r="F901" s="37" t="b">
        <v>0</v>
      </c>
      <c r="G901" s="37">
        <v>0</v>
      </c>
      <c r="H901" s="37" t="b">
        <v>0</v>
      </c>
    </row>
    <row r="902" spans="1:8" x14ac:dyDescent="0.3">
      <c r="A902" s="37" t="s">
        <v>4</v>
      </c>
      <c r="B902" s="38"/>
      <c r="E902" s="37" t="b">
        <v>0</v>
      </c>
      <c r="F902" s="37" t="b">
        <v>0</v>
      </c>
      <c r="G902" s="37">
        <v>0</v>
      </c>
      <c r="H902" s="37" t="b">
        <v>0</v>
      </c>
    </row>
    <row r="903" spans="1:8" x14ac:dyDescent="0.3">
      <c r="A903" s="37" t="s">
        <v>125</v>
      </c>
      <c r="B903" s="38"/>
      <c r="E903" s="37" t="b">
        <v>0</v>
      </c>
      <c r="F903" s="37" t="b">
        <v>0</v>
      </c>
      <c r="G903" s="37">
        <v>0</v>
      </c>
      <c r="H903" s="37" t="b">
        <v>0</v>
      </c>
    </row>
    <row r="904" spans="1:8" x14ac:dyDescent="0.3">
      <c r="A904" s="37" t="s">
        <v>52</v>
      </c>
      <c r="B904" s="38"/>
      <c r="E904" s="37" t="b">
        <v>0</v>
      </c>
      <c r="F904" s="37" t="b">
        <v>0</v>
      </c>
      <c r="G904" s="37">
        <v>0</v>
      </c>
      <c r="H904" s="37" t="b">
        <v>0</v>
      </c>
    </row>
    <row r="905" spans="1:8" x14ac:dyDescent="0.3">
      <c r="A905" s="37" t="s">
        <v>125</v>
      </c>
      <c r="B905" s="38">
        <v>85000</v>
      </c>
      <c r="E905" s="37" t="b">
        <v>0</v>
      </c>
      <c r="F905" s="37" t="b">
        <v>1</v>
      </c>
      <c r="G905" s="37">
        <v>0</v>
      </c>
      <c r="H905" s="37" t="b">
        <v>0</v>
      </c>
    </row>
    <row r="906" spans="1:8" x14ac:dyDescent="0.3">
      <c r="A906" s="37" t="s">
        <v>0</v>
      </c>
      <c r="B906" s="38">
        <v>160000</v>
      </c>
      <c r="E906" s="37" t="b">
        <v>0</v>
      </c>
      <c r="F906" s="37" t="b">
        <v>1</v>
      </c>
      <c r="G906" s="37">
        <v>0</v>
      </c>
      <c r="H906" s="37" t="b">
        <v>0</v>
      </c>
    </row>
    <row r="907" spans="1:8" x14ac:dyDescent="0.3">
      <c r="A907" s="37" t="s">
        <v>0</v>
      </c>
      <c r="B907" s="38"/>
      <c r="E907" s="37" t="b">
        <v>0</v>
      </c>
      <c r="F907" s="37" t="b">
        <v>0</v>
      </c>
      <c r="G907" s="37">
        <v>0</v>
      </c>
      <c r="H907" s="37" t="b">
        <v>0</v>
      </c>
    </row>
    <row r="908" spans="1:8" x14ac:dyDescent="0.3">
      <c r="A908" s="37" t="s">
        <v>2</v>
      </c>
      <c r="B908" s="38">
        <v>50000</v>
      </c>
      <c r="E908" s="37" t="b">
        <v>1</v>
      </c>
      <c r="F908" s="37" t="b">
        <v>1</v>
      </c>
      <c r="G908" s="37">
        <v>1</v>
      </c>
      <c r="H908" s="37">
        <v>50000</v>
      </c>
    </row>
    <row r="909" spans="1:8" x14ac:dyDescent="0.3">
      <c r="A909" s="37" t="s">
        <v>4</v>
      </c>
      <c r="B909" s="38"/>
      <c r="E909" s="37" t="b">
        <v>0</v>
      </c>
      <c r="F909" s="37" t="b">
        <v>0</v>
      </c>
      <c r="G909" s="37">
        <v>0</v>
      </c>
      <c r="H909" s="37" t="b">
        <v>0</v>
      </c>
    </row>
    <row r="910" spans="1:8" x14ac:dyDescent="0.3">
      <c r="A910" s="37" t="s">
        <v>2</v>
      </c>
      <c r="B910" s="38">
        <v>87500</v>
      </c>
      <c r="E910" s="37" t="b">
        <v>1</v>
      </c>
      <c r="F910" s="37" t="b">
        <v>1</v>
      </c>
      <c r="G910" s="37">
        <v>1</v>
      </c>
      <c r="H910" s="37">
        <v>87500</v>
      </c>
    </row>
    <row r="911" spans="1:8" x14ac:dyDescent="0.3">
      <c r="A911" s="37" t="s">
        <v>2</v>
      </c>
      <c r="B911" s="38"/>
      <c r="E911" s="37" t="b">
        <v>1</v>
      </c>
      <c r="F911" s="37" t="b">
        <v>0</v>
      </c>
      <c r="G911" s="37">
        <v>0</v>
      </c>
      <c r="H911" s="37" t="b">
        <v>0</v>
      </c>
    </row>
    <row r="912" spans="1:8" x14ac:dyDescent="0.3">
      <c r="A912" s="37" t="s">
        <v>4</v>
      </c>
      <c r="B912" s="38">
        <v>130000</v>
      </c>
      <c r="E912" s="37" t="b">
        <v>0</v>
      </c>
      <c r="F912" s="37" t="b">
        <v>1</v>
      </c>
      <c r="G912" s="37">
        <v>0</v>
      </c>
      <c r="H912" s="37" t="b">
        <v>0</v>
      </c>
    </row>
    <row r="913" spans="1:8" x14ac:dyDescent="0.3">
      <c r="A913" s="37" t="s">
        <v>4</v>
      </c>
      <c r="B913" s="38"/>
      <c r="E913" s="37" t="b">
        <v>0</v>
      </c>
      <c r="F913" s="37" t="b">
        <v>0</v>
      </c>
      <c r="G913" s="37">
        <v>0</v>
      </c>
      <c r="H913" s="37" t="b">
        <v>0</v>
      </c>
    </row>
    <row r="914" spans="1:8" x14ac:dyDescent="0.3">
      <c r="A914" s="37" t="s">
        <v>125</v>
      </c>
      <c r="B914" s="38"/>
      <c r="E914" s="37" t="b">
        <v>0</v>
      </c>
      <c r="F914" s="37" t="b">
        <v>0</v>
      </c>
      <c r="G914" s="37">
        <v>0</v>
      </c>
      <c r="H914" s="37" t="b">
        <v>0</v>
      </c>
    </row>
    <row r="915" spans="1:8" x14ac:dyDescent="0.3">
      <c r="A915" s="37" t="s">
        <v>4</v>
      </c>
      <c r="B915" s="38">
        <v>70000</v>
      </c>
      <c r="E915" s="37" t="b">
        <v>0</v>
      </c>
      <c r="F915" s="37" t="b">
        <v>1</v>
      </c>
      <c r="G915" s="37">
        <v>0</v>
      </c>
      <c r="H915" s="37" t="b">
        <v>0</v>
      </c>
    </row>
    <row r="916" spans="1:8" x14ac:dyDescent="0.3">
      <c r="A916" s="37" t="s">
        <v>2</v>
      </c>
      <c r="B916" s="38">
        <v>100000</v>
      </c>
      <c r="E916" s="37" t="b">
        <v>1</v>
      </c>
      <c r="F916" s="37" t="b">
        <v>1</v>
      </c>
      <c r="G916" s="37">
        <v>1</v>
      </c>
      <c r="H916" s="37">
        <v>100000</v>
      </c>
    </row>
    <row r="917" spans="1:8" x14ac:dyDescent="0.3">
      <c r="A917" s="37" t="s">
        <v>0</v>
      </c>
      <c r="B917" s="38">
        <v>147500</v>
      </c>
      <c r="E917" s="37" t="b">
        <v>0</v>
      </c>
      <c r="F917" s="37" t="b">
        <v>1</v>
      </c>
      <c r="G917" s="37">
        <v>0</v>
      </c>
      <c r="H917" s="37" t="b">
        <v>0</v>
      </c>
    </row>
    <row r="918" spans="1:8" x14ac:dyDescent="0.3">
      <c r="A918" s="37" t="s">
        <v>4</v>
      </c>
      <c r="B918" s="38">
        <v>145000</v>
      </c>
      <c r="E918" s="37" t="b">
        <v>0</v>
      </c>
      <c r="F918" s="37" t="b">
        <v>1</v>
      </c>
      <c r="G918" s="37">
        <v>0</v>
      </c>
      <c r="H918" s="37" t="b">
        <v>0</v>
      </c>
    </row>
    <row r="919" spans="1:8" x14ac:dyDescent="0.3">
      <c r="A919" s="37" t="s">
        <v>2</v>
      </c>
      <c r="B919" s="38"/>
      <c r="E919" s="37" t="b">
        <v>1</v>
      </c>
      <c r="F919" s="37" t="b">
        <v>0</v>
      </c>
      <c r="G919" s="37">
        <v>0</v>
      </c>
      <c r="H919" s="37" t="b">
        <v>0</v>
      </c>
    </row>
    <row r="920" spans="1:8" x14ac:dyDescent="0.3">
      <c r="A920" s="37" t="s">
        <v>2</v>
      </c>
      <c r="B920" s="38"/>
      <c r="E920" s="37" t="b">
        <v>1</v>
      </c>
      <c r="F920" s="37" t="b">
        <v>0</v>
      </c>
      <c r="G920" s="37">
        <v>0</v>
      </c>
      <c r="H920" s="37" t="b">
        <v>0</v>
      </c>
    </row>
    <row r="921" spans="1:8" x14ac:dyDescent="0.3">
      <c r="A921" s="37" t="s">
        <v>126</v>
      </c>
      <c r="B921" s="38"/>
      <c r="E921" s="37" t="b">
        <v>0</v>
      </c>
      <c r="F921" s="37" t="b">
        <v>0</v>
      </c>
      <c r="G921" s="37">
        <v>0</v>
      </c>
      <c r="H921" s="37" t="b">
        <v>0</v>
      </c>
    </row>
    <row r="922" spans="1:8" x14ac:dyDescent="0.3">
      <c r="A922" s="37" t="s">
        <v>125</v>
      </c>
      <c r="B922" s="38"/>
      <c r="E922" s="37" t="b">
        <v>0</v>
      </c>
      <c r="F922" s="37" t="b">
        <v>0</v>
      </c>
      <c r="G922" s="37">
        <v>0</v>
      </c>
      <c r="H922" s="37" t="b">
        <v>0</v>
      </c>
    </row>
    <row r="923" spans="1:8" x14ac:dyDescent="0.3">
      <c r="A923" s="37" t="s">
        <v>0</v>
      </c>
      <c r="B923" s="38"/>
      <c r="E923" s="37" t="b">
        <v>0</v>
      </c>
      <c r="F923" s="37" t="b">
        <v>0</v>
      </c>
      <c r="G923" s="37">
        <v>0</v>
      </c>
      <c r="H923" s="37" t="b">
        <v>0</v>
      </c>
    </row>
    <row r="924" spans="1:8" x14ac:dyDescent="0.3">
      <c r="A924" s="37" t="s">
        <v>4</v>
      </c>
      <c r="B924" s="38"/>
      <c r="E924" s="37" t="b">
        <v>0</v>
      </c>
      <c r="F924" s="37" t="b">
        <v>0</v>
      </c>
      <c r="G924" s="37">
        <v>0</v>
      </c>
      <c r="H924" s="37" t="b">
        <v>0</v>
      </c>
    </row>
    <row r="925" spans="1:8" x14ac:dyDescent="0.3">
      <c r="A925" s="37" t="s">
        <v>2</v>
      </c>
      <c r="B925" s="38">
        <v>32500</v>
      </c>
      <c r="E925" s="37" t="b">
        <v>1</v>
      </c>
      <c r="F925" s="37" t="b">
        <v>1</v>
      </c>
      <c r="G925" s="37">
        <v>1</v>
      </c>
      <c r="H925" s="37">
        <v>32500</v>
      </c>
    </row>
    <row r="926" spans="1:8" x14ac:dyDescent="0.3">
      <c r="A926" s="37" t="s">
        <v>4</v>
      </c>
      <c r="B926" s="38">
        <v>50000</v>
      </c>
      <c r="E926" s="37" t="b">
        <v>0</v>
      </c>
      <c r="F926" s="37" t="b">
        <v>1</v>
      </c>
      <c r="G926" s="37">
        <v>0</v>
      </c>
      <c r="H926" s="37" t="b">
        <v>0</v>
      </c>
    </row>
    <row r="927" spans="1:8" x14ac:dyDescent="0.3">
      <c r="A927" s="37" t="s">
        <v>4</v>
      </c>
      <c r="B927" s="38"/>
      <c r="E927" s="37" t="b">
        <v>0</v>
      </c>
      <c r="F927" s="37" t="b">
        <v>0</v>
      </c>
      <c r="G927" s="37">
        <v>0</v>
      </c>
      <c r="H927" s="37" t="b">
        <v>0</v>
      </c>
    </row>
    <row r="928" spans="1:8" x14ac:dyDescent="0.3">
      <c r="A928" s="37" t="s">
        <v>2</v>
      </c>
      <c r="B928" s="38"/>
      <c r="E928" s="37" t="b">
        <v>1</v>
      </c>
      <c r="F928" s="37" t="b">
        <v>0</v>
      </c>
      <c r="G928" s="37">
        <v>0</v>
      </c>
      <c r="H928" s="37" t="b">
        <v>0</v>
      </c>
    </row>
    <row r="929" spans="1:8" x14ac:dyDescent="0.3">
      <c r="A929" s="37" t="s">
        <v>0</v>
      </c>
      <c r="B929" s="38">
        <v>122500</v>
      </c>
      <c r="E929" s="37" t="b">
        <v>0</v>
      </c>
      <c r="F929" s="37" t="b">
        <v>1</v>
      </c>
      <c r="G929" s="37">
        <v>0</v>
      </c>
      <c r="H929" s="37" t="b">
        <v>0</v>
      </c>
    </row>
    <row r="930" spans="1:8" x14ac:dyDescent="0.3">
      <c r="A930" s="37" t="s">
        <v>2</v>
      </c>
      <c r="B930" s="38">
        <v>70000</v>
      </c>
      <c r="E930" s="37" t="b">
        <v>1</v>
      </c>
      <c r="F930" s="37" t="b">
        <v>1</v>
      </c>
      <c r="G930" s="37">
        <v>1</v>
      </c>
      <c r="H930" s="37">
        <v>70000</v>
      </c>
    </row>
    <row r="931" spans="1:8" x14ac:dyDescent="0.3">
      <c r="A931" s="37" t="s">
        <v>2</v>
      </c>
      <c r="B931" s="38"/>
      <c r="E931" s="37" t="b">
        <v>1</v>
      </c>
      <c r="F931" s="37" t="b">
        <v>0</v>
      </c>
      <c r="G931" s="37">
        <v>0</v>
      </c>
      <c r="H931" s="37" t="b">
        <v>0</v>
      </c>
    </row>
    <row r="932" spans="1:8" x14ac:dyDescent="0.3">
      <c r="A932" s="37" t="s">
        <v>2</v>
      </c>
      <c r="B932" s="38">
        <v>80000</v>
      </c>
      <c r="E932" s="37" t="b">
        <v>1</v>
      </c>
      <c r="F932" s="37" t="b">
        <v>1</v>
      </c>
      <c r="G932" s="37">
        <v>1</v>
      </c>
      <c r="H932" s="37">
        <v>80000</v>
      </c>
    </row>
    <row r="933" spans="1:8" x14ac:dyDescent="0.3">
      <c r="A933" s="37" t="s">
        <v>2</v>
      </c>
      <c r="B933" s="38"/>
      <c r="E933" s="37" t="b">
        <v>1</v>
      </c>
      <c r="F933" s="37" t="b">
        <v>0</v>
      </c>
      <c r="G933" s="37">
        <v>0</v>
      </c>
      <c r="H933" s="37" t="b">
        <v>0</v>
      </c>
    </row>
    <row r="934" spans="1:8" x14ac:dyDescent="0.3">
      <c r="A934" s="37" t="s">
        <v>4</v>
      </c>
      <c r="B934" s="38"/>
      <c r="E934" s="37" t="b">
        <v>0</v>
      </c>
      <c r="F934" s="37" t="b">
        <v>0</v>
      </c>
      <c r="G934" s="37">
        <v>0</v>
      </c>
      <c r="H934" s="37" t="b">
        <v>0</v>
      </c>
    </row>
    <row r="935" spans="1:8" x14ac:dyDescent="0.3">
      <c r="A935" s="37" t="s">
        <v>2</v>
      </c>
      <c r="B935" s="38"/>
      <c r="E935" s="37" t="b">
        <v>1</v>
      </c>
      <c r="F935" s="37" t="b">
        <v>0</v>
      </c>
      <c r="G935" s="37">
        <v>0</v>
      </c>
      <c r="H935" s="37" t="b">
        <v>0</v>
      </c>
    </row>
    <row r="936" spans="1:8" x14ac:dyDescent="0.3">
      <c r="A936" s="37" t="s">
        <v>2</v>
      </c>
      <c r="B936" s="38"/>
      <c r="E936" s="37" t="b">
        <v>1</v>
      </c>
      <c r="F936" s="37" t="b">
        <v>0</v>
      </c>
      <c r="G936" s="37">
        <v>0</v>
      </c>
      <c r="H936" s="37" t="b">
        <v>0</v>
      </c>
    </row>
    <row r="937" spans="1:8" x14ac:dyDescent="0.3">
      <c r="A937" s="37" t="s">
        <v>2</v>
      </c>
      <c r="B937" s="38"/>
      <c r="E937" s="37" t="b">
        <v>1</v>
      </c>
      <c r="F937" s="37" t="b">
        <v>0</v>
      </c>
      <c r="G937" s="37">
        <v>0</v>
      </c>
      <c r="H937" s="37" t="b">
        <v>0</v>
      </c>
    </row>
    <row r="938" spans="1:8" x14ac:dyDescent="0.3">
      <c r="A938" s="37" t="s">
        <v>2</v>
      </c>
      <c r="B938" s="38"/>
      <c r="E938" s="37" t="b">
        <v>1</v>
      </c>
      <c r="F938" s="37" t="b">
        <v>0</v>
      </c>
      <c r="G938" s="37">
        <v>0</v>
      </c>
      <c r="H938" s="37" t="b">
        <v>0</v>
      </c>
    </row>
    <row r="939" spans="1:8" x14ac:dyDescent="0.3">
      <c r="A939" s="37" t="s">
        <v>2</v>
      </c>
      <c r="B939" s="38"/>
      <c r="E939" s="37" t="b">
        <v>1</v>
      </c>
      <c r="F939" s="37" t="b">
        <v>0</v>
      </c>
      <c r="G939" s="37">
        <v>0</v>
      </c>
      <c r="H939" s="37" t="b">
        <v>0</v>
      </c>
    </row>
    <row r="940" spans="1:8" x14ac:dyDescent="0.3">
      <c r="A940" s="37" t="s">
        <v>4</v>
      </c>
      <c r="B940" s="38">
        <v>145000</v>
      </c>
      <c r="E940" s="37" t="b">
        <v>0</v>
      </c>
      <c r="F940" s="37" t="b">
        <v>1</v>
      </c>
      <c r="G940" s="37">
        <v>0</v>
      </c>
      <c r="H940" s="37" t="b">
        <v>0</v>
      </c>
    </row>
    <row r="941" spans="1:8" x14ac:dyDescent="0.3">
      <c r="A941" s="37" t="s">
        <v>2</v>
      </c>
      <c r="B941" s="38">
        <v>70000</v>
      </c>
      <c r="E941" s="37" t="b">
        <v>1</v>
      </c>
      <c r="F941" s="37" t="b">
        <v>1</v>
      </c>
      <c r="G941" s="37">
        <v>1</v>
      </c>
      <c r="H941" s="37">
        <v>70000</v>
      </c>
    </row>
    <row r="942" spans="1:8" x14ac:dyDescent="0.3">
      <c r="A942" s="37" t="s">
        <v>2</v>
      </c>
      <c r="B942" s="38">
        <v>110000</v>
      </c>
      <c r="E942" s="37" t="b">
        <v>1</v>
      </c>
      <c r="F942" s="37" t="b">
        <v>1</v>
      </c>
      <c r="G942" s="37">
        <v>1</v>
      </c>
      <c r="H942" s="37">
        <v>110000</v>
      </c>
    </row>
    <row r="943" spans="1:8" x14ac:dyDescent="0.3">
      <c r="A943" s="37" t="s">
        <v>4</v>
      </c>
      <c r="B943" s="38">
        <v>112500</v>
      </c>
      <c r="E943" s="37" t="b">
        <v>0</v>
      </c>
      <c r="F943" s="37" t="b">
        <v>1</v>
      </c>
      <c r="G943" s="37">
        <v>0</v>
      </c>
      <c r="H943" s="37" t="b">
        <v>0</v>
      </c>
    </row>
    <row r="944" spans="1:8" x14ac:dyDescent="0.3">
      <c r="A944" s="37" t="s">
        <v>0</v>
      </c>
      <c r="B944" s="38">
        <v>95000</v>
      </c>
      <c r="E944" s="37" t="b">
        <v>0</v>
      </c>
      <c r="F944" s="37" t="b">
        <v>1</v>
      </c>
      <c r="G944" s="37">
        <v>0</v>
      </c>
      <c r="H944" s="37" t="b">
        <v>0</v>
      </c>
    </row>
    <row r="945" spans="1:8" x14ac:dyDescent="0.3">
      <c r="A945" s="37" t="s">
        <v>0</v>
      </c>
      <c r="B945" s="38">
        <v>145000</v>
      </c>
      <c r="E945" s="37" t="b">
        <v>0</v>
      </c>
      <c r="F945" s="37" t="b">
        <v>1</v>
      </c>
      <c r="G945" s="37">
        <v>0</v>
      </c>
      <c r="H945" s="37" t="b">
        <v>0</v>
      </c>
    </row>
    <row r="946" spans="1:8" x14ac:dyDescent="0.3">
      <c r="A946" s="37" t="s">
        <v>2</v>
      </c>
      <c r="B946" s="38">
        <v>70000</v>
      </c>
      <c r="E946" s="37" t="b">
        <v>1</v>
      </c>
      <c r="F946" s="37" t="b">
        <v>1</v>
      </c>
      <c r="G946" s="37">
        <v>1</v>
      </c>
      <c r="H946" s="37">
        <v>70000</v>
      </c>
    </row>
    <row r="947" spans="1:8" x14ac:dyDescent="0.3">
      <c r="A947" s="37" t="s">
        <v>4</v>
      </c>
      <c r="B947" s="38">
        <v>125000</v>
      </c>
      <c r="E947" s="37" t="b">
        <v>0</v>
      </c>
      <c r="F947" s="37" t="b">
        <v>1</v>
      </c>
      <c r="G947" s="37">
        <v>0</v>
      </c>
      <c r="H947" s="37" t="b">
        <v>0</v>
      </c>
    </row>
    <row r="948" spans="1:8" x14ac:dyDescent="0.3">
      <c r="A948" s="37" t="s">
        <v>52</v>
      </c>
      <c r="B948" s="38">
        <v>130000</v>
      </c>
      <c r="E948" s="37" t="b">
        <v>0</v>
      </c>
      <c r="F948" s="37" t="b">
        <v>1</v>
      </c>
      <c r="G948" s="37">
        <v>0</v>
      </c>
      <c r="H948" s="37" t="b">
        <v>0</v>
      </c>
    </row>
    <row r="949" spans="1:8" x14ac:dyDescent="0.3">
      <c r="A949" s="37" t="s">
        <v>2</v>
      </c>
      <c r="B949" s="38"/>
      <c r="E949" s="37" t="b">
        <v>1</v>
      </c>
      <c r="F949" s="37" t="b">
        <v>0</v>
      </c>
      <c r="G949" s="37">
        <v>0</v>
      </c>
      <c r="H949" s="37" t="b">
        <v>0</v>
      </c>
    </row>
    <row r="950" spans="1:8" x14ac:dyDescent="0.3">
      <c r="A950" s="37" t="s">
        <v>52</v>
      </c>
      <c r="B950" s="38">
        <v>105800</v>
      </c>
      <c r="E950" s="37" t="b">
        <v>0</v>
      </c>
      <c r="F950" s="37" t="b">
        <v>1</v>
      </c>
      <c r="G950" s="37">
        <v>0</v>
      </c>
      <c r="H950" s="37" t="b">
        <v>0</v>
      </c>
    </row>
    <row r="951" spans="1:8" x14ac:dyDescent="0.3">
      <c r="A951" s="37" t="s">
        <v>2</v>
      </c>
      <c r="B951" s="38">
        <v>100000</v>
      </c>
      <c r="E951" s="37" t="b">
        <v>1</v>
      </c>
      <c r="F951" s="37" t="b">
        <v>1</v>
      </c>
      <c r="G951" s="37">
        <v>1</v>
      </c>
      <c r="H951" s="37">
        <v>100000</v>
      </c>
    </row>
    <row r="952" spans="1:8" x14ac:dyDescent="0.3">
      <c r="A952" s="37" t="s">
        <v>2</v>
      </c>
      <c r="B952" s="38">
        <v>65000</v>
      </c>
      <c r="E952" s="37" t="b">
        <v>1</v>
      </c>
      <c r="F952" s="37" t="b">
        <v>1</v>
      </c>
      <c r="G952" s="37">
        <v>1</v>
      </c>
      <c r="H952" s="37">
        <v>65000</v>
      </c>
    </row>
    <row r="953" spans="1:8" x14ac:dyDescent="0.3">
      <c r="A953" s="37" t="s">
        <v>2</v>
      </c>
      <c r="B953" s="38"/>
      <c r="E953" s="37" t="b">
        <v>1</v>
      </c>
      <c r="F953" s="37" t="b">
        <v>0</v>
      </c>
      <c r="G953" s="37">
        <v>0</v>
      </c>
      <c r="H953" s="37" t="b">
        <v>0</v>
      </c>
    </row>
    <row r="954" spans="1:8" x14ac:dyDescent="0.3">
      <c r="A954" s="37" t="s">
        <v>0</v>
      </c>
      <c r="B954" s="38"/>
      <c r="E954" s="37" t="b">
        <v>0</v>
      </c>
      <c r="F954" s="37" t="b">
        <v>0</v>
      </c>
      <c r="G954" s="37">
        <v>0</v>
      </c>
      <c r="H954" s="37" t="b">
        <v>0</v>
      </c>
    </row>
    <row r="955" spans="1:8" x14ac:dyDescent="0.3">
      <c r="A955" s="37" t="s">
        <v>2</v>
      </c>
      <c r="B955" s="38">
        <v>95000</v>
      </c>
      <c r="E955" s="37" t="b">
        <v>1</v>
      </c>
      <c r="F955" s="37" t="b">
        <v>1</v>
      </c>
      <c r="G955" s="37">
        <v>1</v>
      </c>
      <c r="H955" s="37">
        <v>95000</v>
      </c>
    </row>
    <row r="956" spans="1:8" x14ac:dyDescent="0.3">
      <c r="A956" s="37" t="s">
        <v>2</v>
      </c>
      <c r="B956" s="38">
        <v>130000</v>
      </c>
      <c r="E956" s="37" t="b">
        <v>1</v>
      </c>
      <c r="F956" s="37" t="b">
        <v>1</v>
      </c>
      <c r="G956" s="37">
        <v>1</v>
      </c>
      <c r="H956" s="37">
        <v>130000</v>
      </c>
    </row>
    <row r="957" spans="1:8" x14ac:dyDescent="0.3">
      <c r="A957" s="37" t="s">
        <v>2</v>
      </c>
      <c r="B957" s="38">
        <v>77500</v>
      </c>
      <c r="E957" s="37" t="b">
        <v>1</v>
      </c>
      <c r="F957" s="37" t="b">
        <v>1</v>
      </c>
      <c r="G957" s="37">
        <v>1</v>
      </c>
      <c r="H957" s="37">
        <v>77500</v>
      </c>
    </row>
    <row r="958" spans="1:8" x14ac:dyDescent="0.3">
      <c r="A958" s="37" t="s">
        <v>2</v>
      </c>
      <c r="B958" s="38"/>
      <c r="E958" s="37" t="b">
        <v>1</v>
      </c>
      <c r="F958" s="37" t="b">
        <v>0</v>
      </c>
      <c r="G958" s="37">
        <v>0</v>
      </c>
      <c r="H958" s="37" t="b">
        <v>0</v>
      </c>
    </row>
    <row r="959" spans="1:8" x14ac:dyDescent="0.3">
      <c r="A959" s="37" t="s">
        <v>4</v>
      </c>
      <c r="B959" s="38"/>
      <c r="E959" s="37" t="b">
        <v>0</v>
      </c>
      <c r="F959" s="37" t="b">
        <v>0</v>
      </c>
      <c r="G959" s="37">
        <v>0</v>
      </c>
      <c r="H959" s="37" t="b">
        <v>0</v>
      </c>
    </row>
    <row r="960" spans="1:8" x14ac:dyDescent="0.3">
      <c r="A960" s="37" t="s">
        <v>2</v>
      </c>
      <c r="B960" s="38"/>
      <c r="E960" s="37" t="b">
        <v>1</v>
      </c>
      <c r="F960" s="37" t="b">
        <v>0</v>
      </c>
      <c r="G960" s="37">
        <v>0</v>
      </c>
      <c r="H960" s="37" t="b">
        <v>0</v>
      </c>
    </row>
    <row r="961" spans="1:8" x14ac:dyDescent="0.3">
      <c r="A961" s="37" t="s">
        <v>2</v>
      </c>
      <c r="B961" s="38"/>
      <c r="E961" s="37" t="b">
        <v>1</v>
      </c>
      <c r="F961" s="37" t="b">
        <v>0</v>
      </c>
      <c r="G961" s="37">
        <v>0</v>
      </c>
      <c r="H961" s="37" t="b">
        <v>0</v>
      </c>
    </row>
    <row r="962" spans="1:8" x14ac:dyDescent="0.3">
      <c r="A962" s="37" t="s">
        <v>0</v>
      </c>
      <c r="B962" s="38">
        <v>130000</v>
      </c>
      <c r="E962" s="37" t="b">
        <v>0</v>
      </c>
      <c r="F962" s="37" t="b">
        <v>1</v>
      </c>
      <c r="G962" s="37">
        <v>0</v>
      </c>
      <c r="H962" s="37" t="b">
        <v>0</v>
      </c>
    </row>
    <row r="963" spans="1:8" x14ac:dyDescent="0.3">
      <c r="A963" s="37" t="s">
        <v>2</v>
      </c>
      <c r="B963" s="38"/>
      <c r="E963" s="37" t="b">
        <v>1</v>
      </c>
      <c r="F963" s="37" t="b">
        <v>0</v>
      </c>
      <c r="G963" s="37">
        <v>0</v>
      </c>
      <c r="H963" s="37" t="b">
        <v>0</v>
      </c>
    </row>
    <row r="964" spans="1:8" x14ac:dyDescent="0.3">
      <c r="A964" s="37" t="s">
        <v>0</v>
      </c>
      <c r="B964" s="38"/>
      <c r="E964" s="37" t="b">
        <v>0</v>
      </c>
      <c r="F964" s="37" t="b">
        <v>0</v>
      </c>
      <c r="G964" s="37">
        <v>0</v>
      </c>
      <c r="H964" s="37" t="b">
        <v>0</v>
      </c>
    </row>
    <row r="965" spans="1:8" x14ac:dyDescent="0.3">
      <c r="A965" s="37" t="s">
        <v>2</v>
      </c>
      <c r="B965" s="38"/>
      <c r="E965" s="37" t="b">
        <v>1</v>
      </c>
      <c r="F965" s="37" t="b">
        <v>0</v>
      </c>
      <c r="G965" s="37">
        <v>0</v>
      </c>
      <c r="H965" s="37" t="b">
        <v>0</v>
      </c>
    </row>
    <row r="966" spans="1:8" x14ac:dyDescent="0.3">
      <c r="A966" s="37" t="s">
        <v>125</v>
      </c>
      <c r="B966" s="38"/>
      <c r="E966" s="37" t="b">
        <v>0</v>
      </c>
      <c r="F966" s="37" t="b">
        <v>0</v>
      </c>
      <c r="G966" s="37">
        <v>0</v>
      </c>
      <c r="H966" s="37" t="b">
        <v>0</v>
      </c>
    </row>
    <row r="967" spans="1:8" x14ac:dyDescent="0.3">
      <c r="A967" s="37" t="s">
        <v>0</v>
      </c>
      <c r="B967" s="38"/>
      <c r="E967" s="37" t="b">
        <v>0</v>
      </c>
      <c r="F967" s="37" t="b">
        <v>0</v>
      </c>
      <c r="G967" s="37">
        <v>0</v>
      </c>
      <c r="H967" s="37" t="b">
        <v>0</v>
      </c>
    </row>
    <row r="968" spans="1:8" x14ac:dyDescent="0.3">
      <c r="A968" s="37" t="s">
        <v>2</v>
      </c>
      <c r="B968" s="38"/>
      <c r="E968" s="37" t="b">
        <v>1</v>
      </c>
      <c r="F968" s="37" t="b">
        <v>0</v>
      </c>
      <c r="G968" s="37">
        <v>0</v>
      </c>
      <c r="H968" s="37" t="b">
        <v>0</v>
      </c>
    </row>
    <row r="969" spans="1:8" x14ac:dyDescent="0.3">
      <c r="A969" s="37" t="s">
        <v>4</v>
      </c>
      <c r="B969" s="38"/>
      <c r="E969" s="37" t="b">
        <v>0</v>
      </c>
      <c r="F969" s="37" t="b">
        <v>0</v>
      </c>
      <c r="G969" s="37">
        <v>0</v>
      </c>
      <c r="H969" s="37" t="b">
        <v>0</v>
      </c>
    </row>
    <row r="970" spans="1:8" x14ac:dyDescent="0.3">
      <c r="A970" s="37" t="s">
        <v>2</v>
      </c>
      <c r="B970" s="38"/>
      <c r="E970" s="37" t="b">
        <v>1</v>
      </c>
      <c r="F970" s="37" t="b">
        <v>0</v>
      </c>
      <c r="G970" s="37">
        <v>0</v>
      </c>
      <c r="H970" s="37" t="b">
        <v>0</v>
      </c>
    </row>
    <row r="971" spans="1:8" x14ac:dyDescent="0.3">
      <c r="A971" s="37" t="s">
        <v>4</v>
      </c>
      <c r="B971" s="38">
        <v>90000</v>
      </c>
      <c r="E971" s="37" t="b">
        <v>0</v>
      </c>
      <c r="F971" s="37" t="b">
        <v>1</v>
      </c>
      <c r="G971" s="37">
        <v>0</v>
      </c>
      <c r="H971" s="37" t="b">
        <v>0</v>
      </c>
    </row>
    <row r="972" spans="1:8" x14ac:dyDescent="0.3">
      <c r="A972" s="37" t="s">
        <v>4</v>
      </c>
      <c r="B972" s="38">
        <v>90000</v>
      </c>
      <c r="E972" s="37" t="b">
        <v>0</v>
      </c>
      <c r="F972" s="37" t="b">
        <v>1</v>
      </c>
      <c r="G972" s="37">
        <v>0</v>
      </c>
      <c r="H972" s="37" t="b">
        <v>0</v>
      </c>
    </row>
    <row r="973" spans="1:8" x14ac:dyDescent="0.3">
      <c r="A973" s="37" t="s">
        <v>4</v>
      </c>
      <c r="B973" s="38"/>
      <c r="E973" s="37" t="b">
        <v>0</v>
      </c>
      <c r="F973" s="37" t="b">
        <v>0</v>
      </c>
      <c r="G973" s="37">
        <v>0</v>
      </c>
      <c r="H973" s="37" t="b">
        <v>0</v>
      </c>
    </row>
    <row r="974" spans="1:8" x14ac:dyDescent="0.3">
      <c r="A974" s="37" t="s">
        <v>4</v>
      </c>
      <c r="B974" s="38">
        <v>87500</v>
      </c>
      <c r="E974" s="37" t="b">
        <v>0</v>
      </c>
      <c r="F974" s="37" t="b">
        <v>1</v>
      </c>
      <c r="G974" s="37">
        <v>0</v>
      </c>
      <c r="H974" s="37" t="b">
        <v>0</v>
      </c>
    </row>
    <row r="975" spans="1:8" x14ac:dyDescent="0.3">
      <c r="A975" s="37" t="s">
        <v>125</v>
      </c>
      <c r="B975" s="38"/>
      <c r="E975" s="37" t="b">
        <v>0</v>
      </c>
      <c r="F975" s="37" t="b">
        <v>0</v>
      </c>
      <c r="G975" s="37">
        <v>0</v>
      </c>
      <c r="H975" s="37" t="b">
        <v>0</v>
      </c>
    </row>
    <row r="976" spans="1:8" x14ac:dyDescent="0.3">
      <c r="A976" s="37" t="s">
        <v>0</v>
      </c>
      <c r="B976" s="38">
        <v>70000</v>
      </c>
      <c r="E976" s="37" t="b">
        <v>0</v>
      </c>
      <c r="F976" s="37" t="b">
        <v>1</v>
      </c>
      <c r="G976" s="37">
        <v>0</v>
      </c>
      <c r="H976" s="37" t="b">
        <v>0</v>
      </c>
    </row>
    <row r="977" spans="1:8" x14ac:dyDescent="0.3">
      <c r="A977" s="37" t="s">
        <v>2</v>
      </c>
      <c r="B977" s="38"/>
      <c r="E977" s="37" t="b">
        <v>1</v>
      </c>
      <c r="F977" s="37" t="b">
        <v>0</v>
      </c>
      <c r="G977" s="37">
        <v>0</v>
      </c>
      <c r="H977" s="37" t="b">
        <v>0</v>
      </c>
    </row>
    <row r="978" spans="1:8" x14ac:dyDescent="0.3">
      <c r="A978" s="37" t="s">
        <v>2</v>
      </c>
      <c r="B978" s="38">
        <v>114500</v>
      </c>
      <c r="E978" s="37" t="b">
        <v>1</v>
      </c>
      <c r="F978" s="37" t="b">
        <v>1</v>
      </c>
      <c r="G978" s="37">
        <v>1</v>
      </c>
      <c r="H978" s="37">
        <v>114500</v>
      </c>
    </row>
    <row r="979" spans="1:8" x14ac:dyDescent="0.3">
      <c r="A979" s="37" t="s">
        <v>0</v>
      </c>
      <c r="B979" s="38">
        <v>35000</v>
      </c>
      <c r="E979" s="37" t="b">
        <v>0</v>
      </c>
      <c r="F979" s="37" t="b">
        <v>1</v>
      </c>
      <c r="G979" s="37">
        <v>0</v>
      </c>
      <c r="H979" s="37" t="b">
        <v>0</v>
      </c>
    </row>
    <row r="980" spans="1:8" x14ac:dyDescent="0.3">
      <c r="A980" s="37" t="s">
        <v>2</v>
      </c>
      <c r="B980" s="38"/>
      <c r="E980" s="37" t="b">
        <v>1</v>
      </c>
      <c r="F980" s="37" t="b">
        <v>0</v>
      </c>
      <c r="G980" s="37">
        <v>0</v>
      </c>
      <c r="H980" s="37" t="b">
        <v>0</v>
      </c>
    </row>
    <row r="981" spans="1:8" x14ac:dyDescent="0.3">
      <c r="A981" s="37" t="s">
        <v>2</v>
      </c>
      <c r="B981" s="38"/>
      <c r="E981" s="37" t="b">
        <v>1</v>
      </c>
      <c r="F981" s="37" t="b">
        <v>0</v>
      </c>
      <c r="G981" s="37">
        <v>0</v>
      </c>
      <c r="H981" s="37" t="b">
        <v>0</v>
      </c>
    </row>
    <row r="982" spans="1:8" x14ac:dyDescent="0.3">
      <c r="A982" s="37" t="s">
        <v>2</v>
      </c>
      <c r="B982" s="38"/>
      <c r="E982" s="37" t="b">
        <v>1</v>
      </c>
      <c r="F982" s="37" t="b">
        <v>0</v>
      </c>
      <c r="G982" s="37">
        <v>0</v>
      </c>
      <c r="H982" s="37" t="b">
        <v>0</v>
      </c>
    </row>
    <row r="983" spans="1:8" x14ac:dyDescent="0.3">
      <c r="A983" s="37" t="s">
        <v>0</v>
      </c>
      <c r="B983" s="38"/>
      <c r="E983" s="37" t="b">
        <v>0</v>
      </c>
      <c r="F983" s="37" t="b">
        <v>0</v>
      </c>
      <c r="G983" s="37">
        <v>0</v>
      </c>
      <c r="H983" s="37" t="b">
        <v>0</v>
      </c>
    </row>
    <row r="984" spans="1:8" x14ac:dyDescent="0.3">
      <c r="A984" s="37" t="s">
        <v>0</v>
      </c>
      <c r="B984" s="38">
        <v>90000</v>
      </c>
      <c r="E984" s="37" t="b">
        <v>0</v>
      </c>
      <c r="F984" s="37" t="b">
        <v>1</v>
      </c>
      <c r="G984" s="37">
        <v>0</v>
      </c>
      <c r="H984" s="37" t="b">
        <v>0</v>
      </c>
    </row>
    <row r="985" spans="1:8" x14ac:dyDescent="0.3">
      <c r="A985" s="37" t="s">
        <v>2</v>
      </c>
      <c r="B985" s="38">
        <v>90000</v>
      </c>
      <c r="E985" s="37" t="b">
        <v>1</v>
      </c>
      <c r="F985" s="37" t="b">
        <v>1</v>
      </c>
      <c r="G985" s="37">
        <v>1</v>
      </c>
      <c r="H985" s="37">
        <v>90000</v>
      </c>
    </row>
    <row r="986" spans="1:8" x14ac:dyDescent="0.3">
      <c r="A986" s="37" t="s">
        <v>0</v>
      </c>
      <c r="B986" s="38">
        <v>120000</v>
      </c>
      <c r="E986" s="37" t="b">
        <v>0</v>
      </c>
      <c r="F986" s="37" t="b">
        <v>1</v>
      </c>
      <c r="G986" s="37">
        <v>0</v>
      </c>
      <c r="H986" s="37" t="b">
        <v>0</v>
      </c>
    </row>
    <row r="987" spans="1:8" x14ac:dyDescent="0.3">
      <c r="A987" s="37" t="s">
        <v>2</v>
      </c>
      <c r="B987" s="38"/>
      <c r="E987" s="37" t="b">
        <v>1</v>
      </c>
      <c r="F987" s="37" t="b">
        <v>0</v>
      </c>
      <c r="G987" s="37">
        <v>0</v>
      </c>
      <c r="H987" s="37" t="b">
        <v>0</v>
      </c>
    </row>
    <row r="988" spans="1:8" x14ac:dyDescent="0.3">
      <c r="A988" s="37" t="s">
        <v>0</v>
      </c>
      <c r="B988" s="38">
        <v>150000</v>
      </c>
      <c r="E988" s="37" t="b">
        <v>0</v>
      </c>
      <c r="F988" s="37" t="b">
        <v>1</v>
      </c>
      <c r="G988" s="37">
        <v>0</v>
      </c>
      <c r="H988" s="37" t="b">
        <v>0</v>
      </c>
    </row>
    <row r="989" spans="1:8" x14ac:dyDescent="0.3">
      <c r="A989" s="37" t="s">
        <v>0</v>
      </c>
      <c r="B989" s="38"/>
      <c r="E989" s="37" t="b">
        <v>0</v>
      </c>
      <c r="F989" s="37" t="b">
        <v>0</v>
      </c>
      <c r="G989" s="37">
        <v>0</v>
      </c>
      <c r="H989" s="37" t="b">
        <v>0</v>
      </c>
    </row>
    <row r="990" spans="1:8" x14ac:dyDescent="0.3">
      <c r="A990" s="37" t="s">
        <v>0</v>
      </c>
      <c r="B990" s="38">
        <v>90000</v>
      </c>
      <c r="E990" s="37" t="b">
        <v>0</v>
      </c>
      <c r="F990" s="37" t="b">
        <v>1</v>
      </c>
      <c r="G990" s="37">
        <v>0</v>
      </c>
      <c r="H990" s="37" t="b">
        <v>0</v>
      </c>
    </row>
    <row r="991" spans="1:8" x14ac:dyDescent="0.3">
      <c r="A991" s="37" t="s">
        <v>2</v>
      </c>
      <c r="B991" s="38">
        <v>70000</v>
      </c>
      <c r="E991" s="37" t="b">
        <v>1</v>
      </c>
      <c r="F991" s="37" t="b">
        <v>1</v>
      </c>
      <c r="G991" s="37">
        <v>1</v>
      </c>
      <c r="H991" s="37">
        <v>70000</v>
      </c>
    </row>
    <row r="992" spans="1:8" x14ac:dyDescent="0.3">
      <c r="A992" s="37" t="s">
        <v>2</v>
      </c>
      <c r="B992" s="38"/>
      <c r="E992" s="37" t="b">
        <v>1</v>
      </c>
      <c r="F992" s="37" t="b">
        <v>0</v>
      </c>
      <c r="G992" s="37">
        <v>0</v>
      </c>
      <c r="H992" s="37" t="b">
        <v>0</v>
      </c>
    </row>
    <row r="993" spans="1:8" x14ac:dyDescent="0.3">
      <c r="A993" s="37" t="s">
        <v>2</v>
      </c>
      <c r="B993" s="38"/>
      <c r="E993" s="37" t="b">
        <v>1</v>
      </c>
      <c r="F993" s="37" t="b">
        <v>0</v>
      </c>
      <c r="G993" s="37">
        <v>0</v>
      </c>
      <c r="H993" s="37" t="b">
        <v>0</v>
      </c>
    </row>
    <row r="994" spans="1:8" x14ac:dyDescent="0.3">
      <c r="A994" s="37" t="s">
        <v>2</v>
      </c>
      <c r="B994" s="38"/>
      <c r="E994" s="37" t="b">
        <v>1</v>
      </c>
      <c r="F994" s="37" t="b">
        <v>0</v>
      </c>
      <c r="G994" s="37">
        <v>0</v>
      </c>
      <c r="H994" s="37" t="b">
        <v>0</v>
      </c>
    </row>
    <row r="995" spans="1:8" x14ac:dyDescent="0.3">
      <c r="A995" s="37" t="s">
        <v>4</v>
      </c>
      <c r="B995" s="38">
        <v>90000</v>
      </c>
      <c r="E995" s="37" t="b">
        <v>0</v>
      </c>
      <c r="F995" s="37" t="b">
        <v>1</v>
      </c>
      <c r="G995" s="37">
        <v>0</v>
      </c>
      <c r="H995" s="37" t="b">
        <v>0</v>
      </c>
    </row>
    <row r="996" spans="1:8" x14ac:dyDescent="0.3">
      <c r="A996" s="37" t="s">
        <v>0</v>
      </c>
      <c r="B996" s="38"/>
      <c r="E996" s="37" t="b">
        <v>0</v>
      </c>
      <c r="F996" s="37" t="b">
        <v>0</v>
      </c>
      <c r="G996" s="37">
        <v>0</v>
      </c>
      <c r="H996" s="37" t="b">
        <v>0</v>
      </c>
    </row>
    <row r="997" spans="1:8" x14ac:dyDescent="0.3">
      <c r="A997" s="37" t="s">
        <v>2</v>
      </c>
      <c r="B997" s="38">
        <v>70000</v>
      </c>
      <c r="E997" s="37" t="b">
        <v>1</v>
      </c>
      <c r="F997" s="37" t="b">
        <v>1</v>
      </c>
      <c r="G997" s="37">
        <v>1</v>
      </c>
      <c r="H997" s="37">
        <v>70000</v>
      </c>
    </row>
    <row r="998" spans="1:8" x14ac:dyDescent="0.3">
      <c r="A998" s="37" t="s">
        <v>2</v>
      </c>
      <c r="B998" s="38">
        <v>37500</v>
      </c>
      <c r="E998" s="37" t="b">
        <v>1</v>
      </c>
      <c r="F998" s="37" t="b">
        <v>1</v>
      </c>
      <c r="G998" s="37">
        <v>1</v>
      </c>
      <c r="H998" s="37">
        <v>37500</v>
      </c>
    </row>
    <row r="999" spans="1:8" x14ac:dyDescent="0.3">
      <c r="A999" s="37" t="s">
        <v>2</v>
      </c>
      <c r="B999" s="38"/>
      <c r="E999" s="37" t="b">
        <v>1</v>
      </c>
      <c r="F999" s="37" t="b">
        <v>0</v>
      </c>
      <c r="G999" s="37">
        <v>0</v>
      </c>
      <c r="H999" s="37" t="b">
        <v>0</v>
      </c>
    </row>
    <row r="1000" spans="1:8" x14ac:dyDescent="0.3">
      <c r="A1000" s="37" t="s">
        <v>2</v>
      </c>
      <c r="B1000" s="38"/>
      <c r="E1000" s="37" t="b">
        <v>1</v>
      </c>
      <c r="F1000" s="37" t="b">
        <v>0</v>
      </c>
      <c r="G1000" s="37">
        <v>0</v>
      </c>
      <c r="H1000" s="37" t="b">
        <v>0</v>
      </c>
    </row>
    <row r="1001" spans="1:8" x14ac:dyDescent="0.3">
      <c r="A1001" s="37" t="s">
        <v>4</v>
      </c>
      <c r="B1001" s="38"/>
      <c r="E1001" s="37" t="b">
        <v>0</v>
      </c>
      <c r="F1001" s="37" t="b">
        <v>0</v>
      </c>
      <c r="G1001" s="37">
        <v>0</v>
      </c>
      <c r="H1001" s="37" t="b">
        <v>0</v>
      </c>
    </row>
    <row r="1002" spans="1:8" x14ac:dyDescent="0.3">
      <c r="A1002" s="37" t="s">
        <v>4</v>
      </c>
      <c r="B1002" s="38"/>
      <c r="E1002" s="37" t="b">
        <v>0</v>
      </c>
      <c r="F1002" s="37" t="b">
        <v>0</v>
      </c>
      <c r="G1002" s="37">
        <v>0</v>
      </c>
      <c r="H1002" s="37" t="b">
        <v>0</v>
      </c>
    </row>
    <row r="1003" spans="1:8" x14ac:dyDescent="0.3">
      <c r="A1003" s="37" t="s">
        <v>4</v>
      </c>
      <c r="B1003" s="38">
        <v>215000</v>
      </c>
      <c r="E1003" s="37" t="b">
        <v>0</v>
      </c>
      <c r="F1003" s="37" t="b">
        <v>1</v>
      </c>
      <c r="G1003" s="37">
        <v>0</v>
      </c>
      <c r="H1003" s="37" t="b">
        <v>0</v>
      </c>
    </row>
    <row r="1004" spans="1:8" x14ac:dyDescent="0.3">
      <c r="A1004" s="37" t="s">
        <v>2</v>
      </c>
      <c r="B1004" s="38"/>
      <c r="E1004" s="37" t="b">
        <v>1</v>
      </c>
      <c r="F1004" s="37" t="b">
        <v>0</v>
      </c>
      <c r="G1004" s="37">
        <v>0</v>
      </c>
      <c r="H1004" s="37" t="b">
        <v>0</v>
      </c>
    </row>
    <row r="1005" spans="1:8" x14ac:dyDescent="0.3">
      <c r="A1005" s="37" t="s">
        <v>4</v>
      </c>
      <c r="B1005" s="38"/>
      <c r="E1005" s="37" t="b">
        <v>0</v>
      </c>
      <c r="F1005" s="37" t="b">
        <v>0</v>
      </c>
      <c r="G1005" s="37">
        <v>0</v>
      </c>
      <c r="H1005" s="37" t="b">
        <v>0</v>
      </c>
    </row>
    <row r="1006" spans="1:8" x14ac:dyDescent="0.3">
      <c r="A1006" s="37" t="s">
        <v>2</v>
      </c>
      <c r="B1006" s="38"/>
      <c r="E1006" s="37" t="b">
        <v>1</v>
      </c>
      <c r="F1006" s="37" t="b">
        <v>0</v>
      </c>
      <c r="G1006" s="37">
        <v>0</v>
      </c>
      <c r="H1006" s="37" t="b">
        <v>0</v>
      </c>
    </row>
    <row r="1007" spans="1:8" x14ac:dyDescent="0.3">
      <c r="A1007" s="37" t="s">
        <v>4</v>
      </c>
      <c r="B1007" s="38">
        <v>165000</v>
      </c>
      <c r="E1007" s="37" t="b">
        <v>0</v>
      </c>
      <c r="F1007" s="37" t="b">
        <v>1</v>
      </c>
      <c r="G1007" s="37">
        <v>0</v>
      </c>
      <c r="H1007" s="37" t="b">
        <v>0</v>
      </c>
    </row>
    <row r="1008" spans="1:8" x14ac:dyDescent="0.3">
      <c r="A1008" s="37" t="s">
        <v>0</v>
      </c>
      <c r="B1008" s="38">
        <v>145000</v>
      </c>
      <c r="E1008" s="37" t="b">
        <v>0</v>
      </c>
      <c r="F1008" s="37" t="b">
        <v>1</v>
      </c>
      <c r="G1008" s="37">
        <v>0</v>
      </c>
      <c r="H1008" s="37" t="b">
        <v>0</v>
      </c>
    </row>
    <row r="1009" spans="1:8" x14ac:dyDescent="0.3">
      <c r="A1009" s="37" t="s">
        <v>4</v>
      </c>
      <c r="B1009" s="38">
        <v>169000</v>
      </c>
      <c r="E1009" s="37" t="b">
        <v>0</v>
      </c>
      <c r="F1009" s="37" t="b">
        <v>1</v>
      </c>
      <c r="G1009" s="37">
        <v>0</v>
      </c>
      <c r="H1009" s="37" t="b">
        <v>0</v>
      </c>
    </row>
    <row r="1010" spans="1:8" x14ac:dyDescent="0.3">
      <c r="A1010" s="37" t="s">
        <v>125</v>
      </c>
      <c r="B1010" s="38">
        <v>100000</v>
      </c>
      <c r="E1010" s="37" t="b">
        <v>0</v>
      </c>
      <c r="F1010" s="37" t="b">
        <v>1</v>
      </c>
      <c r="G1010" s="37">
        <v>0</v>
      </c>
      <c r="H1010" s="37" t="b">
        <v>0</v>
      </c>
    </row>
    <row r="1011" spans="1:8" x14ac:dyDescent="0.3">
      <c r="A1011" s="37" t="s">
        <v>2</v>
      </c>
      <c r="B1011" s="38"/>
      <c r="E1011" s="37" t="b">
        <v>1</v>
      </c>
      <c r="F1011" s="37" t="b">
        <v>0</v>
      </c>
      <c r="G1011" s="37">
        <v>0</v>
      </c>
      <c r="H1011" s="37" t="b">
        <v>0</v>
      </c>
    </row>
    <row r="1012" spans="1:8" x14ac:dyDescent="0.3">
      <c r="A1012" s="37" t="s">
        <v>4</v>
      </c>
      <c r="B1012" s="38">
        <v>110000</v>
      </c>
      <c r="E1012" s="37" t="b">
        <v>0</v>
      </c>
      <c r="F1012" s="37" t="b">
        <v>1</v>
      </c>
      <c r="G1012" s="37">
        <v>0</v>
      </c>
      <c r="H1012" s="37" t="b">
        <v>0</v>
      </c>
    </row>
    <row r="1013" spans="1:8" x14ac:dyDescent="0.3">
      <c r="A1013" s="37" t="s">
        <v>0</v>
      </c>
      <c r="B1013" s="38">
        <v>122500</v>
      </c>
      <c r="E1013" s="37" t="b">
        <v>0</v>
      </c>
      <c r="F1013" s="37" t="b">
        <v>1</v>
      </c>
      <c r="G1013" s="37">
        <v>0</v>
      </c>
      <c r="H1013" s="37" t="b">
        <v>0</v>
      </c>
    </row>
    <row r="1014" spans="1:8" x14ac:dyDescent="0.3">
      <c r="A1014" s="37" t="s">
        <v>2</v>
      </c>
      <c r="B1014" s="38">
        <v>115775</v>
      </c>
      <c r="E1014" s="37" t="b">
        <v>1</v>
      </c>
      <c r="F1014" s="37" t="b">
        <v>1</v>
      </c>
      <c r="G1014" s="37">
        <v>1</v>
      </c>
      <c r="H1014" s="37">
        <v>115775</v>
      </c>
    </row>
    <row r="1015" spans="1:8" x14ac:dyDescent="0.3">
      <c r="A1015" s="37" t="s">
        <v>2</v>
      </c>
      <c r="B1015" s="38"/>
      <c r="E1015" s="37" t="b">
        <v>1</v>
      </c>
      <c r="F1015" s="37" t="b">
        <v>0</v>
      </c>
      <c r="G1015" s="37">
        <v>0</v>
      </c>
      <c r="H1015" s="37" t="b">
        <v>0</v>
      </c>
    </row>
    <row r="1016" spans="1:8" x14ac:dyDescent="0.3">
      <c r="A1016" s="37" t="s">
        <v>2</v>
      </c>
      <c r="B1016" s="38"/>
      <c r="E1016" s="37" t="b">
        <v>1</v>
      </c>
      <c r="F1016" s="37" t="b">
        <v>0</v>
      </c>
      <c r="G1016" s="37">
        <v>0</v>
      </c>
      <c r="H1016" s="37" t="b">
        <v>0</v>
      </c>
    </row>
    <row r="1017" spans="1:8" x14ac:dyDescent="0.3">
      <c r="A1017" s="37" t="s">
        <v>2</v>
      </c>
      <c r="B1017" s="38">
        <v>85000</v>
      </c>
      <c r="E1017" s="37" t="b">
        <v>1</v>
      </c>
      <c r="F1017" s="37" t="b">
        <v>1</v>
      </c>
      <c r="G1017" s="37">
        <v>1</v>
      </c>
      <c r="H1017" s="37">
        <v>85000</v>
      </c>
    </row>
    <row r="1018" spans="1:8" x14ac:dyDescent="0.3">
      <c r="A1018" s="37" t="s">
        <v>52</v>
      </c>
      <c r="B1018" s="38">
        <v>70000</v>
      </c>
      <c r="E1018" s="37" t="b">
        <v>0</v>
      </c>
      <c r="F1018" s="37" t="b">
        <v>1</v>
      </c>
      <c r="G1018" s="37">
        <v>0</v>
      </c>
      <c r="H1018" s="37" t="b">
        <v>0</v>
      </c>
    </row>
    <row r="1019" spans="1:8" x14ac:dyDescent="0.3">
      <c r="A1019" s="37" t="s">
        <v>129</v>
      </c>
      <c r="B1019" s="38"/>
      <c r="E1019" s="37" t="b">
        <v>0</v>
      </c>
      <c r="F1019" s="37" t="b">
        <v>0</v>
      </c>
      <c r="G1019" s="37">
        <v>0</v>
      </c>
      <c r="H1019" s="37" t="b">
        <v>0</v>
      </c>
    </row>
    <row r="1020" spans="1:8" x14ac:dyDescent="0.3">
      <c r="A1020" s="37" t="s">
        <v>2</v>
      </c>
      <c r="B1020" s="38"/>
      <c r="E1020" s="37" t="b">
        <v>1</v>
      </c>
      <c r="F1020" s="37" t="b">
        <v>0</v>
      </c>
      <c r="G1020" s="37">
        <v>0</v>
      </c>
      <c r="H1020" s="37" t="b">
        <v>0</v>
      </c>
    </row>
    <row r="1021" spans="1:8" x14ac:dyDescent="0.3">
      <c r="A1021" s="37" t="s">
        <v>0</v>
      </c>
      <c r="B1021" s="38">
        <v>92671.25</v>
      </c>
      <c r="E1021" s="37" t="b">
        <v>0</v>
      </c>
      <c r="F1021" s="37" t="b">
        <v>1</v>
      </c>
      <c r="G1021" s="37">
        <v>0</v>
      </c>
      <c r="H1021" s="37" t="b">
        <v>0</v>
      </c>
    </row>
    <row r="1022" spans="1:8" x14ac:dyDescent="0.3">
      <c r="A1022" s="37" t="s">
        <v>0</v>
      </c>
      <c r="B1022" s="38">
        <v>136000</v>
      </c>
      <c r="E1022" s="37" t="b">
        <v>0</v>
      </c>
      <c r="F1022" s="37" t="b">
        <v>1</v>
      </c>
      <c r="G1022" s="37">
        <v>0</v>
      </c>
      <c r="H1022" s="37" t="b">
        <v>0</v>
      </c>
    </row>
    <row r="1023" spans="1:8" x14ac:dyDescent="0.3">
      <c r="A1023" s="37" t="s">
        <v>129</v>
      </c>
      <c r="B1023" s="38">
        <v>145000</v>
      </c>
      <c r="E1023" s="37" t="b">
        <v>0</v>
      </c>
      <c r="F1023" s="37" t="b">
        <v>1</v>
      </c>
      <c r="G1023" s="37">
        <v>0</v>
      </c>
      <c r="H1023" s="37" t="b">
        <v>0</v>
      </c>
    </row>
    <row r="1024" spans="1:8" x14ac:dyDescent="0.3">
      <c r="A1024" s="37" t="s">
        <v>0</v>
      </c>
      <c r="B1024" s="38">
        <v>143910.5</v>
      </c>
      <c r="E1024" s="37" t="b">
        <v>0</v>
      </c>
      <c r="F1024" s="37" t="b">
        <v>1</v>
      </c>
      <c r="G1024" s="37">
        <v>0</v>
      </c>
      <c r="H1024" s="37" t="b">
        <v>0</v>
      </c>
    </row>
    <row r="1025" spans="1:8" x14ac:dyDescent="0.3">
      <c r="A1025" s="37" t="s">
        <v>128</v>
      </c>
      <c r="B1025" s="38"/>
      <c r="E1025" s="37" t="b">
        <v>0</v>
      </c>
      <c r="F1025" s="37" t="b">
        <v>0</v>
      </c>
      <c r="G1025" s="37">
        <v>0</v>
      </c>
      <c r="H1025" s="37" t="b">
        <v>0</v>
      </c>
    </row>
    <row r="1026" spans="1:8" x14ac:dyDescent="0.3">
      <c r="A1026" s="37" t="s">
        <v>4</v>
      </c>
      <c r="B1026" s="38">
        <v>65000</v>
      </c>
      <c r="E1026" s="37" t="b">
        <v>0</v>
      </c>
      <c r="F1026" s="37" t="b">
        <v>1</v>
      </c>
      <c r="G1026" s="37">
        <v>0</v>
      </c>
      <c r="H1026" s="37" t="b">
        <v>0</v>
      </c>
    </row>
    <row r="1027" spans="1:8" x14ac:dyDescent="0.3">
      <c r="A1027" s="37" t="s">
        <v>0</v>
      </c>
      <c r="B1027" s="38">
        <v>255000</v>
      </c>
      <c r="E1027" s="37" t="b">
        <v>0</v>
      </c>
      <c r="F1027" s="37" t="b">
        <v>1</v>
      </c>
      <c r="G1027" s="37">
        <v>0</v>
      </c>
      <c r="H1027" s="37" t="b">
        <v>0</v>
      </c>
    </row>
    <row r="1028" spans="1:8" x14ac:dyDescent="0.3">
      <c r="A1028" s="37" t="s">
        <v>4</v>
      </c>
      <c r="B1028" s="38">
        <v>120000</v>
      </c>
      <c r="E1028" s="37" t="b">
        <v>0</v>
      </c>
      <c r="F1028" s="37" t="b">
        <v>1</v>
      </c>
      <c r="G1028" s="37">
        <v>0</v>
      </c>
      <c r="H1028" s="37" t="b">
        <v>0</v>
      </c>
    </row>
    <row r="1029" spans="1:8" x14ac:dyDescent="0.3">
      <c r="A1029" s="37" t="s">
        <v>4</v>
      </c>
      <c r="B1029" s="38">
        <v>245000</v>
      </c>
      <c r="E1029" s="37" t="b">
        <v>0</v>
      </c>
      <c r="F1029" s="37" t="b">
        <v>1</v>
      </c>
      <c r="G1029" s="37">
        <v>0</v>
      </c>
      <c r="H1029" s="37" t="b">
        <v>0</v>
      </c>
    </row>
    <row r="1030" spans="1:8" x14ac:dyDescent="0.3">
      <c r="A1030" s="37" t="s">
        <v>4</v>
      </c>
      <c r="B1030" s="38">
        <v>190000</v>
      </c>
      <c r="E1030" s="37" t="b">
        <v>0</v>
      </c>
      <c r="F1030" s="37" t="b">
        <v>1</v>
      </c>
      <c r="G1030" s="37">
        <v>0</v>
      </c>
      <c r="H1030" s="37" t="b">
        <v>0</v>
      </c>
    </row>
    <row r="1031" spans="1:8" x14ac:dyDescent="0.3">
      <c r="A1031" s="37" t="s">
        <v>128</v>
      </c>
      <c r="B1031" s="38">
        <v>185000</v>
      </c>
      <c r="E1031" s="37" t="b">
        <v>0</v>
      </c>
      <c r="F1031" s="37" t="b">
        <v>1</v>
      </c>
      <c r="G1031" s="37">
        <v>0</v>
      </c>
      <c r="H1031" s="37" t="b">
        <v>0</v>
      </c>
    </row>
    <row r="1032" spans="1:8" x14ac:dyDescent="0.3">
      <c r="A1032" s="37" t="s">
        <v>4</v>
      </c>
      <c r="B1032" s="38">
        <v>114500</v>
      </c>
      <c r="E1032" s="37" t="b">
        <v>0</v>
      </c>
      <c r="F1032" s="37" t="b">
        <v>1</v>
      </c>
      <c r="G1032" s="37">
        <v>0</v>
      </c>
      <c r="H1032" s="37" t="b">
        <v>0</v>
      </c>
    </row>
    <row r="1033" spans="1:8" x14ac:dyDescent="0.3">
      <c r="A1033" s="37" t="s">
        <v>4</v>
      </c>
      <c r="B1033" s="38">
        <v>215000</v>
      </c>
      <c r="E1033" s="37" t="b">
        <v>0</v>
      </c>
      <c r="F1033" s="37" t="b">
        <v>1</v>
      </c>
      <c r="G1033" s="37">
        <v>0</v>
      </c>
      <c r="H1033" s="37" t="b">
        <v>0</v>
      </c>
    </row>
    <row r="1034" spans="1:8" x14ac:dyDescent="0.3">
      <c r="A1034" s="37" t="s">
        <v>4</v>
      </c>
      <c r="B1034" s="38">
        <v>221000</v>
      </c>
      <c r="E1034" s="37" t="b">
        <v>0</v>
      </c>
      <c r="F1034" s="37" t="b">
        <v>1</v>
      </c>
      <c r="G1034" s="37">
        <v>0</v>
      </c>
      <c r="H1034" s="37" t="b">
        <v>0</v>
      </c>
    </row>
    <row r="1035" spans="1:8" x14ac:dyDescent="0.3">
      <c r="A1035" s="37" t="s">
        <v>0</v>
      </c>
      <c r="B1035" s="38">
        <v>135000</v>
      </c>
      <c r="E1035" s="37" t="b">
        <v>0</v>
      </c>
      <c r="F1035" s="37" t="b">
        <v>1</v>
      </c>
      <c r="G1035" s="37">
        <v>0</v>
      </c>
      <c r="H1035" s="37" t="b">
        <v>0</v>
      </c>
    </row>
    <row r="1036" spans="1:8" x14ac:dyDescent="0.3">
      <c r="A1036" s="37" t="s">
        <v>0</v>
      </c>
      <c r="B1036" s="38">
        <v>186000</v>
      </c>
      <c r="E1036" s="37" t="b">
        <v>0</v>
      </c>
      <c r="F1036" s="37" t="b">
        <v>1</v>
      </c>
      <c r="G1036" s="37">
        <v>0</v>
      </c>
      <c r="H1036" s="37" t="b">
        <v>0</v>
      </c>
    </row>
    <row r="1037" spans="1:8" x14ac:dyDescent="0.3">
      <c r="A1037" s="37" t="s">
        <v>0</v>
      </c>
      <c r="B1037" s="38"/>
      <c r="E1037" s="37" t="b">
        <v>0</v>
      </c>
      <c r="F1037" s="37" t="b">
        <v>0</v>
      </c>
      <c r="G1037" s="37">
        <v>0</v>
      </c>
      <c r="H1037" s="37" t="b">
        <v>0</v>
      </c>
    </row>
    <row r="1038" spans="1:8" x14ac:dyDescent="0.3">
      <c r="A1038" s="37" t="s">
        <v>0</v>
      </c>
      <c r="B1038" s="38">
        <v>135000</v>
      </c>
      <c r="E1038" s="37" t="b">
        <v>0</v>
      </c>
      <c r="F1038" s="37" t="b">
        <v>1</v>
      </c>
      <c r="G1038" s="37">
        <v>0</v>
      </c>
      <c r="H1038" s="37" t="b">
        <v>0</v>
      </c>
    </row>
    <row r="1039" spans="1:8" x14ac:dyDescent="0.3">
      <c r="A1039" s="37" t="s">
        <v>0</v>
      </c>
      <c r="B1039" s="38">
        <v>149946.5</v>
      </c>
      <c r="E1039" s="37" t="b">
        <v>0</v>
      </c>
      <c r="F1039" s="37" t="b">
        <v>1</v>
      </c>
      <c r="G1039" s="37">
        <v>0</v>
      </c>
      <c r="H1039" s="37" t="b">
        <v>0</v>
      </c>
    </row>
    <row r="1040" spans="1:8" x14ac:dyDescent="0.3">
      <c r="A1040" s="37" t="s">
        <v>0</v>
      </c>
      <c r="B1040" s="38"/>
      <c r="E1040" s="37" t="b">
        <v>0</v>
      </c>
      <c r="F1040" s="37" t="b">
        <v>0</v>
      </c>
      <c r="G1040" s="37">
        <v>0</v>
      </c>
      <c r="H1040" s="37" t="b">
        <v>0</v>
      </c>
    </row>
    <row r="1041" spans="1:8" x14ac:dyDescent="0.3">
      <c r="A1041" s="37" t="s">
        <v>0</v>
      </c>
      <c r="B1041" s="38"/>
      <c r="E1041" s="37" t="b">
        <v>0</v>
      </c>
      <c r="F1041" s="37" t="b">
        <v>0</v>
      </c>
      <c r="G1041" s="37">
        <v>0</v>
      </c>
      <c r="H1041" s="37" t="b">
        <v>0</v>
      </c>
    </row>
    <row r="1042" spans="1:8" x14ac:dyDescent="0.3">
      <c r="A1042" s="37" t="s">
        <v>0</v>
      </c>
      <c r="B1042" s="38"/>
      <c r="E1042" s="37" t="b">
        <v>0</v>
      </c>
      <c r="F1042" s="37" t="b">
        <v>0</v>
      </c>
      <c r="G1042" s="37">
        <v>0</v>
      </c>
      <c r="H1042" s="37" t="b">
        <v>0</v>
      </c>
    </row>
    <row r="1043" spans="1:8" x14ac:dyDescent="0.3">
      <c r="A1043" s="37" t="s">
        <v>125</v>
      </c>
      <c r="B1043" s="38"/>
      <c r="E1043" s="37" t="b">
        <v>0</v>
      </c>
      <c r="F1043" s="37" t="b">
        <v>0</v>
      </c>
      <c r="G1043" s="37">
        <v>0</v>
      </c>
      <c r="H1043" s="37" t="b">
        <v>0</v>
      </c>
    </row>
    <row r="1044" spans="1:8" x14ac:dyDescent="0.3">
      <c r="A1044" s="37" t="s">
        <v>2</v>
      </c>
      <c r="B1044" s="38"/>
      <c r="E1044" s="37" t="b">
        <v>1</v>
      </c>
      <c r="F1044" s="37" t="b">
        <v>0</v>
      </c>
      <c r="G1044" s="37">
        <v>0</v>
      </c>
      <c r="H1044" s="37" t="b">
        <v>0</v>
      </c>
    </row>
    <row r="1045" spans="1:8" x14ac:dyDescent="0.3">
      <c r="A1045" s="37" t="s">
        <v>2</v>
      </c>
      <c r="B1045" s="38"/>
      <c r="E1045" s="37" t="b">
        <v>1</v>
      </c>
      <c r="F1045" s="37" t="b">
        <v>0</v>
      </c>
      <c r="G1045" s="37">
        <v>0</v>
      </c>
      <c r="H1045" s="37" t="b">
        <v>0</v>
      </c>
    </row>
    <row r="1046" spans="1:8" x14ac:dyDescent="0.3">
      <c r="A1046" s="37" t="s">
        <v>2</v>
      </c>
      <c r="B1046" s="38"/>
      <c r="E1046" s="37" t="b">
        <v>1</v>
      </c>
      <c r="F1046" s="37" t="b">
        <v>0</v>
      </c>
      <c r="G1046" s="37">
        <v>0</v>
      </c>
      <c r="H1046" s="37" t="b">
        <v>0</v>
      </c>
    </row>
    <row r="1047" spans="1:8" x14ac:dyDescent="0.3">
      <c r="A1047" s="37" t="s">
        <v>125</v>
      </c>
      <c r="B1047" s="38"/>
      <c r="E1047" s="37" t="b">
        <v>0</v>
      </c>
      <c r="F1047" s="37" t="b">
        <v>0</v>
      </c>
      <c r="G1047" s="37">
        <v>0</v>
      </c>
      <c r="H1047" s="37" t="b">
        <v>0</v>
      </c>
    </row>
    <row r="1048" spans="1:8" x14ac:dyDescent="0.3">
      <c r="A1048" s="37" t="s">
        <v>2</v>
      </c>
      <c r="B1048" s="38"/>
      <c r="E1048" s="37" t="b">
        <v>1</v>
      </c>
      <c r="F1048" s="37" t="b">
        <v>0</v>
      </c>
      <c r="G1048" s="37">
        <v>0</v>
      </c>
      <c r="H1048" s="37" t="b">
        <v>0</v>
      </c>
    </row>
    <row r="1049" spans="1:8" x14ac:dyDescent="0.3">
      <c r="A1049" s="37" t="s">
        <v>125</v>
      </c>
      <c r="B1049" s="38"/>
      <c r="E1049" s="37" t="b">
        <v>0</v>
      </c>
      <c r="F1049" s="37" t="b">
        <v>0</v>
      </c>
      <c r="G1049" s="37">
        <v>0</v>
      </c>
      <c r="H1049" s="37" t="b">
        <v>0</v>
      </c>
    </row>
    <row r="1050" spans="1:8" x14ac:dyDescent="0.3">
      <c r="A1050" s="37" t="s">
        <v>2</v>
      </c>
      <c r="B1050" s="38"/>
      <c r="E1050" s="37" t="b">
        <v>1</v>
      </c>
      <c r="F1050" s="37" t="b">
        <v>0</v>
      </c>
      <c r="G1050" s="37">
        <v>0</v>
      </c>
      <c r="H1050" s="37" t="b">
        <v>0</v>
      </c>
    </row>
    <row r="1051" spans="1:8" x14ac:dyDescent="0.3">
      <c r="A1051" s="37" t="s">
        <v>2</v>
      </c>
      <c r="B1051" s="38"/>
      <c r="E1051" s="37" t="b">
        <v>1</v>
      </c>
      <c r="F1051" s="37" t="b">
        <v>0</v>
      </c>
      <c r="G1051" s="37">
        <v>0</v>
      </c>
      <c r="H1051" s="37" t="b">
        <v>0</v>
      </c>
    </row>
    <row r="1052" spans="1:8" x14ac:dyDescent="0.3">
      <c r="A1052" s="37" t="s">
        <v>125</v>
      </c>
      <c r="B1052" s="38">
        <v>130000</v>
      </c>
      <c r="E1052" s="37" t="b">
        <v>0</v>
      </c>
      <c r="F1052" s="37" t="b">
        <v>1</v>
      </c>
      <c r="G1052" s="37">
        <v>0</v>
      </c>
      <c r="H1052" s="37" t="b">
        <v>0</v>
      </c>
    </row>
    <row r="1053" spans="1:8" x14ac:dyDescent="0.3">
      <c r="A1053" s="37" t="s">
        <v>2</v>
      </c>
      <c r="B1053" s="38"/>
      <c r="E1053" s="37" t="b">
        <v>1</v>
      </c>
      <c r="F1053" s="37" t="b">
        <v>0</v>
      </c>
      <c r="G1053" s="37">
        <v>0</v>
      </c>
      <c r="H1053" s="37" t="b">
        <v>0</v>
      </c>
    </row>
    <row r="1054" spans="1:8" x14ac:dyDescent="0.3">
      <c r="A1054" s="37" t="s">
        <v>2</v>
      </c>
      <c r="B1054" s="38"/>
      <c r="E1054" s="37" t="b">
        <v>1</v>
      </c>
      <c r="F1054" s="37" t="b">
        <v>0</v>
      </c>
      <c r="G1054" s="37">
        <v>0</v>
      </c>
      <c r="H1054" s="37" t="b">
        <v>0</v>
      </c>
    </row>
    <row r="1055" spans="1:8" x14ac:dyDescent="0.3">
      <c r="A1055" s="37" t="s">
        <v>2</v>
      </c>
      <c r="B1055" s="38"/>
      <c r="E1055" s="37" t="b">
        <v>1</v>
      </c>
      <c r="F1055" s="37" t="b">
        <v>0</v>
      </c>
      <c r="G1055" s="37">
        <v>0</v>
      </c>
      <c r="H1055" s="37" t="b">
        <v>0</v>
      </c>
    </row>
    <row r="1056" spans="1:8" x14ac:dyDescent="0.3">
      <c r="A1056" s="37" t="s">
        <v>52</v>
      </c>
      <c r="B1056" s="38">
        <v>90000</v>
      </c>
      <c r="E1056" s="37" t="b">
        <v>0</v>
      </c>
      <c r="F1056" s="37" t="b">
        <v>1</v>
      </c>
      <c r="G1056" s="37">
        <v>0</v>
      </c>
      <c r="H1056" s="37" t="b">
        <v>0</v>
      </c>
    </row>
    <row r="1057" spans="1:8" x14ac:dyDescent="0.3">
      <c r="A1057" s="37" t="s">
        <v>0</v>
      </c>
      <c r="B1057" s="38"/>
      <c r="E1057" s="37" t="b">
        <v>0</v>
      </c>
      <c r="F1057" s="37" t="b">
        <v>0</v>
      </c>
      <c r="G1057" s="37">
        <v>0</v>
      </c>
      <c r="H1057" s="37" t="b">
        <v>0</v>
      </c>
    </row>
    <row r="1058" spans="1:8" x14ac:dyDescent="0.3">
      <c r="A1058" s="37" t="s">
        <v>2</v>
      </c>
      <c r="B1058" s="38">
        <v>43656</v>
      </c>
      <c r="E1058" s="37" t="b">
        <v>1</v>
      </c>
      <c r="F1058" s="37" t="b">
        <v>1</v>
      </c>
      <c r="G1058" s="37">
        <v>1</v>
      </c>
      <c r="H1058" s="37">
        <v>43656</v>
      </c>
    </row>
    <row r="1059" spans="1:8" x14ac:dyDescent="0.3">
      <c r="A1059" s="37" t="s">
        <v>0</v>
      </c>
      <c r="B1059" s="38"/>
      <c r="E1059" s="37" t="b">
        <v>0</v>
      </c>
      <c r="F1059" s="37" t="b">
        <v>0</v>
      </c>
      <c r="G1059" s="37">
        <v>0</v>
      </c>
      <c r="H1059" s="37" t="b">
        <v>0</v>
      </c>
    </row>
    <row r="1060" spans="1:8" x14ac:dyDescent="0.3">
      <c r="A1060" s="37" t="s">
        <v>0</v>
      </c>
      <c r="B1060" s="38">
        <v>223000</v>
      </c>
      <c r="E1060" s="37" t="b">
        <v>0</v>
      </c>
      <c r="F1060" s="37" t="b">
        <v>1</v>
      </c>
      <c r="G1060" s="37">
        <v>0</v>
      </c>
      <c r="H1060" s="37" t="b">
        <v>0</v>
      </c>
    </row>
    <row r="1061" spans="1:8" x14ac:dyDescent="0.3">
      <c r="A1061" s="37" t="s">
        <v>128</v>
      </c>
      <c r="B1061" s="38">
        <v>222000</v>
      </c>
      <c r="E1061" s="37" t="b">
        <v>0</v>
      </c>
      <c r="F1061" s="37" t="b">
        <v>1</v>
      </c>
      <c r="G1061" s="37">
        <v>0</v>
      </c>
      <c r="H1061" s="37" t="b">
        <v>0</v>
      </c>
    </row>
    <row r="1062" spans="1:8" x14ac:dyDescent="0.3">
      <c r="A1062" s="37" t="s">
        <v>0</v>
      </c>
      <c r="B1062" s="38">
        <v>175000</v>
      </c>
      <c r="E1062" s="37" t="b">
        <v>0</v>
      </c>
      <c r="F1062" s="37" t="b">
        <v>1</v>
      </c>
      <c r="G1062" s="37">
        <v>0</v>
      </c>
      <c r="H1062" s="37" t="b">
        <v>0</v>
      </c>
    </row>
    <row r="1063" spans="1:8" x14ac:dyDescent="0.3">
      <c r="A1063" s="37" t="s">
        <v>0</v>
      </c>
      <c r="B1063" s="38"/>
      <c r="E1063" s="37" t="b">
        <v>0</v>
      </c>
      <c r="F1063" s="37" t="b">
        <v>0</v>
      </c>
      <c r="G1063" s="37">
        <v>0</v>
      </c>
      <c r="H1063" s="37" t="b">
        <v>0</v>
      </c>
    </row>
    <row r="1064" spans="1:8" x14ac:dyDescent="0.3">
      <c r="A1064" s="37" t="s">
        <v>4</v>
      </c>
      <c r="B1064" s="38">
        <v>157000</v>
      </c>
      <c r="E1064" s="37" t="b">
        <v>0</v>
      </c>
      <c r="F1064" s="37" t="b">
        <v>1</v>
      </c>
      <c r="G1064" s="37">
        <v>0</v>
      </c>
      <c r="H1064" s="37" t="b">
        <v>0</v>
      </c>
    </row>
    <row r="1065" spans="1:8" x14ac:dyDescent="0.3">
      <c r="A1065" s="37" t="s">
        <v>128</v>
      </c>
      <c r="B1065" s="38">
        <v>302880</v>
      </c>
      <c r="E1065" s="37" t="b">
        <v>0</v>
      </c>
      <c r="F1065" s="37" t="b">
        <v>1</v>
      </c>
      <c r="G1065" s="37">
        <v>0</v>
      </c>
      <c r="H1065" s="37" t="b">
        <v>0</v>
      </c>
    </row>
    <row r="1066" spans="1:8" x14ac:dyDescent="0.3">
      <c r="A1066" s="37" t="s">
        <v>4</v>
      </c>
      <c r="B1066" s="38">
        <v>251000</v>
      </c>
      <c r="E1066" s="37" t="b">
        <v>0</v>
      </c>
      <c r="F1066" s="37" t="b">
        <v>1</v>
      </c>
      <c r="G1066" s="37">
        <v>0</v>
      </c>
      <c r="H1066" s="37" t="b">
        <v>0</v>
      </c>
    </row>
    <row r="1067" spans="1:8" x14ac:dyDescent="0.3">
      <c r="A1067" s="37" t="s">
        <v>0</v>
      </c>
      <c r="B1067" s="38"/>
      <c r="E1067" s="37" t="b">
        <v>0</v>
      </c>
      <c r="F1067" s="37" t="b">
        <v>0</v>
      </c>
      <c r="G1067" s="37">
        <v>0</v>
      </c>
      <c r="H1067" s="37" t="b">
        <v>0</v>
      </c>
    </row>
    <row r="1068" spans="1:8" x14ac:dyDescent="0.3">
      <c r="A1068" s="37" t="s">
        <v>0</v>
      </c>
      <c r="B1068" s="38"/>
      <c r="E1068" s="37" t="b">
        <v>0</v>
      </c>
      <c r="F1068" s="37" t="b">
        <v>0</v>
      </c>
      <c r="G1068" s="37">
        <v>0</v>
      </c>
      <c r="H1068" s="37" t="b">
        <v>0</v>
      </c>
    </row>
    <row r="1069" spans="1:8" x14ac:dyDescent="0.3">
      <c r="A1069" s="37" t="s">
        <v>0</v>
      </c>
      <c r="B1069" s="38"/>
      <c r="E1069" s="37" t="b">
        <v>0</v>
      </c>
      <c r="F1069" s="37" t="b">
        <v>0</v>
      </c>
      <c r="G1069" s="37">
        <v>0</v>
      </c>
      <c r="H1069" s="37" t="b">
        <v>0</v>
      </c>
    </row>
    <row r="1070" spans="1:8" x14ac:dyDescent="0.3">
      <c r="A1070" s="37" t="s">
        <v>0</v>
      </c>
      <c r="B1070" s="38"/>
      <c r="E1070" s="37" t="b">
        <v>0</v>
      </c>
      <c r="F1070" s="37" t="b">
        <v>0</v>
      </c>
      <c r="G1070" s="37">
        <v>0</v>
      </c>
      <c r="H1070" s="37" t="b">
        <v>0</v>
      </c>
    </row>
    <row r="1071" spans="1:8" x14ac:dyDescent="0.3">
      <c r="A1071" s="37" t="s">
        <v>0</v>
      </c>
      <c r="B1071" s="38"/>
      <c r="E1071" s="37" t="b">
        <v>0</v>
      </c>
      <c r="F1071" s="37" t="b">
        <v>0</v>
      </c>
      <c r="G1071" s="37">
        <v>0</v>
      </c>
      <c r="H1071" s="37" t="b">
        <v>0</v>
      </c>
    </row>
    <row r="1072" spans="1:8" x14ac:dyDescent="0.3">
      <c r="A1072" s="37" t="s">
        <v>125</v>
      </c>
      <c r="B1072" s="38">
        <v>90000</v>
      </c>
      <c r="E1072" s="37" t="b">
        <v>0</v>
      </c>
      <c r="F1072" s="37" t="b">
        <v>1</v>
      </c>
      <c r="G1072" s="37">
        <v>0</v>
      </c>
      <c r="H1072" s="37" t="b">
        <v>0</v>
      </c>
    </row>
    <row r="1073" spans="1:8" x14ac:dyDescent="0.3">
      <c r="A1073" s="37" t="s">
        <v>2</v>
      </c>
      <c r="B1073" s="38">
        <v>105000</v>
      </c>
      <c r="E1073" s="37" t="b">
        <v>1</v>
      </c>
      <c r="F1073" s="37" t="b">
        <v>1</v>
      </c>
      <c r="G1073" s="37">
        <v>1</v>
      </c>
      <c r="H1073" s="37">
        <v>105000</v>
      </c>
    </row>
    <row r="1074" spans="1:8" x14ac:dyDescent="0.3">
      <c r="A1074" s="37" t="s">
        <v>0</v>
      </c>
      <c r="B1074" s="38">
        <v>133500</v>
      </c>
      <c r="E1074" s="37" t="b">
        <v>0</v>
      </c>
      <c r="F1074" s="37" t="b">
        <v>1</v>
      </c>
      <c r="G1074" s="37">
        <v>0</v>
      </c>
      <c r="H1074" s="37" t="b">
        <v>0</v>
      </c>
    </row>
    <row r="1075" spans="1:8" x14ac:dyDescent="0.3">
      <c r="A1075" s="37" t="s">
        <v>2</v>
      </c>
      <c r="B1075" s="38">
        <v>77500</v>
      </c>
      <c r="E1075" s="37" t="b">
        <v>1</v>
      </c>
      <c r="F1075" s="37" t="b">
        <v>1</v>
      </c>
      <c r="G1075" s="37">
        <v>1</v>
      </c>
      <c r="H1075" s="37">
        <v>77500</v>
      </c>
    </row>
    <row r="1076" spans="1:8" x14ac:dyDescent="0.3">
      <c r="A1076" s="37" t="s">
        <v>0</v>
      </c>
      <c r="B1076" s="38">
        <v>125000</v>
      </c>
      <c r="E1076" s="37" t="b">
        <v>0</v>
      </c>
      <c r="F1076" s="37" t="b">
        <v>1</v>
      </c>
      <c r="G1076" s="37">
        <v>0</v>
      </c>
      <c r="H1076" s="37" t="b">
        <v>0</v>
      </c>
    </row>
    <row r="1077" spans="1:8" x14ac:dyDescent="0.3">
      <c r="A1077" s="37" t="s">
        <v>0</v>
      </c>
      <c r="B1077" s="38">
        <v>202500</v>
      </c>
      <c r="E1077" s="37" t="b">
        <v>0</v>
      </c>
      <c r="F1077" s="37" t="b">
        <v>1</v>
      </c>
      <c r="G1077" s="37">
        <v>0</v>
      </c>
      <c r="H1077" s="37" t="b">
        <v>0</v>
      </c>
    </row>
    <row r="1078" spans="1:8" x14ac:dyDescent="0.3">
      <c r="A1078" s="37" t="s">
        <v>4</v>
      </c>
      <c r="B1078" s="38">
        <v>165000</v>
      </c>
      <c r="E1078" s="37" t="b">
        <v>0</v>
      </c>
      <c r="F1078" s="37" t="b">
        <v>1</v>
      </c>
      <c r="G1078" s="37">
        <v>0</v>
      </c>
      <c r="H1078" s="37" t="b">
        <v>0</v>
      </c>
    </row>
    <row r="1079" spans="1:8" x14ac:dyDescent="0.3">
      <c r="A1079" s="37" t="s">
        <v>126</v>
      </c>
      <c r="B1079" s="38">
        <v>105000</v>
      </c>
      <c r="E1079" s="37" t="b">
        <v>0</v>
      </c>
      <c r="F1079" s="37" t="b">
        <v>1</v>
      </c>
      <c r="G1079" s="37">
        <v>0</v>
      </c>
      <c r="H1079" s="37" t="b">
        <v>0</v>
      </c>
    </row>
    <row r="1080" spans="1:8" x14ac:dyDescent="0.3">
      <c r="A1080" s="37" t="s">
        <v>4</v>
      </c>
      <c r="B1080" s="38">
        <v>175000</v>
      </c>
      <c r="E1080" s="37" t="b">
        <v>0</v>
      </c>
      <c r="F1080" s="37" t="b">
        <v>1</v>
      </c>
      <c r="G1080" s="37">
        <v>0</v>
      </c>
      <c r="H1080" s="37" t="b">
        <v>0</v>
      </c>
    </row>
    <row r="1081" spans="1:8" x14ac:dyDescent="0.3">
      <c r="A1081" s="37" t="s">
        <v>2</v>
      </c>
      <c r="B1081" s="38"/>
      <c r="E1081" s="37" t="b">
        <v>1</v>
      </c>
      <c r="F1081" s="37" t="b">
        <v>0</v>
      </c>
      <c r="G1081" s="37">
        <v>0</v>
      </c>
      <c r="H1081" s="37" t="b">
        <v>0</v>
      </c>
    </row>
    <row r="1082" spans="1:8" x14ac:dyDescent="0.3">
      <c r="A1082" s="37" t="s">
        <v>4</v>
      </c>
      <c r="B1082" s="38">
        <v>165000</v>
      </c>
      <c r="E1082" s="37" t="b">
        <v>0</v>
      </c>
      <c r="F1082" s="37" t="b">
        <v>1</v>
      </c>
      <c r="G1082" s="37">
        <v>0</v>
      </c>
      <c r="H1082" s="37" t="b">
        <v>0</v>
      </c>
    </row>
    <row r="1083" spans="1:8" x14ac:dyDescent="0.3">
      <c r="A1083" s="37" t="s">
        <v>2</v>
      </c>
      <c r="B1083" s="38">
        <v>50000</v>
      </c>
      <c r="E1083" s="37" t="b">
        <v>1</v>
      </c>
      <c r="F1083" s="37" t="b">
        <v>1</v>
      </c>
      <c r="G1083" s="37">
        <v>1</v>
      </c>
      <c r="H1083" s="37">
        <v>50000</v>
      </c>
    </row>
    <row r="1084" spans="1:8" x14ac:dyDescent="0.3">
      <c r="A1084" s="37" t="s">
        <v>0</v>
      </c>
      <c r="B1084" s="38">
        <v>113000</v>
      </c>
      <c r="E1084" s="37" t="b">
        <v>0</v>
      </c>
      <c r="F1084" s="37" t="b">
        <v>1</v>
      </c>
      <c r="G1084" s="37">
        <v>0</v>
      </c>
      <c r="H1084" s="37" t="b">
        <v>0</v>
      </c>
    </row>
    <row r="1085" spans="1:8" x14ac:dyDescent="0.3">
      <c r="A1085" s="37" t="s">
        <v>0</v>
      </c>
      <c r="B1085" s="38">
        <v>123500</v>
      </c>
      <c r="E1085" s="37" t="b">
        <v>0</v>
      </c>
      <c r="F1085" s="37" t="b">
        <v>1</v>
      </c>
      <c r="G1085" s="37">
        <v>0</v>
      </c>
      <c r="H1085" s="37" t="b">
        <v>0</v>
      </c>
    </row>
    <row r="1086" spans="1:8" x14ac:dyDescent="0.3">
      <c r="A1086" s="37" t="s">
        <v>4</v>
      </c>
      <c r="B1086" s="38">
        <v>144481.5</v>
      </c>
      <c r="E1086" s="37" t="b">
        <v>0</v>
      </c>
      <c r="F1086" s="37" t="b">
        <v>1</v>
      </c>
      <c r="G1086" s="37">
        <v>0</v>
      </c>
      <c r="H1086" s="37" t="b">
        <v>0</v>
      </c>
    </row>
    <row r="1087" spans="1:8" x14ac:dyDescent="0.3">
      <c r="A1087" s="37" t="s">
        <v>125</v>
      </c>
      <c r="B1087" s="38">
        <v>170000</v>
      </c>
      <c r="E1087" s="37" t="b">
        <v>0</v>
      </c>
      <c r="F1087" s="37" t="b">
        <v>1</v>
      </c>
      <c r="G1087" s="37">
        <v>0</v>
      </c>
      <c r="H1087" s="37" t="b">
        <v>0</v>
      </c>
    </row>
    <row r="1088" spans="1:8" x14ac:dyDescent="0.3">
      <c r="A1088" s="37" t="s">
        <v>0</v>
      </c>
      <c r="B1088" s="38">
        <v>210000</v>
      </c>
      <c r="E1088" s="37" t="b">
        <v>0</v>
      </c>
      <c r="F1088" s="37" t="b">
        <v>1</v>
      </c>
      <c r="G1088" s="37">
        <v>0</v>
      </c>
      <c r="H1088" s="37" t="b">
        <v>0</v>
      </c>
    </row>
    <row r="1089" spans="1:8" x14ac:dyDescent="0.3">
      <c r="A1089" s="37" t="s">
        <v>125</v>
      </c>
      <c r="B1089" s="38">
        <v>102500</v>
      </c>
      <c r="E1089" s="37" t="b">
        <v>0</v>
      </c>
      <c r="F1089" s="37" t="b">
        <v>1</v>
      </c>
      <c r="G1089" s="37">
        <v>0</v>
      </c>
      <c r="H1089" s="37" t="b">
        <v>0</v>
      </c>
    </row>
    <row r="1090" spans="1:8" x14ac:dyDescent="0.3">
      <c r="A1090" s="37" t="s">
        <v>0</v>
      </c>
      <c r="B1090" s="38">
        <v>155000</v>
      </c>
      <c r="E1090" s="37" t="b">
        <v>0</v>
      </c>
      <c r="F1090" s="37" t="b">
        <v>1</v>
      </c>
      <c r="G1090" s="37">
        <v>0</v>
      </c>
      <c r="H1090" s="37" t="b">
        <v>0</v>
      </c>
    </row>
    <row r="1091" spans="1:8" x14ac:dyDescent="0.3">
      <c r="A1091" s="37" t="s">
        <v>4</v>
      </c>
      <c r="B1091" s="38">
        <v>137320.3125</v>
      </c>
      <c r="E1091" s="37" t="b">
        <v>0</v>
      </c>
      <c r="F1091" s="37" t="b">
        <v>1</v>
      </c>
      <c r="G1091" s="37">
        <v>0</v>
      </c>
      <c r="H1091" s="37" t="b">
        <v>0</v>
      </c>
    </row>
    <row r="1092" spans="1:8" x14ac:dyDescent="0.3">
      <c r="A1092" s="37" t="s">
        <v>0</v>
      </c>
      <c r="B1092" s="38">
        <v>184500</v>
      </c>
      <c r="E1092" s="37" t="b">
        <v>0</v>
      </c>
      <c r="F1092" s="37" t="b">
        <v>1</v>
      </c>
      <c r="G1092" s="37">
        <v>0</v>
      </c>
      <c r="H1092" s="37" t="b">
        <v>0</v>
      </c>
    </row>
    <row r="1093" spans="1:8" x14ac:dyDescent="0.3">
      <c r="A1093" s="37" t="s">
        <v>2</v>
      </c>
      <c r="B1093" s="38"/>
      <c r="E1093" s="37" t="b">
        <v>1</v>
      </c>
      <c r="F1093" s="37" t="b">
        <v>0</v>
      </c>
      <c r="G1093" s="37">
        <v>0</v>
      </c>
      <c r="H1093" s="37" t="b">
        <v>0</v>
      </c>
    </row>
    <row r="1094" spans="1:8" x14ac:dyDescent="0.3">
      <c r="A1094" s="37" t="s">
        <v>0</v>
      </c>
      <c r="B1094" s="38">
        <v>125000</v>
      </c>
      <c r="E1094" s="37" t="b">
        <v>0</v>
      </c>
      <c r="F1094" s="37" t="b">
        <v>1</v>
      </c>
      <c r="G1094" s="37">
        <v>0</v>
      </c>
      <c r="H1094" s="37" t="b">
        <v>0</v>
      </c>
    </row>
    <row r="1095" spans="1:8" x14ac:dyDescent="0.3">
      <c r="A1095" s="37" t="s">
        <v>128</v>
      </c>
      <c r="B1095" s="38">
        <v>155000</v>
      </c>
      <c r="E1095" s="37" t="b">
        <v>0</v>
      </c>
      <c r="F1095" s="37" t="b">
        <v>1</v>
      </c>
      <c r="G1095" s="37">
        <v>0</v>
      </c>
      <c r="H1095" s="37" t="b">
        <v>0</v>
      </c>
    </row>
    <row r="1096" spans="1:8" x14ac:dyDescent="0.3">
      <c r="A1096" s="37" t="s">
        <v>2</v>
      </c>
      <c r="B1096" s="38">
        <v>140000</v>
      </c>
      <c r="E1096" s="37" t="b">
        <v>1</v>
      </c>
      <c r="F1096" s="37" t="b">
        <v>1</v>
      </c>
      <c r="G1096" s="37">
        <v>1</v>
      </c>
      <c r="H1096" s="37">
        <v>140000</v>
      </c>
    </row>
    <row r="1097" spans="1:8" x14ac:dyDescent="0.3">
      <c r="A1097" s="37" t="s">
        <v>0</v>
      </c>
      <c r="B1097" s="38">
        <v>137000</v>
      </c>
      <c r="E1097" s="37" t="b">
        <v>0</v>
      </c>
      <c r="F1097" s="37" t="b">
        <v>1</v>
      </c>
      <c r="G1097" s="37">
        <v>0</v>
      </c>
      <c r="H1097" s="37" t="b">
        <v>0</v>
      </c>
    </row>
    <row r="1098" spans="1:8" x14ac:dyDescent="0.3">
      <c r="A1098" s="37" t="s">
        <v>125</v>
      </c>
      <c r="B1098" s="38"/>
      <c r="E1098" s="37" t="b">
        <v>0</v>
      </c>
      <c r="F1098" s="37" t="b">
        <v>0</v>
      </c>
      <c r="G1098" s="37">
        <v>0</v>
      </c>
      <c r="H1098" s="37" t="b">
        <v>0</v>
      </c>
    </row>
    <row r="1099" spans="1:8" x14ac:dyDescent="0.3">
      <c r="A1099" s="37" t="s">
        <v>128</v>
      </c>
      <c r="B1099" s="38">
        <v>120000</v>
      </c>
      <c r="E1099" s="37" t="b">
        <v>0</v>
      </c>
      <c r="F1099" s="37" t="b">
        <v>1</v>
      </c>
      <c r="G1099" s="37">
        <v>0</v>
      </c>
      <c r="H1099" s="37" t="b">
        <v>0</v>
      </c>
    </row>
    <row r="1100" spans="1:8" x14ac:dyDescent="0.3">
      <c r="A1100" s="37" t="s">
        <v>0</v>
      </c>
      <c r="B1100" s="38">
        <v>99876.2734375</v>
      </c>
      <c r="E1100" s="37" t="b">
        <v>0</v>
      </c>
      <c r="F1100" s="37" t="b">
        <v>1</v>
      </c>
      <c r="G1100" s="37">
        <v>0</v>
      </c>
      <c r="H1100" s="37" t="b">
        <v>0</v>
      </c>
    </row>
    <row r="1101" spans="1:8" x14ac:dyDescent="0.3">
      <c r="A1101" s="37" t="s">
        <v>4</v>
      </c>
      <c r="B1101" s="38">
        <v>119523</v>
      </c>
      <c r="E1101" s="37" t="b">
        <v>0</v>
      </c>
      <c r="F1101" s="37" t="b">
        <v>1</v>
      </c>
      <c r="G1101" s="37">
        <v>0</v>
      </c>
      <c r="H1101" s="37" t="b">
        <v>0</v>
      </c>
    </row>
    <row r="1102" spans="1:8" x14ac:dyDescent="0.3">
      <c r="A1102" s="37" t="s">
        <v>2</v>
      </c>
      <c r="B1102" s="38"/>
      <c r="E1102" s="37" t="b">
        <v>1</v>
      </c>
      <c r="F1102" s="37" t="b">
        <v>0</v>
      </c>
      <c r="G1102" s="37">
        <v>0</v>
      </c>
      <c r="H1102" s="37" t="b">
        <v>0</v>
      </c>
    </row>
    <row r="1103" spans="1:8" x14ac:dyDescent="0.3">
      <c r="A1103" s="37" t="s">
        <v>2</v>
      </c>
      <c r="B1103" s="38"/>
      <c r="E1103" s="37" t="b">
        <v>1</v>
      </c>
      <c r="F1103" s="37" t="b">
        <v>0</v>
      </c>
      <c r="G1103" s="37">
        <v>0</v>
      </c>
      <c r="H1103" s="37" t="b">
        <v>0</v>
      </c>
    </row>
    <row r="1104" spans="1:8" x14ac:dyDescent="0.3">
      <c r="A1104" s="37" t="s">
        <v>2</v>
      </c>
      <c r="B1104" s="38">
        <v>54500</v>
      </c>
      <c r="E1104" s="37" t="b">
        <v>1</v>
      </c>
      <c r="F1104" s="37" t="b">
        <v>1</v>
      </c>
      <c r="G1104" s="37">
        <v>1</v>
      </c>
      <c r="H1104" s="37">
        <v>54500</v>
      </c>
    </row>
    <row r="1105" spans="1:8" x14ac:dyDescent="0.3">
      <c r="A1105" s="37" t="s">
        <v>0</v>
      </c>
      <c r="B1105" s="38">
        <v>250000</v>
      </c>
      <c r="E1105" s="37" t="b">
        <v>0</v>
      </c>
      <c r="F1105" s="37" t="b">
        <v>1</v>
      </c>
      <c r="G1105" s="37">
        <v>0</v>
      </c>
      <c r="H1105" s="37" t="b">
        <v>0</v>
      </c>
    </row>
    <row r="1106" spans="1:8" x14ac:dyDescent="0.3">
      <c r="A1106" s="37" t="s">
        <v>2</v>
      </c>
      <c r="B1106" s="38">
        <v>42500</v>
      </c>
      <c r="E1106" s="37" t="b">
        <v>1</v>
      </c>
      <c r="F1106" s="37" t="b">
        <v>1</v>
      </c>
      <c r="G1106" s="37">
        <v>1</v>
      </c>
      <c r="H1106" s="37">
        <v>42500</v>
      </c>
    </row>
    <row r="1107" spans="1:8" x14ac:dyDescent="0.3">
      <c r="A1107" s="37" t="s">
        <v>2</v>
      </c>
      <c r="B1107" s="38"/>
      <c r="E1107" s="37" t="b">
        <v>1</v>
      </c>
      <c r="F1107" s="37" t="b">
        <v>0</v>
      </c>
      <c r="G1107" s="37">
        <v>0</v>
      </c>
      <c r="H1107" s="37" t="b">
        <v>0</v>
      </c>
    </row>
    <row r="1108" spans="1:8" x14ac:dyDescent="0.3">
      <c r="A1108" s="37" t="s">
        <v>2</v>
      </c>
      <c r="B1108" s="38"/>
      <c r="E1108" s="37" t="b">
        <v>1</v>
      </c>
      <c r="F1108" s="37" t="b">
        <v>0</v>
      </c>
      <c r="G1108" s="37">
        <v>0</v>
      </c>
      <c r="H1108" s="37" t="b">
        <v>0</v>
      </c>
    </row>
    <row r="1109" spans="1:8" x14ac:dyDescent="0.3">
      <c r="A1109" s="37" t="s">
        <v>0</v>
      </c>
      <c r="B1109" s="38"/>
      <c r="E1109" s="37" t="b">
        <v>0</v>
      </c>
      <c r="F1109" s="37" t="b">
        <v>0</v>
      </c>
      <c r="G1109" s="37">
        <v>0</v>
      </c>
      <c r="H1109" s="37" t="b">
        <v>0</v>
      </c>
    </row>
    <row r="1110" spans="1:8" x14ac:dyDescent="0.3">
      <c r="A1110" s="37" t="s">
        <v>0</v>
      </c>
      <c r="B1110" s="38">
        <v>110290</v>
      </c>
      <c r="E1110" s="37" t="b">
        <v>0</v>
      </c>
      <c r="F1110" s="37" t="b">
        <v>1</v>
      </c>
      <c r="G1110" s="37">
        <v>0</v>
      </c>
      <c r="H1110" s="37" t="b">
        <v>0</v>
      </c>
    </row>
    <row r="1111" spans="1:8" x14ac:dyDescent="0.3">
      <c r="A1111" s="37" t="s">
        <v>0</v>
      </c>
      <c r="B1111" s="38">
        <v>132662</v>
      </c>
      <c r="E1111" s="37" t="b">
        <v>0</v>
      </c>
      <c r="F1111" s="37" t="b">
        <v>1</v>
      </c>
      <c r="G1111" s="37">
        <v>0</v>
      </c>
      <c r="H1111" s="37" t="b">
        <v>0</v>
      </c>
    </row>
    <row r="1112" spans="1:8" x14ac:dyDescent="0.3">
      <c r="A1112" s="37" t="s">
        <v>0</v>
      </c>
      <c r="B1112" s="38">
        <v>120000</v>
      </c>
      <c r="E1112" s="37" t="b">
        <v>0</v>
      </c>
      <c r="F1112" s="37" t="b">
        <v>1</v>
      </c>
      <c r="G1112" s="37">
        <v>0</v>
      </c>
      <c r="H1112" s="37" t="b">
        <v>0</v>
      </c>
    </row>
    <row r="1113" spans="1:8" x14ac:dyDescent="0.3">
      <c r="A1113" s="37" t="s">
        <v>128</v>
      </c>
      <c r="B1113" s="38">
        <v>205000</v>
      </c>
      <c r="E1113" s="37" t="b">
        <v>0</v>
      </c>
      <c r="F1113" s="37" t="b">
        <v>1</v>
      </c>
      <c r="G1113" s="37">
        <v>0</v>
      </c>
      <c r="H1113" s="37" t="b">
        <v>0</v>
      </c>
    </row>
    <row r="1114" spans="1:8" x14ac:dyDescent="0.3">
      <c r="A1114" s="37" t="s">
        <v>2</v>
      </c>
      <c r="B1114" s="38">
        <v>70000</v>
      </c>
      <c r="E1114" s="37" t="b">
        <v>1</v>
      </c>
      <c r="F1114" s="37" t="b">
        <v>1</v>
      </c>
      <c r="G1114" s="37">
        <v>1</v>
      </c>
      <c r="H1114" s="37">
        <v>70000</v>
      </c>
    </row>
    <row r="1115" spans="1:8" x14ac:dyDescent="0.3">
      <c r="A1115" s="37" t="s">
        <v>2</v>
      </c>
      <c r="B1115" s="38"/>
      <c r="E1115" s="37" t="b">
        <v>1</v>
      </c>
      <c r="F1115" s="37" t="b">
        <v>0</v>
      </c>
      <c r="G1115" s="37">
        <v>0</v>
      </c>
      <c r="H1115" s="37" t="b">
        <v>0</v>
      </c>
    </row>
    <row r="1116" spans="1:8" x14ac:dyDescent="0.3">
      <c r="A1116" s="37" t="s">
        <v>2</v>
      </c>
      <c r="B1116" s="38"/>
      <c r="E1116" s="37" t="b">
        <v>1</v>
      </c>
      <c r="F1116" s="37" t="b">
        <v>0</v>
      </c>
      <c r="G1116" s="37">
        <v>0</v>
      </c>
      <c r="H1116" s="37" t="b">
        <v>0</v>
      </c>
    </row>
    <row r="1117" spans="1:8" x14ac:dyDescent="0.3">
      <c r="A1117" s="37" t="s">
        <v>0</v>
      </c>
      <c r="B1117" s="38">
        <v>160000</v>
      </c>
      <c r="E1117" s="37" t="b">
        <v>0</v>
      </c>
      <c r="F1117" s="37" t="b">
        <v>1</v>
      </c>
      <c r="G1117" s="37">
        <v>0</v>
      </c>
      <c r="H1117" s="37" t="b">
        <v>0</v>
      </c>
    </row>
    <row r="1118" spans="1:8" x14ac:dyDescent="0.3">
      <c r="A1118" s="37" t="s">
        <v>4</v>
      </c>
      <c r="B1118" s="38">
        <v>160000</v>
      </c>
      <c r="E1118" s="37" t="b">
        <v>0</v>
      </c>
      <c r="F1118" s="37" t="b">
        <v>1</v>
      </c>
      <c r="G1118" s="37">
        <v>0</v>
      </c>
      <c r="H1118" s="37" t="b">
        <v>0</v>
      </c>
    </row>
    <row r="1119" spans="1:8" x14ac:dyDescent="0.3">
      <c r="A1119" s="37" t="s">
        <v>2</v>
      </c>
      <c r="B1119" s="38"/>
      <c r="E1119" s="37" t="b">
        <v>1</v>
      </c>
      <c r="F1119" s="37" t="b">
        <v>0</v>
      </c>
      <c r="G1119" s="37">
        <v>0</v>
      </c>
      <c r="H1119" s="37" t="b">
        <v>0</v>
      </c>
    </row>
    <row r="1120" spans="1:8" x14ac:dyDescent="0.3">
      <c r="A1120" s="37" t="s">
        <v>2</v>
      </c>
      <c r="B1120" s="38"/>
      <c r="E1120" s="37" t="b">
        <v>1</v>
      </c>
      <c r="F1120" s="37" t="b">
        <v>0</v>
      </c>
      <c r="G1120" s="37">
        <v>0</v>
      </c>
      <c r="H1120" s="37" t="b">
        <v>0</v>
      </c>
    </row>
    <row r="1121" spans="1:8" x14ac:dyDescent="0.3">
      <c r="A1121" s="37" t="s">
        <v>2</v>
      </c>
      <c r="B1121" s="38"/>
      <c r="E1121" s="37" t="b">
        <v>1</v>
      </c>
      <c r="F1121" s="37" t="b">
        <v>0</v>
      </c>
      <c r="G1121" s="37">
        <v>0</v>
      </c>
      <c r="H1121" s="37" t="b">
        <v>0</v>
      </c>
    </row>
    <row r="1122" spans="1:8" x14ac:dyDescent="0.3">
      <c r="A1122" s="37" t="s">
        <v>2</v>
      </c>
      <c r="B1122" s="38">
        <v>55000</v>
      </c>
      <c r="E1122" s="37" t="b">
        <v>1</v>
      </c>
      <c r="F1122" s="37" t="b">
        <v>1</v>
      </c>
      <c r="G1122" s="37">
        <v>1</v>
      </c>
      <c r="H1122" s="37">
        <v>55000</v>
      </c>
    </row>
    <row r="1123" spans="1:8" x14ac:dyDescent="0.3">
      <c r="A1123" s="37" t="s">
        <v>2</v>
      </c>
      <c r="B1123" s="38">
        <v>90000</v>
      </c>
      <c r="E1123" s="37" t="b">
        <v>1</v>
      </c>
      <c r="F1123" s="37" t="b">
        <v>1</v>
      </c>
      <c r="G1123" s="37">
        <v>1</v>
      </c>
      <c r="H1123" s="37">
        <v>90000</v>
      </c>
    </row>
    <row r="1124" spans="1:8" x14ac:dyDescent="0.3">
      <c r="A1124" s="37" t="s">
        <v>2</v>
      </c>
      <c r="B1124" s="38"/>
      <c r="E1124" s="37" t="b">
        <v>1</v>
      </c>
      <c r="F1124" s="37" t="b">
        <v>0</v>
      </c>
      <c r="G1124" s="37">
        <v>0</v>
      </c>
      <c r="H1124" s="37" t="b">
        <v>0</v>
      </c>
    </row>
    <row r="1125" spans="1:8" x14ac:dyDescent="0.3">
      <c r="A1125" s="37" t="s">
        <v>2</v>
      </c>
      <c r="B1125" s="38">
        <v>55000</v>
      </c>
      <c r="E1125" s="37" t="b">
        <v>1</v>
      </c>
      <c r="F1125" s="37" t="b">
        <v>1</v>
      </c>
      <c r="G1125" s="37">
        <v>1</v>
      </c>
      <c r="H1125" s="37">
        <v>55000</v>
      </c>
    </row>
    <row r="1126" spans="1:8" x14ac:dyDescent="0.3">
      <c r="A1126" s="37" t="s">
        <v>0</v>
      </c>
      <c r="B1126" s="38">
        <v>101603</v>
      </c>
      <c r="E1126" s="37" t="b">
        <v>0</v>
      </c>
      <c r="F1126" s="37" t="b">
        <v>1</v>
      </c>
      <c r="G1126" s="37">
        <v>0</v>
      </c>
      <c r="H1126" s="37" t="b">
        <v>0</v>
      </c>
    </row>
    <row r="1127" spans="1:8" x14ac:dyDescent="0.3">
      <c r="A1127" s="37" t="s">
        <v>2</v>
      </c>
      <c r="B1127" s="38">
        <v>64105</v>
      </c>
      <c r="E1127" s="37" t="b">
        <v>1</v>
      </c>
      <c r="F1127" s="37" t="b">
        <v>1</v>
      </c>
      <c r="G1127" s="37">
        <v>1</v>
      </c>
      <c r="H1127" s="37">
        <v>64105</v>
      </c>
    </row>
    <row r="1128" spans="1:8" x14ac:dyDescent="0.3">
      <c r="A1128" s="37" t="s">
        <v>0</v>
      </c>
      <c r="B1128" s="38">
        <v>152580</v>
      </c>
      <c r="E1128" s="37" t="b">
        <v>0</v>
      </c>
      <c r="F1128" s="37" t="b">
        <v>1</v>
      </c>
      <c r="G1128" s="37">
        <v>0</v>
      </c>
      <c r="H1128" s="37" t="b">
        <v>0</v>
      </c>
    </row>
    <row r="1129" spans="1:8" x14ac:dyDescent="0.3">
      <c r="A1129" s="37" t="s">
        <v>0</v>
      </c>
      <c r="B1129" s="38">
        <v>120000.5</v>
      </c>
      <c r="E1129" s="37" t="b">
        <v>0</v>
      </c>
      <c r="F1129" s="37" t="b">
        <v>1</v>
      </c>
      <c r="G1129" s="37">
        <v>0</v>
      </c>
      <c r="H1129" s="37" t="b">
        <v>0</v>
      </c>
    </row>
    <row r="1130" spans="1:8" x14ac:dyDescent="0.3">
      <c r="A1130" s="37" t="s">
        <v>125</v>
      </c>
      <c r="B1130" s="38">
        <v>146500</v>
      </c>
      <c r="E1130" s="37" t="b">
        <v>0</v>
      </c>
      <c r="F1130" s="37" t="b">
        <v>1</v>
      </c>
      <c r="G1130" s="37">
        <v>0</v>
      </c>
      <c r="H1130" s="37" t="b">
        <v>0</v>
      </c>
    </row>
    <row r="1131" spans="1:8" x14ac:dyDescent="0.3">
      <c r="A1131" s="37" t="s">
        <v>2</v>
      </c>
      <c r="B1131" s="38">
        <v>83002.3828125</v>
      </c>
      <c r="E1131" s="37" t="b">
        <v>1</v>
      </c>
      <c r="F1131" s="37" t="b">
        <v>1</v>
      </c>
      <c r="G1131" s="37">
        <v>1</v>
      </c>
      <c r="H1131" s="37">
        <v>83002.3828125</v>
      </c>
    </row>
    <row r="1132" spans="1:8" x14ac:dyDescent="0.3">
      <c r="A1132" s="37" t="s">
        <v>2</v>
      </c>
      <c r="B1132" s="38">
        <v>96000</v>
      </c>
      <c r="E1132" s="37" t="b">
        <v>1</v>
      </c>
      <c r="F1132" s="37" t="b">
        <v>1</v>
      </c>
      <c r="G1132" s="37">
        <v>1</v>
      </c>
      <c r="H1132" s="37">
        <v>96000</v>
      </c>
    </row>
    <row r="1133" spans="1:8" x14ac:dyDescent="0.3">
      <c r="A1133" s="37" t="s">
        <v>126</v>
      </c>
      <c r="B1133" s="38">
        <v>155000</v>
      </c>
      <c r="E1133" s="37" t="b">
        <v>0</v>
      </c>
      <c r="F1133" s="37" t="b">
        <v>1</v>
      </c>
      <c r="G1133" s="37">
        <v>0</v>
      </c>
      <c r="H1133" s="37" t="b">
        <v>0</v>
      </c>
    </row>
    <row r="1134" spans="1:8" x14ac:dyDescent="0.3">
      <c r="A1134" s="37" t="s">
        <v>2</v>
      </c>
      <c r="B1134" s="38"/>
      <c r="E1134" s="37" t="b">
        <v>1</v>
      </c>
      <c r="F1134" s="37" t="b">
        <v>0</v>
      </c>
      <c r="G1134" s="37">
        <v>0</v>
      </c>
      <c r="H1134" s="37" t="b">
        <v>0</v>
      </c>
    </row>
    <row r="1135" spans="1:8" x14ac:dyDescent="0.3">
      <c r="A1135" s="37" t="s">
        <v>2</v>
      </c>
      <c r="B1135" s="38"/>
      <c r="E1135" s="37" t="b">
        <v>1</v>
      </c>
      <c r="F1135" s="37" t="b">
        <v>0</v>
      </c>
      <c r="G1135" s="37">
        <v>0</v>
      </c>
      <c r="H1135" s="37" t="b">
        <v>0</v>
      </c>
    </row>
    <row r="1136" spans="1:8" x14ac:dyDescent="0.3">
      <c r="A1136" s="37" t="s">
        <v>0</v>
      </c>
      <c r="B1136" s="38">
        <v>92500</v>
      </c>
      <c r="E1136" s="37" t="b">
        <v>0</v>
      </c>
      <c r="F1136" s="37" t="b">
        <v>1</v>
      </c>
      <c r="G1136" s="37">
        <v>0</v>
      </c>
      <c r="H1136" s="37" t="b">
        <v>0</v>
      </c>
    </row>
    <row r="1137" spans="1:8" x14ac:dyDescent="0.3">
      <c r="A1137" s="37" t="s">
        <v>0</v>
      </c>
      <c r="B1137" s="38">
        <v>120000.5</v>
      </c>
      <c r="E1137" s="37" t="b">
        <v>0</v>
      </c>
      <c r="F1137" s="37" t="b">
        <v>1</v>
      </c>
      <c r="G1137" s="37">
        <v>0</v>
      </c>
      <c r="H1137" s="37" t="b">
        <v>0</v>
      </c>
    </row>
    <row r="1138" spans="1:8" x14ac:dyDescent="0.3">
      <c r="A1138" s="37" t="s">
        <v>0</v>
      </c>
      <c r="B1138" s="38">
        <v>120000.5</v>
      </c>
      <c r="E1138" s="37" t="b">
        <v>0</v>
      </c>
      <c r="F1138" s="37" t="b">
        <v>1</v>
      </c>
      <c r="G1138" s="37">
        <v>0</v>
      </c>
      <c r="H1138" s="37" t="b">
        <v>0</v>
      </c>
    </row>
    <row r="1139" spans="1:8" x14ac:dyDescent="0.3">
      <c r="A1139" s="37" t="s">
        <v>0</v>
      </c>
      <c r="B1139" s="38">
        <v>120000.5</v>
      </c>
      <c r="E1139" s="37" t="b">
        <v>0</v>
      </c>
      <c r="F1139" s="37" t="b">
        <v>1</v>
      </c>
      <c r="G1139" s="37">
        <v>0</v>
      </c>
      <c r="H1139" s="37" t="b">
        <v>0</v>
      </c>
    </row>
    <row r="1140" spans="1:8" x14ac:dyDescent="0.3">
      <c r="A1140" s="37" t="s">
        <v>0</v>
      </c>
      <c r="B1140" s="38">
        <v>120000.5</v>
      </c>
      <c r="E1140" s="37" t="b">
        <v>0</v>
      </c>
      <c r="F1140" s="37" t="b">
        <v>1</v>
      </c>
      <c r="G1140" s="37">
        <v>0</v>
      </c>
      <c r="H1140" s="37" t="b">
        <v>0</v>
      </c>
    </row>
    <row r="1141" spans="1:8" x14ac:dyDescent="0.3">
      <c r="A1141" s="37" t="s">
        <v>2</v>
      </c>
      <c r="B1141" s="38"/>
      <c r="E1141" s="37" t="b">
        <v>1</v>
      </c>
      <c r="F1141" s="37" t="b">
        <v>0</v>
      </c>
      <c r="G1141" s="37">
        <v>0</v>
      </c>
      <c r="H1141" s="37" t="b">
        <v>0</v>
      </c>
    </row>
    <row r="1142" spans="1:8" x14ac:dyDescent="0.3">
      <c r="A1142" s="37" t="s">
        <v>2</v>
      </c>
      <c r="B1142" s="38">
        <v>45000</v>
      </c>
      <c r="E1142" s="37" t="b">
        <v>1</v>
      </c>
      <c r="F1142" s="37" t="b">
        <v>1</v>
      </c>
      <c r="G1142" s="37">
        <v>1</v>
      </c>
      <c r="H1142" s="37">
        <v>45000</v>
      </c>
    </row>
    <row r="1143" spans="1:8" x14ac:dyDescent="0.3">
      <c r="A1143" s="37" t="s">
        <v>0</v>
      </c>
      <c r="B1143" s="38">
        <v>82500</v>
      </c>
      <c r="E1143" s="37" t="b">
        <v>0</v>
      </c>
      <c r="F1143" s="37" t="b">
        <v>1</v>
      </c>
      <c r="G1143" s="37">
        <v>0</v>
      </c>
      <c r="H1143" s="37" t="b">
        <v>0</v>
      </c>
    </row>
    <row r="1144" spans="1:8" x14ac:dyDescent="0.3">
      <c r="A1144" s="37" t="s">
        <v>126</v>
      </c>
      <c r="B1144" s="38">
        <v>135600</v>
      </c>
      <c r="E1144" s="37" t="b">
        <v>0</v>
      </c>
      <c r="F1144" s="37" t="b">
        <v>1</v>
      </c>
      <c r="G1144" s="37">
        <v>0</v>
      </c>
      <c r="H1144" s="37" t="b">
        <v>0</v>
      </c>
    </row>
    <row r="1145" spans="1:8" x14ac:dyDescent="0.3">
      <c r="A1145" s="37" t="s">
        <v>4</v>
      </c>
      <c r="B1145" s="38"/>
      <c r="E1145" s="37" t="b">
        <v>0</v>
      </c>
      <c r="F1145" s="37" t="b">
        <v>0</v>
      </c>
      <c r="G1145" s="37">
        <v>0</v>
      </c>
      <c r="H1145" s="37" t="b">
        <v>0</v>
      </c>
    </row>
    <row r="1146" spans="1:8" x14ac:dyDescent="0.3">
      <c r="A1146" s="37" t="s">
        <v>2</v>
      </c>
      <c r="B1146" s="38">
        <v>85000</v>
      </c>
      <c r="E1146" s="37" t="b">
        <v>1</v>
      </c>
      <c r="F1146" s="37" t="b">
        <v>1</v>
      </c>
      <c r="G1146" s="37">
        <v>1</v>
      </c>
      <c r="H1146" s="37">
        <v>85000</v>
      </c>
    </row>
    <row r="1147" spans="1:8" x14ac:dyDescent="0.3">
      <c r="A1147" s="37" t="s">
        <v>128</v>
      </c>
      <c r="B1147" s="38">
        <v>127000</v>
      </c>
      <c r="E1147" s="37" t="b">
        <v>0</v>
      </c>
      <c r="F1147" s="37" t="b">
        <v>1</v>
      </c>
      <c r="G1147" s="37">
        <v>0</v>
      </c>
      <c r="H1147" s="37" t="b">
        <v>0</v>
      </c>
    </row>
    <row r="1148" spans="1:8" x14ac:dyDescent="0.3">
      <c r="A1148" s="37" t="s">
        <v>2</v>
      </c>
      <c r="B1148" s="38"/>
      <c r="E1148" s="37" t="b">
        <v>1</v>
      </c>
      <c r="F1148" s="37" t="b">
        <v>0</v>
      </c>
      <c r="G1148" s="37">
        <v>0</v>
      </c>
      <c r="H1148" s="37" t="b">
        <v>0</v>
      </c>
    </row>
    <row r="1149" spans="1:8" x14ac:dyDescent="0.3">
      <c r="A1149" s="37" t="s">
        <v>0</v>
      </c>
      <c r="B1149" s="38"/>
      <c r="E1149" s="37" t="b">
        <v>0</v>
      </c>
      <c r="F1149" s="37" t="b">
        <v>0</v>
      </c>
      <c r="G1149" s="37">
        <v>0</v>
      </c>
      <c r="H1149" s="37" t="b">
        <v>0</v>
      </c>
    </row>
    <row r="1150" spans="1:8" x14ac:dyDescent="0.3">
      <c r="A1150" s="37" t="s">
        <v>4</v>
      </c>
      <c r="B1150" s="38">
        <v>106256.8984375</v>
      </c>
      <c r="E1150" s="37" t="b">
        <v>0</v>
      </c>
      <c r="F1150" s="37" t="b">
        <v>1</v>
      </c>
      <c r="G1150" s="37">
        <v>0</v>
      </c>
      <c r="H1150" s="37" t="b">
        <v>0</v>
      </c>
    </row>
    <row r="1151" spans="1:8" x14ac:dyDescent="0.3">
      <c r="A1151" s="37" t="s">
        <v>0</v>
      </c>
      <c r="B1151" s="38">
        <v>157500</v>
      </c>
      <c r="E1151" s="37" t="b">
        <v>0</v>
      </c>
      <c r="F1151" s="37" t="b">
        <v>1</v>
      </c>
      <c r="G1151" s="37">
        <v>0</v>
      </c>
      <c r="H1151" s="37" t="b">
        <v>0</v>
      </c>
    </row>
    <row r="1152" spans="1:8" x14ac:dyDescent="0.3">
      <c r="A1152" s="37" t="s">
        <v>0</v>
      </c>
      <c r="B1152" s="38">
        <v>100750</v>
      </c>
      <c r="E1152" s="37" t="b">
        <v>0</v>
      </c>
      <c r="F1152" s="37" t="b">
        <v>1</v>
      </c>
      <c r="G1152" s="37">
        <v>0</v>
      </c>
      <c r="H1152" s="37" t="b">
        <v>0</v>
      </c>
    </row>
    <row r="1153" spans="1:8" x14ac:dyDescent="0.3">
      <c r="A1153" s="37" t="s">
        <v>0</v>
      </c>
      <c r="B1153" s="38">
        <v>180560</v>
      </c>
      <c r="E1153" s="37" t="b">
        <v>0</v>
      </c>
      <c r="F1153" s="37" t="b">
        <v>1</v>
      </c>
      <c r="G1153" s="37">
        <v>0</v>
      </c>
      <c r="H1153" s="37" t="b">
        <v>0</v>
      </c>
    </row>
    <row r="1154" spans="1:8" x14ac:dyDescent="0.3">
      <c r="A1154" s="37" t="s">
        <v>4</v>
      </c>
      <c r="B1154" s="38"/>
      <c r="E1154" s="37" t="b">
        <v>0</v>
      </c>
      <c r="F1154" s="37" t="b">
        <v>0</v>
      </c>
      <c r="G1154" s="37">
        <v>0</v>
      </c>
      <c r="H1154" s="37" t="b">
        <v>0</v>
      </c>
    </row>
    <row r="1155" spans="1:8" x14ac:dyDescent="0.3">
      <c r="A1155" s="37" t="s">
        <v>2</v>
      </c>
      <c r="B1155" s="38">
        <v>52500</v>
      </c>
      <c r="E1155" s="37" t="b">
        <v>1</v>
      </c>
      <c r="F1155" s="37" t="b">
        <v>1</v>
      </c>
      <c r="G1155" s="37">
        <v>1</v>
      </c>
      <c r="H1155" s="37">
        <v>52500</v>
      </c>
    </row>
    <row r="1156" spans="1:8" x14ac:dyDescent="0.3">
      <c r="A1156" s="37" t="s">
        <v>2</v>
      </c>
      <c r="B1156" s="38">
        <v>100000</v>
      </c>
      <c r="E1156" s="37" t="b">
        <v>1</v>
      </c>
      <c r="F1156" s="37" t="b">
        <v>1</v>
      </c>
      <c r="G1156" s="37">
        <v>1</v>
      </c>
      <c r="H1156" s="37">
        <v>100000</v>
      </c>
    </row>
    <row r="1157" spans="1:8" x14ac:dyDescent="0.3">
      <c r="A1157" s="37" t="s">
        <v>2</v>
      </c>
      <c r="B1157" s="38">
        <v>105000</v>
      </c>
      <c r="E1157" s="37" t="b">
        <v>1</v>
      </c>
      <c r="F1157" s="37" t="b">
        <v>1</v>
      </c>
      <c r="G1157" s="37">
        <v>1</v>
      </c>
      <c r="H1157" s="37">
        <v>105000</v>
      </c>
    </row>
    <row r="1158" spans="1:8" x14ac:dyDescent="0.3">
      <c r="A1158" s="37" t="s">
        <v>128</v>
      </c>
      <c r="B1158" s="38">
        <v>145000</v>
      </c>
      <c r="E1158" s="37" t="b">
        <v>0</v>
      </c>
      <c r="F1158" s="37" t="b">
        <v>1</v>
      </c>
      <c r="G1158" s="37">
        <v>0</v>
      </c>
      <c r="H1158" s="37" t="b">
        <v>0</v>
      </c>
    </row>
    <row r="1159" spans="1:8" x14ac:dyDescent="0.3">
      <c r="A1159" s="37" t="s">
        <v>2</v>
      </c>
      <c r="B1159" s="38">
        <v>80000</v>
      </c>
      <c r="E1159" s="37" t="b">
        <v>1</v>
      </c>
      <c r="F1159" s="37" t="b">
        <v>1</v>
      </c>
      <c r="G1159" s="37">
        <v>1</v>
      </c>
      <c r="H1159" s="37">
        <v>80000</v>
      </c>
    </row>
    <row r="1160" spans="1:8" x14ac:dyDescent="0.3">
      <c r="A1160" s="37" t="s">
        <v>4</v>
      </c>
      <c r="B1160" s="38">
        <v>105000</v>
      </c>
      <c r="E1160" s="37" t="b">
        <v>0</v>
      </c>
      <c r="F1160" s="37" t="b">
        <v>1</v>
      </c>
      <c r="G1160" s="37">
        <v>0</v>
      </c>
      <c r="H1160" s="37" t="b">
        <v>0</v>
      </c>
    </row>
    <row r="1161" spans="1:8" x14ac:dyDescent="0.3">
      <c r="A1161" s="37" t="s">
        <v>0</v>
      </c>
      <c r="B1161" s="38">
        <v>162500</v>
      </c>
      <c r="E1161" s="37" t="b">
        <v>0</v>
      </c>
      <c r="F1161" s="37" t="b">
        <v>1</v>
      </c>
      <c r="G1161" s="37">
        <v>0</v>
      </c>
      <c r="H1161" s="37" t="b">
        <v>0</v>
      </c>
    </row>
    <row r="1162" spans="1:8" x14ac:dyDescent="0.3">
      <c r="A1162" s="37" t="s">
        <v>128</v>
      </c>
      <c r="B1162" s="38">
        <v>181950</v>
      </c>
      <c r="E1162" s="37" t="b">
        <v>0</v>
      </c>
      <c r="F1162" s="37" t="b">
        <v>1</v>
      </c>
      <c r="G1162" s="37">
        <v>0</v>
      </c>
      <c r="H1162" s="37" t="b">
        <v>0</v>
      </c>
    </row>
    <row r="1163" spans="1:8" x14ac:dyDescent="0.3">
      <c r="A1163" s="37" t="s">
        <v>125</v>
      </c>
      <c r="B1163" s="38">
        <v>105000</v>
      </c>
      <c r="E1163" s="37" t="b">
        <v>0</v>
      </c>
      <c r="F1163" s="37" t="b">
        <v>1</v>
      </c>
      <c r="G1163" s="37">
        <v>0</v>
      </c>
      <c r="H1163" s="37" t="b">
        <v>0</v>
      </c>
    </row>
    <row r="1164" spans="1:8" x14ac:dyDescent="0.3">
      <c r="A1164" s="37" t="s">
        <v>125</v>
      </c>
      <c r="B1164" s="38">
        <v>110000</v>
      </c>
      <c r="E1164" s="37" t="b">
        <v>0</v>
      </c>
      <c r="F1164" s="37" t="b">
        <v>1</v>
      </c>
      <c r="G1164" s="37">
        <v>0</v>
      </c>
      <c r="H1164" s="37" t="b">
        <v>0</v>
      </c>
    </row>
    <row r="1165" spans="1:8" x14ac:dyDescent="0.3">
      <c r="A1165" s="37" t="s">
        <v>0</v>
      </c>
      <c r="B1165" s="38"/>
      <c r="E1165" s="37" t="b">
        <v>0</v>
      </c>
      <c r="F1165" s="37" t="b">
        <v>0</v>
      </c>
      <c r="G1165" s="37">
        <v>0</v>
      </c>
      <c r="H1165" s="37" t="b">
        <v>0</v>
      </c>
    </row>
    <row r="1166" spans="1:8" x14ac:dyDescent="0.3">
      <c r="A1166" s="37" t="s">
        <v>126</v>
      </c>
      <c r="B1166" s="38">
        <v>180000</v>
      </c>
      <c r="E1166" s="37" t="b">
        <v>0</v>
      </c>
      <c r="F1166" s="37" t="b">
        <v>1</v>
      </c>
      <c r="G1166" s="37">
        <v>0</v>
      </c>
      <c r="H1166" s="37" t="b">
        <v>0</v>
      </c>
    </row>
    <row r="1167" spans="1:8" x14ac:dyDescent="0.3">
      <c r="A1167" s="37" t="s">
        <v>2</v>
      </c>
      <c r="B1167" s="38">
        <v>95680</v>
      </c>
      <c r="E1167" s="37" t="b">
        <v>1</v>
      </c>
      <c r="F1167" s="37" t="b">
        <v>1</v>
      </c>
      <c r="G1167" s="37">
        <v>1</v>
      </c>
      <c r="H1167" s="37">
        <v>95680</v>
      </c>
    </row>
    <row r="1168" spans="1:8" x14ac:dyDescent="0.3">
      <c r="A1168" s="37" t="s">
        <v>2</v>
      </c>
      <c r="B1168" s="38"/>
      <c r="E1168" s="37" t="b">
        <v>1</v>
      </c>
      <c r="F1168" s="37" t="b">
        <v>0</v>
      </c>
      <c r="G1168" s="37">
        <v>0</v>
      </c>
      <c r="H1168" s="37" t="b">
        <v>0</v>
      </c>
    </row>
    <row r="1169" spans="1:8" x14ac:dyDescent="0.3">
      <c r="A1169" s="37" t="s">
        <v>2</v>
      </c>
      <c r="B1169" s="38">
        <v>68328.546875</v>
      </c>
      <c r="E1169" s="37" t="b">
        <v>1</v>
      </c>
      <c r="F1169" s="37" t="b">
        <v>1</v>
      </c>
      <c r="G1169" s="37">
        <v>1</v>
      </c>
      <c r="H1169" s="37">
        <v>68328.546875</v>
      </c>
    </row>
    <row r="1170" spans="1:8" x14ac:dyDescent="0.3">
      <c r="A1170" s="37" t="s">
        <v>2</v>
      </c>
      <c r="B1170" s="38"/>
      <c r="E1170" s="37" t="b">
        <v>1</v>
      </c>
      <c r="F1170" s="37" t="b">
        <v>0</v>
      </c>
      <c r="G1170" s="37">
        <v>0</v>
      </c>
      <c r="H1170" s="37" t="b">
        <v>0</v>
      </c>
    </row>
    <row r="1171" spans="1:8" x14ac:dyDescent="0.3">
      <c r="A1171" s="37" t="s">
        <v>0</v>
      </c>
      <c r="B1171" s="38">
        <v>80000</v>
      </c>
      <c r="E1171" s="37" t="b">
        <v>0</v>
      </c>
      <c r="F1171" s="37" t="b">
        <v>1</v>
      </c>
      <c r="G1171" s="37">
        <v>0</v>
      </c>
      <c r="H1171" s="37" t="b">
        <v>0</v>
      </c>
    </row>
    <row r="1172" spans="1:8" x14ac:dyDescent="0.3">
      <c r="A1172" s="37" t="s">
        <v>2</v>
      </c>
      <c r="B1172" s="38">
        <v>110000</v>
      </c>
      <c r="E1172" s="37" t="b">
        <v>1</v>
      </c>
      <c r="F1172" s="37" t="b">
        <v>1</v>
      </c>
      <c r="G1172" s="37">
        <v>1</v>
      </c>
      <c r="H1172" s="37">
        <v>110000</v>
      </c>
    </row>
    <row r="1173" spans="1:8" x14ac:dyDescent="0.3">
      <c r="A1173" s="37" t="s">
        <v>0</v>
      </c>
      <c r="B1173" s="38">
        <v>147000</v>
      </c>
      <c r="E1173" s="37" t="b">
        <v>0</v>
      </c>
      <c r="F1173" s="37" t="b">
        <v>1</v>
      </c>
      <c r="G1173" s="37">
        <v>0</v>
      </c>
      <c r="H1173" s="37" t="b">
        <v>0</v>
      </c>
    </row>
    <row r="1174" spans="1:8" x14ac:dyDescent="0.3">
      <c r="A1174" s="37" t="s">
        <v>0</v>
      </c>
      <c r="B1174" s="38">
        <v>145000</v>
      </c>
      <c r="E1174" s="37" t="b">
        <v>0</v>
      </c>
      <c r="F1174" s="37" t="b">
        <v>1</v>
      </c>
      <c r="G1174" s="37">
        <v>0</v>
      </c>
      <c r="H1174" s="37" t="b">
        <v>0</v>
      </c>
    </row>
    <row r="1175" spans="1:8" x14ac:dyDescent="0.3">
      <c r="A1175" s="37" t="s">
        <v>125</v>
      </c>
      <c r="B1175" s="38">
        <v>90000</v>
      </c>
      <c r="E1175" s="37" t="b">
        <v>0</v>
      </c>
      <c r="F1175" s="37" t="b">
        <v>1</v>
      </c>
      <c r="G1175" s="37">
        <v>0</v>
      </c>
      <c r="H1175" s="37" t="b">
        <v>0</v>
      </c>
    </row>
    <row r="1176" spans="1:8" x14ac:dyDescent="0.3">
      <c r="A1176" s="37" t="s">
        <v>128</v>
      </c>
      <c r="B1176" s="38">
        <v>58500</v>
      </c>
      <c r="E1176" s="37" t="b">
        <v>0</v>
      </c>
      <c r="F1176" s="37" t="b">
        <v>1</v>
      </c>
      <c r="G1176" s="37">
        <v>0</v>
      </c>
      <c r="H1176" s="37" t="b">
        <v>0</v>
      </c>
    </row>
    <row r="1177" spans="1:8" x14ac:dyDescent="0.3">
      <c r="A1177" s="37" t="s">
        <v>2</v>
      </c>
      <c r="B1177" s="38"/>
      <c r="E1177" s="37" t="b">
        <v>1</v>
      </c>
      <c r="F1177" s="37" t="b">
        <v>0</v>
      </c>
      <c r="G1177" s="37">
        <v>0</v>
      </c>
      <c r="H1177" s="37" t="b">
        <v>0</v>
      </c>
    </row>
    <row r="1178" spans="1:8" x14ac:dyDescent="0.3">
      <c r="A1178" s="37" t="s">
        <v>2</v>
      </c>
      <c r="B1178" s="38">
        <v>65500.6640625</v>
      </c>
      <c r="E1178" s="37" t="b">
        <v>1</v>
      </c>
      <c r="F1178" s="37" t="b">
        <v>1</v>
      </c>
      <c r="G1178" s="37">
        <v>1</v>
      </c>
      <c r="H1178" s="37">
        <v>65500.6640625</v>
      </c>
    </row>
    <row r="1179" spans="1:8" x14ac:dyDescent="0.3">
      <c r="A1179" s="37" t="s">
        <v>2</v>
      </c>
      <c r="B1179" s="38">
        <v>95680</v>
      </c>
      <c r="E1179" s="37" t="b">
        <v>1</v>
      </c>
      <c r="F1179" s="37" t="b">
        <v>1</v>
      </c>
      <c r="G1179" s="37">
        <v>1</v>
      </c>
      <c r="H1179" s="37">
        <v>95680</v>
      </c>
    </row>
    <row r="1180" spans="1:8" x14ac:dyDescent="0.3">
      <c r="A1180" s="37" t="s">
        <v>2</v>
      </c>
      <c r="B1180" s="38"/>
      <c r="E1180" s="37" t="b">
        <v>1</v>
      </c>
      <c r="F1180" s="37" t="b">
        <v>0</v>
      </c>
      <c r="G1180" s="37">
        <v>0</v>
      </c>
      <c r="H1180" s="37" t="b">
        <v>0</v>
      </c>
    </row>
    <row r="1181" spans="1:8" x14ac:dyDescent="0.3">
      <c r="A1181" s="37" t="s">
        <v>0</v>
      </c>
      <c r="B1181" s="38">
        <v>130000</v>
      </c>
      <c r="E1181" s="37" t="b">
        <v>0</v>
      </c>
      <c r="F1181" s="37" t="b">
        <v>1</v>
      </c>
      <c r="G1181" s="37">
        <v>0</v>
      </c>
      <c r="H1181" s="37" t="b">
        <v>0</v>
      </c>
    </row>
    <row r="1182" spans="1:8" x14ac:dyDescent="0.3">
      <c r="A1182" s="37" t="s">
        <v>2</v>
      </c>
      <c r="B1182" s="38">
        <v>127500</v>
      </c>
      <c r="E1182" s="37" t="b">
        <v>1</v>
      </c>
      <c r="F1182" s="37" t="b">
        <v>1</v>
      </c>
      <c r="G1182" s="37">
        <v>1</v>
      </c>
      <c r="H1182" s="37">
        <v>127500</v>
      </c>
    </row>
    <row r="1183" spans="1:8" x14ac:dyDescent="0.3">
      <c r="A1183" s="37" t="s">
        <v>2</v>
      </c>
      <c r="B1183" s="38">
        <v>105000</v>
      </c>
      <c r="E1183" s="37" t="b">
        <v>1</v>
      </c>
      <c r="F1183" s="37" t="b">
        <v>1</v>
      </c>
      <c r="G1183" s="37">
        <v>1</v>
      </c>
      <c r="H1183" s="37">
        <v>105000</v>
      </c>
    </row>
    <row r="1184" spans="1:8" x14ac:dyDescent="0.3">
      <c r="A1184" s="37" t="s">
        <v>2</v>
      </c>
      <c r="B1184" s="38">
        <v>67500</v>
      </c>
      <c r="E1184" s="37" t="b">
        <v>1</v>
      </c>
      <c r="F1184" s="37" t="b">
        <v>1</v>
      </c>
      <c r="G1184" s="37">
        <v>1</v>
      </c>
      <c r="H1184" s="37">
        <v>67500</v>
      </c>
    </row>
    <row r="1185" spans="1:8" x14ac:dyDescent="0.3">
      <c r="A1185" s="37" t="s">
        <v>0</v>
      </c>
      <c r="B1185" s="38">
        <v>114500</v>
      </c>
      <c r="E1185" s="37" t="b">
        <v>0</v>
      </c>
      <c r="F1185" s="37" t="b">
        <v>1</v>
      </c>
      <c r="G1185" s="37">
        <v>0</v>
      </c>
      <c r="H1185" s="37" t="b">
        <v>0</v>
      </c>
    </row>
    <row r="1186" spans="1:8" x14ac:dyDescent="0.3">
      <c r="A1186" s="37" t="s">
        <v>2</v>
      </c>
      <c r="B1186" s="38"/>
      <c r="E1186" s="37" t="b">
        <v>1</v>
      </c>
      <c r="F1186" s="37" t="b">
        <v>0</v>
      </c>
      <c r="G1186" s="37">
        <v>0</v>
      </c>
      <c r="H1186" s="37" t="b">
        <v>0</v>
      </c>
    </row>
    <row r="1187" spans="1:8" x14ac:dyDescent="0.3">
      <c r="A1187" s="37" t="s">
        <v>2</v>
      </c>
      <c r="B1187" s="38"/>
      <c r="E1187" s="37" t="b">
        <v>1</v>
      </c>
      <c r="F1187" s="37" t="b">
        <v>0</v>
      </c>
      <c r="G1187" s="37">
        <v>0</v>
      </c>
      <c r="H1187" s="37" t="b">
        <v>0</v>
      </c>
    </row>
    <row r="1188" spans="1:8" x14ac:dyDescent="0.3">
      <c r="A1188" s="37" t="s">
        <v>0</v>
      </c>
      <c r="B1188" s="38">
        <v>130000</v>
      </c>
      <c r="E1188" s="37" t="b">
        <v>0</v>
      </c>
      <c r="F1188" s="37" t="b">
        <v>1</v>
      </c>
      <c r="G1188" s="37">
        <v>0</v>
      </c>
      <c r="H1188" s="37" t="b">
        <v>0</v>
      </c>
    </row>
    <row r="1189" spans="1:8" x14ac:dyDescent="0.3">
      <c r="A1189" s="37" t="s">
        <v>125</v>
      </c>
      <c r="B1189" s="38">
        <v>110000</v>
      </c>
      <c r="E1189" s="37" t="b">
        <v>0</v>
      </c>
      <c r="F1189" s="37" t="b">
        <v>1</v>
      </c>
      <c r="G1189" s="37">
        <v>0</v>
      </c>
      <c r="H1189" s="37" t="b">
        <v>0</v>
      </c>
    </row>
    <row r="1190" spans="1:8" x14ac:dyDescent="0.3">
      <c r="A1190" s="37" t="s">
        <v>2</v>
      </c>
      <c r="B1190" s="38">
        <v>57500</v>
      </c>
      <c r="E1190" s="37" t="b">
        <v>1</v>
      </c>
      <c r="F1190" s="37" t="b">
        <v>1</v>
      </c>
      <c r="G1190" s="37">
        <v>1</v>
      </c>
      <c r="H1190" s="37">
        <v>57500</v>
      </c>
    </row>
    <row r="1191" spans="1:8" x14ac:dyDescent="0.3">
      <c r="A1191" s="37" t="s">
        <v>128</v>
      </c>
      <c r="B1191" s="38">
        <v>152500</v>
      </c>
      <c r="E1191" s="37" t="b">
        <v>0</v>
      </c>
      <c r="F1191" s="37" t="b">
        <v>1</v>
      </c>
      <c r="G1191" s="37">
        <v>0</v>
      </c>
      <c r="H1191" s="37" t="b">
        <v>0</v>
      </c>
    </row>
    <row r="1192" spans="1:8" x14ac:dyDescent="0.3">
      <c r="A1192" s="37" t="s">
        <v>2</v>
      </c>
      <c r="B1192" s="38">
        <v>90000</v>
      </c>
      <c r="E1192" s="37" t="b">
        <v>1</v>
      </c>
      <c r="F1192" s="37" t="b">
        <v>1</v>
      </c>
      <c r="G1192" s="37">
        <v>1</v>
      </c>
      <c r="H1192" s="37">
        <v>90000</v>
      </c>
    </row>
    <row r="1193" spans="1:8" x14ac:dyDescent="0.3">
      <c r="A1193" s="37" t="s">
        <v>0</v>
      </c>
      <c r="B1193" s="38">
        <v>126650</v>
      </c>
      <c r="E1193" s="37" t="b">
        <v>0</v>
      </c>
      <c r="F1193" s="37" t="b">
        <v>1</v>
      </c>
      <c r="G1193" s="37">
        <v>0</v>
      </c>
      <c r="H1193" s="37" t="b">
        <v>0</v>
      </c>
    </row>
    <row r="1194" spans="1:8" x14ac:dyDescent="0.3">
      <c r="A1194" s="37" t="s">
        <v>2</v>
      </c>
      <c r="B1194" s="38"/>
      <c r="E1194" s="37" t="b">
        <v>1</v>
      </c>
      <c r="F1194" s="37" t="b">
        <v>0</v>
      </c>
      <c r="G1194" s="37">
        <v>0</v>
      </c>
      <c r="H1194" s="37" t="b">
        <v>0</v>
      </c>
    </row>
    <row r="1195" spans="1:8" x14ac:dyDescent="0.3">
      <c r="A1195" s="37" t="s">
        <v>4</v>
      </c>
      <c r="B1195" s="38">
        <v>106000</v>
      </c>
      <c r="E1195" s="37" t="b">
        <v>0</v>
      </c>
      <c r="F1195" s="37" t="b">
        <v>1</v>
      </c>
      <c r="G1195" s="37">
        <v>0</v>
      </c>
      <c r="H1195" s="37" t="b">
        <v>0</v>
      </c>
    </row>
    <row r="1196" spans="1:8" x14ac:dyDescent="0.3">
      <c r="A1196" s="37" t="s">
        <v>2</v>
      </c>
      <c r="B1196" s="38">
        <v>84479</v>
      </c>
      <c r="E1196" s="37" t="b">
        <v>1</v>
      </c>
      <c r="F1196" s="37" t="b">
        <v>1</v>
      </c>
      <c r="G1196" s="37">
        <v>1</v>
      </c>
      <c r="H1196" s="37">
        <v>84479</v>
      </c>
    </row>
    <row r="1197" spans="1:8" x14ac:dyDescent="0.3">
      <c r="A1197" s="37" t="s">
        <v>0</v>
      </c>
      <c r="B1197" s="38">
        <v>100000</v>
      </c>
      <c r="E1197" s="37" t="b">
        <v>0</v>
      </c>
      <c r="F1197" s="37" t="b">
        <v>1</v>
      </c>
      <c r="G1197" s="37">
        <v>0</v>
      </c>
      <c r="H1197" s="37" t="b">
        <v>0</v>
      </c>
    </row>
    <row r="1198" spans="1:8" x14ac:dyDescent="0.3">
      <c r="A1198" s="37" t="s">
        <v>2</v>
      </c>
      <c r="B1198" s="38">
        <v>65000</v>
      </c>
      <c r="E1198" s="37" t="b">
        <v>1</v>
      </c>
      <c r="F1198" s="37" t="b">
        <v>1</v>
      </c>
      <c r="G1198" s="37">
        <v>1</v>
      </c>
      <c r="H1198" s="37">
        <v>65000</v>
      </c>
    </row>
    <row r="1199" spans="1:8" x14ac:dyDescent="0.3">
      <c r="A1199" s="37" t="s">
        <v>2</v>
      </c>
      <c r="B1199" s="38">
        <v>50289.1796875</v>
      </c>
      <c r="E1199" s="37" t="b">
        <v>1</v>
      </c>
      <c r="F1199" s="37" t="b">
        <v>1</v>
      </c>
      <c r="G1199" s="37">
        <v>1</v>
      </c>
      <c r="H1199" s="37">
        <v>50289.1796875</v>
      </c>
    </row>
    <row r="1200" spans="1:8" x14ac:dyDescent="0.3">
      <c r="A1200" s="37" t="s">
        <v>128</v>
      </c>
      <c r="B1200" s="38">
        <v>140000</v>
      </c>
      <c r="E1200" s="37" t="b">
        <v>0</v>
      </c>
      <c r="F1200" s="37" t="b">
        <v>1</v>
      </c>
      <c r="G1200" s="37">
        <v>0</v>
      </c>
      <c r="H1200" s="37" t="b">
        <v>0</v>
      </c>
    </row>
    <row r="1201" spans="1:8" x14ac:dyDescent="0.3">
      <c r="A1201" s="37" t="s">
        <v>0</v>
      </c>
      <c r="B1201" s="38"/>
      <c r="E1201" s="37" t="b">
        <v>0</v>
      </c>
      <c r="F1201" s="37" t="b">
        <v>0</v>
      </c>
      <c r="G1201" s="37">
        <v>0</v>
      </c>
      <c r="H1201" s="37" t="b">
        <v>0</v>
      </c>
    </row>
    <row r="1202" spans="1:8" x14ac:dyDescent="0.3">
      <c r="A1202" s="37" t="s">
        <v>2</v>
      </c>
      <c r="B1202" s="38">
        <v>115791.5</v>
      </c>
      <c r="E1202" s="37" t="b">
        <v>1</v>
      </c>
      <c r="F1202" s="37" t="b">
        <v>1</v>
      </c>
      <c r="G1202" s="37">
        <v>1</v>
      </c>
      <c r="H1202" s="37">
        <v>115791.5</v>
      </c>
    </row>
    <row r="1203" spans="1:8" x14ac:dyDescent="0.3">
      <c r="A1203" s="37" t="s">
        <v>128</v>
      </c>
      <c r="B1203" s="38">
        <v>210000</v>
      </c>
      <c r="E1203" s="37" t="b">
        <v>0</v>
      </c>
      <c r="F1203" s="37" t="b">
        <v>1</v>
      </c>
      <c r="G1203" s="37">
        <v>0</v>
      </c>
      <c r="H1203" s="37" t="b">
        <v>0</v>
      </c>
    </row>
    <row r="1204" spans="1:8" x14ac:dyDescent="0.3">
      <c r="A1204" s="37" t="s">
        <v>2</v>
      </c>
      <c r="B1204" s="38">
        <v>110000</v>
      </c>
      <c r="E1204" s="37" t="b">
        <v>1</v>
      </c>
      <c r="F1204" s="37" t="b">
        <v>1</v>
      </c>
      <c r="G1204" s="37">
        <v>1</v>
      </c>
      <c r="H1204" s="37">
        <v>110000</v>
      </c>
    </row>
    <row r="1205" spans="1:8" x14ac:dyDescent="0.3">
      <c r="A1205" s="37" t="s">
        <v>125</v>
      </c>
      <c r="B1205" s="38">
        <v>100000</v>
      </c>
      <c r="E1205" s="37" t="b">
        <v>0</v>
      </c>
      <c r="F1205" s="37" t="b">
        <v>1</v>
      </c>
      <c r="G1205" s="37">
        <v>0</v>
      </c>
      <c r="H1205" s="37" t="b">
        <v>0</v>
      </c>
    </row>
    <row r="1206" spans="1:8" x14ac:dyDescent="0.3">
      <c r="A1206" s="37" t="s">
        <v>2</v>
      </c>
      <c r="B1206" s="38">
        <v>110000</v>
      </c>
      <c r="E1206" s="37" t="b">
        <v>1</v>
      </c>
      <c r="F1206" s="37" t="b">
        <v>1</v>
      </c>
      <c r="G1206" s="37">
        <v>1</v>
      </c>
      <c r="H1206" s="37">
        <v>110000</v>
      </c>
    </row>
    <row r="1207" spans="1:8" x14ac:dyDescent="0.3">
      <c r="A1207" s="37" t="s">
        <v>2</v>
      </c>
      <c r="B1207" s="38">
        <v>62500</v>
      </c>
      <c r="E1207" s="37" t="b">
        <v>1</v>
      </c>
      <c r="F1207" s="37" t="b">
        <v>1</v>
      </c>
      <c r="G1207" s="37">
        <v>1</v>
      </c>
      <c r="H1207" s="37">
        <v>62500</v>
      </c>
    </row>
    <row r="1208" spans="1:8" x14ac:dyDescent="0.3">
      <c r="A1208" s="37" t="s">
        <v>2</v>
      </c>
      <c r="B1208" s="38">
        <v>62500</v>
      </c>
      <c r="E1208" s="37" t="b">
        <v>1</v>
      </c>
      <c r="F1208" s="37" t="b">
        <v>1</v>
      </c>
      <c r="G1208" s="37">
        <v>1</v>
      </c>
      <c r="H1208" s="37">
        <v>62500</v>
      </c>
    </row>
    <row r="1209" spans="1:8" x14ac:dyDescent="0.3">
      <c r="A1209" s="37" t="s">
        <v>2</v>
      </c>
      <c r="B1209" s="38"/>
      <c r="E1209" s="37" t="b">
        <v>1</v>
      </c>
      <c r="F1209" s="37" t="b">
        <v>0</v>
      </c>
      <c r="G1209" s="37">
        <v>0</v>
      </c>
      <c r="H1209" s="37" t="b">
        <v>0</v>
      </c>
    </row>
    <row r="1210" spans="1:8" x14ac:dyDescent="0.3">
      <c r="A1210" s="37" t="s">
        <v>4</v>
      </c>
      <c r="B1210" s="38">
        <v>105000</v>
      </c>
      <c r="E1210" s="37" t="b">
        <v>0</v>
      </c>
      <c r="F1210" s="37" t="b">
        <v>1</v>
      </c>
      <c r="G1210" s="37">
        <v>0</v>
      </c>
      <c r="H1210" s="37" t="b">
        <v>0</v>
      </c>
    </row>
    <row r="1211" spans="1:8" x14ac:dyDescent="0.3">
      <c r="A1211" s="37" t="s">
        <v>125</v>
      </c>
      <c r="B1211" s="38">
        <v>96000</v>
      </c>
      <c r="E1211" s="37" t="b">
        <v>0</v>
      </c>
      <c r="F1211" s="37" t="b">
        <v>1</v>
      </c>
      <c r="G1211" s="37">
        <v>0</v>
      </c>
      <c r="H1211" s="37" t="b">
        <v>0</v>
      </c>
    </row>
    <row r="1212" spans="1:8" x14ac:dyDescent="0.3">
      <c r="A1212" s="37" t="s">
        <v>2</v>
      </c>
      <c r="B1212" s="38"/>
      <c r="E1212" s="37" t="b">
        <v>1</v>
      </c>
      <c r="F1212" s="37" t="b">
        <v>0</v>
      </c>
      <c r="G1212" s="37">
        <v>0</v>
      </c>
      <c r="H1212" s="37" t="b">
        <v>0</v>
      </c>
    </row>
    <row r="1213" spans="1:8" x14ac:dyDescent="0.3">
      <c r="A1213" s="37" t="s">
        <v>0</v>
      </c>
      <c r="B1213" s="38">
        <v>86000</v>
      </c>
      <c r="E1213" s="37" t="b">
        <v>0</v>
      </c>
      <c r="F1213" s="37" t="b">
        <v>1</v>
      </c>
      <c r="G1213" s="37">
        <v>0</v>
      </c>
      <c r="H1213" s="37" t="b">
        <v>0</v>
      </c>
    </row>
    <row r="1214" spans="1:8" x14ac:dyDescent="0.3">
      <c r="A1214" s="37" t="s">
        <v>2</v>
      </c>
      <c r="B1214" s="38">
        <v>93670</v>
      </c>
      <c r="E1214" s="37" t="b">
        <v>1</v>
      </c>
      <c r="F1214" s="37" t="b">
        <v>1</v>
      </c>
      <c r="G1214" s="37">
        <v>1</v>
      </c>
      <c r="H1214" s="37">
        <v>93670</v>
      </c>
    </row>
    <row r="1215" spans="1:8" x14ac:dyDescent="0.3">
      <c r="A1215" s="37" t="s">
        <v>2</v>
      </c>
      <c r="B1215" s="38">
        <v>64140</v>
      </c>
      <c r="E1215" s="37" t="b">
        <v>1</v>
      </c>
      <c r="F1215" s="37" t="b">
        <v>1</v>
      </c>
      <c r="G1215" s="37">
        <v>1</v>
      </c>
      <c r="H1215" s="37">
        <v>64140</v>
      </c>
    </row>
    <row r="1216" spans="1:8" x14ac:dyDescent="0.3">
      <c r="A1216" s="37" t="s">
        <v>2</v>
      </c>
      <c r="B1216" s="38"/>
      <c r="E1216" s="37" t="b">
        <v>1</v>
      </c>
      <c r="F1216" s="37" t="b">
        <v>0</v>
      </c>
      <c r="G1216" s="37">
        <v>0</v>
      </c>
      <c r="H1216" s="37" t="b">
        <v>0</v>
      </c>
    </row>
    <row r="1217" spans="1:8" x14ac:dyDescent="0.3">
      <c r="A1217" s="37" t="s">
        <v>126</v>
      </c>
      <c r="B1217" s="38">
        <v>135000</v>
      </c>
      <c r="E1217" s="37" t="b">
        <v>0</v>
      </c>
      <c r="F1217" s="37" t="b">
        <v>1</v>
      </c>
      <c r="G1217" s="37">
        <v>0</v>
      </c>
      <c r="H1217" s="37" t="b">
        <v>0</v>
      </c>
    </row>
    <row r="1218" spans="1:8" x14ac:dyDescent="0.3">
      <c r="A1218" s="37" t="s">
        <v>2</v>
      </c>
      <c r="B1218" s="38">
        <v>90792</v>
      </c>
      <c r="E1218" s="37" t="b">
        <v>1</v>
      </c>
      <c r="F1218" s="37" t="b">
        <v>1</v>
      </c>
      <c r="G1218" s="37">
        <v>1</v>
      </c>
      <c r="H1218" s="37">
        <v>90792</v>
      </c>
    </row>
    <row r="1219" spans="1:8" x14ac:dyDescent="0.3">
      <c r="A1219" s="37" t="s">
        <v>2</v>
      </c>
      <c r="B1219" s="38"/>
      <c r="E1219" s="37" t="b">
        <v>1</v>
      </c>
      <c r="F1219" s="37" t="b">
        <v>0</v>
      </c>
      <c r="G1219" s="37">
        <v>0</v>
      </c>
      <c r="H1219" s="37" t="b">
        <v>0</v>
      </c>
    </row>
    <row r="1220" spans="1:8" x14ac:dyDescent="0.3">
      <c r="A1220" s="37" t="s">
        <v>125</v>
      </c>
      <c r="B1220" s="38">
        <v>126000</v>
      </c>
      <c r="E1220" s="37" t="b">
        <v>0</v>
      </c>
      <c r="F1220" s="37" t="b">
        <v>1</v>
      </c>
      <c r="G1220" s="37">
        <v>0</v>
      </c>
      <c r="H1220" s="37" t="b">
        <v>0</v>
      </c>
    </row>
    <row r="1221" spans="1:8" x14ac:dyDescent="0.3">
      <c r="A1221" s="37" t="s">
        <v>2</v>
      </c>
      <c r="B1221" s="38">
        <v>50000</v>
      </c>
      <c r="E1221" s="37" t="b">
        <v>1</v>
      </c>
      <c r="F1221" s="37" t="b">
        <v>1</v>
      </c>
      <c r="G1221" s="37">
        <v>1</v>
      </c>
      <c r="H1221" s="37">
        <v>50000</v>
      </c>
    </row>
    <row r="1222" spans="1:8" x14ac:dyDescent="0.3">
      <c r="A1222" s="37" t="s">
        <v>2</v>
      </c>
      <c r="B1222" s="38">
        <v>89300</v>
      </c>
      <c r="E1222" s="37" t="b">
        <v>1</v>
      </c>
      <c r="F1222" s="37" t="b">
        <v>1</v>
      </c>
      <c r="G1222" s="37">
        <v>1</v>
      </c>
      <c r="H1222" s="37">
        <v>89300</v>
      </c>
    </row>
    <row r="1223" spans="1:8" x14ac:dyDescent="0.3">
      <c r="A1223" s="37" t="s">
        <v>2</v>
      </c>
      <c r="B1223" s="38">
        <v>81550</v>
      </c>
      <c r="E1223" s="37" t="b">
        <v>1</v>
      </c>
      <c r="F1223" s="37" t="b">
        <v>1</v>
      </c>
      <c r="G1223" s="37">
        <v>1</v>
      </c>
      <c r="H1223" s="37">
        <v>81550</v>
      </c>
    </row>
    <row r="1224" spans="1:8" x14ac:dyDescent="0.3">
      <c r="A1224" s="37" t="s">
        <v>2</v>
      </c>
      <c r="B1224" s="38"/>
      <c r="E1224" s="37" t="b">
        <v>1</v>
      </c>
      <c r="F1224" s="37" t="b">
        <v>0</v>
      </c>
      <c r="G1224" s="37">
        <v>0</v>
      </c>
      <c r="H1224" s="37" t="b">
        <v>0</v>
      </c>
    </row>
    <row r="1225" spans="1:8" x14ac:dyDescent="0.3">
      <c r="A1225" s="37" t="s">
        <v>2</v>
      </c>
      <c r="B1225" s="38"/>
      <c r="E1225" s="37" t="b">
        <v>1</v>
      </c>
      <c r="F1225" s="37" t="b">
        <v>0</v>
      </c>
      <c r="G1225" s="37">
        <v>0</v>
      </c>
      <c r="H1225" s="37" t="b">
        <v>0</v>
      </c>
    </row>
    <row r="1226" spans="1:8" x14ac:dyDescent="0.3">
      <c r="A1226" s="37" t="s">
        <v>0</v>
      </c>
      <c r="B1226" s="38">
        <v>212500</v>
      </c>
      <c r="E1226" s="37" t="b">
        <v>0</v>
      </c>
      <c r="F1226" s="37" t="b">
        <v>1</v>
      </c>
      <c r="G1226" s="37">
        <v>0</v>
      </c>
      <c r="H1226" s="37" t="b">
        <v>0</v>
      </c>
    </row>
    <row r="1227" spans="1:8" x14ac:dyDescent="0.3">
      <c r="A1227" s="37" t="s">
        <v>2</v>
      </c>
      <c r="B1227" s="38">
        <v>95000</v>
      </c>
      <c r="E1227" s="37" t="b">
        <v>1</v>
      </c>
      <c r="F1227" s="37" t="b">
        <v>1</v>
      </c>
      <c r="G1227" s="37">
        <v>1</v>
      </c>
      <c r="H1227" s="37">
        <v>95000</v>
      </c>
    </row>
    <row r="1228" spans="1:8" x14ac:dyDescent="0.3">
      <c r="A1228" s="37" t="s">
        <v>2</v>
      </c>
      <c r="B1228" s="38">
        <v>55080</v>
      </c>
      <c r="E1228" s="37" t="b">
        <v>1</v>
      </c>
      <c r="F1228" s="37" t="b">
        <v>1</v>
      </c>
      <c r="G1228" s="37">
        <v>1</v>
      </c>
      <c r="H1228" s="37">
        <v>55080</v>
      </c>
    </row>
    <row r="1229" spans="1:8" x14ac:dyDescent="0.3">
      <c r="A1229" s="37" t="s">
        <v>0</v>
      </c>
      <c r="B1229" s="38">
        <v>90000</v>
      </c>
      <c r="E1229" s="37" t="b">
        <v>0</v>
      </c>
      <c r="F1229" s="37" t="b">
        <v>1</v>
      </c>
      <c r="G1229" s="37">
        <v>0</v>
      </c>
      <c r="H1229" s="37" t="b">
        <v>0</v>
      </c>
    </row>
    <row r="1230" spans="1:8" x14ac:dyDescent="0.3">
      <c r="A1230" s="37" t="s">
        <v>4</v>
      </c>
      <c r="B1230" s="38">
        <v>137290.484375</v>
      </c>
      <c r="E1230" s="37" t="b">
        <v>0</v>
      </c>
      <c r="F1230" s="37" t="b">
        <v>1</v>
      </c>
      <c r="G1230" s="37">
        <v>0</v>
      </c>
      <c r="H1230" s="37" t="b">
        <v>0</v>
      </c>
    </row>
    <row r="1231" spans="1:8" x14ac:dyDescent="0.3">
      <c r="A1231" s="37" t="s">
        <v>2</v>
      </c>
      <c r="B1231" s="38"/>
      <c r="E1231" s="37" t="b">
        <v>1</v>
      </c>
      <c r="F1231" s="37" t="b">
        <v>0</v>
      </c>
      <c r="G1231" s="37">
        <v>0</v>
      </c>
      <c r="H1231" s="37" t="b">
        <v>0</v>
      </c>
    </row>
    <row r="1232" spans="1:8" x14ac:dyDescent="0.3">
      <c r="A1232" s="37" t="s">
        <v>2</v>
      </c>
      <c r="B1232" s="38">
        <v>97500</v>
      </c>
      <c r="E1232" s="37" t="b">
        <v>1</v>
      </c>
      <c r="F1232" s="37" t="b">
        <v>1</v>
      </c>
      <c r="G1232" s="37">
        <v>1</v>
      </c>
      <c r="H1232" s="37">
        <v>97500</v>
      </c>
    </row>
    <row r="1233" spans="1:8" x14ac:dyDescent="0.3">
      <c r="A1233" s="37" t="s">
        <v>0</v>
      </c>
      <c r="B1233" s="38">
        <v>94000</v>
      </c>
      <c r="E1233" s="37" t="b">
        <v>0</v>
      </c>
      <c r="F1233" s="37" t="b">
        <v>1</v>
      </c>
      <c r="G1233" s="37">
        <v>0</v>
      </c>
      <c r="H1233" s="37" t="b">
        <v>0</v>
      </c>
    </row>
    <row r="1234" spans="1:8" x14ac:dyDescent="0.3">
      <c r="A1234" s="37" t="s">
        <v>2</v>
      </c>
      <c r="B1234" s="38"/>
      <c r="E1234" s="37" t="b">
        <v>1</v>
      </c>
      <c r="F1234" s="37" t="b">
        <v>0</v>
      </c>
      <c r="G1234" s="37">
        <v>0</v>
      </c>
      <c r="H1234" s="37" t="b">
        <v>0</v>
      </c>
    </row>
    <row r="1235" spans="1:8" x14ac:dyDescent="0.3">
      <c r="A1235" s="37" t="s">
        <v>2</v>
      </c>
      <c r="B1235" s="38"/>
      <c r="E1235" s="37" t="b">
        <v>1</v>
      </c>
      <c r="F1235" s="37" t="b">
        <v>0</v>
      </c>
      <c r="G1235" s="37">
        <v>0</v>
      </c>
      <c r="H1235" s="37" t="b">
        <v>0</v>
      </c>
    </row>
    <row r="1236" spans="1:8" x14ac:dyDescent="0.3">
      <c r="A1236" s="37" t="s">
        <v>0</v>
      </c>
      <c r="B1236" s="38"/>
      <c r="E1236" s="37" t="b">
        <v>0</v>
      </c>
      <c r="F1236" s="37" t="b">
        <v>0</v>
      </c>
      <c r="G1236" s="37">
        <v>0</v>
      </c>
      <c r="H1236" s="37" t="b">
        <v>0</v>
      </c>
    </row>
    <row r="1237" spans="1:8" x14ac:dyDescent="0.3">
      <c r="A1237" s="37" t="s">
        <v>0</v>
      </c>
      <c r="B1237" s="38">
        <v>232500</v>
      </c>
      <c r="E1237" s="37" t="b">
        <v>0</v>
      </c>
      <c r="F1237" s="37" t="b">
        <v>1</v>
      </c>
      <c r="G1237" s="37">
        <v>0</v>
      </c>
      <c r="H1237" s="37" t="b">
        <v>0</v>
      </c>
    </row>
    <row r="1238" spans="1:8" x14ac:dyDescent="0.3">
      <c r="A1238" s="37" t="s">
        <v>0</v>
      </c>
      <c r="B1238" s="38">
        <v>105000</v>
      </c>
      <c r="E1238" s="37" t="b">
        <v>0</v>
      </c>
      <c r="F1238" s="37" t="b">
        <v>1</v>
      </c>
      <c r="G1238" s="37">
        <v>0</v>
      </c>
      <c r="H1238" s="37" t="b">
        <v>0</v>
      </c>
    </row>
    <row r="1239" spans="1:8" x14ac:dyDescent="0.3">
      <c r="A1239" s="37" t="s">
        <v>0</v>
      </c>
      <c r="B1239" s="38">
        <v>125000</v>
      </c>
      <c r="E1239" s="37" t="b">
        <v>0</v>
      </c>
      <c r="F1239" s="37" t="b">
        <v>1</v>
      </c>
      <c r="G1239" s="37">
        <v>0</v>
      </c>
      <c r="H1239" s="37" t="b">
        <v>0</v>
      </c>
    </row>
    <row r="1240" spans="1:8" x14ac:dyDescent="0.3">
      <c r="A1240" s="37" t="s">
        <v>2</v>
      </c>
      <c r="B1240" s="38">
        <v>65000</v>
      </c>
      <c r="E1240" s="37" t="b">
        <v>1</v>
      </c>
      <c r="F1240" s="37" t="b">
        <v>1</v>
      </c>
      <c r="G1240" s="37">
        <v>1</v>
      </c>
      <c r="H1240" s="37">
        <v>65000</v>
      </c>
    </row>
    <row r="1241" spans="1:8" x14ac:dyDescent="0.3">
      <c r="A1241" s="37" t="s">
        <v>2</v>
      </c>
      <c r="B1241" s="38">
        <v>80000</v>
      </c>
      <c r="E1241" s="37" t="b">
        <v>1</v>
      </c>
      <c r="F1241" s="37" t="b">
        <v>1</v>
      </c>
      <c r="G1241" s="37">
        <v>1</v>
      </c>
      <c r="H1241" s="37">
        <v>80000</v>
      </c>
    </row>
    <row r="1242" spans="1:8" x14ac:dyDescent="0.3">
      <c r="A1242" s="37" t="s">
        <v>0</v>
      </c>
      <c r="B1242" s="38">
        <v>135233.34375</v>
      </c>
      <c r="E1242" s="37" t="b">
        <v>0</v>
      </c>
      <c r="F1242" s="37" t="b">
        <v>1</v>
      </c>
      <c r="G1242" s="37">
        <v>0</v>
      </c>
      <c r="H1242" s="37" t="b">
        <v>0</v>
      </c>
    </row>
    <row r="1243" spans="1:8" x14ac:dyDescent="0.3">
      <c r="A1243" s="37" t="s">
        <v>0</v>
      </c>
      <c r="B1243" s="38">
        <v>247500</v>
      </c>
      <c r="E1243" s="37" t="b">
        <v>0</v>
      </c>
      <c r="F1243" s="37" t="b">
        <v>1</v>
      </c>
      <c r="G1243" s="37">
        <v>0</v>
      </c>
      <c r="H1243" s="37" t="b">
        <v>0</v>
      </c>
    </row>
    <row r="1244" spans="1:8" x14ac:dyDescent="0.3">
      <c r="A1244" s="37" t="s">
        <v>128</v>
      </c>
      <c r="B1244" s="38">
        <v>168000</v>
      </c>
      <c r="E1244" s="37" t="b">
        <v>0</v>
      </c>
      <c r="F1244" s="37" t="b">
        <v>1</v>
      </c>
      <c r="G1244" s="37">
        <v>0</v>
      </c>
      <c r="H1244" s="37" t="b">
        <v>0</v>
      </c>
    </row>
    <row r="1245" spans="1:8" x14ac:dyDescent="0.3">
      <c r="A1245" s="37" t="s">
        <v>0</v>
      </c>
      <c r="B1245" s="38">
        <v>107789.5</v>
      </c>
      <c r="E1245" s="37" t="b">
        <v>0</v>
      </c>
      <c r="F1245" s="37" t="b">
        <v>1</v>
      </c>
      <c r="G1245" s="37">
        <v>0</v>
      </c>
      <c r="H1245" s="37" t="b">
        <v>0</v>
      </c>
    </row>
    <row r="1246" spans="1:8" x14ac:dyDescent="0.3">
      <c r="A1246" s="37" t="s">
        <v>2</v>
      </c>
      <c r="B1246" s="38"/>
      <c r="E1246" s="37" t="b">
        <v>1</v>
      </c>
      <c r="F1246" s="37" t="b">
        <v>0</v>
      </c>
      <c r="G1246" s="37">
        <v>0</v>
      </c>
      <c r="H1246" s="37" t="b">
        <v>0</v>
      </c>
    </row>
    <row r="1247" spans="1:8" x14ac:dyDescent="0.3">
      <c r="A1247" s="37" t="s">
        <v>0</v>
      </c>
      <c r="B1247" s="38"/>
      <c r="E1247" s="37" t="b">
        <v>0</v>
      </c>
      <c r="F1247" s="37" t="b">
        <v>0</v>
      </c>
      <c r="G1247" s="37">
        <v>0</v>
      </c>
      <c r="H1247" s="37" t="b">
        <v>0</v>
      </c>
    </row>
    <row r="1248" spans="1:8" x14ac:dyDescent="0.3">
      <c r="A1248" s="37" t="s">
        <v>2</v>
      </c>
      <c r="B1248" s="38">
        <v>60000</v>
      </c>
      <c r="E1248" s="37" t="b">
        <v>1</v>
      </c>
      <c r="F1248" s="37" t="b">
        <v>1</v>
      </c>
      <c r="G1248" s="37">
        <v>1</v>
      </c>
      <c r="H1248" s="37">
        <v>60000</v>
      </c>
    </row>
    <row r="1249" spans="1:8" x14ac:dyDescent="0.3">
      <c r="A1249" s="37" t="s">
        <v>2</v>
      </c>
      <c r="B1249" s="38"/>
      <c r="E1249" s="37" t="b">
        <v>1</v>
      </c>
      <c r="F1249" s="37" t="b">
        <v>0</v>
      </c>
      <c r="G1249" s="37">
        <v>0</v>
      </c>
      <c r="H1249" s="37" t="b">
        <v>0</v>
      </c>
    </row>
    <row r="1250" spans="1:8" x14ac:dyDescent="0.3">
      <c r="A1250" s="37" t="s">
        <v>2</v>
      </c>
      <c r="B1250" s="38"/>
      <c r="E1250" s="37" t="b">
        <v>1</v>
      </c>
      <c r="F1250" s="37" t="b">
        <v>0</v>
      </c>
      <c r="G1250" s="37">
        <v>0</v>
      </c>
      <c r="H1250" s="37" t="b">
        <v>0</v>
      </c>
    </row>
    <row r="1251" spans="1:8" x14ac:dyDescent="0.3">
      <c r="A1251" s="37" t="s">
        <v>2</v>
      </c>
      <c r="B1251" s="38">
        <v>60000</v>
      </c>
      <c r="E1251" s="37" t="b">
        <v>1</v>
      </c>
      <c r="F1251" s="37" t="b">
        <v>1</v>
      </c>
      <c r="G1251" s="37">
        <v>1</v>
      </c>
      <c r="H1251" s="37">
        <v>60000</v>
      </c>
    </row>
    <row r="1252" spans="1:8" x14ac:dyDescent="0.3">
      <c r="A1252" s="37" t="s">
        <v>2</v>
      </c>
      <c r="B1252" s="38">
        <v>61313.82421875</v>
      </c>
      <c r="E1252" s="37" t="b">
        <v>1</v>
      </c>
      <c r="F1252" s="37" t="b">
        <v>1</v>
      </c>
      <c r="G1252" s="37">
        <v>1</v>
      </c>
      <c r="H1252" s="37">
        <v>61313.82421875</v>
      </c>
    </row>
    <row r="1253" spans="1:8" x14ac:dyDescent="0.3">
      <c r="A1253" s="37" t="s">
        <v>0</v>
      </c>
      <c r="B1253" s="38">
        <v>110000</v>
      </c>
      <c r="E1253" s="37" t="b">
        <v>0</v>
      </c>
      <c r="F1253" s="37" t="b">
        <v>1</v>
      </c>
      <c r="G1253" s="37">
        <v>0</v>
      </c>
      <c r="H1253" s="37" t="b">
        <v>0</v>
      </c>
    </row>
    <row r="1254" spans="1:8" x14ac:dyDescent="0.3">
      <c r="A1254" s="37" t="s">
        <v>2</v>
      </c>
      <c r="B1254" s="38"/>
      <c r="E1254" s="37" t="b">
        <v>1</v>
      </c>
      <c r="F1254" s="37" t="b">
        <v>0</v>
      </c>
      <c r="G1254" s="37">
        <v>0</v>
      </c>
      <c r="H1254" s="37" t="b">
        <v>0</v>
      </c>
    </row>
    <row r="1255" spans="1:8" x14ac:dyDescent="0.3">
      <c r="A1255" s="37" t="s">
        <v>128</v>
      </c>
      <c r="B1255" s="38"/>
      <c r="E1255" s="37" t="b">
        <v>0</v>
      </c>
      <c r="F1255" s="37" t="b">
        <v>0</v>
      </c>
      <c r="G1255" s="37">
        <v>0</v>
      </c>
      <c r="H1255" s="37" t="b">
        <v>0</v>
      </c>
    </row>
    <row r="1256" spans="1:8" x14ac:dyDescent="0.3">
      <c r="A1256" s="37" t="s">
        <v>4</v>
      </c>
      <c r="B1256" s="38"/>
      <c r="E1256" s="37" t="b">
        <v>0</v>
      </c>
      <c r="F1256" s="37" t="b">
        <v>0</v>
      </c>
      <c r="G1256" s="37">
        <v>0</v>
      </c>
      <c r="H1256" s="37" t="b">
        <v>0</v>
      </c>
    </row>
    <row r="1257" spans="1:8" x14ac:dyDescent="0.3">
      <c r="A1257" s="37" t="s">
        <v>2</v>
      </c>
      <c r="B1257" s="38">
        <v>113000</v>
      </c>
      <c r="E1257" s="37" t="b">
        <v>1</v>
      </c>
      <c r="F1257" s="37" t="b">
        <v>1</v>
      </c>
      <c r="G1257" s="37">
        <v>1</v>
      </c>
      <c r="H1257" s="37">
        <v>113000</v>
      </c>
    </row>
    <row r="1258" spans="1:8" x14ac:dyDescent="0.3">
      <c r="A1258" s="37" t="s">
        <v>0</v>
      </c>
      <c r="B1258" s="38">
        <v>112500</v>
      </c>
      <c r="E1258" s="37" t="b">
        <v>0</v>
      </c>
      <c r="F1258" s="37" t="b">
        <v>1</v>
      </c>
      <c r="G1258" s="37">
        <v>0</v>
      </c>
      <c r="H1258" s="37" t="b">
        <v>0</v>
      </c>
    </row>
    <row r="1259" spans="1:8" x14ac:dyDescent="0.3">
      <c r="A1259" s="37" t="s">
        <v>2</v>
      </c>
      <c r="B1259" s="38"/>
      <c r="E1259" s="37" t="b">
        <v>1</v>
      </c>
      <c r="F1259" s="37" t="b">
        <v>0</v>
      </c>
      <c r="G1259" s="37">
        <v>0</v>
      </c>
      <c r="H1259" s="37" t="b">
        <v>0</v>
      </c>
    </row>
    <row r="1260" spans="1:8" x14ac:dyDescent="0.3">
      <c r="A1260" s="37" t="s">
        <v>2</v>
      </c>
      <c r="B1260" s="38">
        <v>73453</v>
      </c>
      <c r="E1260" s="37" t="b">
        <v>1</v>
      </c>
      <c r="F1260" s="37" t="b">
        <v>1</v>
      </c>
      <c r="G1260" s="37">
        <v>1</v>
      </c>
      <c r="H1260" s="37">
        <v>73453</v>
      </c>
    </row>
    <row r="1261" spans="1:8" x14ac:dyDescent="0.3">
      <c r="A1261" s="37" t="s">
        <v>0</v>
      </c>
      <c r="B1261" s="38">
        <v>105000</v>
      </c>
      <c r="E1261" s="37" t="b">
        <v>0</v>
      </c>
      <c r="F1261" s="37" t="b">
        <v>1</v>
      </c>
      <c r="G1261" s="37">
        <v>0</v>
      </c>
      <c r="H1261" s="37" t="b">
        <v>0</v>
      </c>
    </row>
    <row r="1262" spans="1:8" x14ac:dyDescent="0.3">
      <c r="A1262" s="37" t="s">
        <v>4</v>
      </c>
      <c r="B1262" s="38"/>
      <c r="E1262" s="37" t="b">
        <v>0</v>
      </c>
      <c r="F1262" s="37" t="b">
        <v>0</v>
      </c>
      <c r="G1262" s="37">
        <v>0</v>
      </c>
      <c r="H1262" s="37" t="b">
        <v>0</v>
      </c>
    </row>
    <row r="1263" spans="1:8" x14ac:dyDescent="0.3">
      <c r="A1263" s="37" t="s">
        <v>0</v>
      </c>
      <c r="B1263" s="38">
        <v>135000</v>
      </c>
      <c r="E1263" s="37" t="b">
        <v>0</v>
      </c>
      <c r="F1263" s="37" t="b">
        <v>1</v>
      </c>
      <c r="G1263" s="37">
        <v>0</v>
      </c>
      <c r="H1263" s="37" t="b">
        <v>0</v>
      </c>
    </row>
    <row r="1264" spans="1:8" x14ac:dyDescent="0.3">
      <c r="A1264" s="37" t="s">
        <v>0</v>
      </c>
      <c r="B1264" s="38">
        <v>105000</v>
      </c>
      <c r="E1264" s="37" t="b">
        <v>0</v>
      </c>
      <c r="F1264" s="37" t="b">
        <v>1</v>
      </c>
      <c r="G1264" s="37">
        <v>0</v>
      </c>
      <c r="H1264" s="37" t="b">
        <v>0</v>
      </c>
    </row>
    <row r="1265" spans="1:8" x14ac:dyDescent="0.3">
      <c r="A1265" s="37" t="s">
        <v>2</v>
      </c>
      <c r="B1265" s="38">
        <v>125000</v>
      </c>
      <c r="E1265" s="37" t="b">
        <v>1</v>
      </c>
      <c r="F1265" s="37" t="b">
        <v>1</v>
      </c>
      <c r="G1265" s="37">
        <v>1</v>
      </c>
      <c r="H1265" s="37">
        <v>125000</v>
      </c>
    </row>
    <row r="1266" spans="1:8" x14ac:dyDescent="0.3">
      <c r="A1266" s="37" t="s">
        <v>0</v>
      </c>
      <c r="B1266" s="38">
        <v>145000</v>
      </c>
      <c r="E1266" s="37" t="b">
        <v>0</v>
      </c>
      <c r="F1266" s="37" t="b">
        <v>1</v>
      </c>
      <c r="G1266" s="37">
        <v>0</v>
      </c>
      <c r="H1266" s="37" t="b">
        <v>0</v>
      </c>
    </row>
    <row r="1267" spans="1:8" x14ac:dyDescent="0.3">
      <c r="A1267" s="37" t="s">
        <v>125</v>
      </c>
      <c r="B1267" s="38"/>
      <c r="E1267" s="37" t="b">
        <v>0</v>
      </c>
      <c r="F1267" s="37" t="b">
        <v>0</v>
      </c>
      <c r="G1267" s="37">
        <v>0</v>
      </c>
      <c r="H1267" s="37" t="b">
        <v>0</v>
      </c>
    </row>
    <row r="1268" spans="1:8" x14ac:dyDescent="0.3">
      <c r="A1268" s="37" t="s">
        <v>2</v>
      </c>
      <c r="B1268" s="38"/>
      <c r="E1268" s="37" t="b">
        <v>1</v>
      </c>
      <c r="F1268" s="37" t="b">
        <v>0</v>
      </c>
      <c r="G1268" s="37">
        <v>0</v>
      </c>
      <c r="H1268" s="37" t="b">
        <v>0</v>
      </c>
    </row>
    <row r="1269" spans="1:8" x14ac:dyDescent="0.3">
      <c r="A1269" s="37" t="s">
        <v>2</v>
      </c>
      <c r="B1269" s="38">
        <v>55000</v>
      </c>
      <c r="E1269" s="37" t="b">
        <v>1</v>
      </c>
      <c r="F1269" s="37" t="b">
        <v>1</v>
      </c>
      <c r="G1269" s="37">
        <v>1</v>
      </c>
      <c r="H1269" s="37">
        <v>55000</v>
      </c>
    </row>
    <row r="1270" spans="1:8" x14ac:dyDescent="0.3">
      <c r="A1270" s="37" t="s">
        <v>4</v>
      </c>
      <c r="B1270" s="38"/>
      <c r="E1270" s="37" t="b">
        <v>0</v>
      </c>
      <c r="F1270" s="37" t="b">
        <v>0</v>
      </c>
      <c r="G1270" s="37">
        <v>0</v>
      </c>
      <c r="H1270" s="37" t="b">
        <v>0</v>
      </c>
    </row>
    <row r="1271" spans="1:8" x14ac:dyDescent="0.3">
      <c r="A1271" s="37" t="s">
        <v>128</v>
      </c>
      <c r="B1271" s="38">
        <v>177500</v>
      </c>
      <c r="E1271" s="37" t="b">
        <v>0</v>
      </c>
      <c r="F1271" s="37" t="b">
        <v>1</v>
      </c>
      <c r="G1271" s="37">
        <v>0</v>
      </c>
      <c r="H1271" s="37" t="b">
        <v>0</v>
      </c>
    </row>
    <row r="1272" spans="1:8" x14ac:dyDescent="0.3">
      <c r="A1272" s="37" t="s">
        <v>2</v>
      </c>
      <c r="B1272" s="38">
        <v>83862.5</v>
      </c>
      <c r="E1272" s="37" t="b">
        <v>1</v>
      </c>
      <c r="F1272" s="37" t="b">
        <v>1</v>
      </c>
      <c r="G1272" s="37">
        <v>1</v>
      </c>
      <c r="H1272" s="37">
        <v>83862.5</v>
      </c>
    </row>
    <row r="1273" spans="1:8" x14ac:dyDescent="0.3">
      <c r="A1273" s="37" t="s">
        <v>0</v>
      </c>
      <c r="B1273" s="38">
        <v>105000</v>
      </c>
      <c r="E1273" s="37" t="b">
        <v>0</v>
      </c>
      <c r="F1273" s="37" t="b">
        <v>1</v>
      </c>
      <c r="G1273" s="37">
        <v>0</v>
      </c>
      <c r="H1273" s="37" t="b">
        <v>0</v>
      </c>
    </row>
    <row r="1274" spans="1:8" x14ac:dyDescent="0.3">
      <c r="A1274" s="37" t="s">
        <v>2</v>
      </c>
      <c r="B1274" s="38"/>
      <c r="E1274" s="37" t="b">
        <v>1</v>
      </c>
      <c r="F1274" s="37" t="b">
        <v>0</v>
      </c>
      <c r="G1274" s="37">
        <v>0</v>
      </c>
      <c r="H1274" s="37" t="b">
        <v>0</v>
      </c>
    </row>
    <row r="1275" spans="1:8" x14ac:dyDescent="0.3">
      <c r="A1275" s="37" t="s">
        <v>2</v>
      </c>
      <c r="B1275" s="38"/>
      <c r="E1275" s="37" t="b">
        <v>1</v>
      </c>
      <c r="F1275" s="37" t="b">
        <v>0</v>
      </c>
      <c r="G1275" s="37">
        <v>0</v>
      </c>
      <c r="H1275" s="37" t="b">
        <v>0</v>
      </c>
    </row>
    <row r="1276" spans="1:8" x14ac:dyDescent="0.3">
      <c r="A1276" s="37" t="s">
        <v>2</v>
      </c>
      <c r="B1276" s="38"/>
      <c r="E1276" s="37" t="b">
        <v>1</v>
      </c>
      <c r="F1276" s="37" t="b">
        <v>0</v>
      </c>
      <c r="G1276" s="37">
        <v>0</v>
      </c>
      <c r="H1276" s="37" t="b">
        <v>0</v>
      </c>
    </row>
    <row r="1277" spans="1:8" x14ac:dyDescent="0.3">
      <c r="A1277" s="37" t="s">
        <v>126</v>
      </c>
      <c r="B1277" s="38">
        <v>140000</v>
      </c>
      <c r="E1277" s="37" t="b">
        <v>0</v>
      </c>
      <c r="F1277" s="37" t="b">
        <v>1</v>
      </c>
      <c r="G1277" s="37">
        <v>0</v>
      </c>
      <c r="H1277" s="37" t="b">
        <v>0</v>
      </c>
    </row>
    <row r="1278" spans="1:8" x14ac:dyDescent="0.3">
      <c r="A1278" s="37" t="s">
        <v>2</v>
      </c>
      <c r="B1278" s="38"/>
      <c r="E1278" s="37" t="b">
        <v>1</v>
      </c>
      <c r="F1278" s="37" t="b">
        <v>0</v>
      </c>
      <c r="G1278" s="37">
        <v>0</v>
      </c>
      <c r="H1278" s="37" t="b">
        <v>0</v>
      </c>
    </row>
    <row r="1279" spans="1:8" x14ac:dyDescent="0.3">
      <c r="A1279" s="37" t="s">
        <v>2</v>
      </c>
      <c r="B1279" s="38">
        <v>65000</v>
      </c>
      <c r="E1279" s="37" t="b">
        <v>1</v>
      </c>
      <c r="F1279" s="37" t="b">
        <v>1</v>
      </c>
      <c r="G1279" s="37">
        <v>1</v>
      </c>
      <c r="H1279" s="37">
        <v>65000</v>
      </c>
    </row>
    <row r="1280" spans="1:8" x14ac:dyDescent="0.3">
      <c r="A1280" s="37" t="s">
        <v>2</v>
      </c>
      <c r="B1280" s="38">
        <v>52500</v>
      </c>
      <c r="E1280" s="37" t="b">
        <v>1</v>
      </c>
      <c r="F1280" s="37" t="b">
        <v>1</v>
      </c>
      <c r="G1280" s="37">
        <v>1</v>
      </c>
      <c r="H1280" s="37">
        <v>52500</v>
      </c>
    </row>
    <row r="1281" spans="1:8" x14ac:dyDescent="0.3">
      <c r="A1281" s="37" t="s">
        <v>2</v>
      </c>
      <c r="B1281" s="38"/>
      <c r="E1281" s="37" t="b">
        <v>1</v>
      </c>
      <c r="F1281" s="37" t="b">
        <v>0</v>
      </c>
      <c r="G1281" s="37">
        <v>0</v>
      </c>
      <c r="H1281" s="37" t="b">
        <v>0</v>
      </c>
    </row>
    <row r="1282" spans="1:8" x14ac:dyDescent="0.3">
      <c r="A1282" s="37" t="s">
        <v>4</v>
      </c>
      <c r="B1282" s="38">
        <v>172500</v>
      </c>
      <c r="E1282" s="37" t="b">
        <v>0</v>
      </c>
      <c r="F1282" s="37" t="b">
        <v>1</v>
      </c>
      <c r="G1282" s="37">
        <v>0</v>
      </c>
      <c r="H1282" s="37" t="b">
        <v>0</v>
      </c>
    </row>
    <row r="1283" spans="1:8" x14ac:dyDescent="0.3">
      <c r="A1283" s="37" t="s">
        <v>125</v>
      </c>
      <c r="B1283" s="38">
        <v>130000</v>
      </c>
      <c r="E1283" s="37" t="b">
        <v>0</v>
      </c>
      <c r="F1283" s="37" t="b">
        <v>1</v>
      </c>
      <c r="G1283" s="37">
        <v>0</v>
      </c>
      <c r="H1283" s="37" t="b">
        <v>0</v>
      </c>
    </row>
    <row r="1284" spans="1:8" x14ac:dyDescent="0.3">
      <c r="A1284" s="37" t="s">
        <v>0</v>
      </c>
      <c r="B1284" s="38">
        <v>113500</v>
      </c>
      <c r="E1284" s="37" t="b">
        <v>0</v>
      </c>
      <c r="F1284" s="37" t="b">
        <v>1</v>
      </c>
      <c r="G1284" s="37">
        <v>0</v>
      </c>
      <c r="H1284" s="37" t="b">
        <v>0</v>
      </c>
    </row>
    <row r="1285" spans="1:8" x14ac:dyDescent="0.3">
      <c r="A1285" s="37" t="s">
        <v>0</v>
      </c>
      <c r="B1285" s="38">
        <v>126650</v>
      </c>
      <c r="E1285" s="37" t="b">
        <v>0</v>
      </c>
      <c r="F1285" s="37" t="b">
        <v>1</v>
      </c>
      <c r="G1285" s="37">
        <v>0</v>
      </c>
      <c r="H1285" s="37" t="b">
        <v>0</v>
      </c>
    </row>
    <row r="1286" spans="1:8" x14ac:dyDescent="0.3">
      <c r="A1286" s="37" t="s">
        <v>0</v>
      </c>
      <c r="B1286" s="38">
        <v>119500</v>
      </c>
      <c r="E1286" s="37" t="b">
        <v>0</v>
      </c>
      <c r="F1286" s="37" t="b">
        <v>1</v>
      </c>
      <c r="G1286" s="37">
        <v>0</v>
      </c>
      <c r="H1286" s="37" t="b">
        <v>0</v>
      </c>
    </row>
    <row r="1287" spans="1:8" x14ac:dyDescent="0.3">
      <c r="A1287" s="37" t="s">
        <v>128</v>
      </c>
      <c r="B1287" s="38">
        <v>154000</v>
      </c>
      <c r="E1287" s="37" t="b">
        <v>0</v>
      </c>
      <c r="F1287" s="37" t="b">
        <v>1</v>
      </c>
      <c r="G1287" s="37">
        <v>0</v>
      </c>
      <c r="H1287" s="37" t="b">
        <v>0</v>
      </c>
    </row>
    <row r="1288" spans="1:8" x14ac:dyDescent="0.3">
      <c r="A1288" s="37" t="s">
        <v>0</v>
      </c>
      <c r="B1288" s="38">
        <v>110000</v>
      </c>
      <c r="E1288" s="37" t="b">
        <v>0</v>
      </c>
      <c r="F1288" s="37" t="b">
        <v>1</v>
      </c>
      <c r="G1288" s="37">
        <v>0</v>
      </c>
      <c r="H1288" s="37" t="b">
        <v>0</v>
      </c>
    </row>
    <row r="1289" spans="1:8" x14ac:dyDescent="0.3">
      <c r="A1289" s="37" t="s">
        <v>2</v>
      </c>
      <c r="B1289" s="38">
        <v>61500</v>
      </c>
      <c r="E1289" s="37" t="b">
        <v>1</v>
      </c>
      <c r="F1289" s="37" t="b">
        <v>1</v>
      </c>
      <c r="G1289" s="37">
        <v>1</v>
      </c>
      <c r="H1289" s="37">
        <v>61500</v>
      </c>
    </row>
    <row r="1290" spans="1:8" x14ac:dyDescent="0.3">
      <c r="A1290" s="37" t="s">
        <v>2</v>
      </c>
      <c r="B1290" s="38"/>
      <c r="E1290" s="37" t="b">
        <v>1</v>
      </c>
      <c r="F1290" s="37" t="b">
        <v>0</v>
      </c>
      <c r="G1290" s="37">
        <v>0</v>
      </c>
      <c r="H1290" s="37" t="b">
        <v>0</v>
      </c>
    </row>
    <row r="1291" spans="1:8" x14ac:dyDescent="0.3">
      <c r="A1291" s="37" t="s">
        <v>0</v>
      </c>
      <c r="B1291" s="38">
        <v>110000</v>
      </c>
      <c r="E1291" s="37" t="b">
        <v>0</v>
      </c>
      <c r="F1291" s="37" t="b">
        <v>1</v>
      </c>
      <c r="G1291" s="37">
        <v>0</v>
      </c>
      <c r="H1291" s="37" t="b">
        <v>0</v>
      </c>
    </row>
    <row r="1292" spans="1:8" x14ac:dyDescent="0.3">
      <c r="A1292" s="37" t="s">
        <v>2</v>
      </c>
      <c r="B1292" s="38">
        <v>52500</v>
      </c>
      <c r="E1292" s="37" t="b">
        <v>1</v>
      </c>
      <c r="F1292" s="37" t="b">
        <v>1</v>
      </c>
      <c r="G1292" s="37">
        <v>1</v>
      </c>
      <c r="H1292" s="37">
        <v>52500</v>
      </c>
    </row>
    <row r="1293" spans="1:8" x14ac:dyDescent="0.3">
      <c r="A1293" s="37" t="s">
        <v>2</v>
      </c>
      <c r="B1293" s="38">
        <v>54000</v>
      </c>
      <c r="E1293" s="37" t="b">
        <v>1</v>
      </c>
      <c r="F1293" s="37" t="b">
        <v>1</v>
      </c>
      <c r="G1293" s="37">
        <v>1</v>
      </c>
      <c r="H1293" s="37">
        <v>54000</v>
      </c>
    </row>
    <row r="1294" spans="1:8" x14ac:dyDescent="0.3">
      <c r="A1294" s="37" t="s">
        <v>0</v>
      </c>
      <c r="B1294" s="38">
        <v>120000</v>
      </c>
      <c r="E1294" s="37" t="b">
        <v>0</v>
      </c>
      <c r="F1294" s="37" t="b">
        <v>1</v>
      </c>
      <c r="G1294" s="37">
        <v>0</v>
      </c>
      <c r="H1294" s="37" t="b">
        <v>0</v>
      </c>
    </row>
    <row r="1295" spans="1:8" x14ac:dyDescent="0.3">
      <c r="A1295" s="37" t="s">
        <v>0</v>
      </c>
      <c r="B1295" s="38"/>
      <c r="E1295" s="37" t="b">
        <v>0</v>
      </c>
      <c r="F1295" s="37" t="b">
        <v>0</v>
      </c>
      <c r="G1295" s="37">
        <v>0</v>
      </c>
      <c r="H1295" s="37" t="b">
        <v>0</v>
      </c>
    </row>
    <row r="1296" spans="1:8" x14ac:dyDescent="0.3">
      <c r="A1296" s="37" t="s">
        <v>2</v>
      </c>
      <c r="B1296" s="38"/>
      <c r="E1296" s="37" t="b">
        <v>1</v>
      </c>
      <c r="F1296" s="37" t="b">
        <v>0</v>
      </c>
      <c r="G1296" s="37">
        <v>0</v>
      </c>
      <c r="H1296" s="37" t="b">
        <v>0</v>
      </c>
    </row>
    <row r="1297" spans="1:8" x14ac:dyDescent="0.3">
      <c r="A1297" s="37" t="s">
        <v>2</v>
      </c>
      <c r="B1297" s="38">
        <v>70087</v>
      </c>
      <c r="E1297" s="37" t="b">
        <v>1</v>
      </c>
      <c r="F1297" s="37" t="b">
        <v>1</v>
      </c>
      <c r="G1297" s="37">
        <v>1</v>
      </c>
      <c r="H1297" s="37">
        <v>70087</v>
      </c>
    </row>
    <row r="1298" spans="1:8" x14ac:dyDescent="0.3">
      <c r="A1298" s="37" t="s">
        <v>2</v>
      </c>
      <c r="B1298" s="38"/>
      <c r="E1298" s="37" t="b">
        <v>1</v>
      </c>
      <c r="F1298" s="37" t="b">
        <v>0</v>
      </c>
      <c r="G1298" s="37">
        <v>0</v>
      </c>
      <c r="H1298" s="37" t="b">
        <v>0</v>
      </c>
    </row>
    <row r="1299" spans="1:8" x14ac:dyDescent="0.3">
      <c r="A1299" s="37" t="s">
        <v>0</v>
      </c>
      <c r="B1299" s="38"/>
      <c r="E1299" s="37" t="b">
        <v>0</v>
      </c>
      <c r="F1299" s="37" t="b">
        <v>0</v>
      </c>
      <c r="G1299" s="37">
        <v>0</v>
      </c>
      <c r="H1299" s="37" t="b">
        <v>0</v>
      </c>
    </row>
    <row r="1300" spans="1:8" x14ac:dyDescent="0.3">
      <c r="A1300" s="37" t="s">
        <v>128</v>
      </c>
      <c r="B1300" s="38">
        <v>145500</v>
      </c>
      <c r="E1300" s="37" t="b">
        <v>0</v>
      </c>
      <c r="F1300" s="37" t="b">
        <v>1</v>
      </c>
      <c r="G1300" s="37">
        <v>0</v>
      </c>
      <c r="H1300" s="37" t="b">
        <v>0</v>
      </c>
    </row>
    <row r="1301" spans="1:8" x14ac:dyDescent="0.3">
      <c r="A1301" s="37" t="s">
        <v>0</v>
      </c>
      <c r="B1301" s="38">
        <v>99790</v>
      </c>
      <c r="E1301" s="37" t="b">
        <v>0</v>
      </c>
      <c r="F1301" s="37" t="b">
        <v>1</v>
      </c>
      <c r="G1301" s="37">
        <v>0</v>
      </c>
      <c r="H1301" s="37" t="b">
        <v>0</v>
      </c>
    </row>
    <row r="1302" spans="1:8" x14ac:dyDescent="0.3">
      <c r="A1302" s="37" t="s">
        <v>2</v>
      </c>
      <c r="B1302" s="38">
        <v>109350</v>
      </c>
      <c r="E1302" s="37" t="b">
        <v>1</v>
      </c>
      <c r="F1302" s="37" t="b">
        <v>1</v>
      </c>
      <c r="G1302" s="37">
        <v>1</v>
      </c>
      <c r="H1302" s="37">
        <v>109350</v>
      </c>
    </row>
    <row r="1303" spans="1:8" x14ac:dyDescent="0.3">
      <c r="A1303" s="37" t="s">
        <v>0</v>
      </c>
      <c r="B1303" s="38">
        <v>171000</v>
      </c>
      <c r="E1303" s="37" t="b">
        <v>0</v>
      </c>
      <c r="F1303" s="37" t="b">
        <v>1</v>
      </c>
      <c r="G1303" s="37">
        <v>0</v>
      </c>
      <c r="H1303" s="37" t="b">
        <v>0</v>
      </c>
    </row>
    <row r="1304" spans="1:8" x14ac:dyDescent="0.3">
      <c r="A1304" s="37" t="s">
        <v>0</v>
      </c>
      <c r="B1304" s="38">
        <v>146383</v>
      </c>
      <c r="E1304" s="37" t="b">
        <v>0</v>
      </c>
      <c r="F1304" s="37" t="b">
        <v>1</v>
      </c>
      <c r="G1304" s="37">
        <v>0</v>
      </c>
      <c r="H1304" s="37" t="b">
        <v>0</v>
      </c>
    </row>
    <row r="1305" spans="1:8" x14ac:dyDescent="0.3">
      <c r="A1305" s="37" t="s">
        <v>125</v>
      </c>
      <c r="B1305" s="38">
        <v>66746.03125</v>
      </c>
      <c r="E1305" s="37" t="b">
        <v>0</v>
      </c>
      <c r="F1305" s="37" t="b">
        <v>1</v>
      </c>
      <c r="G1305" s="37">
        <v>0</v>
      </c>
      <c r="H1305" s="37" t="b">
        <v>0</v>
      </c>
    </row>
    <row r="1306" spans="1:8" x14ac:dyDescent="0.3">
      <c r="A1306" s="37" t="s">
        <v>2</v>
      </c>
      <c r="B1306" s="38">
        <v>164746</v>
      </c>
      <c r="E1306" s="37" t="b">
        <v>1</v>
      </c>
      <c r="F1306" s="37" t="b">
        <v>1</v>
      </c>
      <c r="G1306" s="37">
        <v>1</v>
      </c>
      <c r="H1306" s="37">
        <v>164746</v>
      </c>
    </row>
    <row r="1307" spans="1:8" x14ac:dyDescent="0.3">
      <c r="A1307" s="37" t="s">
        <v>2</v>
      </c>
      <c r="B1307" s="38">
        <v>56000</v>
      </c>
      <c r="E1307" s="37" t="b">
        <v>1</v>
      </c>
      <c r="F1307" s="37" t="b">
        <v>1</v>
      </c>
      <c r="G1307" s="37">
        <v>1</v>
      </c>
      <c r="H1307" s="37">
        <v>56000</v>
      </c>
    </row>
    <row r="1308" spans="1:8" x14ac:dyDescent="0.3">
      <c r="A1308" s="37" t="s">
        <v>126</v>
      </c>
      <c r="B1308" s="38"/>
      <c r="E1308" s="37" t="b">
        <v>0</v>
      </c>
      <c r="F1308" s="37" t="b">
        <v>0</v>
      </c>
      <c r="G1308" s="37">
        <v>0</v>
      </c>
      <c r="H1308" s="37" t="b">
        <v>0</v>
      </c>
    </row>
    <row r="1309" spans="1:8" x14ac:dyDescent="0.3">
      <c r="A1309" s="37" t="s">
        <v>4</v>
      </c>
      <c r="B1309" s="38"/>
      <c r="E1309" s="37" t="b">
        <v>0</v>
      </c>
      <c r="F1309" s="37" t="b">
        <v>0</v>
      </c>
      <c r="G1309" s="37">
        <v>0</v>
      </c>
      <c r="H1309" s="37" t="b">
        <v>0</v>
      </c>
    </row>
    <row r="1310" spans="1:8" x14ac:dyDescent="0.3">
      <c r="A1310" s="37" t="s">
        <v>2</v>
      </c>
      <c r="B1310" s="38">
        <v>50388</v>
      </c>
      <c r="E1310" s="37" t="b">
        <v>1</v>
      </c>
      <c r="F1310" s="37" t="b">
        <v>1</v>
      </c>
      <c r="G1310" s="37">
        <v>1</v>
      </c>
      <c r="H1310" s="37">
        <v>50388</v>
      </c>
    </row>
    <row r="1311" spans="1:8" x14ac:dyDescent="0.3">
      <c r="A1311" s="37" t="s">
        <v>2</v>
      </c>
      <c r="B1311" s="38"/>
      <c r="E1311" s="37" t="b">
        <v>1</v>
      </c>
      <c r="F1311" s="37" t="b">
        <v>0</v>
      </c>
      <c r="G1311" s="37">
        <v>0</v>
      </c>
      <c r="H1311" s="37" t="b">
        <v>0</v>
      </c>
    </row>
    <row r="1312" spans="1:8" x14ac:dyDescent="0.3">
      <c r="A1312" s="37" t="s">
        <v>2</v>
      </c>
      <c r="B1312" s="38"/>
      <c r="E1312" s="37" t="b">
        <v>1</v>
      </c>
      <c r="F1312" s="37" t="b">
        <v>0</v>
      </c>
      <c r="G1312" s="37">
        <v>0</v>
      </c>
      <c r="H1312" s="37" t="b">
        <v>0</v>
      </c>
    </row>
    <row r="1313" spans="1:8" x14ac:dyDescent="0.3">
      <c r="A1313" s="37" t="s">
        <v>2</v>
      </c>
      <c r="B1313" s="38"/>
      <c r="E1313" s="37" t="b">
        <v>1</v>
      </c>
      <c r="F1313" s="37" t="b">
        <v>0</v>
      </c>
      <c r="G1313" s="37">
        <v>0</v>
      </c>
      <c r="H1313" s="37" t="b">
        <v>0</v>
      </c>
    </row>
    <row r="1314" spans="1:8" x14ac:dyDescent="0.3">
      <c r="A1314" s="37" t="s">
        <v>4</v>
      </c>
      <c r="B1314" s="38">
        <v>102500</v>
      </c>
      <c r="E1314" s="37" t="b">
        <v>0</v>
      </c>
      <c r="F1314" s="37" t="b">
        <v>1</v>
      </c>
      <c r="G1314" s="37">
        <v>0</v>
      </c>
      <c r="H1314" s="37" t="b">
        <v>0</v>
      </c>
    </row>
    <row r="1315" spans="1:8" x14ac:dyDescent="0.3">
      <c r="A1315" s="37" t="s">
        <v>2</v>
      </c>
      <c r="B1315" s="38"/>
      <c r="E1315" s="37" t="b">
        <v>1</v>
      </c>
      <c r="F1315" s="37" t="b">
        <v>0</v>
      </c>
      <c r="G1315" s="37">
        <v>0</v>
      </c>
      <c r="H1315" s="37" t="b">
        <v>0</v>
      </c>
    </row>
    <row r="1316" spans="1:8" x14ac:dyDescent="0.3">
      <c r="A1316" s="37" t="s">
        <v>125</v>
      </c>
      <c r="B1316" s="38">
        <v>113050</v>
      </c>
      <c r="E1316" s="37" t="b">
        <v>0</v>
      </c>
      <c r="F1316" s="37" t="b">
        <v>1</v>
      </c>
      <c r="G1316" s="37">
        <v>0</v>
      </c>
      <c r="H1316" s="37" t="b">
        <v>0</v>
      </c>
    </row>
    <row r="1317" spans="1:8" x14ac:dyDescent="0.3">
      <c r="A1317" s="37" t="s">
        <v>0</v>
      </c>
      <c r="B1317" s="38">
        <v>110000</v>
      </c>
      <c r="E1317" s="37" t="b">
        <v>0</v>
      </c>
      <c r="F1317" s="37" t="b">
        <v>1</v>
      </c>
      <c r="G1317" s="37">
        <v>0</v>
      </c>
      <c r="H1317" s="37" t="b">
        <v>0</v>
      </c>
    </row>
    <row r="1318" spans="1:8" x14ac:dyDescent="0.3">
      <c r="A1318" s="37" t="s">
        <v>0</v>
      </c>
      <c r="B1318" s="38"/>
      <c r="E1318" s="37" t="b">
        <v>0</v>
      </c>
      <c r="F1318" s="37" t="b">
        <v>0</v>
      </c>
      <c r="G1318" s="37">
        <v>0</v>
      </c>
      <c r="H1318" s="37" t="b">
        <v>0</v>
      </c>
    </row>
    <row r="1319" spans="1:8" x14ac:dyDescent="0.3">
      <c r="A1319" s="37" t="s">
        <v>4</v>
      </c>
      <c r="B1319" s="38"/>
      <c r="E1319" s="37" t="b">
        <v>0</v>
      </c>
      <c r="F1319" s="37" t="b">
        <v>0</v>
      </c>
      <c r="G1319" s="37">
        <v>0</v>
      </c>
      <c r="H1319" s="37" t="b">
        <v>0</v>
      </c>
    </row>
    <row r="1320" spans="1:8" x14ac:dyDescent="0.3">
      <c r="A1320" s="37" t="s">
        <v>2</v>
      </c>
      <c r="B1320" s="38">
        <v>79123.6875</v>
      </c>
      <c r="E1320" s="37" t="b">
        <v>1</v>
      </c>
      <c r="F1320" s="37" t="b">
        <v>1</v>
      </c>
      <c r="G1320" s="37">
        <v>1</v>
      </c>
      <c r="H1320" s="37">
        <v>79123.6875</v>
      </c>
    </row>
    <row r="1321" spans="1:8" x14ac:dyDescent="0.3">
      <c r="A1321" s="37" t="s">
        <v>0</v>
      </c>
      <c r="B1321" s="38"/>
      <c r="E1321" s="37" t="b">
        <v>0</v>
      </c>
      <c r="F1321" s="37" t="b">
        <v>0</v>
      </c>
      <c r="G1321" s="37">
        <v>0</v>
      </c>
      <c r="H1321" s="37" t="b">
        <v>0</v>
      </c>
    </row>
    <row r="1322" spans="1:8" x14ac:dyDescent="0.3">
      <c r="A1322" s="37" t="s">
        <v>0</v>
      </c>
      <c r="B1322" s="38">
        <v>308500</v>
      </c>
      <c r="E1322" s="37" t="b">
        <v>0</v>
      </c>
      <c r="F1322" s="37" t="b">
        <v>1</v>
      </c>
      <c r="G1322" s="37">
        <v>0</v>
      </c>
      <c r="H1322" s="37" t="b">
        <v>0</v>
      </c>
    </row>
    <row r="1323" spans="1:8" x14ac:dyDescent="0.3">
      <c r="A1323" s="37" t="s">
        <v>0</v>
      </c>
      <c r="B1323" s="38">
        <v>160000</v>
      </c>
      <c r="E1323" s="37" t="b">
        <v>0</v>
      </c>
      <c r="F1323" s="37" t="b">
        <v>1</v>
      </c>
      <c r="G1323" s="37">
        <v>0</v>
      </c>
      <c r="H1323" s="37" t="b">
        <v>0</v>
      </c>
    </row>
    <row r="1324" spans="1:8" x14ac:dyDescent="0.3">
      <c r="A1324" s="37" t="s">
        <v>126</v>
      </c>
      <c r="B1324" s="38"/>
      <c r="E1324" s="37" t="b">
        <v>0</v>
      </c>
      <c r="F1324" s="37" t="b">
        <v>0</v>
      </c>
      <c r="G1324" s="37">
        <v>0</v>
      </c>
      <c r="H1324" s="37" t="b">
        <v>0</v>
      </c>
    </row>
    <row r="1325" spans="1:8" x14ac:dyDescent="0.3">
      <c r="A1325" s="37" t="s">
        <v>2</v>
      </c>
      <c r="B1325" s="38">
        <v>52500</v>
      </c>
      <c r="E1325" s="37" t="b">
        <v>1</v>
      </c>
      <c r="F1325" s="37" t="b">
        <v>1</v>
      </c>
      <c r="G1325" s="37">
        <v>1</v>
      </c>
      <c r="H1325" s="37">
        <v>52500</v>
      </c>
    </row>
    <row r="1326" spans="1:8" x14ac:dyDescent="0.3">
      <c r="A1326" s="37" t="s">
        <v>0</v>
      </c>
      <c r="B1326" s="38">
        <v>114500</v>
      </c>
      <c r="E1326" s="37" t="b">
        <v>0</v>
      </c>
      <c r="F1326" s="37" t="b">
        <v>1</v>
      </c>
      <c r="G1326" s="37">
        <v>0</v>
      </c>
      <c r="H1326" s="37" t="b">
        <v>0</v>
      </c>
    </row>
    <row r="1327" spans="1:8" x14ac:dyDescent="0.3">
      <c r="A1327" s="37" t="s">
        <v>2</v>
      </c>
      <c r="B1327" s="38">
        <v>75000</v>
      </c>
      <c r="E1327" s="37" t="b">
        <v>1</v>
      </c>
      <c r="F1327" s="37" t="b">
        <v>1</v>
      </c>
      <c r="G1327" s="37">
        <v>1</v>
      </c>
      <c r="H1327" s="37">
        <v>75000</v>
      </c>
    </row>
    <row r="1328" spans="1:8" x14ac:dyDescent="0.3">
      <c r="A1328" s="37" t="s">
        <v>2</v>
      </c>
      <c r="B1328" s="38">
        <v>46238.3984375</v>
      </c>
      <c r="E1328" s="37" t="b">
        <v>1</v>
      </c>
      <c r="F1328" s="37" t="b">
        <v>1</v>
      </c>
      <c r="G1328" s="37">
        <v>1</v>
      </c>
      <c r="H1328" s="37">
        <v>46238.3984375</v>
      </c>
    </row>
    <row r="1329" spans="1:8" x14ac:dyDescent="0.3">
      <c r="A1329" s="37" t="s">
        <v>4</v>
      </c>
      <c r="B1329" s="38"/>
      <c r="E1329" s="37" t="b">
        <v>0</v>
      </c>
      <c r="F1329" s="37" t="b">
        <v>0</v>
      </c>
      <c r="G1329" s="37">
        <v>0</v>
      </c>
      <c r="H1329" s="37" t="b">
        <v>0</v>
      </c>
    </row>
    <row r="1330" spans="1:8" x14ac:dyDescent="0.3">
      <c r="A1330" s="37" t="s">
        <v>2</v>
      </c>
      <c r="B1330" s="38">
        <v>68000</v>
      </c>
      <c r="E1330" s="37" t="b">
        <v>1</v>
      </c>
      <c r="F1330" s="37" t="b">
        <v>1</v>
      </c>
      <c r="G1330" s="37">
        <v>1</v>
      </c>
      <c r="H1330" s="37">
        <v>68000</v>
      </c>
    </row>
    <row r="1331" spans="1:8" x14ac:dyDescent="0.3">
      <c r="A1331" s="37" t="s">
        <v>2</v>
      </c>
      <c r="B1331" s="38">
        <v>39500</v>
      </c>
      <c r="E1331" s="37" t="b">
        <v>1</v>
      </c>
      <c r="F1331" s="37" t="b">
        <v>1</v>
      </c>
      <c r="G1331" s="37">
        <v>1</v>
      </c>
      <c r="H1331" s="37">
        <v>39500</v>
      </c>
    </row>
    <row r="1332" spans="1:8" x14ac:dyDescent="0.3">
      <c r="A1332" s="37" t="s">
        <v>2</v>
      </c>
      <c r="B1332" s="38"/>
      <c r="E1332" s="37" t="b">
        <v>1</v>
      </c>
      <c r="F1332" s="37" t="b">
        <v>0</v>
      </c>
      <c r="G1332" s="37">
        <v>0</v>
      </c>
      <c r="H1332" s="37" t="b">
        <v>0</v>
      </c>
    </row>
    <row r="1333" spans="1:8" x14ac:dyDescent="0.3">
      <c r="A1333" s="37" t="s">
        <v>4</v>
      </c>
      <c r="B1333" s="38">
        <v>135000</v>
      </c>
      <c r="E1333" s="37" t="b">
        <v>0</v>
      </c>
      <c r="F1333" s="37" t="b">
        <v>1</v>
      </c>
      <c r="G1333" s="37">
        <v>0</v>
      </c>
      <c r="H1333" s="37" t="b">
        <v>0</v>
      </c>
    </row>
    <row r="1334" spans="1:8" x14ac:dyDescent="0.3">
      <c r="A1334" s="37" t="s">
        <v>4</v>
      </c>
      <c r="B1334" s="38">
        <v>105000</v>
      </c>
      <c r="E1334" s="37" t="b">
        <v>0</v>
      </c>
      <c r="F1334" s="37" t="b">
        <v>1</v>
      </c>
      <c r="G1334" s="37">
        <v>0</v>
      </c>
      <c r="H1334" s="37" t="b">
        <v>0</v>
      </c>
    </row>
    <row r="1335" spans="1:8" x14ac:dyDescent="0.3">
      <c r="A1335" s="37" t="s">
        <v>2</v>
      </c>
      <c r="B1335" s="38"/>
      <c r="E1335" s="37" t="b">
        <v>1</v>
      </c>
      <c r="F1335" s="37" t="b">
        <v>0</v>
      </c>
      <c r="G1335" s="37">
        <v>0</v>
      </c>
      <c r="H1335" s="37" t="b">
        <v>0</v>
      </c>
    </row>
    <row r="1336" spans="1:8" x14ac:dyDescent="0.3">
      <c r="A1336" s="37" t="s">
        <v>2</v>
      </c>
      <c r="B1336" s="38"/>
      <c r="E1336" s="37" t="b">
        <v>1</v>
      </c>
      <c r="F1336" s="37" t="b">
        <v>0</v>
      </c>
      <c r="G1336" s="37">
        <v>0</v>
      </c>
      <c r="H1336" s="37" t="b">
        <v>0</v>
      </c>
    </row>
    <row r="1337" spans="1:8" x14ac:dyDescent="0.3">
      <c r="A1337" s="37" t="s">
        <v>2</v>
      </c>
      <c r="B1337" s="38"/>
      <c r="E1337" s="37" t="b">
        <v>1</v>
      </c>
      <c r="F1337" s="37" t="b">
        <v>0</v>
      </c>
      <c r="G1337" s="37">
        <v>0</v>
      </c>
      <c r="H1337" s="37" t="b">
        <v>0</v>
      </c>
    </row>
    <row r="1338" spans="1:8" x14ac:dyDescent="0.3">
      <c r="A1338" s="37" t="s">
        <v>128</v>
      </c>
      <c r="B1338" s="38">
        <v>135000</v>
      </c>
      <c r="E1338" s="37" t="b">
        <v>0</v>
      </c>
      <c r="F1338" s="37" t="b">
        <v>1</v>
      </c>
      <c r="G1338" s="37">
        <v>0</v>
      </c>
      <c r="H1338" s="37" t="b">
        <v>0</v>
      </c>
    </row>
    <row r="1339" spans="1:8" x14ac:dyDescent="0.3">
      <c r="A1339" s="37" t="s">
        <v>0</v>
      </c>
      <c r="B1339" s="38">
        <v>130000</v>
      </c>
      <c r="E1339" s="37" t="b">
        <v>0</v>
      </c>
      <c r="F1339" s="37" t="b">
        <v>1</v>
      </c>
      <c r="G1339" s="37">
        <v>0</v>
      </c>
      <c r="H1339" s="37" t="b">
        <v>0</v>
      </c>
    </row>
    <row r="1340" spans="1:8" x14ac:dyDescent="0.3">
      <c r="A1340" s="37" t="s">
        <v>0</v>
      </c>
      <c r="B1340" s="38">
        <v>130000</v>
      </c>
      <c r="E1340" s="37" t="b">
        <v>0</v>
      </c>
      <c r="F1340" s="37" t="b">
        <v>1</v>
      </c>
      <c r="G1340" s="37">
        <v>0</v>
      </c>
      <c r="H1340" s="37" t="b">
        <v>0</v>
      </c>
    </row>
    <row r="1341" spans="1:8" x14ac:dyDescent="0.3">
      <c r="A1341" s="37" t="s">
        <v>0</v>
      </c>
      <c r="B1341" s="38"/>
      <c r="E1341" s="37" t="b">
        <v>0</v>
      </c>
      <c r="F1341" s="37" t="b">
        <v>0</v>
      </c>
      <c r="G1341" s="37">
        <v>0</v>
      </c>
      <c r="H1341" s="37" t="b">
        <v>0</v>
      </c>
    </row>
    <row r="1342" spans="1:8" x14ac:dyDescent="0.3">
      <c r="A1342" s="37" t="s">
        <v>2</v>
      </c>
      <c r="B1342" s="38">
        <v>143000</v>
      </c>
      <c r="E1342" s="37" t="b">
        <v>1</v>
      </c>
      <c r="F1342" s="37" t="b">
        <v>1</v>
      </c>
      <c r="G1342" s="37">
        <v>1</v>
      </c>
      <c r="H1342" s="37">
        <v>143000</v>
      </c>
    </row>
    <row r="1343" spans="1:8" x14ac:dyDescent="0.3">
      <c r="A1343" s="37" t="s">
        <v>0</v>
      </c>
      <c r="B1343" s="38">
        <v>207500</v>
      </c>
      <c r="E1343" s="37" t="b">
        <v>0</v>
      </c>
      <c r="F1343" s="37" t="b">
        <v>1</v>
      </c>
      <c r="G1343" s="37">
        <v>0</v>
      </c>
      <c r="H1343" s="37" t="b">
        <v>0</v>
      </c>
    </row>
    <row r="1344" spans="1:8" x14ac:dyDescent="0.3">
      <c r="A1344" s="37" t="s">
        <v>2</v>
      </c>
      <c r="B1344" s="38">
        <v>81682</v>
      </c>
      <c r="E1344" s="37" t="b">
        <v>1</v>
      </c>
      <c r="F1344" s="37" t="b">
        <v>1</v>
      </c>
      <c r="G1344" s="37">
        <v>1</v>
      </c>
      <c r="H1344" s="37">
        <v>81682</v>
      </c>
    </row>
    <row r="1345" spans="1:8" x14ac:dyDescent="0.3">
      <c r="A1345" s="37" t="s">
        <v>2</v>
      </c>
      <c r="B1345" s="38">
        <v>67500</v>
      </c>
      <c r="E1345" s="37" t="b">
        <v>1</v>
      </c>
      <c r="F1345" s="37" t="b">
        <v>1</v>
      </c>
      <c r="G1345" s="37">
        <v>1</v>
      </c>
      <c r="H1345" s="37">
        <v>67500</v>
      </c>
    </row>
    <row r="1346" spans="1:8" x14ac:dyDescent="0.3">
      <c r="A1346" s="37" t="s">
        <v>2</v>
      </c>
      <c r="B1346" s="38"/>
      <c r="E1346" s="37" t="b">
        <v>1</v>
      </c>
      <c r="F1346" s="37" t="b">
        <v>0</v>
      </c>
      <c r="G1346" s="37">
        <v>0</v>
      </c>
      <c r="H1346" s="37" t="b">
        <v>0</v>
      </c>
    </row>
    <row r="1347" spans="1:8" x14ac:dyDescent="0.3">
      <c r="A1347" s="37" t="s">
        <v>2</v>
      </c>
      <c r="B1347" s="38"/>
      <c r="E1347" s="37" t="b">
        <v>1</v>
      </c>
      <c r="F1347" s="37" t="b">
        <v>0</v>
      </c>
      <c r="G1347" s="37">
        <v>0</v>
      </c>
      <c r="H1347" s="37" t="b">
        <v>0</v>
      </c>
    </row>
    <row r="1348" spans="1:8" x14ac:dyDescent="0.3">
      <c r="A1348" s="37" t="s">
        <v>2</v>
      </c>
      <c r="B1348" s="38"/>
      <c r="E1348" s="37" t="b">
        <v>1</v>
      </c>
      <c r="F1348" s="37" t="b">
        <v>0</v>
      </c>
      <c r="G1348" s="37">
        <v>0</v>
      </c>
      <c r="H1348" s="37" t="b">
        <v>0</v>
      </c>
    </row>
    <row r="1349" spans="1:8" x14ac:dyDescent="0.3">
      <c r="A1349" s="37" t="s">
        <v>0</v>
      </c>
      <c r="B1349" s="38">
        <v>92058</v>
      </c>
      <c r="E1349" s="37" t="b">
        <v>0</v>
      </c>
      <c r="F1349" s="37" t="b">
        <v>1</v>
      </c>
      <c r="G1349" s="37">
        <v>0</v>
      </c>
      <c r="H1349" s="37" t="b">
        <v>0</v>
      </c>
    </row>
    <row r="1350" spans="1:8" x14ac:dyDescent="0.3">
      <c r="A1350" s="37" t="s">
        <v>0</v>
      </c>
      <c r="B1350" s="38"/>
      <c r="E1350" s="37" t="b">
        <v>0</v>
      </c>
      <c r="F1350" s="37" t="b">
        <v>0</v>
      </c>
      <c r="G1350" s="37">
        <v>0</v>
      </c>
      <c r="H1350" s="37" t="b">
        <v>0</v>
      </c>
    </row>
    <row r="1351" spans="1:8" x14ac:dyDescent="0.3">
      <c r="A1351" s="37" t="s">
        <v>2</v>
      </c>
      <c r="B1351" s="38">
        <v>59000</v>
      </c>
      <c r="E1351" s="37" t="b">
        <v>1</v>
      </c>
      <c r="F1351" s="37" t="b">
        <v>1</v>
      </c>
      <c r="G1351" s="37">
        <v>1</v>
      </c>
      <c r="H1351" s="37">
        <v>59000</v>
      </c>
    </row>
    <row r="1352" spans="1:8" x14ac:dyDescent="0.3">
      <c r="A1352" s="37" t="s">
        <v>125</v>
      </c>
      <c r="B1352" s="38">
        <v>82500</v>
      </c>
      <c r="E1352" s="37" t="b">
        <v>0</v>
      </c>
      <c r="F1352" s="37" t="b">
        <v>1</v>
      </c>
      <c r="G1352" s="37">
        <v>0</v>
      </c>
      <c r="H1352" s="37" t="b">
        <v>0</v>
      </c>
    </row>
    <row r="1353" spans="1:8" x14ac:dyDescent="0.3">
      <c r="A1353" s="37" t="s">
        <v>125</v>
      </c>
      <c r="B1353" s="38">
        <v>82500</v>
      </c>
      <c r="E1353" s="37" t="b">
        <v>0</v>
      </c>
      <c r="F1353" s="37" t="b">
        <v>1</v>
      </c>
      <c r="G1353" s="37">
        <v>0</v>
      </c>
      <c r="H1353" s="37" t="b">
        <v>0</v>
      </c>
    </row>
    <row r="1354" spans="1:8" x14ac:dyDescent="0.3">
      <c r="A1354" s="37" t="s">
        <v>128</v>
      </c>
      <c r="B1354" s="38">
        <v>137500</v>
      </c>
      <c r="E1354" s="37" t="b">
        <v>0</v>
      </c>
      <c r="F1354" s="37" t="b">
        <v>1</v>
      </c>
      <c r="G1354" s="37">
        <v>0</v>
      </c>
      <c r="H1354" s="37" t="b">
        <v>0</v>
      </c>
    </row>
    <row r="1355" spans="1:8" x14ac:dyDescent="0.3">
      <c r="A1355" s="37" t="s">
        <v>0</v>
      </c>
      <c r="B1355" s="38">
        <v>120000</v>
      </c>
      <c r="E1355" s="37" t="b">
        <v>0</v>
      </c>
      <c r="F1355" s="37" t="b">
        <v>1</v>
      </c>
      <c r="G1355" s="37">
        <v>0</v>
      </c>
      <c r="H1355" s="37" t="b">
        <v>0</v>
      </c>
    </row>
    <row r="1356" spans="1:8" x14ac:dyDescent="0.3">
      <c r="A1356" s="37" t="s">
        <v>4</v>
      </c>
      <c r="B1356" s="38">
        <v>110144.390625</v>
      </c>
      <c r="E1356" s="37" t="b">
        <v>0</v>
      </c>
      <c r="F1356" s="37" t="b">
        <v>1</v>
      </c>
      <c r="G1356" s="37">
        <v>0</v>
      </c>
      <c r="H1356" s="37" t="b">
        <v>0</v>
      </c>
    </row>
    <row r="1357" spans="1:8" x14ac:dyDescent="0.3">
      <c r="A1357" s="37" t="s">
        <v>2</v>
      </c>
      <c r="B1357" s="38">
        <v>109159</v>
      </c>
      <c r="E1357" s="37" t="b">
        <v>1</v>
      </c>
      <c r="F1357" s="37" t="b">
        <v>1</v>
      </c>
      <c r="G1357" s="37">
        <v>1</v>
      </c>
      <c r="H1357" s="37">
        <v>109159</v>
      </c>
    </row>
    <row r="1358" spans="1:8" x14ac:dyDescent="0.3">
      <c r="A1358" s="37" t="s">
        <v>2</v>
      </c>
      <c r="B1358" s="38"/>
      <c r="E1358" s="37" t="b">
        <v>1</v>
      </c>
      <c r="F1358" s="37" t="b">
        <v>0</v>
      </c>
      <c r="G1358" s="37">
        <v>0</v>
      </c>
      <c r="H1358" s="37" t="b">
        <v>0</v>
      </c>
    </row>
    <row r="1359" spans="1:8" x14ac:dyDescent="0.3">
      <c r="A1359" s="37" t="s">
        <v>2</v>
      </c>
      <c r="B1359" s="38">
        <v>106492.5</v>
      </c>
      <c r="E1359" s="37" t="b">
        <v>1</v>
      </c>
      <c r="F1359" s="37" t="b">
        <v>1</v>
      </c>
      <c r="G1359" s="37">
        <v>1</v>
      </c>
      <c r="H1359" s="37">
        <v>106492.5</v>
      </c>
    </row>
    <row r="1360" spans="1:8" x14ac:dyDescent="0.3">
      <c r="A1360" s="37" t="s">
        <v>4</v>
      </c>
      <c r="B1360" s="38">
        <v>110144.390625</v>
      </c>
      <c r="E1360" s="37" t="b">
        <v>0</v>
      </c>
      <c r="F1360" s="37" t="b">
        <v>1</v>
      </c>
      <c r="G1360" s="37">
        <v>0</v>
      </c>
      <c r="H1360" s="37" t="b">
        <v>0</v>
      </c>
    </row>
    <row r="1361" spans="1:8" x14ac:dyDescent="0.3">
      <c r="A1361" s="37" t="s">
        <v>0</v>
      </c>
      <c r="B1361" s="38">
        <v>129326</v>
      </c>
      <c r="E1361" s="37" t="b">
        <v>0</v>
      </c>
      <c r="F1361" s="37" t="b">
        <v>1</v>
      </c>
      <c r="G1361" s="37">
        <v>0</v>
      </c>
      <c r="H1361" s="37" t="b">
        <v>0</v>
      </c>
    </row>
    <row r="1362" spans="1:8" x14ac:dyDescent="0.3">
      <c r="A1362" s="37" t="s">
        <v>2</v>
      </c>
      <c r="B1362" s="38">
        <v>55000</v>
      </c>
      <c r="E1362" s="37" t="b">
        <v>1</v>
      </c>
      <c r="F1362" s="37" t="b">
        <v>1</v>
      </c>
      <c r="G1362" s="37">
        <v>1</v>
      </c>
      <c r="H1362" s="37">
        <v>55000</v>
      </c>
    </row>
    <row r="1363" spans="1:8" x14ac:dyDescent="0.3">
      <c r="A1363" s="37" t="s">
        <v>2</v>
      </c>
      <c r="B1363" s="38">
        <v>93000</v>
      </c>
      <c r="E1363" s="37" t="b">
        <v>1</v>
      </c>
      <c r="F1363" s="37" t="b">
        <v>1</v>
      </c>
      <c r="G1363" s="37">
        <v>1</v>
      </c>
      <c r="H1363" s="37">
        <v>93000</v>
      </c>
    </row>
    <row r="1364" spans="1:8" x14ac:dyDescent="0.3">
      <c r="A1364" s="37" t="s">
        <v>0</v>
      </c>
      <c r="B1364" s="38">
        <v>167500</v>
      </c>
      <c r="E1364" s="37" t="b">
        <v>0</v>
      </c>
      <c r="F1364" s="37" t="b">
        <v>1</v>
      </c>
      <c r="G1364" s="37">
        <v>0</v>
      </c>
      <c r="H1364" s="37" t="b">
        <v>0</v>
      </c>
    </row>
    <row r="1365" spans="1:8" x14ac:dyDescent="0.3">
      <c r="A1365" s="37" t="s">
        <v>2</v>
      </c>
      <c r="B1365" s="38">
        <v>85000</v>
      </c>
      <c r="E1365" s="37" t="b">
        <v>1</v>
      </c>
      <c r="F1365" s="37" t="b">
        <v>1</v>
      </c>
      <c r="G1365" s="37">
        <v>1</v>
      </c>
      <c r="H1365" s="37">
        <v>85000</v>
      </c>
    </row>
    <row r="1366" spans="1:8" x14ac:dyDescent="0.3">
      <c r="A1366" s="37" t="s">
        <v>0</v>
      </c>
      <c r="B1366" s="38">
        <v>130000</v>
      </c>
      <c r="E1366" s="37" t="b">
        <v>0</v>
      </c>
      <c r="F1366" s="37" t="b">
        <v>1</v>
      </c>
      <c r="G1366" s="37">
        <v>0</v>
      </c>
      <c r="H1366" s="37" t="b">
        <v>0</v>
      </c>
    </row>
    <row r="1367" spans="1:8" x14ac:dyDescent="0.3">
      <c r="A1367" s="37" t="s">
        <v>0</v>
      </c>
      <c r="B1367" s="38">
        <v>135000</v>
      </c>
      <c r="E1367" s="37" t="b">
        <v>0</v>
      </c>
      <c r="F1367" s="37" t="b">
        <v>1</v>
      </c>
      <c r="G1367" s="37">
        <v>0</v>
      </c>
      <c r="H1367" s="37" t="b">
        <v>0</v>
      </c>
    </row>
    <row r="1368" spans="1:8" x14ac:dyDescent="0.3">
      <c r="A1368" s="37" t="s">
        <v>2</v>
      </c>
      <c r="B1368" s="38"/>
      <c r="E1368" s="37" t="b">
        <v>1</v>
      </c>
      <c r="F1368" s="37" t="b">
        <v>0</v>
      </c>
      <c r="G1368" s="37">
        <v>0</v>
      </c>
      <c r="H1368" s="37" t="b">
        <v>0</v>
      </c>
    </row>
    <row r="1369" spans="1:8" x14ac:dyDescent="0.3">
      <c r="A1369" s="37" t="s">
        <v>0</v>
      </c>
      <c r="B1369" s="38">
        <v>74235</v>
      </c>
      <c r="E1369" s="37" t="b">
        <v>0</v>
      </c>
      <c r="F1369" s="37" t="b">
        <v>1</v>
      </c>
      <c r="G1369" s="37">
        <v>0</v>
      </c>
      <c r="H1369" s="37" t="b">
        <v>0</v>
      </c>
    </row>
    <row r="1370" spans="1:8" x14ac:dyDescent="0.3">
      <c r="A1370" s="37" t="s">
        <v>2</v>
      </c>
      <c r="B1370" s="38"/>
      <c r="E1370" s="37" t="b">
        <v>1</v>
      </c>
      <c r="F1370" s="37" t="b">
        <v>0</v>
      </c>
      <c r="G1370" s="37">
        <v>0</v>
      </c>
      <c r="H1370" s="37" t="b">
        <v>0</v>
      </c>
    </row>
    <row r="1371" spans="1:8" x14ac:dyDescent="0.3">
      <c r="A1371" s="37" t="s">
        <v>2</v>
      </c>
      <c r="B1371" s="38">
        <v>110240.109375</v>
      </c>
      <c r="E1371" s="37" t="b">
        <v>1</v>
      </c>
      <c r="F1371" s="37" t="b">
        <v>1</v>
      </c>
      <c r="G1371" s="37">
        <v>1</v>
      </c>
      <c r="H1371" s="37">
        <v>110240.109375</v>
      </c>
    </row>
    <row r="1372" spans="1:8" x14ac:dyDescent="0.3">
      <c r="A1372" s="37" t="s">
        <v>4</v>
      </c>
      <c r="B1372" s="38">
        <v>130000</v>
      </c>
      <c r="E1372" s="37" t="b">
        <v>0</v>
      </c>
      <c r="F1372" s="37" t="b">
        <v>1</v>
      </c>
      <c r="G1372" s="37">
        <v>0</v>
      </c>
      <c r="H1372" s="37" t="b">
        <v>0</v>
      </c>
    </row>
    <row r="1373" spans="1:8" x14ac:dyDescent="0.3">
      <c r="A1373" s="37" t="s">
        <v>2</v>
      </c>
      <c r="B1373" s="38">
        <v>75000</v>
      </c>
      <c r="E1373" s="37" t="b">
        <v>1</v>
      </c>
      <c r="F1373" s="37" t="b">
        <v>1</v>
      </c>
      <c r="G1373" s="37">
        <v>1</v>
      </c>
      <c r="H1373" s="37">
        <v>75000</v>
      </c>
    </row>
    <row r="1374" spans="1:8" x14ac:dyDescent="0.3">
      <c r="A1374" s="37" t="s">
        <v>0</v>
      </c>
      <c r="B1374" s="38">
        <v>165000</v>
      </c>
      <c r="E1374" s="37" t="b">
        <v>0</v>
      </c>
      <c r="F1374" s="37" t="b">
        <v>1</v>
      </c>
      <c r="G1374" s="37">
        <v>0</v>
      </c>
      <c r="H1374" s="37" t="b">
        <v>0</v>
      </c>
    </row>
    <row r="1375" spans="1:8" x14ac:dyDescent="0.3">
      <c r="A1375" s="37" t="s">
        <v>2</v>
      </c>
      <c r="B1375" s="38">
        <v>85000</v>
      </c>
      <c r="E1375" s="37" t="b">
        <v>1</v>
      </c>
      <c r="F1375" s="37" t="b">
        <v>1</v>
      </c>
      <c r="G1375" s="37">
        <v>1</v>
      </c>
      <c r="H1375" s="37">
        <v>85000</v>
      </c>
    </row>
    <row r="1376" spans="1:8" x14ac:dyDescent="0.3">
      <c r="A1376" s="37" t="s">
        <v>0</v>
      </c>
      <c r="B1376" s="38"/>
      <c r="E1376" s="37" t="b">
        <v>0</v>
      </c>
      <c r="F1376" s="37" t="b">
        <v>0</v>
      </c>
      <c r="G1376" s="37">
        <v>0</v>
      </c>
      <c r="H1376" s="37" t="b">
        <v>0</v>
      </c>
    </row>
    <row r="1377" spans="1:8" x14ac:dyDescent="0.3">
      <c r="A1377" s="37" t="s">
        <v>0</v>
      </c>
      <c r="B1377" s="38">
        <v>125000</v>
      </c>
      <c r="E1377" s="37" t="b">
        <v>0</v>
      </c>
      <c r="F1377" s="37" t="b">
        <v>1</v>
      </c>
      <c r="G1377" s="37">
        <v>0</v>
      </c>
      <c r="H1377" s="37" t="b">
        <v>0</v>
      </c>
    </row>
    <row r="1378" spans="1:8" x14ac:dyDescent="0.3">
      <c r="A1378" s="37" t="s">
        <v>2</v>
      </c>
      <c r="B1378" s="38">
        <v>56745</v>
      </c>
      <c r="E1378" s="37" t="b">
        <v>1</v>
      </c>
      <c r="F1378" s="37" t="b">
        <v>1</v>
      </c>
      <c r="G1378" s="37">
        <v>1</v>
      </c>
      <c r="H1378" s="37">
        <v>56745</v>
      </c>
    </row>
    <row r="1379" spans="1:8" x14ac:dyDescent="0.3">
      <c r="A1379" s="37" t="s">
        <v>2</v>
      </c>
      <c r="B1379" s="38"/>
      <c r="E1379" s="37" t="b">
        <v>1</v>
      </c>
      <c r="F1379" s="37" t="b">
        <v>0</v>
      </c>
      <c r="G1379" s="37">
        <v>0</v>
      </c>
      <c r="H1379" s="37" t="b">
        <v>0</v>
      </c>
    </row>
    <row r="1380" spans="1:8" x14ac:dyDescent="0.3">
      <c r="A1380" s="37" t="s">
        <v>0</v>
      </c>
      <c r="B1380" s="38">
        <v>127390</v>
      </c>
      <c r="E1380" s="37" t="b">
        <v>0</v>
      </c>
      <c r="F1380" s="37" t="b">
        <v>1</v>
      </c>
      <c r="G1380" s="37">
        <v>0</v>
      </c>
      <c r="H1380" s="37" t="b">
        <v>0</v>
      </c>
    </row>
    <row r="1381" spans="1:8" x14ac:dyDescent="0.3">
      <c r="A1381" s="37" t="s">
        <v>0</v>
      </c>
      <c r="B1381" s="38">
        <v>85050</v>
      </c>
      <c r="E1381" s="37" t="b">
        <v>0</v>
      </c>
      <c r="F1381" s="37" t="b">
        <v>1</v>
      </c>
      <c r="G1381" s="37">
        <v>0</v>
      </c>
      <c r="H1381" s="37" t="b">
        <v>0</v>
      </c>
    </row>
    <row r="1382" spans="1:8" x14ac:dyDescent="0.3">
      <c r="A1382" s="37" t="s">
        <v>0</v>
      </c>
      <c r="B1382" s="38">
        <v>119550</v>
      </c>
      <c r="E1382" s="37" t="b">
        <v>0</v>
      </c>
      <c r="F1382" s="37" t="b">
        <v>1</v>
      </c>
      <c r="G1382" s="37">
        <v>0</v>
      </c>
      <c r="H1382" s="37" t="b">
        <v>0</v>
      </c>
    </row>
    <row r="1383" spans="1:8" x14ac:dyDescent="0.3">
      <c r="A1383" s="37" t="s">
        <v>2</v>
      </c>
      <c r="B1383" s="38">
        <v>95700</v>
      </c>
      <c r="E1383" s="37" t="b">
        <v>1</v>
      </c>
      <c r="F1383" s="37" t="b">
        <v>1</v>
      </c>
      <c r="G1383" s="37">
        <v>1</v>
      </c>
      <c r="H1383" s="37">
        <v>95700</v>
      </c>
    </row>
    <row r="1384" spans="1:8" x14ac:dyDescent="0.3">
      <c r="A1384" s="37" t="s">
        <v>2</v>
      </c>
      <c r="B1384" s="38">
        <v>79928.40625</v>
      </c>
      <c r="E1384" s="37" t="b">
        <v>1</v>
      </c>
      <c r="F1384" s="37" t="b">
        <v>1</v>
      </c>
      <c r="G1384" s="37">
        <v>1</v>
      </c>
      <c r="H1384" s="37">
        <v>79928.40625</v>
      </c>
    </row>
    <row r="1385" spans="1:8" x14ac:dyDescent="0.3">
      <c r="A1385" s="37" t="s">
        <v>2</v>
      </c>
      <c r="B1385" s="38">
        <v>57550</v>
      </c>
      <c r="E1385" s="37" t="b">
        <v>1</v>
      </c>
      <c r="F1385" s="37" t="b">
        <v>1</v>
      </c>
      <c r="G1385" s="37">
        <v>1</v>
      </c>
      <c r="H1385" s="37">
        <v>57550</v>
      </c>
    </row>
    <row r="1386" spans="1:8" x14ac:dyDescent="0.3">
      <c r="A1386" s="37" t="s">
        <v>2</v>
      </c>
      <c r="B1386" s="38"/>
      <c r="E1386" s="37" t="b">
        <v>1</v>
      </c>
      <c r="F1386" s="37" t="b">
        <v>0</v>
      </c>
      <c r="G1386" s="37">
        <v>0</v>
      </c>
      <c r="H1386" s="37" t="b">
        <v>0</v>
      </c>
    </row>
    <row r="1387" spans="1:8" x14ac:dyDescent="0.3">
      <c r="A1387" s="37" t="s">
        <v>2</v>
      </c>
      <c r="B1387" s="38"/>
      <c r="E1387" s="37" t="b">
        <v>1</v>
      </c>
      <c r="F1387" s="37" t="b">
        <v>0</v>
      </c>
      <c r="G1387" s="37">
        <v>0</v>
      </c>
      <c r="H1387" s="37" t="b">
        <v>0</v>
      </c>
    </row>
    <row r="1388" spans="1:8" x14ac:dyDescent="0.3">
      <c r="A1388" s="37" t="s">
        <v>2</v>
      </c>
      <c r="B1388" s="38"/>
      <c r="E1388" s="37" t="b">
        <v>1</v>
      </c>
      <c r="F1388" s="37" t="b">
        <v>0</v>
      </c>
      <c r="G1388" s="37">
        <v>0</v>
      </c>
      <c r="H1388" s="37" t="b">
        <v>0</v>
      </c>
    </row>
    <row r="1389" spans="1:8" x14ac:dyDescent="0.3">
      <c r="A1389" s="37" t="s">
        <v>2</v>
      </c>
      <c r="B1389" s="38">
        <v>65085</v>
      </c>
      <c r="E1389" s="37" t="b">
        <v>1</v>
      </c>
      <c r="F1389" s="37" t="b">
        <v>1</v>
      </c>
      <c r="G1389" s="37">
        <v>1</v>
      </c>
      <c r="H1389" s="37">
        <v>65085</v>
      </c>
    </row>
    <row r="1390" spans="1:8" x14ac:dyDescent="0.3">
      <c r="A1390" s="37" t="s">
        <v>2</v>
      </c>
      <c r="B1390" s="38">
        <v>61266.3984375</v>
      </c>
      <c r="E1390" s="37" t="b">
        <v>1</v>
      </c>
      <c r="F1390" s="37" t="b">
        <v>1</v>
      </c>
      <c r="G1390" s="37">
        <v>1</v>
      </c>
      <c r="H1390" s="37">
        <v>61266.3984375</v>
      </c>
    </row>
    <row r="1391" spans="1:8" x14ac:dyDescent="0.3">
      <c r="A1391" s="37" t="s">
        <v>4</v>
      </c>
      <c r="B1391" s="38">
        <v>109500</v>
      </c>
      <c r="E1391" s="37" t="b">
        <v>0</v>
      </c>
      <c r="F1391" s="37" t="b">
        <v>1</v>
      </c>
      <c r="G1391" s="37">
        <v>0</v>
      </c>
      <c r="H1391" s="37" t="b">
        <v>0</v>
      </c>
    </row>
    <row r="1392" spans="1:8" x14ac:dyDescent="0.3">
      <c r="A1392" s="37" t="s">
        <v>2</v>
      </c>
      <c r="B1392" s="38"/>
      <c r="E1392" s="37" t="b">
        <v>1</v>
      </c>
      <c r="F1392" s="37" t="b">
        <v>0</v>
      </c>
      <c r="G1392" s="37">
        <v>0</v>
      </c>
      <c r="H1392" s="37" t="b">
        <v>0</v>
      </c>
    </row>
    <row r="1393" spans="1:8" x14ac:dyDescent="0.3">
      <c r="A1393" s="37" t="s">
        <v>125</v>
      </c>
      <c r="B1393" s="38"/>
      <c r="E1393" s="37" t="b">
        <v>0</v>
      </c>
      <c r="F1393" s="37" t="b">
        <v>0</v>
      </c>
      <c r="G1393" s="37">
        <v>0</v>
      </c>
      <c r="H1393" s="37" t="b">
        <v>0</v>
      </c>
    </row>
    <row r="1394" spans="1:8" x14ac:dyDescent="0.3">
      <c r="A1394" s="37" t="s">
        <v>2</v>
      </c>
      <c r="B1394" s="38">
        <v>60000</v>
      </c>
      <c r="E1394" s="37" t="b">
        <v>1</v>
      </c>
      <c r="F1394" s="37" t="b">
        <v>1</v>
      </c>
      <c r="G1394" s="37">
        <v>1</v>
      </c>
      <c r="H1394" s="37">
        <v>60000</v>
      </c>
    </row>
    <row r="1395" spans="1:8" x14ac:dyDescent="0.3">
      <c r="A1395" s="37" t="s">
        <v>128</v>
      </c>
      <c r="B1395" s="38">
        <v>126000</v>
      </c>
      <c r="E1395" s="37" t="b">
        <v>0</v>
      </c>
      <c r="F1395" s="37" t="b">
        <v>1</v>
      </c>
      <c r="G1395" s="37">
        <v>0</v>
      </c>
      <c r="H1395" s="37" t="b">
        <v>0</v>
      </c>
    </row>
    <row r="1396" spans="1:8" x14ac:dyDescent="0.3">
      <c r="A1396" s="37" t="s">
        <v>0</v>
      </c>
      <c r="B1396" s="38">
        <v>113500</v>
      </c>
      <c r="E1396" s="37" t="b">
        <v>0</v>
      </c>
      <c r="F1396" s="37" t="b">
        <v>1</v>
      </c>
      <c r="G1396" s="37">
        <v>0</v>
      </c>
      <c r="H1396" s="37" t="b">
        <v>0</v>
      </c>
    </row>
    <row r="1397" spans="1:8" x14ac:dyDescent="0.3">
      <c r="A1397" s="37" t="s">
        <v>4</v>
      </c>
      <c r="B1397" s="38">
        <v>160060.234375</v>
      </c>
      <c r="E1397" s="37" t="b">
        <v>0</v>
      </c>
      <c r="F1397" s="37" t="b">
        <v>1</v>
      </c>
      <c r="G1397" s="37">
        <v>0</v>
      </c>
      <c r="H1397" s="37" t="b">
        <v>0</v>
      </c>
    </row>
    <row r="1398" spans="1:8" x14ac:dyDescent="0.3">
      <c r="A1398" s="37" t="s">
        <v>2</v>
      </c>
      <c r="B1398" s="38"/>
      <c r="E1398" s="37" t="b">
        <v>1</v>
      </c>
      <c r="F1398" s="37" t="b">
        <v>0</v>
      </c>
      <c r="G1398" s="37">
        <v>0</v>
      </c>
      <c r="H1398" s="37" t="b">
        <v>0</v>
      </c>
    </row>
    <row r="1399" spans="1:8" x14ac:dyDescent="0.3">
      <c r="A1399" s="37" t="s">
        <v>2</v>
      </c>
      <c r="B1399" s="38"/>
      <c r="E1399" s="37" t="b">
        <v>1</v>
      </c>
      <c r="F1399" s="37" t="b">
        <v>0</v>
      </c>
      <c r="G1399" s="37">
        <v>0</v>
      </c>
      <c r="H1399" s="37" t="b">
        <v>0</v>
      </c>
    </row>
    <row r="1400" spans="1:8" x14ac:dyDescent="0.3">
      <c r="A1400" s="37" t="s">
        <v>2</v>
      </c>
      <c r="B1400" s="38">
        <v>70000</v>
      </c>
      <c r="E1400" s="37" t="b">
        <v>1</v>
      </c>
      <c r="F1400" s="37" t="b">
        <v>1</v>
      </c>
      <c r="G1400" s="37">
        <v>1</v>
      </c>
      <c r="H1400" s="37">
        <v>70000</v>
      </c>
    </row>
    <row r="1401" spans="1:8" x14ac:dyDescent="0.3">
      <c r="A1401" s="37" t="s">
        <v>0</v>
      </c>
      <c r="B1401" s="38">
        <v>88393.5</v>
      </c>
      <c r="E1401" s="37" t="b">
        <v>0</v>
      </c>
      <c r="F1401" s="37" t="b">
        <v>1</v>
      </c>
      <c r="G1401" s="37">
        <v>0</v>
      </c>
      <c r="H1401" s="37" t="b">
        <v>0</v>
      </c>
    </row>
    <row r="1402" spans="1:8" x14ac:dyDescent="0.3">
      <c r="A1402" s="37" t="s">
        <v>125</v>
      </c>
      <c r="B1402" s="38">
        <v>95150</v>
      </c>
      <c r="E1402" s="37" t="b">
        <v>0</v>
      </c>
      <c r="F1402" s="37" t="b">
        <v>1</v>
      </c>
      <c r="G1402" s="37">
        <v>0</v>
      </c>
      <c r="H1402" s="37" t="b">
        <v>0</v>
      </c>
    </row>
    <row r="1403" spans="1:8" x14ac:dyDescent="0.3">
      <c r="A1403" s="37" t="s">
        <v>4</v>
      </c>
      <c r="B1403" s="38">
        <v>164500</v>
      </c>
      <c r="E1403" s="37" t="b">
        <v>0</v>
      </c>
      <c r="F1403" s="37" t="b">
        <v>1</v>
      </c>
      <c r="G1403" s="37">
        <v>0</v>
      </c>
      <c r="H1403" s="37" t="b">
        <v>0</v>
      </c>
    </row>
    <row r="1404" spans="1:8" x14ac:dyDescent="0.3">
      <c r="A1404" s="37" t="s">
        <v>2</v>
      </c>
      <c r="B1404" s="38">
        <v>118162</v>
      </c>
      <c r="E1404" s="37" t="b">
        <v>1</v>
      </c>
      <c r="F1404" s="37" t="b">
        <v>1</v>
      </c>
      <c r="G1404" s="37">
        <v>1</v>
      </c>
      <c r="H1404" s="37">
        <v>118162</v>
      </c>
    </row>
    <row r="1405" spans="1:8" x14ac:dyDescent="0.3">
      <c r="A1405" s="37" t="s">
        <v>2</v>
      </c>
      <c r="B1405" s="38"/>
      <c r="E1405" s="37" t="b">
        <v>1</v>
      </c>
      <c r="F1405" s="37" t="b">
        <v>0</v>
      </c>
      <c r="G1405" s="37">
        <v>0</v>
      </c>
      <c r="H1405" s="37" t="b">
        <v>0</v>
      </c>
    </row>
    <row r="1406" spans="1:8" x14ac:dyDescent="0.3">
      <c r="A1406" s="37" t="s">
        <v>4</v>
      </c>
      <c r="B1406" s="38">
        <v>180000</v>
      </c>
      <c r="E1406" s="37" t="b">
        <v>0</v>
      </c>
      <c r="F1406" s="37" t="b">
        <v>1</v>
      </c>
      <c r="G1406" s="37">
        <v>0</v>
      </c>
      <c r="H1406" s="37" t="b">
        <v>0</v>
      </c>
    </row>
    <row r="1407" spans="1:8" x14ac:dyDescent="0.3">
      <c r="A1407" s="37" t="s">
        <v>2</v>
      </c>
      <c r="B1407" s="38">
        <v>65000</v>
      </c>
      <c r="E1407" s="37" t="b">
        <v>1</v>
      </c>
      <c r="F1407" s="37" t="b">
        <v>1</v>
      </c>
      <c r="G1407" s="37">
        <v>1</v>
      </c>
      <c r="H1407" s="37">
        <v>65000</v>
      </c>
    </row>
    <row r="1408" spans="1:8" x14ac:dyDescent="0.3">
      <c r="A1408" s="37" t="s">
        <v>2</v>
      </c>
      <c r="B1408" s="38">
        <v>65000</v>
      </c>
      <c r="E1408" s="37" t="b">
        <v>1</v>
      </c>
      <c r="F1408" s="37" t="b">
        <v>1</v>
      </c>
      <c r="G1408" s="37">
        <v>1</v>
      </c>
      <c r="H1408" s="37">
        <v>65000</v>
      </c>
    </row>
    <row r="1409" spans="1:8" x14ac:dyDescent="0.3">
      <c r="A1409" s="37" t="s">
        <v>2</v>
      </c>
      <c r="B1409" s="38">
        <v>65000</v>
      </c>
      <c r="E1409" s="37" t="b">
        <v>1</v>
      </c>
      <c r="F1409" s="37" t="b">
        <v>1</v>
      </c>
      <c r="G1409" s="37">
        <v>1</v>
      </c>
      <c r="H1409" s="37">
        <v>65000</v>
      </c>
    </row>
    <row r="1410" spans="1:8" x14ac:dyDescent="0.3">
      <c r="A1410" s="37" t="s">
        <v>2</v>
      </c>
      <c r="B1410" s="38"/>
      <c r="E1410" s="37" t="b">
        <v>1</v>
      </c>
      <c r="F1410" s="37" t="b">
        <v>0</v>
      </c>
      <c r="G1410" s="37">
        <v>0</v>
      </c>
      <c r="H1410" s="37" t="b">
        <v>0</v>
      </c>
    </row>
    <row r="1411" spans="1:8" x14ac:dyDescent="0.3">
      <c r="A1411" s="37" t="s">
        <v>2</v>
      </c>
      <c r="B1411" s="38">
        <v>59192.5</v>
      </c>
      <c r="E1411" s="37" t="b">
        <v>1</v>
      </c>
      <c r="F1411" s="37" t="b">
        <v>1</v>
      </c>
      <c r="G1411" s="37">
        <v>1</v>
      </c>
      <c r="H1411" s="37">
        <v>59192.5</v>
      </c>
    </row>
    <row r="1412" spans="1:8" x14ac:dyDescent="0.3">
      <c r="A1412" s="37" t="s">
        <v>2</v>
      </c>
      <c r="B1412" s="38"/>
      <c r="E1412" s="37" t="b">
        <v>1</v>
      </c>
      <c r="F1412" s="37" t="b">
        <v>0</v>
      </c>
      <c r="G1412" s="37">
        <v>0</v>
      </c>
      <c r="H1412" s="37" t="b">
        <v>0</v>
      </c>
    </row>
    <row r="1413" spans="1:8" x14ac:dyDescent="0.3">
      <c r="A1413" s="37" t="s">
        <v>0</v>
      </c>
      <c r="B1413" s="38"/>
      <c r="E1413" s="37" t="b">
        <v>0</v>
      </c>
      <c r="F1413" s="37" t="b">
        <v>0</v>
      </c>
      <c r="G1413" s="37">
        <v>0</v>
      </c>
      <c r="H1413" s="37" t="b">
        <v>0</v>
      </c>
    </row>
    <row r="1414" spans="1:8" x14ac:dyDescent="0.3">
      <c r="A1414" s="37" t="s">
        <v>4</v>
      </c>
      <c r="B1414" s="38"/>
      <c r="E1414" s="37" t="b">
        <v>0</v>
      </c>
      <c r="F1414" s="37" t="b">
        <v>0</v>
      </c>
      <c r="G1414" s="37">
        <v>0</v>
      </c>
      <c r="H1414" s="37" t="b">
        <v>0</v>
      </c>
    </row>
    <row r="1415" spans="1:8" x14ac:dyDescent="0.3">
      <c r="A1415" s="37" t="s">
        <v>4</v>
      </c>
      <c r="B1415" s="38"/>
      <c r="E1415" s="37" t="b">
        <v>0</v>
      </c>
      <c r="F1415" s="37" t="b">
        <v>0</v>
      </c>
      <c r="G1415" s="37">
        <v>0</v>
      </c>
      <c r="H1415" s="37" t="b">
        <v>0</v>
      </c>
    </row>
    <row r="1416" spans="1:8" x14ac:dyDescent="0.3">
      <c r="A1416" s="37" t="s">
        <v>2</v>
      </c>
      <c r="B1416" s="38">
        <v>52366.3984375</v>
      </c>
      <c r="E1416" s="37" t="b">
        <v>1</v>
      </c>
      <c r="F1416" s="37" t="b">
        <v>1</v>
      </c>
      <c r="G1416" s="37">
        <v>1</v>
      </c>
      <c r="H1416" s="37">
        <v>52366.3984375</v>
      </c>
    </row>
    <row r="1417" spans="1:8" x14ac:dyDescent="0.3">
      <c r="A1417" s="37" t="s">
        <v>0</v>
      </c>
      <c r="B1417" s="38">
        <v>95700</v>
      </c>
      <c r="E1417" s="37" t="b">
        <v>0</v>
      </c>
      <c r="F1417" s="37" t="b">
        <v>1</v>
      </c>
      <c r="G1417" s="37">
        <v>0</v>
      </c>
      <c r="H1417" s="37" t="b">
        <v>0</v>
      </c>
    </row>
    <row r="1418" spans="1:8" x14ac:dyDescent="0.3">
      <c r="A1418" s="37" t="s">
        <v>2</v>
      </c>
      <c r="B1418" s="38">
        <v>85000</v>
      </c>
      <c r="E1418" s="37" t="b">
        <v>1</v>
      </c>
      <c r="F1418" s="37" t="b">
        <v>1</v>
      </c>
      <c r="G1418" s="37">
        <v>1</v>
      </c>
      <c r="H1418" s="37">
        <v>85000</v>
      </c>
    </row>
    <row r="1419" spans="1:8" x14ac:dyDescent="0.3">
      <c r="A1419" s="37" t="s">
        <v>2</v>
      </c>
      <c r="B1419" s="38"/>
      <c r="E1419" s="37" t="b">
        <v>1</v>
      </c>
      <c r="F1419" s="37" t="b">
        <v>0</v>
      </c>
      <c r="G1419" s="37">
        <v>0</v>
      </c>
      <c r="H1419" s="37" t="b">
        <v>0</v>
      </c>
    </row>
    <row r="1420" spans="1:8" x14ac:dyDescent="0.3">
      <c r="A1420" s="37" t="s">
        <v>4</v>
      </c>
      <c r="B1420" s="38">
        <v>130000</v>
      </c>
      <c r="E1420" s="37" t="b">
        <v>0</v>
      </c>
      <c r="F1420" s="37" t="b">
        <v>1</v>
      </c>
      <c r="G1420" s="37">
        <v>0</v>
      </c>
      <c r="H1420" s="37" t="b">
        <v>0</v>
      </c>
    </row>
    <row r="1421" spans="1:8" x14ac:dyDescent="0.3">
      <c r="A1421" s="37" t="s">
        <v>0</v>
      </c>
      <c r="B1421" s="38">
        <v>65000</v>
      </c>
      <c r="E1421" s="37" t="b">
        <v>0</v>
      </c>
      <c r="F1421" s="37" t="b">
        <v>1</v>
      </c>
      <c r="G1421" s="37">
        <v>0</v>
      </c>
      <c r="H1421" s="37" t="b">
        <v>0</v>
      </c>
    </row>
    <row r="1422" spans="1:8" x14ac:dyDescent="0.3">
      <c r="A1422" s="37" t="s">
        <v>0</v>
      </c>
      <c r="B1422" s="38">
        <v>115000</v>
      </c>
      <c r="E1422" s="37" t="b">
        <v>0</v>
      </c>
      <c r="F1422" s="37" t="b">
        <v>1</v>
      </c>
      <c r="G1422" s="37">
        <v>0</v>
      </c>
      <c r="H1422" s="37" t="b">
        <v>0</v>
      </c>
    </row>
    <row r="1423" spans="1:8" x14ac:dyDescent="0.3">
      <c r="A1423" s="37" t="s">
        <v>0</v>
      </c>
      <c r="B1423" s="38"/>
      <c r="E1423" s="37" t="b">
        <v>0</v>
      </c>
      <c r="F1423" s="37" t="b">
        <v>0</v>
      </c>
      <c r="G1423" s="37">
        <v>0</v>
      </c>
      <c r="H1423" s="37" t="b">
        <v>0</v>
      </c>
    </row>
    <row r="1424" spans="1:8" x14ac:dyDescent="0.3">
      <c r="A1424" s="37" t="s">
        <v>0</v>
      </c>
      <c r="B1424" s="38">
        <v>190000</v>
      </c>
      <c r="E1424" s="37" t="b">
        <v>0</v>
      </c>
      <c r="F1424" s="37" t="b">
        <v>1</v>
      </c>
      <c r="G1424" s="37">
        <v>0</v>
      </c>
      <c r="H1424" s="37" t="b">
        <v>0</v>
      </c>
    </row>
    <row r="1425" spans="1:8" x14ac:dyDescent="0.3">
      <c r="A1425" s="37" t="s">
        <v>2</v>
      </c>
      <c r="B1425" s="38"/>
      <c r="E1425" s="37" t="b">
        <v>1</v>
      </c>
      <c r="F1425" s="37" t="b">
        <v>0</v>
      </c>
      <c r="G1425" s="37">
        <v>0</v>
      </c>
      <c r="H1425" s="37" t="b">
        <v>0</v>
      </c>
    </row>
    <row r="1426" spans="1:8" x14ac:dyDescent="0.3">
      <c r="A1426" s="37" t="s">
        <v>0</v>
      </c>
      <c r="B1426" s="38">
        <v>88393.5</v>
      </c>
      <c r="E1426" s="37" t="b">
        <v>0</v>
      </c>
      <c r="F1426" s="37" t="b">
        <v>1</v>
      </c>
      <c r="G1426" s="37">
        <v>0</v>
      </c>
      <c r="H1426" s="37" t="b">
        <v>0</v>
      </c>
    </row>
    <row r="1427" spans="1:8" x14ac:dyDescent="0.3">
      <c r="A1427" s="37" t="s">
        <v>2</v>
      </c>
      <c r="B1427" s="38"/>
      <c r="E1427" s="37" t="b">
        <v>1</v>
      </c>
      <c r="F1427" s="37" t="b">
        <v>0</v>
      </c>
      <c r="G1427" s="37">
        <v>0</v>
      </c>
      <c r="H1427" s="37" t="b">
        <v>0</v>
      </c>
    </row>
    <row r="1428" spans="1:8" x14ac:dyDescent="0.3">
      <c r="A1428" s="37" t="s">
        <v>125</v>
      </c>
      <c r="B1428" s="38">
        <v>85000</v>
      </c>
      <c r="E1428" s="37" t="b">
        <v>0</v>
      </c>
      <c r="F1428" s="37" t="b">
        <v>1</v>
      </c>
      <c r="G1428" s="37">
        <v>0</v>
      </c>
      <c r="H1428" s="37" t="b">
        <v>0</v>
      </c>
    </row>
    <row r="1429" spans="1:8" x14ac:dyDescent="0.3">
      <c r="A1429" s="37" t="s">
        <v>4</v>
      </c>
      <c r="B1429" s="38">
        <v>87500</v>
      </c>
      <c r="E1429" s="37" t="b">
        <v>0</v>
      </c>
      <c r="F1429" s="37" t="b">
        <v>1</v>
      </c>
      <c r="G1429" s="37">
        <v>0</v>
      </c>
      <c r="H1429" s="37" t="b">
        <v>0</v>
      </c>
    </row>
    <row r="1430" spans="1:8" x14ac:dyDescent="0.3">
      <c r="A1430" s="37" t="s">
        <v>0</v>
      </c>
      <c r="B1430" s="38">
        <v>95700</v>
      </c>
      <c r="E1430" s="37" t="b">
        <v>0</v>
      </c>
      <c r="F1430" s="37" t="b">
        <v>1</v>
      </c>
      <c r="G1430" s="37">
        <v>0</v>
      </c>
      <c r="H1430" s="37" t="b">
        <v>0</v>
      </c>
    </row>
    <row r="1431" spans="1:8" x14ac:dyDescent="0.3">
      <c r="A1431" s="37" t="s">
        <v>0</v>
      </c>
      <c r="B1431" s="38">
        <v>118500</v>
      </c>
      <c r="E1431" s="37" t="b">
        <v>0</v>
      </c>
      <c r="F1431" s="37" t="b">
        <v>1</v>
      </c>
      <c r="G1431" s="37">
        <v>0</v>
      </c>
      <c r="H1431" s="37" t="b">
        <v>0</v>
      </c>
    </row>
    <row r="1432" spans="1:8" x14ac:dyDescent="0.3">
      <c r="A1432" s="37" t="s">
        <v>2</v>
      </c>
      <c r="B1432" s="38"/>
      <c r="E1432" s="37" t="b">
        <v>1</v>
      </c>
      <c r="F1432" s="37" t="b">
        <v>0</v>
      </c>
      <c r="G1432" s="37">
        <v>0</v>
      </c>
      <c r="H1432" s="37" t="b">
        <v>0</v>
      </c>
    </row>
    <row r="1433" spans="1:8" x14ac:dyDescent="0.3">
      <c r="A1433" s="37" t="s">
        <v>2</v>
      </c>
      <c r="B1433" s="38"/>
      <c r="E1433" s="37" t="b">
        <v>1</v>
      </c>
      <c r="F1433" s="37" t="b">
        <v>0</v>
      </c>
      <c r="G1433" s="37">
        <v>0</v>
      </c>
      <c r="H1433" s="37" t="b">
        <v>0</v>
      </c>
    </row>
    <row r="1434" spans="1:8" x14ac:dyDescent="0.3">
      <c r="A1434" s="37" t="s">
        <v>2</v>
      </c>
      <c r="B1434" s="38"/>
      <c r="E1434" s="37" t="b">
        <v>1</v>
      </c>
      <c r="F1434" s="37" t="b">
        <v>0</v>
      </c>
      <c r="G1434" s="37">
        <v>0</v>
      </c>
      <c r="H1434" s="37" t="b">
        <v>0</v>
      </c>
    </row>
    <row r="1435" spans="1:8" x14ac:dyDescent="0.3">
      <c r="A1435" s="37" t="s">
        <v>2</v>
      </c>
      <c r="B1435" s="38"/>
      <c r="E1435" s="37" t="b">
        <v>1</v>
      </c>
      <c r="F1435" s="37" t="b">
        <v>0</v>
      </c>
      <c r="G1435" s="37">
        <v>0</v>
      </c>
      <c r="H1435" s="37" t="b">
        <v>0</v>
      </c>
    </row>
    <row r="1436" spans="1:8" x14ac:dyDescent="0.3">
      <c r="A1436" s="37" t="s">
        <v>2</v>
      </c>
      <c r="B1436" s="38"/>
      <c r="E1436" s="37" t="b">
        <v>1</v>
      </c>
      <c r="F1436" s="37" t="b">
        <v>0</v>
      </c>
      <c r="G1436" s="37">
        <v>0</v>
      </c>
      <c r="H1436" s="37" t="b">
        <v>0</v>
      </c>
    </row>
    <row r="1437" spans="1:8" x14ac:dyDescent="0.3">
      <c r="A1437" s="37" t="s">
        <v>2</v>
      </c>
      <c r="B1437" s="38">
        <v>76000</v>
      </c>
      <c r="E1437" s="37" t="b">
        <v>1</v>
      </c>
      <c r="F1437" s="37" t="b">
        <v>1</v>
      </c>
      <c r="G1437" s="37">
        <v>1</v>
      </c>
      <c r="H1437" s="37">
        <v>76000</v>
      </c>
    </row>
    <row r="1438" spans="1:8" x14ac:dyDescent="0.3">
      <c r="A1438" s="37" t="s">
        <v>4</v>
      </c>
      <c r="B1438" s="38">
        <v>100000</v>
      </c>
      <c r="E1438" s="37" t="b">
        <v>0</v>
      </c>
      <c r="F1438" s="37" t="b">
        <v>1</v>
      </c>
      <c r="G1438" s="37">
        <v>0</v>
      </c>
      <c r="H1438" s="37" t="b">
        <v>0</v>
      </c>
    </row>
    <row r="1439" spans="1:8" x14ac:dyDescent="0.3">
      <c r="A1439" s="37" t="s">
        <v>0</v>
      </c>
      <c r="B1439" s="38">
        <v>135359.34375</v>
      </c>
      <c r="E1439" s="37" t="b">
        <v>0</v>
      </c>
      <c r="F1439" s="37" t="b">
        <v>1</v>
      </c>
      <c r="G1439" s="37">
        <v>0</v>
      </c>
      <c r="H1439" s="37" t="b">
        <v>0</v>
      </c>
    </row>
    <row r="1440" spans="1:8" x14ac:dyDescent="0.3">
      <c r="A1440" s="37" t="s">
        <v>2</v>
      </c>
      <c r="B1440" s="38"/>
      <c r="E1440" s="37" t="b">
        <v>1</v>
      </c>
      <c r="F1440" s="37" t="b">
        <v>0</v>
      </c>
      <c r="G1440" s="37">
        <v>0</v>
      </c>
      <c r="H1440" s="37" t="b">
        <v>0</v>
      </c>
    </row>
    <row r="1441" spans="1:8" x14ac:dyDescent="0.3">
      <c r="A1441" s="37" t="s">
        <v>0</v>
      </c>
      <c r="B1441" s="38">
        <v>128816</v>
      </c>
      <c r="E1441" s="37" t="b">
        <v>0</v>
      </c>
      <c r="F1441" s="37" t="b">
        <v>1</v>
      </c>
      <c r="G1441" s="37">
        <v>0</v>
      </c>
      <c r="H1441" s="37" t="b">
        <v>0</v>
      </c>
    </row>
    <row r="1442" spans="1:8" x14ac:dyDescent="0.3">
      <c r="A1442" s="37" t="s">
        <v>2</v>
      </c>
      <c r="B1442" s="38">
        <v>115000</v>
      </c>
      <c r="E1442" s="37" t="b">
        <v>1</v>
      </c>
      <c r="F1442" s="37" t="b">
        <v>1</v>
      </c>
      <c r="G1442" s="37">
        <v>1</v>
      </c>
      <c r="H1442" s="37">
        <v>115000</v>
      </c>
    </row>
    <row r="1443" spans="1:8" x14ac:dyDescent="0.3">
      <c r="A1443" s="37" t="s">
        <v>0</v>
      </c>
      <c r="B1443" s="38">
        <v>135000</v>
      </c>
      <c r="E1443" s="37" t="b">
        <v>0</v>
      </c>
      <c r="F1443" s="37" t="b">
        <v>1</v>
      </c>
      <c r="G1443" s="37">
        <v>0</v>
      </c>
      <c r="H1443" s="37" t="b">
        <v>0</v>
      </c>
    </row>
    <row r="1444" spans="1:8" x14ac:dyDescent="0.3">
      <c r="A1444" s="37" t="s">
        <v>0</v>
      </c>
      <c r="B1444" s="38">
        <v>107800</v>
      </c>
      <c r="E1444" s="37" t="b">
        <v>0</v>
      </c>
      <c r="F1444" s="37" t="b">
        <v>1</v>
      </c>
      <c r="G1444" s="37">
        <v>0</v>
      </c>
      <c r="H1444" s="37" t="b">
        <v>0</v>
      </c>
    </row>
    <row r="1445" spans="1:8" x14ac:dyDescent="0.3">
      <c r="A1445" s="37" t="s">
        <v>2</v>
      </c>
      <c r="B1445" s="38">
        <v>67500</v>
      </c>
      <c r="E1445" s="37" t="b">
        <v>1</v>
      </c>
      <c r="F1445" s="37" t="b">
        <v>1</v>
      </c>
      <c r="G1445" s="37">
        <v>1</v>
      </c>
      <c r="H1445" s="37">
        <v>67500</v>
      </c>
    </row>
    <row r="1446" spans="1:8" x14ac:dyDescent="0.3">
      <c r="A1446" s="37" t="s">
        <v>0</v>
      </c>
      <c r="B1446" s="38"/>
      <c r="E1446" s="37" t="b">
        <v>0</v>
      </c>
      <c r="F1446" s="37" t="b">
        <v>0</v>
      </c>
      <c r="G1446" s="37">
        <v>0</v>
      </c>
      <c r="H1446" s="37" t="b">
        <v>0</v>
      </c>
    </row>
    <row r="1447" spans="1:8" x14ac:dyDescent="0.3">
      <c r="A1447" s="37" t="s">
        <v>2</v>
      </c>
      <c r="B1447" s="38">
        <v>62500</v>
      </c>
      <c r="E1447" s="37" t="b">
        <v>1</v>
      </c>
      <c r="F1447" s="37" t="b">
        <v>1</v>
      </c>
      <c r="G1447" s="37">
        <v>1</v>
      </c>
      <c r="H1447" s="37">
        <v>62500</v>
      </c>
    </row>
    <row r="1448" spans="1:8" x14ac:dyDescent="0.3">
      <c r="A1448" s="37" t="s">
        <v>0</v>
      </c>
      <c r="B1448" s="38">
        <v>150000</v>
      </c>
      <c r="E1448" s="37" t="b">
        <v>0</v>
      </c>
      <c r="F1448" s="37" t="b">
        <v>1</v>
      </c>
      <c r="G1448" s="37">
        <v>0</v>
      </c>
      <c r="H1448" s="37" t="b">
        <v>0</v>
      </c>
    </row>
    <row r="1449" spans="1:8" x14ac:dyDescent="0.3">
      <c r="A1449" s="37" t="s">
        <v>2</v>
      </c>
      <c r="B1449" s="38"/>
      <c r="E1449" s="37" t="b">
        <v>1</v>
      </c>
      <c r="F1449" s="37" t="b">
        <v>0</v>
      </c>
      <c r="G1449" s="37">
        <v>0</v>
      </c>
      <c r="H1449" s="37" t="b">
        <v>0</v>
      </c>
    </row>
    <row r="1450" spans="1:8" x14ac:dyDescent="0.3">
      <c r="A1450" s="37" t="s">
        <v>0</v>
      </c>
      <c r="B1450" s="38">
        <v>145000</v>
      </c>
      <c r="E1450" s="37" t="b">
        <v>0</v>
      </c>
      <c r="F1450" s="37" t="b">
        <v>1</v>
      </c>
      <c r="G1450" s="37">
        <v>0</v>
      </c>
      <c r="H1450" s="37" t="b">
        <v>0</v>
      </c>
    </row>
    <row r="1451" spans="1:8" x14ac:dyDescent="0.3">
      <c r="A1451" s="37" t="s">
        <v>2</v>
      </c>
      <c r="B1451" s="38">
        <v>56212.5</v>
      </c>
      <c r="E1451" s="37" t="b">
        <v>1</v>
      </c>
      <c r="F1451" s="37" t="b">
        <v>1</v>
      </c>
      <c r="G1451" s="37">
        <v>1</v>
      </c>
      <c r="H1451" s="37">
        <v>56212.5</v>
      </c>
    </row>
    <row r="1452" spans="1:8" x14ac:dyDescent="0.3">
      <c r="A1452" s="37" t="s">
        <v>2</v>
      </c>
      <c r="B1452" s="38"/>
      <c r="E1452" s="37" t="b">
        <v>1</v>
      </c>
      <c r="F1452" s="37" t="b">
        <v>0</v>
      </c>
      <c r="G1452" s="37">
        <v>0</v>
      </c>
      <c r="H1452" s="37" t="b">
        <v>0</v>
      </c>
    </row>
    <row r="1453" spans="1:8" x14ac:dyDescent="0.3">
      <c r="A1453" s="37" t="s">
        <v>2</v>
      </c>
      <c r="B1453" s="38"/>
      <c r="E1453" s="37" t="b">
        <v>1</v>
      </c>
      <c r="F1453" s="37" t="b">
        <v>0</v>
      </c>
      <c r="G1453" s="37">
        <v>0</v>
      </c>
      <c r="H1453" s="37" t="b">
        <v>0</v>
      </c>
    </row>
    <row r="1454" spans="1:8" x14ac:dyDescent="0.3">
      <c r="A1454" s="37" t="s">
        <v>2</v>
      </c>
      <c r="B1454" s="38"/>
      <c r="E1454" s="37" t="b">
        <v>1</v>
      </c>
      <c r="F1454" s="37" t="b">
        <v>0</v>
      </c>
      <c r="G1454" s="37">
        <v>0</v>
      </c>
      <c r="H1454" s="37" t="b">
        <v>0</v>
      </c>
    </row>
    <row r="1455" spans="1:8" x14ac:dyDescent="0.3">
      <c r="A1455" s="37" t="s">
        <v>0</v>
      </c>
      <c r="B1455" s="38">
        <v>142052</v>
      </c>
      <c r="E1455" s="37" t="b">
        <v>0</v>
      </c>
      <c r="F1455" s="37" t="b">
        <v>1</v>
      </c>
      <c r="G1455" s="37">
        <v>0</v>
      </c>
      <c r="H1455" s="37" t="b">
        <v>0</v>
      </c>
    </row>
    <row r="1456" spans="1:8" x14ac:dyDescent="0.3">
      <c r="A1456" s="37" t="s">
        <v>2</v>
      </c>
      <c r="B1456" s="38">
        <v>95000</v>
      </c>
      <c r="E1456" s="37" t="b">
        <v>1</v>
      </c>
      <c r="F1456" s="37" t="b">
        <v>1</v>
      </c>
      <c r="G1456" s="37">
        <v>1</v>
      </c>
      <c r="H1456" s="37">
        <v>95000</v>
      </c>
    </row>
    <row r="1457" spans="1:8" x14ac:dyDescent="0.3">
      <c r="A1457" s="37" t="s">
        <v>2</v>
      </c>
      <c r="B1457" s="38">
        <v>50000</v>
      </c>
      <c r="E1457" s="37" t="b">
        <v>1</v>
      </c>
      <c r="F1457" s="37" t="b">
        <v>1</v>
      </c>
      <c r="G1457" s="37">
        <v>1</v>
      </c>
      <c r="H1457" s="37">
        <v>50000</v>
      </c>
    </row>
    <row r="1458" spans="1:8" x14ac:dyDescent="0.3">
      <c r="A1458" s="37" t="s">
        <v>0</v>
      </c>
      <c r="B1458" s="38">
        <v>136500</v>
      </c>
      <c r="E1458" s="37" t="b">
        <v>0</v>
      </c>
      <c r="F1458" s="37" t="b">
        <v>1</v>
      </c>
      <c r="G1458" s="37">
        <v>0</v>
      </c>
      <c r="H1458" s="37" t="b">
        <v>0</v>
      </c>
    </row>
    <row r="1459" spans="1:8" x14ac:dyDescent="0.3">
      <c r="A1459" s="37" t="s">
        <v>0</v>
      </c>
      <c r="B1459" s="38">
        <v>157000</v>
      </c>
      <c r="E1459" s="37" t="b">
        <v>0</v>
      </c>
      <c r="F1459" s="37" t="b">
        <v>1</v>
      </c>
      <c r="G1459" s="37">
        <v>0</v>
      </c>
      <c r="H1459" s="37" t="b">
        <v>0</v>
      </c>
    </row>
    <row r="1460" spans="1:8" x14ac:dyDescent="0.3">
      <c r="A1460" s="37" t="s">
        <v>0</v>
      </c>
      <c r="B1460" s="38"/>
      <c r="E1460" s="37" t="b">
        <v>0</v>
      </c>
      <c r="F1460" s="37" t="b">
        <v>0</v>
      </c>
      <c r="G1460" s="37">
        <v>0</v>
      </c>
      <c r="H1460" s="37" t="b">
        <v>0</v>
      </c>
    </row>
    <row r="1461" spans="1:8" x14ac:dyDescent="0.3">
      <c r="A1461" s="37" t="s">
        <v>2</v>
      </c>
      <c r="B1461" s="38">
        <v>90000</v>
      </c>
      <c r="E1461" s="37" t="b">
        <v>1</v>
      </c>
      <c r="F1461" s="37" t="b">
        <v>1</v>
      </c>
      <c r="G1461" s="37">
        <v>1</v>
      </c>
      <c r="H1461" s="37">
        <v>90000</v>
      </c>
    </row>
    <row r="1462" spans="1:8" x14ac:dyDescent="0.3">
      <c r="A1462" s="37" t="s">
        <v>2</v>
      </c>
      <c r="B1462" s="38">
        <v>70000</v>
      </c>
      <c r="E1462" s="37" t="b">
        <v>1</v>
      </c>
      <c r="F1462" s="37" t="b">
        <v>1</v>
      </c>
      <c r="G1462" s="37">
        <v>1</v>
      </c>
      <c r="H1462" s="37">
        <v>70000</v>
      </c>
    </row>
    <row r="1463" spans="1:8" x14ac:dyDescent="0.3">
      <c r="A1463" s="37" t="s">
        <v>0</v>
      </c>
      <c r="B1463" s="38">
        <v>151650</v>
      </c>
      <c r="E1463" s="37" t="b">
        <v>0</v>
      </c>
      <c r="F1463" s="37" t="b">
        <v>1</v>
      </c>
      <c r="G1463" s="37">
        <v>0</v>
      </c>
      <c r="H1463" s="37" t="b">
        <v>0</v>
      </c>
    </row>
    <row r="1464" spans="1:8" x14ac:dyDescent="0.3">
      <c r="A1464" s="37" t="s">
        <v>2</v>
      </c>
      <c r="B1464" s="38">
        <v>104750</v>
      </c>
      <c r="E1464" s="37" t="b">
        <v>1</v>
      </c>
      <c r="F1464" s="37" t="b">
        <v>1</v>
      </c>
      <c r="G1464" s="37">
        <v>1</v>
      </c>
      <c r="H1464" s="37">
        <v>104750</v>
      </c>
    </row>
    <row r="1465" spans="1:8" x14ac:dyDescent="0.3">
      <c r="A1465" s="37" t="s">
        <v>0</v>
      </c>
      <c r="B1465" s="38">
        <v>182000</v>
      </c>
      <c r="E1465" s="37" t="b">
        <v>0</v>
      </c>
      <c r="F1465" s="37" t="b">
        <v>1</v>
      </c>
      <c r="G1465" s="37">
        <v>0</v>
      </c>
      <c r="H1465" s="37" t="b">
        <v>0</v>
      </c>
    </row>
    <row r="1466" spans="1:8" x14ac:dyDescent="0.3">
      <c r="A1466" s="37" t="s">
        <v>126</v>
      </c>
      <c r="B1466" s="38">
        <v>128295.0625</v>
      </c>
      <c r="E1466" s="37" t="b">
        <v>0</v>
      </c>
      <c r="F1466" s="37" t="b">
        <v>1</v>
      </c>
      <c r="G1466" s="37">
        <v>0</v>
      </c>
      <c r="H1466" s="37" t="b">
        <v>0</v>
      </c>
    </row>
    <row r="1467" spans="1:8" x14ac:dyDescent="0.3">
      <c r="A1467" s="37" t="s">
        <v>0</v>
      </c>
      <c r="B1467" s="38"/>
      <c r="E1467" s="37" t="b">
        <v>0</v>
      </c>
      <c r="F1467" s="37" t="b">
        <v>0</v>
      </c>
      <c r="G1467" s="37">
        <v>0</v>
      </c>
      <c r="H1467" s="37" t="b">
        <v>0</v>
      </c>
    </row>
    <row r="1468" spans="1:8" x14ac:dyDescent="0.3">
      <c r="A1468" s="37" t="s">
        <v>2</v>
      </c>
      <c r="B1468" s="38">
        <v>85000</v>
      </c>
      <c r="E1468" s="37" t="b">
        <v>1</v>
      </c>
      <c r="F1468" s="37" t="b">
        <v>1</v>
      </c>
      <c r="G1468" s="37">
        <v>1</v>
      </c>
      <c r="H1468" s="37">
        <v>85000</v>
      </c>
    </row>
    <row r="1469" spans="1:8" x14ac:dyDescent="0.3">
      <c r="A1469" s="37" t="s">
        <v>2</v>
      </c>
      <c r="B1469" s="38">
        <v>49500</v>
      </c>
      <c r="E1469" s="37" t="b">
        <v>1</v>
      </c>
      <c r="F1469" s="37" t="b">
        <v>1</v>
      </c>
      <c r="G1469" s="37">
        <v>1</v>
      </c>
      <c r="H1469" s="37">
        <v>49500</v>
      </c>
    </row>
    <row r="1470" spans="1:8" x14ac:dyDescent="0.3">
      <c r="A1470" s="37" t="s">
        <v>2</v>
      </c>
      <c r="B1470" s="38"/>
      <c r="E1470" s="37" t="b">
        <v>1</v>
      </c>
      <c r="F1470" s="37" t="b">
        <v>0</v>
      </c>
      <c r="G1470" s="37">
        <v>0</v>
      </c>
      <c r="H1470" s="37" t="b">
        <v>0</v>
      </c>
    </row>
    <row r="1471" spans="1:8" x14ac:dyDescent="0.3">
      <c r="A1471" s="37" t="s">
        <v>0</v>
      </c>
      <c r="B1471" s="38">
        <v>145000</v>
      </c>
      <c r="E1471" s="37" t="b">
        <v>0</v>
      </c>
      <c r="F1471" s="37" t="b">
        <v>1</v>
      </c>
      <c r="G1471" s="37">
        <v>0</v>
      </c>
      <c r="H1471" s="37" t="b">
        <v>0</v>
      </c>
    </row>
    <row r="1472" spans="1:8" x14ac:dyDescent="0.3">
      <c r="A1472" s="37" t="s">
        <v>2</v>
      </c>
      <c r="B1472" s="38">
        <v>115000</v>
      </c>
      <c r="E1472" s="37" t="b">
        <v>1</v>
      </c>
      <c r="F1472" s="37" t="b">
        <v>1</v>
      </c>
      <c r="G1472" s="37">
        <v>1</v>
      </c>
      <c r="H1472" s="37">
        <v>115000</v>
      </c>
    </row>
    <row r="1473" spans="1:8" x14ac:dyDescent="0.3">
      <c r="A1473" s="37" t="s">
        <v>125</v>
      </c>
      <c r="B1473" s="38">
        <v>100379.765625</v>
      </c>
      <c r="E1473" s="37" t="b">
        <v>0</v>
      </c>
      <c r="F1473" s="37" t="b">
        <v>1</v>
      </c>
      <c r="G1473" s="37">
        <v>0</v>
      </c>
      <c r="H1473" s="37" t="b">
        <v>0</v>
      </c>
    </row>
    <row r="1474" spans="1:8" x14ac:dyDescent="0.3">
      <c r="A1474" s="37" t="s">
        <v>2</v>
      </c>
      <c r="B1474" s="38"/>
      <c r="E1474" s="37" t="b">
        <v>1</v>
      </c>
      <c r="F1474" s="37" t="b">
        <v>0</v>
      </c>
      <c r="G1474" s="37">
        <v>0</v>
      </c>
      <c r="H1474" s="37" t="b">
        <v>0</v>
      </c>
    </row>
    <row r="1475" spans="1:8" x14ac:dyDescent="0.3">
      <c r="A1475" s="37" t="s">
        <v>125</v>
      </c>
      <c r="B1475" s="38">
        <v>88513.5546875</v>
      </c>
      <c r="E1475" s="37" t="b">
        <v>0</v>
      </c>
      <c r="F1475" s="37" t="b">
        <v>1</v>
      </c>
      <c r="G1475" s="37">
        <v>0</v>
      </c>
      <c r="H1475" s="37" t="b">
        <v>0</v>
      </c>
    </row>
    <row r="1476" spans="1:8" x14ac:dyDescent="0.3">
      <c r="A1476" s="37" t="s">
        <v>4</v>
      </c>
      <c r="B1476" s="38">
        <v>110000</v>
      </c>
      <c r="E1476" s="37" t="b">
        <v>0</v>
      </c>
      <c r="F1476" s="37" t="b">
        <v>1</v>
      </c>
      <c r="G1476" s="37">
        <v>0</v>
      </c>
      <c r="H1476" s="37" t="b">
        <v>0</v>
      </c>
    </row>
    <row r="1477" spans="1:8" x14ac:dyDescent="0.3">
      <c r="A1477" s="37" t="s">
        <v>4</v>
      </c>
      <c r="B1477" s="38"/>
      <c r="E1477" s="37" t="b">
        <v>0</v>
      </c>
      <c r="F1477" s="37" t="b">
        <v>0</v>
      </c>
      <c r="G1477" s="37">
        <v>0</v>
      </c>
      <c r="H1477" s="37" t="b">
        <v>0</v>
      </c>
    </row>
    <row r="1478" spans="1:8" x14ac:dyDescent="0.3">
      <c r="A1478" s="37" t="s">
        <v>4</v>
      </c>
      <c r="B1478" s="38">
        <v>85000</v>
      </c>
      <c r="E1478" s="37" t="b">
        <v>0</v>
      </c>
      <c r="F1478" s="37" t="b">
        <v>1</v>
      </c>
      <c r="G1478" s="37">
        <v>0</v>
      </c>
      <c r="H1478" s="37" t="b">
        <v>0</v>
      </c>
    </row>
    <row r="1479" spans="1:8" x14ac:dyDescent="0.3">
      <c r="A1479" s="37" t="s">
        <v>2</v>
      </c>
      <c r="B1479" s="38">
        <v>94500</v>
      </c>
      <c r="E1479" s="37" t="b">
        <v>1</v>
      </c>
      <c r="F1479" s="37" t="b">
        <v>1</v>
      </c>
      <c r="G1479" s="37">
        <v>1</v>
      </c>
      <c r="H1479" s="37">
        <v>94500</v>
      </c>
    </row>
    <row r="1480" spans="1:8" x14ac:dyDescent="0.3">
      <c r="A1480" s="37" t="s">
        <v>2</v>
      </c>
      <c r="B1480" s="38">
        <v>50000</v>
      </c>
      <c r="E1480" s="37" t="b">
        <v>1</v>
      </c>
      <c r="F1480" s="37" t="b">
        <v>1</v>
      </c>
      <c r="G1480" s="37">
        <v>1</v>
      </c>
      <c r="H1480" s="37">
        <v>50000</v>
      </c>
    </row>
    <row r="1481" spans="1:8" x14ac:dyDescent="0.3">
      <c r="A1481" s="37" t="s">
        <v>2</v>
      </c>
      <c r="B1481" s="38">
        <v>87900</v>
      </c>
      <c r="E1481" s="37" t="b">
        <v>1</v>
      </c>
      <c r="F1481" s="37" t="b">
        <v>1</v>
      </c>
      <c r="G1481" s="37">
        <v>1</v>
      </c>
      <c r="H1481" s="37">
        <v>87900</v>
      </c>
    </row>
    <row r="1482" spans="1:8" x14ac:dyDescent="0.3">
      <c r="A1482" s="37" t="s">
        <v>2</v>
      </c>
      <c r="B1482" s="38">
        <v>82500</v>
      </c>
      <c r="E1482" s="37" t="b">
        <v>1</v>
      </c>
      <c r="F1482" s="37" t="b">
        <v>1</v>
      </c>
      <c r="G1482" s="37">
        <v>1</v>
      </c>
      <c r="H1482" s="37">
        <v>82500</v>
      </c>
    </row>
    <row r="1483" spans="1:8" x14ac:dyDescent="0.3">
      <c r="A1483" s="37" t="s">
        <v>2</v>
      </c>
      <c r="B1483" s="38"/>
      <c r="E1483" s="37" t="b">
        <v>1</v>
      </c>
      <c r="F1483" s="37" t="b">
        <v>0</v>
      </c>
      <c r="G1483" s="37">
        <v>0</v>
      </c>
      <c r="H1483" s="37" t="b">
        <v>0</v>
      </c>
    </row>
    <row r="1484" spans="1:8" x14ac:dyDescent="0.3">
      <c r="A1484" s="37" t="s">
        <v>2</v>
      </c>
      <c r="B1484" s="38">
        <v>42120</v>
      </c>
      <c r="E1484" s="37" t="b">
        <v>1</v>
      </c>
      <c r="F1484" s="37" t="b">
        <v>1</v>
      </c>
      <c r="G1484" s="37">
        <v>1</v>
      </c>
      <c r="H1484" s="37">
        <v>42120</v>
      </c>
    </row>
    <row r="1485" spans="1:8" x14ac:dyDescent="0.3">
      <c r="A1485" s="37" t="s">
        <v>0</v>
      </c>
      <c r="B1485" s="38"/>
      <c r="E1485" s="37" t="b">
        <v>0</v>
      </c>
      <c r="F1485" s="37" t="b">
        <v>0</v>
      </c>
      <c r="G1485" s="37">
        <v>0</v>
      </c>
      <c r="H1485" s="37" t="b">
        <v>0</v>
      </c>
    </row>
    <row r="1486" spans="1:8" x14ac:dyDescent="0.3">
      <c r="A1486" s="37" t="s">
        <v>128</v>
      </c>
      <c r="B1486" s="38">
        <v>124702.53125</v>
      </c>
      <c r="E1486" s="37" t="b">
        <v>0</v>
      </c>
      <c r="F1486" s="37" t="b">
        <v>1</v>
      </c>
      <c r="G1486" s="37">
        <v>0</v>
      </c>
      <c r="H1486" s="37" t="b">
        <v>0</v>
      </c>
    </row>
    <row r="1487" spans="1:8" x14ac:dyDescent="0.3">
      <c r="A1487" s="37" t="s">
        <v>2</v>
      </c>
      <c r="B1487" s="38"/>
      <c r="E1487" s="37" t="b">
        <v>1</v>
      </c>
      <c r="F1487" s="37" t="b">
        <v>0</v>
      </c>
      <c r="G1487" s="37">
        <v>0</v>
      </c>
      <c r="H1487" s="37" t="b">
        <v>0</v>
      </c>
    </row>
    <row r="1488" spans="1:8" x14ac:dyDescent="0.3">
      <c r="A1488" s="37" t="s">
        <v>2</v>
      </c>
      <c r="B1488" s="38"/>
      <c r="E1488" s="37" t="b">
        <v>1</v>
      </c>
      <c r="F1488" s="37" t="b">
        <v>0</v>
      </c>
      <c r="G1488" s="37">
        <v>0</v>
      </c>
      <c r="H1488" s="37" t="b">
        <v>0</v>
      </c>
    </row>
    <row r="1489" spans="1:8" x14ac:dyDescent="0.3">
      <c r="A1489" s="37" t="s">
        <v>2</v>
      </c>
      <c r="B1489" s="38"/>
      <c r="E1489" s="37" t="b">
        <v>1</v>
      </c>
      <c r="F1489" s="37" t="b">
        <v>0</v>
      </c>
      <c r="G1489" s="37">
        <v>0</v>
      </c>
      <c r="H1489" s="37" t="b">
        <v>0</v>
      </c>
    </row>
    <row r="1490" spans="1:8" x14ac:dyDescent="0.3">
      <c r="A1490" s="37" t="s">
        <v>0</v>
      </c>
      <c r="B1490" s="38">
        <v>89100</v>
      </c>
      <c r="E1490" s="37" t="b">
        <v>0</v>
      </c>
      <c r="F1490" s="37" t="b">
        <v>1</v>
      </c>
      <c r="G1490" s="37">
        <v>0</v>
      </c>
      <c r="H1490" s="37" t="b">
        <v>0</v>
      </c>
    </row>
    <row r="1491" spans="1:8" x14ac:dyDescent="0.3">
      <c r="A1491" s="37" t="s">
        <v>126</v>
      </c>
      <c r="B1491" s="38">
        <v>161160</v>
      </c>
      <c r="E1491" s="37" t="b">
        <v>0</v>
      </c>
      <c r="F1491" s="37" t="b">
        <v>1</v>
      </c>
      <c r="G1491" s="37">
        <v>0</v>
      </c>
      <c r="H1491" s="37" t="b">
        <v>0</v>
      </c>
    </row>
    <row r="1492" spans="1:8" x14ac:dyDescent="0.3">
      <c r="A1492" s="37" t="s">
        <v>0</v>
      </c>
      <c r="B1492" s="38"/>
      <c r="E1492" s="37" t="b">
        <v>0</v>
      </c>
      <c r="F1492" s="37" t="b">
        <v>0</v>
      </c>
      <c r="G1492" s="37">
        <v>0</v>
      </c>
      <c r="H1492" s="37" t="b">
        <v>0</v>
      </c>
    </row>
    <row r="1493" spans="1:8" x14ac:dyDescent="0.3">
      <c r="A1493" s="37" t="s">
        <v>128</v>
      </c>
      <c r="B1493" s="38"/>
      <c r="E1493" s="37" t="b">
        <v>0</v>
      </c>
      <c r="F1493" s="37" t="b">
        <v>0</v>
      </c>
      <c r="G1493" s="37">
        <v>0</v>
      </c>
      <c r="H1493" s="37" t="b">
        <v>0</v>
      </c>
    </row>
    <row r="1494" spans="1:8" x14ac:dyDescent="0.3">
      <c r="A1494" s="37" t="s">
        <v>0</v>
      </c>
      <c r="B1494" s="38">
        <v>202500</v>
      </c>
      <c r="E1494" s="37" t="b">
        <v>0</v>
      </c>
      <c r="F1494" s="37" t="b">
        <v>1</v>
      </c>
      <c r="G1494" s="37">
        <v>0</v>
      </c>
      <c r="H1494" s="37" t="b">
        <v>0</v>
      </c>
    </row>
    <row r="1495" spans="1:8" x14ac:dyDescent="0.3">
      <c r="A1495" s="37" t="s">
        <v>128</v>
      </c>
      <c r="B1495" s="38">
        <v>145000</v>
      </c>
      <c r="E1495" s="37" t="b">
        <v>0</v>
      </c>
      <c r="F1495" s="37" t="b">
        <v>1</v>
      </c>
      <c r="G1495" s="37">
        <v>0</v>
      </c>
      <c r="H1495" s="37" t="b">
        <v>0</v>
      </c>
    </row>
    <row r="1496" spans="1:8" x14ac:dyDescent="0.3">
      <c r="A1496" s="37" t="s">
        <v>2</v>
      </c>
      <c r="B1496" s="38">
        <v>59000</v>
      </c>
      <c r="E1496" s="37" t="b">
        <v>1</v>
      </c>
      <c r="F1496" s="37" t="b">
        <v>1</v>
      </c>
      <c r="G1496" s="37">
        <v>1</v>
      </c>
      <c r="H1496" s="37">
        <v>59000</v>
      </c>
    </row>
    <row r="1497" spans="1:8" x14ac:dyDescent="0.3">
      <c r="A1497" s="37" t="s">
        <v>2</v>
      </c>
      <c r="B1497" s="38">
        <v>77250</v>
      </c>
      <c r="E1497" s="37" t="b">
        <v>1</v>
      </c>
      <c r="F1497" s="37" t="b">
        <v>1</v>
      </c>
      <c r="G1497" s="37">
        <v>1</v>
      </c>
      <c r="H1497" s="37">
        <v>77250</v>
      </c>
    </row>
    <row r="1498" spans="1:8" x14ac:dyDescent="0.3">
      <c r="A1498" s="37" t="s">
        <v>0</v>
      </c>
      <c r="B1498" s="38">
        <v>173550</v>
      </c>
      <c r="E1498" s="37" t="b">
        <v>0</v>
      </c>
      <c r="F1498" s="37" t="b">
        <v>1</v>
      </c>
      <c r="G1498" s="37">
        <v>0</v>
      </c>
      <c r="H1498" s="37" t="b">
        <v>0</v>
      </c>
    </row>
    <row r="1499" spans="1:8" x14ac:dyDescent="0.3">
      <c r="A1499" s="37" t="s">
        <v>0</v>
      </c>
      <c r="B1499" s="38">
        <v>250000</v>
      </c>
      <c r="E1499" s="37" t="b">
        <v>0</v>
      </c>
      <c r="F1499" s="37" t="b">
        <v>1</v>
      </c>
      <c r="G1499" s="37">
        <v>0</v>
      </c>
      <c r="H1499" s="37" t="b">
        <v>0</v>
      </c>
    </row>
    <row r="1500" spans="1:8" x14ac:dyDescent="0.3">
      <c r="A1500" s="37" t="s">
        <v>0</v>
      </c>
      <c r="B1500" s="38">
        <v>204500</v>
      </c>
      <c r="E1500" s="37" t="b">
        <v>0</v>
      </c>
      <c r="F1500" s="37" t="b">
        <v>1</v>
      </c>
      <c r="G1500" s="37">
        <v>0</v>
      </c>
      <c r="H1500" s="37" t="b">
        <v>0</v>
      </c>
    </row>
    <row r="1501" spans="1:8" x14ac:dyDescent="0.3">
      <c r="A1501" s="37" t="s">
        <v>0</v>
      </c>
      <c r="B1501" s="38"/>
      <c r="E1501" s="37" t="b">
        <v>0</v>
      </c>
      <c r="F1501" s="37" t="b">
        <v>0</v>
      </c>
      <c r="G1501" s="37">
        <v>0</v>
      </c>
      <c r="H1501" s="37" t="b">
        <v>0</v>
      </c>
    </row>
    <row r="1502" spans="1:8" x14ac:dyDescent="0.3">
      <c r="A1502" s="37" t="s">
        <v>0</v>
      </c>
      <c r="B1502" s="38"/>
      <c r="E1502" s="37" t="b">
        <v>0</v>
      </c>
      <c r="F1502" s="37" t="b">
        <v>0</v>
      </c>
      <c r="G1502" s="37">
        <v>0</v>
      </c>
      <c r="H1502" s="37" t="b">
        <v>0</v>
      </c>
    </row>
    <row r="1503" spans="1:8" x14ac:dyDescent="0.3">
      <c r="A1503" s="37" t="s">
        <v>2</v>
      </c>
      <c r="B1503" s="38"/>
      <c r="E1503" s="37" t="b">
        <v>1</v>
      </c>
      <c r="F1503" s="37" t="b">
        <v>0</v>
      </c>
      <c r="G1503" s="37">
        <v>0</v>
      </c>
      <c r="H1503" s="37" t="b">
        <v>0</v>
      </c>
    </row>
    <row r="1504" spans="1:8" x14ac:dyDescent="0.3">
      <c r="A1504" s="37" t="s">
        <v>0</v>
      </c>
      <c r="B1504" s="38"/>
      <c r="E1504" s="37" t="b">
        <v>0</v>
      </c>
      <c r="F1504" s="37" t="b">
        <v>0</v>
      </c>
      <c r="G1504" s="37">
        <v>0</v>
      </c>
      <c r="H1504" s="37" t="b">
        <v>0</v>
      </c>
    </row>
    <row r="1505" spans="1:8" x14ac:dyDescent="0.3">
      <c r="A1505" s="37" t="s">
        <v>0</v>
      </c>
      <c r="B1505" s="38"/>
      <c r="E1505" s="37" t="b">
        <v>0</v>
      </c>
      <c r="F1505" s="37" t="b">
        <v>0</v>
      </c>
      <c r="G1505" s="37">
        <v>0</v>
      </c>
      <c r="H1505" s="37" t="b">
        <v>0</v>
      </c>
    </row>
    <row r="1506" spans="1:8" x14ac:dyDescent="0.3">
      <c r="A1506" s="37" t="s">
        <v>2</v>
      </c>
      <c r="B1506" s="38"/>
      <c r="E1506" s="37" t="b">
        <v>1</v>
      </c>
      <c r="F1506" s="37" t="b">
        <v>0</v>
      </c>
      <c r="G1506" s="37">
        <v>0</v>
      </c>
      <c r="H1506" s="37" t="b">
        <v>0</v>
      </c>
    </row>
    <row r="1507" spans="1:8" x14ac:dyDescent="0.3">
      <c r="A1507" s="37" t="s">
        <v>2</v>
      </c>
      <c r="B1507" s="38"/>
      <c r="E1507" s="37" t="b">
        <v>1</v>
      </c>
      <c r="F1507" s="37" t="b">
        <v>0</v>
      </c>
      <c r="G1507" s="37">
        <v>0</v>
      </c>
      <c r="H1507" s="37" t="b">
        <v>0</v>
      </c>
    </row>
    <row r="1508" spans="1:8" x14ac:dyDescent="0.3">
      <c r="A1508" s="37" t="s">
        <v>2</v>
      </c>
      <c r="B1508" s="38">
        <v>130000</v>
      </c>
      <c r="E1508" s="37" t="b">
        <v>1</v>
      </c>
      <c r="F1508" s="37" t="b">
        <v>1</v>
      </c>
      <c r="G1508" s="37">
        <v>1</v>
      </c>
      <c r="H1508" s="37">
        <v>130000</v>
      </c>
    </row>
    <row r="1509" spans="1:8" x14ac:dyDescent="0.3">
      <c r="A1509" s="37" t="s">
        <v>2</v>
      </c>
      <c r="B1509" s="38"/>
      <c r="E1509" s="37" t="b">
        <v>1</v>
      </c>
      <c r="F1509" s="37" t="b">
        <v>0</v>
      </c>
      <c r="G1509" s="37">
        <v>0</v>
      </c>
      <c r="H1509" s="37" t="b">
        <v>0</v>
      </c>
    </row>
    <row r="1510" spans="1:8" x14ac:dyDescent="0.3">
      <c r="A1510" s="37" t="s">
        <v>128</v>
      </c>
      <c r="B1510" s="38"/>
      <c r="E1510" s="37" t="b">
        <v>0</v>
      </c>
      <c r="F1510" s="37" t="b">
        <v>0</v>
      </c>
      <c r="G1510" s="37">
        <v>0</v>
      </c>
      <c r="H1510" s="37" t="b">
        <v>0</v>
      </c>
    </row>
    <row r="1511" spans="1:8" x14ac:dyDescent="0.3">
      <c r="A1511" s="37" t="s">
        <v>2</v>
      </c>
      <c r="B1511" s="38"/>
      <c r="E1511" s="37" t="b">
        <v>1</v>
      </c>
      <c r="F1511" s="37" t="b">
        <v>0</v>
      </c>
      <c r="G1511" s="37">
        <v>0</v>
      </c>
      <c r="H1511" s="37" t="b">
        <v>0</v>
      </c>
    </row>
    <row r="1512" spans="1:8" x14ac:dyDescent="0.3">
      <c r="A1512" s="37" t="s">
        <v>128</v>
      </c>
      <c r="B1512" s="38">
        <v>150000</v>
      </c>
      <c r="E1512" s="37" t="b">
        <v>0</v>
      </c>
      <c r="F1512" s="37" t="b">
        <v>1</v>
      </c>
      <c r="G1512" s="37">
        <v>0</v>
      </c>
      <c r="H1512" s="37" t="b">
        <v>0</v>
      </c>
    </row>
    <row r="1513" spans="1:8" x14ac:dyDescent="0.3">
      <c r="A1513" s="37" t="s">
        <v>125</v>
      </c>
      <c r="B1513" s="38"/>
      <c r="E1513" s="37" t="b">
        <v>0</v>
      </c>
      <c r="F1513" s="37" t="b">
        <v>0</v>
      </c>
      <c r="G1513" s="37">
        <v>0</v>
      </c>
      <c r="H1513" s="37" t="b">
        <v>0</v>
      </c>
    </row>
    <row r="1514" spans="1:8" x14ac:dyDescent="0.3">
      <c r="A1514" s="37" t="s">
        <v>126</v>
      </c>
      <c r="B1514" s="38">
        <v>122470.5</v>
      </c>
      <c r="E1514" s="37" t="b">
        <v>0</v>
      </c>
      <c r="F1514" s="37" t="b">
        <v>1</v>
      </c>
      <c r="G1514" s="37">
        <v>0</v>
      </c>
      <c r="H1514" s="37" t="b">
        <v>0</v>
      </c>
    </row>
    <row r="1515" spans="1:8" x14ac:dyDescent="0.3">
      <c r="A1515" s="37" t="s">
        <v>4</v>
      </c>
      <c r="B1515" s="38">
        <v>190950</v>
      </c>
      <c r="E1515" s="37" t="b">
        <v>0</v>
      </c>
      <c r="F1515" s="37" t="b">
        <v>1</v>
      </c>
      <c r="G1515" s="37">
        <v>0</v>
      </c>
      <c r="H1515" s="37" t="b">
        <v>0</v>
      </c>
    </row>
    <row r="1516" spans="1:8" x14ac:dyDescent="0.3">
      <c r="A1516" s="37" t="s">
        <v>0</v>
      </c>
      <c r="B1516" s="38">
        <v>202000</v>
      </c>
      <c r="E1516" s="37" t="b">
        <v>0</v>
      </c>
      <c r="F1516" s="37" t="b">
        <v>1</v>
      </c>
      <c r="G1516" s="37">
        <v>0</v>
      </c>
      <c r="H1516" s="37" t="b">
        <v>0</v>
      </c>
    </row>
    <row r="1517" spans="1:8" x14ac:dyDescent="0.3">
      <c r="A1517" s="37" t="s">
        <v>0</v>
      </c>
      <c r="B1517" s="38">
        <v>190000</v>
      </c>
      <c r="E1517" s="37" t="b">
        <v>0</v>
      </c>
      <c r="F1517" s="37" t="b">
        <v>1</v>
      </c>
      <c r="G1517" s="37">
        <v>0</v>
      </c>
      <c r="H1517" s="37" t="b">
        <v>0</v>
      </c>
    </row>
    <row r="1518" spans="1:8" x14ac:dyDescent="0.3">
      <c r="A1518" s="37" t="s">
        <v>125</v>
      </c>
      <c r="B1518" s="38">
        <v>85000</v>
      </c>
      <c r="E1518" s="37" t="b">
        <v>0</v>
      </c>
      <c r="F1518" s="37" t="b">
        <v>1</v>
      </c>
      <c r="G1518" s="37">
        <v>0</v>
      </c>
      <c r="H1518" s="37" t="b">
        <v>0</v>
      </c>
    </row>
    <row r="1519" spans="1:8" x14ac:dyDescent="0.3">
      <c r="A1519" s="37" t="s">
        <v>4</v>
      </c>
      <c r="B1519" s="38">
        <v>208114</v>
      </c>
      <c r="E1519" s="37" t="b">
        <v>0</v>
      </c>
      <c r="F1519" s="37" t="b">
        <v>1</v>
      </c>
      <c r="G1519" s="37">
        <v>0</v>
      </c>
      <c r="H1519" s="37" t="b">
        <v>0</v>
      </c>
    </row>
    <row r="1520" spans="1:8" x14ac:dyDescent="0.3">
      <c r="A1520" s="37" t="s">
        <v>0</v>
      </c>
      <c r="B1520" s="38">
        <v>245000</v>
      </c>
      <c r="E1520" s="37" t="b">
        <v>0</v>
      </c>
      <c r="F1520" s="37" t="b">
        <v>1</v>
      </c>
      <c r="G1520" s="37">
        <v>0</v>
      </c>
      <c r="H1520" s="37" t="b">
        <v>0</v>
      </c>
    </row>
    <row r="1521" spans="1:8" x14ac:dyDescent="0.3">
      <c r="A1521" s="37" t="s">
        <v>0</v>
      </c>
      <c r="B1521" s="38">
        <v>155000</v>
      </c>
      <c r="E1521" s="37" t="b">
        <v>0</v>
      </c>
      <c r="F1521" s="37" t="b">
        <v>1</v>
      </c>
      <c r="G1521" s="37">
        <v>0</v>
      </c>
      <c r="H1521" s="37" t="b">
        <v>0</v>
      </c>
    </row>
    <row r="1522" spans="1:8" x14ac:dyDescent="0.3">
      <c r="A1522" s="37" t="s">
        <v>0</v>
      </c>
      <c r="B1522" s="38">
        <v>190600</v>
      </c>
      <c r="E1522" s="37" t="b">
        <v>0</v>
      </c>
      <c r="F1522" s="37" t="b">
        <v>1</v>
      </c>
      <c r="G1522" s="37">
        <v>0</v>
      </c>
      <c r="H1522" s="37" t="b">
        <v>0</v>
      </c>
    </row>
    <row r="1523" spans="1:8" x14ac:dyDescent="0.3">
      <c r="A1523" s="37" t="s">
        <v>0</v>
      </c>
      <c r="B1523" s="38">
        <v>107330</v>
      </c>
      <c r="E1523" s="37" t="b">
        <v>0</v>
      </c>
      <c r="F1523" s="37" t="b">
        <v>1</v>
      </c>
      <c r="G1523" s="37">
        <v>0</v>
      </c>
      <c r="H1523" s="37" t="b">
        <v>0</v>
      </c>
    </row>
    <row r="1524" spans="1:8" x14ac:dyDescent="0.3">
      <c r="A1524" s="37" t="s">
        <v>0</v>
      </c>
      <c r="B1524" s="38"/>
      <c r="E1524" s="37" t="b">
        <v>0</v>
      </c>
      <c r="F1524" s="37" t="b">
        <v>0</v>
      </c>
      <c r="G1524" s="37">
        <v>0</v>
      </c>
      <c r="H1524" s="37" t="b">
        <v>0</v>
      </c>
    </row>
    <row r="1525" spans="1:8" x14ac:dyDescent="0.3">
      <c r="A1525" s="37" t="s">
        <v>0</v>
      </c>
      <c r="B1525" s="38">
        <v>103330</v>
      </c>
      <c r="E1525" s="37" t="b">
        <v>0</v>
      </c>
      <c r="F1525" s="37" t="b">
        <v>1</v>
      </c>
      <c r="G1525" s="37">
        <v>0</v>
      </c>
      <c r="H1525" s="37" t="b">
        <v>0</v>
      </c>
    </row>
    <row r="1526" spans="1:8" x14ac:dyDescent="0.3">
      <c r="A1526" s="37" t="s">
        <v>0</v>
      </c>
      <c r="B1526" s="38">
        <v>107030</v>
      </c>
      <c r="E1526" s="37" t="b">
        <v>0</v>
      </c>
      <c r="F1526" s="37" t="b">
        <v>1</v>
      </c>
      <c r="G1526" s="37">
        <v>0</v>
      </c>
      <c r="H1526" s="37" t="b">
        <v>0</v>
      </c>
    </row>
    <row r="1527" spans="1:8" x14ac:dyDescent="0.3">
      <c r="A1527" s="37" t="s">
        <v>0</v>
      </c>
      <c r="B1527" s="38">
        <v>158500</v>
      </c>
      <c r="E1527" s="37" t="b">
        <v>0</v>
      </c>
      <c r="F1527" s="37" t="b">
        <v>1</v>
      </c>
      <c r="G1527" s="37">
        <v>0</v>
      </c>
      <c r="H1527" s="37" t="b">
        <v>0</v>
      </c>
    </row>
    <row r="1528" spans="1:8" x14ac:dyDescent="0.3">
      <c r="A1528" s="37" t="s">
        <v>0</v>
      </c>
      <c r="B1528" s="38"/>
      <c r="E1528" s="37" t="b">
        <v>0</v>
      </c>
      <c r="F1528" s="37" t="b">
        <v>0</v>
      </c>
      <c r="G1528" s="37">
        <v>0</v>
      </c>
      <c r="H1528" s="37" t="b">
        <v>0</v>
      </c>
    </row>
    <row r="1529" spans="1:8" x14ac:dyDescent="0.3">
      <c r="A1529" s="37" t="s">
        <v>0</v>
      </c>
      <c r="B1529" s="38">
        <v>111030</v>
      </c>
      <c r="E1529" s="37" t="b">
        <v>0</v>
      </c>
      <c r="F1529" s="37" t="b">
        <v>1</v>
      </c>
      <c r="G1529" s="37">
        <v>0</v>
      </c>
      <c r="H1529" s="37" t="b">
        <v>0</v>
      </c>
    </row>
    <row r="1530" spans="1:8" x14ac:dyDescent="0.3">
      <c r="A1530" s="37" t="s">
        <v>0</v>
      </c>
      <c r="B1530" s="38"/>
      <c r="E1530" s="37" t="b">
        <v>0</v>
      </c>
      <c r="F1530" s="37" t="b">
        <v>0</v>
      </c>
      <c r="G1530" s="37">
        <v>0</v>
      </c>
      <c r="H1530" s="37" t="b">
        <v>0</v>
      </c>
    </row>
    <row r="1531" spans="1:8" x14ac:dyDescent="0.3">
      <c r="A1531" s="37" t="s">
        <v>0</v>
      </c>
      <c r="B1531" s="38"/>
      <c r="E1531" s="37" t="b">
        <v>0</v>
      </c>
      <c r="F1531" s="37" t="b">
        <v>0</v>
      </c>
      <c r="G1531" s="37">
        <v>0</v>
      </c>
      <c r="H1531" s="37" t="b">
        <v>0</v>
      </c>
    </row>
    <row r="1532" spans="1:8" x14ac:dyDescent="0.3">
      <c r="A1532" s="37" t="s">
        <v>0</v>
      </c>
      <c r="B1532" s="38">
        <v>136656</v>
      </c>
      <c r="E1532" s="37" t="b">
        <v>0</v>
      </c>
      <c r="F1532" s="37" t="b">
        <v>1</v>
      </c>
      <c r="G1532" s="37">
        <v>0</v>
      </c>
      <c r="H1532" s="37" t="b">
        <v>0</v>
      </c>
    </row>
    <row r="1533" spans="1:8" x14ac:dyDescent="0.3">
      <c r="A1533" s="37" t="s">
        <v>0</v>
      </c>
      <c r="B1533" s="38"/>
      <c r="E1533" s="37" t="b">
        <v>0</v>
      </c>
      <c r="F1533" s="37" t="b">
        <v>0</v>
      </c>
      <c r="G1533" s="37">
        <v>0</v>
      </c>
      <c r="H1533" s="37" t="b">
        <v>0</v>
      </c>
    </row>
    <row r="1534" spans="1:8" x14ac:dyDescent="0.3">
      <c r="A1534" s="37" t="s">
        <v>4</v>
      </c>
      <c r="B1534" s="38"/>
      <c r="E1534" s="37" t="b">
        <v>0</v>
      </c>
      <c r="F1534" s="37" t="b">
        <v>0</v>
      </c>
      <c r="G1534" s="37">
        <v>0</v>
      </c>
      <c r="H1534" s="37" t="b">
        <v>0</v>
      </c>
    </row>
    <row r="1535" spans="1:8" x14ac:dyDescent="0.3">
      <c r="A1535" s="37" t="s">
        <v>0</v>
      </c>
      <c r="B1535" s="38">
        <v>270000</v>
      </c>
      <c r="E1535" s="37" t="b">
        <v>0</v>
      </c>
      <c r="F1535" s="37" t="b">
        <v>1</v>
      </c>
      <c r="G1535" s="37">
        <v>0</v>
      </c>
      <c r="H1535" s="37" t="b">
        <v>0</v>
      </c>
    </row>
    <row r="1536" spans="1:8" x14ac:dyDescent="0.3">
      <c r="A1536" s="37" t="s">
        <v>0</v>
      </c>
      <c r="B1536" s="38">
        <v>155000</v>
      </c>
      <c r="E1536" s="37" t="b">
        <v>0</v>
      </c>
      <c r="F1536" s="37" t="b">
        <v>1</v>
      </c>
      <c r="G1536" s="37">
        <v>0</v>
      </c>
      <c r="H1536" s="37" t="b">
        <v>0</v>
      </c>
    </row>
    <row r="1537" spans="1:8" x14ac:dyDescent="0.3">
      <c r="A1537" s="37" t="s">
        <v>128</v>
      </c>
      <c r="B1537" s="38">
        <v>200000</v>
      </c>
      <c r="E1537" s="37" t="b">
        <v>0</v>
      </c>
      <c r="F1537" s="37" t="b">
        <v>1</v>
      </c>
      <c r="G1537" s="37">
        <v>0</v>
      </c>
      <c r="H1537" s="37" t="b">
        <v>0</v>
      </c>
    </row>
    <row r="1538" spans="1:8" x14ac:dyDescent="0.3">
      <c r="A1538" s="37" t="s">
        <v>2</v>
      </c>
      <c r="B1538" s="38">
        <v>155000</v>
      </c>
      <c r="E1538" s="37" t="b">
        <v>1</v>
      </c>
      <c r="F1538" s="37" t="b">
        <v>1</v>
      </c>
      <c r="G1538" s="37">
        <v>1</v>
      </c>
      <c r="H1538" s="37">
        <v>155000</v>
      </c>
    </row>
    <row r="1539" spans="1:8" x14ac:dyDescent="0.3">
      <c r="A1539" s="37" t="s">
        <v>0</v>
      </c>
      <c r="B1539" s="38">
        <v>155000</v>
      </c>
      <c r="E1539" s="37" t="b">
        <v>0</v>
      </c>
      <c r="F1539" s="37" t="b">
        <v>1</v>
      </c>
      <c r="G1539" s="37">
        <v>0</v>
      </c>
      <c r="H1539" s="37" t="b">
        <v>0</v>
      </c>
    </row>
    <row r="1540" spans="1:8" x14ac:dyDescent="0.3">
      <c r="A1540" s="37" t="s">
        <v>0</v>
      </c>
      <c r="B1540" s="38"/>
      <c r="E1540" s="37" t="b">
        <v>0</v>
      </c>
      <c r="F1540" s="37" t="b">
        <v>0</v>
      </c>
      <c r="G1540" s="37">
        <v>0</v>
      </c>
      <c r="H1540" s="37" t="b">
        <v>0</v>
      </c>
    </row>
    <row r="1541" spans="1:8" x14ac:dyDescent="0.3">
      <c r="A1541" s="37" t="s">
        <v>128</v>
      </c>
      <c r="B1541" s="38">
        <v>200000</v>
      </c>
      <c r="E1541" s="37" t="b">
        <v>0</v>
      </c>
      <c r="F1541" s="37" t="b">
        <v>1</v>
      </c>
      <c r="G1541" s="37">
        <v>0</v>
      </c>
      <c r="H1541" s="37" t="b">
        <v>0</v>
      </c>
    </row>
    <row r="1542" spans="1:8" x14ac:dyDescent="0.3">
      <c r="A1542" s="37" t="s">
        <v>128</v>
      </c>
      <c r="B1542" s="38">
        <v>155000</v>
      </c>
      <c r="E1542" s="37" t="b">
        <v>0</v>
      </c>
      <c r="F1542" s="37" t="b">
        <v>1</v>
      </c>
      <c r="G1542" s="37">
        <v>0</v>
      </c>
      <c r="H1542" s="37" t="b">
        <v>0</v>
      </c>
    </row>
    <row r="1543" spans="1:8" x14ac:dyDescent="0.3">
      <c r="A1543" s="37" t="s">
        <v>0</v>
      </c>
      <c r="B1543" s="38">
        <v>155000</v>
      </c>
      <c r="E1543" s="37" t="b">
        <v>0</v>
      </c>
      <c r="F1543" s="37" t="b">
        <v>1</v>
      </c>
      <c r="G1543" s="37">
        <v>0</v>
      </c>
      <c r="H1543" s="37" t="b">
        <v>0</v>
      </c>
    </row>
    <row r="1544" spans="1:8" x14ac:dyDescent="0.3">
      <c r="A1544" s="37" t="s">
        <v>128</v>
      </c>
      <c r="B1544" s="38">
        <v>200000</v>
      </c>
      <c r="E1544" s="37" t="b">
        <v>0</v>
      </c>
      <c r="F1544" s="37" t="b">
        <v>1</v>
      </c>
      <c r="G1544" s="37">
        <v>0</v>
      </c>
      <c r="H1544" s="37" t="b">
        <v>0</v>
      </c>
    </row>
    <row r="1545" spans="1:8" x14ac:dyDescent="0.3">
      <c r="A1545" s="37" t="s">
        <v>0</v>
      </c>
      <c r="B1545" s="38">
        <v>155000</v>
      </c>
      <c r="E1545" s="37" t="b">
        <v>0</v>
      </c>
      <c r="F1545" s="37" t="b">
        <v>1</v>
      </c>
      <c r="G1545" s="37">
        <v>0</v>
      </c>
      <c r="H1545" s="37" t="b">
        <v>0</v>
      </c>
    </row>
    <row r="1546" spans="1:8" x14ac:dyDescent="0.3">
      <c r="A1546" s="37" t="s">
        <v>125</v>
      </c>
      <c r="B1546" s="38">
        <v>200000</v>
      </c>
      <c r="E1546" s="37" t="b">
        <v>0</v>
      </c>
      <c r="F1546" s="37" t="b">
        <v>1</v>
      </c>
      <c r="G1546" s="37">
        <v>0</v>
      </c>
      <c r="H1546" s="37" t="b">
        <v>0</v>
      </c>
    </row>
    <row r="1547" spans="1:8" x14ac:dyDescent="0.3">
      <c r="A1547" s="37" t="s">
        <v>125</v>
      </c>
      <c r="B1547" s="38">
        <v>200000</v>
      </c>
      <c r="E1547" s="37" t="b">
        <v>0</v>
      </c>
      <c r="F1547" s="37" t="b">
        <v>1</v>
      </c>
      <c r="G1547" s="37">
        <v>0</v>
      </c>
      <c r="H1547" s="37" t="b">
        <v>0</v>
      </c>
    </row>
    <row r="1548" spans="1:8" x14ac:dyDescent="0.3">
      <c r="A1548" s="37" t="s">
        <v>0</v>
      </c>
      <c r="B1548" s="38">
        <v>155000</v>
      </c>
      <c r="E1548" s="37" t="b">
        <v>0</v>
      </c>
      <c r="F1548" s="37" t="b">
        <v>1</v>
      </c>
      <c r="G1548" s="37">
        <v>0</v>
      </c>
      <c r="H1548" s="37" t="b">
        <v>0</v>
      </c>
    </row>
    <row r="1549" spans="1:8" x14ac:dyDescent="0.3">
      <c r="A1549" s="37" t="s">
        <v>0</v>
      </c>
      <c r="B1549" s="38">
        <v>92500</v>
      </c>
      <c r="E1549" s="37" t="b">
        <v>0</v>
      </c>
      <c r="F1549" s="37" t="b">
        <v>1</v>
      </c>
      <c r="G1549" s="37">
        <v>0</v>
      </c>
      <c r="H1549" s="37" t="b">
        <v>0</v>
      </c>
    </row>
    <row r="1550" spans="1:8" x14ac:dyDescent="0.3">
      <c r="A1550" s="37" t="s">
        <v>0</v>
      </c>
      <c r="B1550" s="38">
        <v>105130</v>
      </c>
      <c r="E1550" s="37" t="b">
        <v>0</v>
      </c>
      <c r="F1550" s="37" t="b">
        <v>1</v>
      </c>
      <c r="G1550" s="37">
        <v>0</v>
      </c>
      <c r="H1550" s="37" t="b">
        <v>0</v>
      </c>
    </row>
    <row r="1551" spans="1:8" x14ac:dyDescent="0.3">
      <c r="A1551" s="37" t="s">
        <v>0</v>
      </c>
      <c r="B1551" s="38">
        <v>104830</v>
      </c>
      <c r="E1551" s="37" t="b">
        <v>0</v>
      </c>
      <c r="F1551" s="37" t="b">
        <v>1</v>
      </c>
      <c r="G1551" s="37">
        <v>0</v>
      </c>
      <c r="H1551" s="37" t="b">
        <v>0</v>
      </c>
    </row>
    <row r="1552" spans="1:8" x14ac:dyDescent="0.3">
      <c r="A1552" s="37" t="s">
        <v>128</v>
      </c>
      <c r="B1552" s="38">
        <v>222589</v>
      </c>
      <c r="E1552" s="37" t="b">
        <v>0</v>
      </c>
      <c r="F1552" s="37" t="b">
        <v>1</v>
      </c>
      <c r="G1552" s="37">
        <v>0</v>
      </c>
      <c r="H1552" s="37" t="b">
        <v>0</v>
      </c>
    </row>
    <row r="1553" spans="1:8" x14ac:dyDescent="0.3">
      <c r="A1553" s="37" t="s">
        <v>4</v>
      </c>
      <c r="B1553" s="38">
        <v>122470.5</v>
      </c>
      <c r="E1553" s="37" t="b">
        <v>0</v>
      </c>
      <c r="F1553" s="37" t="b">
        <v>1</v>
      </c>
      <c r="G1553" s="37">
        <v>0</v>
      </c>
      <c r="H1553" s="37" t="b">
        <v>0</v>
      </c>
    </row>
    <row r="1554" spans="1:8" x14ac:dyDescent="0.3">
      <c r="A1554" s="37" t="s">
        <v>2</v>
      </c>
      <c r="B1554" s="38">
        <v>89830</v>
      </c>
      <c r="E1554" s="37" t="b">
        <v>1</v>
      </c>
      <c r="F1554" s="37" t="b">
        <v>1</v>
      </c>
      <c r="G1554" s="37">
        <v>1</v>
      </c>
      <c r="H1554" s="37">
        <v>89830</v>
      </c>
    </row>
    <row r="1555" spans="1:8" x14ac:dyDescent="0.3">
      <c r="A1555" s="37" t="s">
        <v>4</v>
      </c>
      <c r="B1555" s="38">
        <v>137610</v>
      </c>
      <c r="E1555" s="37" t="b">
        <v>0</v>
      </c>
      <c r="F1555" s="37" t="b">
        <v>1</v>
      </c>
      <c r="G1555" s="37">
        <v>0</v>
      </c>
      <c r="H1555" s="37" t="b">
        <v>0</v>
      </c>
    </row>
    <row r="1556" spans="1:8" x14ac:dyDescent="0.3">
      <c r="A1556" s="37" t="s">
        <v>2</v>
      </c>
      <c r="B1556" s="38"/>
      <c r="E1556" s="37" t="b">
        <v>1</v>
      </c>
      <c r="F1556" s="37" t="b">
        <v>0</v>
      </c>
      <c r="G1556" s="37">
        <v>0</v>
      </c>
      <c r="H1556" s="37" t="b">
        <v>0</v>
      </c>
    </row>
    <row r="1557" spans="1:8" x14ac:dyDescent="0.3">
      <c r="A1557" s="37" t="s">
        <v>0</v>
      </c>
      <c r="B1557" s="38">
        <v>128500</v>
      </c>
      <c r="E1557" s="37" t="b">
        <v>0</v>
      </c>
      <c r="F1557" s="37" t="b">
        <v>1</v>
      </c>
      <c r="G1557" s="37">
        <v>0</v>
      </c>
      <c r="H1557" s="37" t="b">
        <v>0</v>
      </c>
    </row>
    <row r="1558" spans="1:8" x14ac:dyDescent="0.3">
      <c r="A1558" s="37" t="s">
        <v>128</v>
      </c>
      <c r="B1558" s="38">
        <v>212500</v>
      </c>
      <c r="E1558" s="37" t="b">
        <v>0</v>
      </c>
      <c r="F1558" s="37" t="b">
        <v>1</v>
      </c>
      <c r="G1558" s="37">
        <v>0</v>
      </c>
      <c r="H1558" s="37" t="b">
        <v>0</v>
      </c>
    </row>
    <row r="1559" spans="1:8" x14ac:dyDescent="0.3">
      <c r="A1559" s="37" t="s">
        <v>4</v>
      </c>
      <c r="B1559" s="38">
        <v>208114</v>
      </c>
      <c r="E1559" s="37" t="b">
        <v>0</v>
      </c>
      <c r="F1559" s="37" t="b">
        <v>1</v>
      </c>
      <c r="G1559" s="37">
        <v>0</v>
      </c>
      <c r="H1559" s="37" t="b">
        <v>0</v>
      </c>
    </row>
    <row r="1560" spans="1:8" x14ac:dyDescent="0.3">
      <c r="A1560" s="37" t="s">
        <v>0</v>
      </c>
      <c r="B1560" s="38">
        <v>149750</v>
      </c>
      <c r="E1560" s="37" t="b">
        <v>0</v>
      </c>
      <c r="F1560" s="37" t="b">
        <v>1</v>
      </c>
      <c r="G1560" s="37">
        <v>0</v>
      </c>
      <c r="H1560" s="37" t="b">
        <v>0</v>
      </c>
    </row>
    <row r="1561" spans="1:8" x14ac:dyDescent="0.3">
      <c r="A1561" s="37" t="s">
        <v>0</v>
      </c>
      <c r="B1561" s="38"/>
      <c r="E1561" s="37" t="b">
        <v>0</v>
      </c>
      <c r="F1561" s="37" t="b">
        <v>0</v>
      </c>
      <c r="G1561" s="37">
        <v>0</v>
      </c>
      <c r="H1561" s="37" t="b">
        <v>0</v>
      </c>
    </row>
    <row r="1562" spans="1:8" x14ac:dyDescent="0.3">
      <c r="A1562" s="37" t="s">
        <v>0</v>
      </c>
      <c r="B1562" s="38"/>
      <c r="E1562" s="37" t="b">
        <v>0</v>
      </c>
      <c r="F1562" s="37" t="b">
        <v>0</v>
      </c>
      <c r="G1562" s="37">
        <v>0</v>
      </c>
      <c r="H1562" s="37" t="b">
        <v>0</v>
      </c>
    </row>
    <row r="1563" spans="1:8" x14ac:dyDescent="0.3">
      <c r="A1563" s="37" t="s">
        <v>128</v>
      </c>
      <c r="B1563" s="38">
        <v>222589</v>
      </c>
      <c r="E1563" s="37" t="b">
        <v>0</v>
      </c>
      <c r="F1563" s="37" t="b">
        <v>1</v>
      </c>
      <c r="G1563" s="37">
        <v>0</v>
      </c>
      <c r="H1563" s="37" t="b">
        <v>0</v>
      </c>
    </row>
    <row r="1564" spans="1:8" x14ac:dyDescent="0.3">
      <c r="A1564" s="37" t="s">
        <v>4</v>
      </c>
      <c r="B1564" s="38">
        <v>146100</v>
      </c>
      <c r="E1564" s="37" t="b">
        <v>0</v>
      </c>
      <c r="F1564" s="37" t="b">
        <v>1</v>
      </c>
      <c r="G1564" s="37">
        <v>0</v>
      </c>
      <c r="H1564" s="37" t="b">
        <v>0</v>
      </c>
    </row>
    <row r="1565" spans="1:8" x14ac:dyDescent="0.3">
      <c r="A1565" s="37" t="s">
        <v>125</v>
      </c>
      <c r="B1565" s="38">
        <v>114950</v>
      </c>
      <c r="E1565" s="37" t="b">
        <v>0</v>
      </c>
      <c r="F1565" s="37" t="b">
        <v>1</v>
      </c>
      <c r="G1565" s="37">
        <v>0</v>
      </c>
      <c r="H1565" s="37" t="b">
        <v>0</v>
      </c>
    </row>
    <row r="1566" spans="1:8" x14ac:dyDescent="0.3">
      <c r="A1566" s="37" t="s">
        <v>2</v>
      </c>
      <c r="B1566" s="38">
        <v>88000</v>
      </c>
      <c r="E1566" s="37" t="b">
        <v>1</v>
      </c>
      <c r="F1566" s="37" t="b">
        <v>1</v>
      </c>
      <c r="G1566" s="37">
        <v>1</v>
      </c>
      <c r="H1566" s="37">
        <v>88000</v>
      </c>
    </row>
    <row r="1567" spans="1:8" x14ac:dyDescent="0.3">
      <c r="A1567" s="37" t="s">
        <v>4</v>
      </c>
      <c r="B1567" s="38">
        <v>190950</v>
      </c>
      <c r="E1567" s="37" t="b">
        <v>0</v>
      </c>
      <c r="F1567" s="37" t="b">
        <v>1</v>
      </c>
      <c r="G1567" s="37">
        <v>0</v>
      </c>
      <c r="H1567" s="37" t="b">
        <v>0</v>
      </c>
    </row>
    <row r="1568" spans="1:8" x14ac:dyDescent="0.3">
      <c r="A1568" s="37" t="s">
        <v>126</v>
      </c>
      <c r="B1568" s="38">
        <v>156596</v>
      </c>
      <c r="E1568" s="37" t="b">
        <v>0</v>
      </c>
      <c r="F1568" s="37" t="b">
        <v>1</v>
      </c>
      <c r="G1568" s="37">
        <v>0</v>
      </c>
      <c r="H1568" s="37" t="b">
        <v>0</v>
      </c>
    </row>
    <row r="1569" spans="1:8" x14ac:dyDescent="0.3">
      <c r="A1569" s="37" t="s">
        <v>2</v>
      </c>
      <c r="B1569" s="38">
        <v>52775</v>
      </c>
      <c r="E1569" s="37" t="b">
        <v>1</v>
      </c>
      <c r="F1569" s="37" t="b">
        <v>1</v>
      </c>
      <c r="G1569" s="37">
        <v>1</v>
      </c>
      <c r="H1569" s="37">
        <v>52775</v>
      </c>
    </row>
    <row r="1570" spans="1:8" x14ac:dyDescent="0.3">
      <c r="A1570" s="37" t="s">
        <v>4</v>
      </c>
      <c r="B1570" s="38">
        <v>119037.5</v>
      </c>
      <c r="E1570" s="37" t="b">
        <v>0</v>
      </c>
      <c r="F1570" s="37" t="b">
        <v>1</v>
      </c>
      <c r="G1570" s="37">
        <v>0</v>
      </c>
      <c r="H1570" s="37" t="b">
        <v>0</v>
      </c>
    </row>
    <row r="1571" spans="1:8" x14ac:dyDescent="0.3">
      <c r="A1571" s="37" t="s">
        <v>2</v>
      </c>
      <c r="B1571" s="38"/>
      <c r="E1571" s="37" t="b">
        <v>1</v>
      </c>
      <c r="F1571" s="37" t="b">
        <v>0</v>
      </c>
      <c r="G1571" s="37">
        <v>0</v>
      </c>
      <c r="H1571" s="37" t="b">
        <v>0</v>
      </c>
    </row>
    <row r="1572" spans="1:8" x14ac:dyDescent="0.3">
      <c r="A1572" s="37" t="s">
        <v>125</v>
      </c>
      <c r="B1572" s="38">
        <v>93661.5</v>
      </c>
      <c r="E1572" s="37" t="b">
        <v>0</v>
      </c>
      <c r="F1572" s="37" t="b">
        <v>1</v>
      </c>
      <c r="G1572" s="37">
        <v>0</v>
      </c>
      <c r="H1572" s="37" t="b">
        <v>0</v>
      </c>
    </row>
    <row r="1573" spans="1:8" x14ac:dyDescent="0.3">
      <c r="A1573" s="37" t="s">
        <v>2</v>
      </c>
      <c r="B1573" s="38">
        <v>130000</v>
      </c>
      <c r="E1573" s="37" t="b">
        <v>1</v>
      </c>
      <c r="F1573" s="37" t="b">
        <v>1</v>
      </c>
      <c r="G1573" s="37">
        <v>1</v>
      </c>
      <c r="H1573" s="37">
        <v>130000</v>
      </c>
    </row>
    <row r="1574" spans="1:8" x14ac:dyDescent="0.3">
      <c r="A1574" s="37" t="s">
        <v>125</v>
      </c>
      <c r="B1574" s="38">
        <v>91960</v>
      </c>
      <c r="E1574" s="37" t="b">
        <v>0</v>
      </c>
      <c r="F1574" s="37" t="b">
        <v>1</v>
      </c>
      <c r="G1574" s="37">
        <v>0</v>
      </c>
      <c r="H1574" s="37" t="b">
        <v>0</v>
      </c>
    </row>
    <row r="1575" spans="1:8" x14ac:dyDescent="0.3">
      <c r="A1575" s="37" t="s">
        <v>0</v>
      </c>
      <c r="B1575" s="38">
        <v>115000</v>
      </c>
      <c r="E1575" s="37" t="b">
        <v>0</v>
      </c>
      <c r="F1575" s="37" t="b">
        <v>1</v>
      </c>
      <c r="G1575" s="37">
        <v>0</v>
      </c>
      <c r="H1575" s="37" t="b">
        <v>0</v>
      </c>
    </row>
    <row r="1576" spans="1:8" x14ac:dyDescent="0.3">
      <c r="A1576" s="37" t="s">
        <v>4</v>
      </c>
      <c r="B1576" s="38">
        <v>147500</v>
      </c>
      <c r="E1576" s="37" t="b">
        <v>0</v>
      </c>
      <c r="F1576" s="37" t="b">
        <v>1</v>
      </c>
      <c r="G1576" s="37">
        <v>0</v>
      </c>
      <c r="H1576" s="37" t="b">
        <v>0</v>
      </c>
    </row>
    <row r="1577" spans="1:8" x14ac:dyDescent="0.3">
      <c r="A1577" s="37" t="s">
        <v>125</v>
      </c>
      <c r="B1577" s="38">
        <v>85000</v>
      </c>
      <c r="E1577" s="37" t="b">
        <v>0</v>
      </c>
      <c r="F1577" s="37" t="b">
        <v>1</v>
      </c>
      <c r="G1577" s="37">
        <v>0</v>
      </c>
      <c r="H1577" s="37" t="b">
        <v>0</v>
      </c>
    </row>
    <row r="1578" spans="1:8" x14ac:dyDescent="0.3">
      <c r="A1578" s="37" t="s">
        <v>125</v>
      </c>
      <c r="B1578" s="38">
        <v>146500</v>
      </c>
      <c r="E1578" s="37" t="b">
        <v>0</v>
      </c>
      <c r="F1578" s="37" t="b">
        <v>1</v>
      </c>
      <c r="G1578" s="37">
        <v>0</v>
      </c>
      <c r="H1578" s="37" t="b">
        <v>0</v>
      </c>
    </row>
    <row r="1579" spans="1:8" x14ac:dyDescent="0.3">
      <c r="A1579" s="37" t="s">
        <v>0</v>
      </c>
      <c r="B1579" s="38">
        <v>175000</v>
      </c>
      <c r="E1579" s="37" t="b">
        <v>0</v>
      </c>
      <c r="F1579" s="37" t="b">
        <v>1</v>
      </c>
      <c r="G1579" s="37">
        <v>0</v>
      </c>
      <c r="H1579" s="37" t="b">
        <v>0</v>
      </c>
    </row>
    <row r="1580" spans="1:8" x14ac:dyDescent="0.3">
      <c r="A1580" s="37" t="s">
        <v>2</v>
      </c>
      <c r="B1580" s="38">
        <v>90000</v>
      </c>
      <c r="E1580" s="37" t="b">
        <v>1</v>
      </c>
      <c r="F1580" s="37" t="b">
        <v>1</v>
      </c>
      <c r="G1580" s="37">
        <v>1</v>
      </c>
      <c r="H1580" s="37">
        <v>90000</v>
      </c>
    </row>
    <row r="1581" spans="1:8" x14ac:dyDescent="0.3">
      <c r="A1581" s="37" t="s">
        <v>4</v>
      </c>
      <c r="B1581" s="38">
        <v>125000</v>
      </c>
      <c r="E1581" s="37" t="b">
        <v>0</v>
      </c>
      <c r="F1581" s="37" t="b">
        <v>1</v>
      </c>
      <c r="G1581" s="37">
        <v>0</v>
      </c>
      <c r="H1581" s="37" t="b">
        <v>0</v>
      </c>
    </row>
    <row r="1582" spans="1:8" x14ac:dyDescent="0.3">
      <c r="A1582" s="37" t="s">
        <v>128</v>
      </c>
      <c r="B1582" s="38">
        <v>175000</v>
      </c>
      <c r="E1582" s="37" t="b">
        <v>0</v>
      </c>
      <c r="F1582" s="37" t="b">
        <v>1</v>
      </c>
      <c r="G1582" s="37">
        <v>0</v>
      </c>
      <c r="H1582" s="37" t="b">
        <v>0</v>
      </c>
    </row>
    <row r="1583" spans="1:8" x14ac:dyDescent="0.3">
      <c r="A1583" s="37" t="s">
        <v>4</v>
      </c>
      <c r="B1583" s="38">
        <v>125000</v>
      </c>
      <c r="E1583" s="37" t="b">
        <v>0</v>
      </c>
      <c r="F1583" s="37" t="b">
        <v>1</v>
      </c>
      <c r="G1583" s="37">
        <v>0</v>
      </c>
      <c r="H1583" s="37" t="b">
        <v>0</v>
      </c>
    </row>
    <row r="1584" spans="1:8" x14ac:dyDescent="0.3">
      <c r="A1584" s="37" t="s">
        <v>0</v>
      </c>
      <c r="B1584" s="38">
        <v>150000</v>
      </c>
      <c r="E1584" s="37" t="b">
        <v>0</v>
      </c>
      <c r="F1584" s="37" t="b">
        <v>1</v>
      </c>
      <c r="G1584" s="37">
        <v>0</v>
      </c>
      <c r="H1584" s="37" t="b">
        <v>0</v>
      </c>
    </row>
    <row r="1585" spans="1:8" x14ac:dyDescent="0.3">
      <c r="A1585" s="37" t="s">
        <v>0</v>
      </c>
      <c r="B1585" s="38">
        <v>375000</v>
      </c>
      <c r="E1585" s="37" t="b">
        <v>0</v>
      </c>
      <c r="F1585" s="37" t="b">
        <v>1</v>
      </c>
      <c r="G1585" s="37">
        <v>0</v>
      </c>
      <c r="H1585" s="37" t="b">
        <v>0</v>
      </c>
    </row>
    <row r="1586" spans="1:8" x14ac:dyDescent="0.3">
      <c r="A1586" s="37" t="s">
        <v>126</v>
      </c>
      <c r="B1586" s="38">
        <v>150000</v>
      </c>
      <c r="E1586" s="37" t="b">
        <v>0</v>
      </c>
      <c r="F1586" s="37" t="b">
        <v>1</v>
      </c>
      <c r="G1586" s="37">
        <v>0</v>
      </c>
      <c r="H1586" s="37" t="b">
        <v>0</v>
      </c>
    </row>
    <row r="1587" spans="1:8" x14ac:dyDescent="0.3">
      <c r="A1587" s="37" t="s">
        <v>125</v>
      </c>
      <c r="B1587" s="38">
        <v>115000</v>
      </c>
      <c r="E1587" s="37" t="b">
        <v>0</v>
      </c>
      <c r="F1587" s="37" t="b">
        <v>1</v>
      </c>
      <c r="G1587" s="37">
        <v>0</v>
      </c>
      <c r="H1587" s="37" t="b">
        <v>0</v>
      </c>
    </row>
    <row r="1588" spans="1:8" x14ac:dyDescent="0.3">
      <c r="A1588" s="37" t="s">
        <v>4</v>
      </c>
      <c r="B1588" s="38">
        <v>150000</v>
      </c>
      <c r="E1588" s="37" t="b">
        <v>0</v>
      </c>
      <c r="F1588" s="37" t="b">
        <v>1</v>
      </c>
      <c r="G1588" s="37">
        <v>0</v>
      </c>
      <c r="H1588" s="37" t="b">
        <v>0</v>
      </c>
    </row>
    <row r="1589" spans="1:8" x14ac:dyDescent="0.3">
      <c r="A1589" s="37" t="s">
        <v>2</v>
      </c>
      <c r="B1589" s="38">
        <v>125000</v>
      </c>
      <c r="E1589" s="37" t="b">
        <v>1</v>
      </c>
      <c r="F1589" s="37" t="b">
        <v>1</v>
      </c>
      <c r="G1589" s="37">
        <v>1</v>
      </c>
      <c r="H1589" s="37">
        <v>125000</v>
      </c>
    </row>
    <row r="1590" spans="1:8" x14ac:dyDescent="0.3">
      <c r="A1590" s="37" t="s">
        <v>2</v>
      </c>
      <c r="B1590" s="38">
        <v>90000</v>
      </c>
      <c r="E1590" s="37" t="b">
        <v>1</v>
      </c>
      <c r="F1590" s="37" t="b">
        <v>1</v>
      </c>
      <c r="G1590" s="37">
        <v>1</v>
      </c>
      <c r="H1590" s="37">
        <v>90000</v>
      </c>
    </row>
    <row r="1591" spans="1:8" x14ac:dyDescent="0.3">
      <c r="A1591" s="37" t="s">
        <v>4</v>
      </c>
      <c r="B1591" s="38">
        <v>115000</v>
      </c>
      <c r="E1591" s="37" t="b">
        <v>0</v>
      </c>
      <c r="F1591" s="37" t="b">
        <v>1</v>
      </c>
      <c r="G1591" s="37">
        <v>0</v>
      </c>
      <c r="H1591" s="37" t="b">
        <v>0</v>
      </c>
    </row>
    <row r="1592" spans="1:8" x14ac:dyDescent="0.3">
      <c r="A1592" s="37" t="s">
        <v>125</v>
      </c>
      <c r="B1592" s="38">
        <v>115000</v>
      </c>
      <c r="E1592" s="37" t="b">
        <v>0</v>
      </c>
      <c r="F1592" s="37" t="b">
        <v>1</v>
      </c>
      <c r="G1592" s="37">
        <v>0</v>
      </c>
      <c r="H1592" s="37" t="b">
        <v>0</v>
      </c>
    </row>
    <row r="1593" spans="1:8" x14ac:dyDescent="0.3">
      <c r="A1593" s="37" t="s">
        <v>125</v>
      </c>
      <c r="B1593" s="38">
        <v>90000</v>
      </c>
      <c r="E1593" s="37" t="b">
        <v>0</v>
      </c>
      <c r="F1593" s="37" t="b">
        <v>1</v>
      </c>
      <c r="G1593" s="37">
        <v>0</v>
      </c>
      <c r="H1593" s="37" t="b">
        <v>0</v>
      </c>
    </row>
    <row r="1594" spans="1:8" x14ac:dyDescent="0.3">
      <c r="A1594" s="37" t="s">
        <v>0</v>
      </c>
      <c r="B1594" s="38">
        <v>90000</v>
      </c>
      <c r="E1594" s="37" t="b">
        <v>0</v>
      </c>
      <c r="F1594" s="37" t="b">
        <v>1</v>
      </c>
      <c r="G1594" s="37">
        <v>0</v>
      </c>
      <c r="H1594" s="37" t="b">
        <v>0</v>
      </c>
    </row>
    <row r="1595" spans="1:8" x14ac:dyDescent="0.3">
      <c r="A1595" s="37" t="s">
        <v>0</v>
      </c>
      <c r="B1595" s="38">
        <v>90000</v>
      </c>
      <c r="E1595" s="37" t="b">
        <v>0</v>
      </c>
      <c r="F1595" s="37" t="b">
        <v>1</v>
      </c>
      <c r="G1595" s="37">
        <v>0</v>
      </c>
      <c r="H1595" s="37" t="b">
        <v>0</v>
      </c>
    </row>
    <row r="1596" spans="1:8" x14ac:dyDescent="0.3">
      <c r="A1596" s="37" t="s">
        <v>2</v>
      </c>
      <c r="B1596" s="38">
        <v>150000</v>
      </c>
      <c r="E1596" s="37" t="b">
        <v>1</v>
      </c>
      <c r="F1596" s="37" t="b">
        <v>1</v>
      </c>
      <c r="G1596" s="37">
        <v>1</v>
      </c>
      <c r="H1596" s="37">
        <v>150000</v>
      </c>
    </row>
    <row r="1597" spans="1:8" x14ac:dyDescent="0.3">
      <c r="A1597" s="37" t="s">
        <v>2</v>
      </c>
      <c r="B1597" s="38">
        <v>115000</v>
      </c>
      <c r="E1597" s="37" t="b">
        <v>1</v>
      </c>
      <c r="F1597" s="37" t="b">
        <v>1</v>
      </c>
      <c r="G1597" s="37">
        <v>1</v>
      </c>
      <c r="H1597" s="37">
        <v>115000</v>
      </c>
    </row>
    <row r="1598" spans="1:8" x14ac:dyDescent="0.3">
      <c r="A1598" s="37" t="s">
        <v>0</v>
      </c>
      <c r="B1598" s="38">
        <v>350000</v>
      </c>
      <c r="E1598" s="37" t="b">
        <v>0</v>
      </c>
      <c r="F1598" s="37" t="b">
        <v>1</v>
      </c>
      <c r="G1598" s="37">
        <v>0</v>
      </c>
      <c r="H1598" s="37" t="b">
        <v>0</v>
      </c>
    </row>
    <row r="1599" spans="1:8" x14ac:dyDescent="0.3">
      <c r="A1599" s="37" t="s">
        <v>0</v>
      </c>
      <c r="B1599" s="38">
        <v>125000</v>
      </c>
      <c r="E1599" s="37" t="b">
        <v>0</v>
      </c>
      <c r="F1599" s="37" t="b">
        <v>1</v>
      </c>
      <c r="G1599" s="37">
        <v>0</v>
      </c>
      <c r="H1599" s="37" t="b">
        <v>0</v>
      </c>
    </row>
    <row r="1600" spans="1:8" x14ac:dyDescent="0.3">
      <c r="A1600" s="37" t="s">
        <v>125</v>
      </c>
      <c r="B1600" s="38">
        <v>125000</v>
      </c>
      <c r="E1600" s="37" t="b">
        <v>0</v>
      </c>
      <c r="F1600" s="37" t="b">
        <v>1</v>
      </c>
      <c r="G1600" s="37">
        <v>0</v>
      </c>
      <c r="H1600" s="37" t="b">
        <v>0</v>
      </c>
    </row>
    <row r="1601" spans="1:8" x14ac:dyDescent="0.3">
      <c r="A1601" s="37" t="s">
        <v>125</v>
      </c>
      <c r="B1601" s="38">
        <v>90000</v>
      </c>
      <c r="E1601" s="37" t="b">
        <v>0</v>
      </c>
      <c r="F1601" s="37" t="b">
        <v>1</v>
      </c>
      <c r="G1601" s="37">
        <v>0</v>
      </c>
      <c r="H1601" s="37" t="b">
        <v>0</v>
      </c>
    </row>
    <row r="1602" spans="1:8" x14ac:dyDescent="0.3">
      <c r="A1602" s="37" t="s">
        <v>125</v>
      </c>
      <c r="B1602" s="38">
        <v>90000</v>
      </c>
      <c r="E1602" s="37" t="b">
        <v>0</v>
      </c>
      <c r="F1602" s="37" t="b">
        <v>1</v>
      </c>
      <c r="G1602" s="37">
        <v>0</v>
      </c>
      <c r="H1602" s="37" t="b">
        <v>0</v>
      </c>
    </row>
    <row r="1603" spans="1:8" x14ac:dyDescent="0.3">
      <c r="A1603" s="37" t="s">
        <v>0</v>
      </c>
      <c r="B1603" s="38">
        <v>115000</v>
      </c>
      <c r="E1603" s="37" t="b">
        <v>0</v>
      </c>
      <c r="F1603" s="37" t="b">
        <v>1</v>
      </c>
      <c r="G1603" s="37">
        <v>0</v>
      </c>
      <c r="H1603" s="37" t="b">
        <v>0</v>
      </c>
    </row>
    <row r="1604" spans="1:8" x14ac:dyDescent="0.3">
      <c r="A1604" s="37" t="s">
        <v>0</v>
      </c>
      <c r="B1604" s="38">
        <v>115000</v>
      </c>
      <c r="E1604" s="37" t="b">
        <v>0</v>
      </c>
      <c r="F1604" s="37" t="b">
        <v>1</v>
      </c>
      <c r="G1604" s="37">
        <v>0</v>
      </c>
      <c r="H1604" s="37" t="b">
        <v>0</v>
      </c>
    </row>
    <row r="1605" spans="1:8" x14ac:dyDescent="0.3">
      <c r="A1605" s="37" t="s">
        <v>0</v>
      </c>
      <c r="B1605" s="38">
        <v>90000</v>
      </c>
      <c r="E1605" s="37" t="b">
        <v>0</v>
      </c>
      <c r="F1605" s="37" t="b">
        <v>1</v>
      </c>
      <c r="G1605" s="37">
        <v>0</v>
      </c>
      <c r="H1605" s="37" t="b">
        <v>0</v>
      </c>
    </row>
    <row r="1606" spans="1:8" x14ac:dyDescent="0.3">
      <c r="A1606" s="37" t="s">
        <v>2</v>
      </c>
      <c r="B1606" s="38">
        <v>115000</v>
      </c>
      <c r="E1606" s="37" t="b">
        <v>1</v>
      </c>
      <c r="F1606" s="37" t="b">
        <v>1</v>
      </c>
      <c r="G1606" s="37">
        <v>1</v>
      </c>
      <c r="H1606" s="37">
        <v>115000</v>
      </c>
    </row>
    <row r="1607" spans="1:8" x14ac:dyDescent="0.3">
      <c r="A1607" s="37" t="s">
        <v>128</v>
      </c>
      <c r="B1607" s="38">
        <v>90000</v>
      </c>
      <c r="E1607" s="37" t="b">
        <v>0</v>
      </c>
      <c r="F1607" s="37" t="b">
        <v>1</v>
      </c>
      <c r="G1607" s="37">
        <v>0</v>
      </c>
      <c r="H1607" s="37" t="b">
        <v>0</v>
      </c>
    </row>
    <row r="1608" spans="1:8" x14ac:dyDescent="0.3">
      <c r="A1608" s="37" t="s">
        <v>0</v>
      </c>
      <c r="B1608" s="38">
        <v>125000</v>
      </c>
      <c r="E1608" s="37" t="b">
        <v>0</v>
      </c>
      <c r="F1608" s="37" t="b">
        <v>1</v>
      </c>
      <c r="G1608" s="37">
        <v>0</v>
      </c>
      <c r="H1608" s="37" t="b">
        <v>0</v>
      </c>
    </row>
    <row r="1609" spans="1:8" x14ac:dyDescent="0.3">
      <c r="A1609" s="37" t="s">
        <v>0</v>
      </c>
      <c r="B1609" s="38">
        <v>115000</v>
      </c>
      <c r="E1609" s="37" t="b">
        <v>0</v>
      </c>
      <c r="F1609" s="37" t="b">
        <v>1</v>
      </c>
      <c r="G1609" s="37">
        <v>0</v>
      </c>
      <c r="H1609" s="37" t="b">
        <v>0</v>
      </c>
    </row>
    <row r="1610" spans="1:8" x14ac:dyDescent="0.3">
      <c r="A1610" s="37" t="s">
        <v>0</v>
      </c>
      <c r="B1610" s="38">
        <v>90000</v>
      </c>
      <c r="E1610" s="37" t="b">
        <v>0</v>
      </c>
      <c r="F1610" s="37" t="b">
        <v>1</v>
      </c>
      <c r="G1610" s="37">
        <v>0</v>
      </c>
      <c r="H1610" s="37" t="b">
        <v>0</v>
      </c>
    </row>
    <row r="1611" spans="1:8" x14ac:dyDescent="0.3">
      <c r="A1611" s="37" t="s">
        <v>2</v>
      </c>
      <c r="B1611" s="38">
        <v>115000</v>
      </c>
      <c r="E1611" s="37" t="b">
        <v>1</v>
      </c>
      <c r="F1611" s="37" t="b">
        <v>1</v>
      </c>
      <c r="G1611" s="37">
        <v>1</v>
      </c>
      <c r="H1611" s="37">
        <v>115000</v>
      </c>
    </row>
    <row r="1612" spans="1:8" x14ac:dyDescent="0.3">
      <c r="A1612" s="37" t="s">
        <v>126</v>
      </c>
      <c r="B1612" s="38">
        <v>150000</v>
      </c>
      <c r="E1612" s="37" t="b">
        <v>0</v>
      </c>
      <c r="F1612" s="37" t="b">
        <v>1</v>
      </c>
      <c r="G1612" s="37">
        <v>0</v>
      </c>
      <c r="H1612" s="37" t="b">
        <v>0</v>
      </c>
    </row>
    <row r="1613" spans="1:8" x14ac:dyDescent="0.3">
      <c r="A1613" s="37" t="s">
        <v>2</v>
      </c>
      <c r="B1613" s="38">
        <v>115000</v>
      </c>
      <c r="E1613" s="37" t="b">
        <v>1</v>
      </c>
      <c r="F1613" s="37" t="b">
        <v>1</v>
      </c>
      <c r="G1613" s="37">
        <v>1</v>
      </c>
      <c r="H1613" s="37">
        <v>115000</v>
      </c>
    </row>
    <row r="1614" spans="1:8" x14ac:dyDescent="0.3">
      <c r="A1614" s="37" t="s">
        <v>0</v>
      </c>
      <c r="B1614" s="38">
        <v>225000</v>
      </c>
      <c r="E1614" s="37" t="b">
        <v>0</v>
      </c>
      <c r="F1614" s="37" t="b">
        <v>1</v>
      </c>
      <c r="G1614" s="37">
        <v>0</v>
      </c>
      <c r="H1614" s="37" t="b">
        <v>0</v>
      </c>
    </row>
    <row r="1615" spans="1:8" x14ac:dyDescent="0.3">
      <c r="A1615" s="37" t="s">
        <v>125</v>
      </c>
      <c r="B1615" s="38">
        <v>115000</v>
      </c>
      <c r="E1615" s="37" t="b">
        <v>0</v>
      </c>
      <c r="F1615" s="37" t="b">
        <v>1</v>
      </c>
      <c r="G1615" s="37">
        <v>0</v>
      </c>
      <c r="H1615" s="37" t="b">
        <v>0</v>
      </c>
    </row>
    <row r="1616" spans="1:8" x14ac:dyDescent="0.3">
      <c r="A1616" s="37" t="s">
        <v>126</v>
      </c>
      <c r="B1616" s="38">
        <v>90000</v>
      </c>
      <c r="E1616" s="37" t="b">
        <v>0</v>
      </c>
      <c r="F1616" s="37" t="b">
        <v>1</v>
      </c>
      <c r="G1616" s="37">
        <v>0</v>
      </c>
      <c r="H1616" s="37" t="b">
        <v>0</v>
      </c>
    </row>
    <row r="1617" spans="1:8" x14ac:dyDescent="0.3">
      <c r="A1617" s="37" t="s">
        <v>0</v>
      </c>
      <c r="B1617" s="38">
        <v>125000</v>
      </c>
      <c r="E1617" s="37" t="b">
        <v>0</v>
      </c>
      <c r="F1617" s="37" t="b">
        <v>1</v>
      </c>
      <c r="G1617" s="37">
        <v>0</v>
      </c>
      <c r="H1617" s="37" t="b">
        <v>0</v>
      </c>
    </row>
    <row r="1618" spans="1:8" x14ac:dyDescent="0.3">
      <c r="A1618" s="37" t="s">
        <v>125</v>
      </c>
      <c r="B1618" s="38">
        <v>90000</v>
      </c>
      <c r="E1618" s="37" t="b">
        <v>0</v>
      </c>
      <c r="F1618" s="37" t="b">
        <v>1</v>
      </c>
      <c r="G1618" s="37">
        <v>0</v>
      </c>
      <c r="H1618" s="37" t="b">
        <v>0</v>
      </c>
    </row>
    <row r="1619" spans="1:8" x14ac:dyDescent="0.3">
      <c r="A1619" s="37" t="s">
        <v>4</v>
      </c>
      <c r="B1619" s="38">
        <v>90000</v>
      </c>
      <c r="E1619" s="37" t="b">
        <v>0</v>
      </c>
      <c r="F1619" s="37" t="b">
        <v>1</v>
      </c>
      <c r="G1619" s="37">
        <v>0</v>
      </c>
      <c r="H1619" s="37" t="b">
        <v>0</v>
      </c>
    </row>
    <row r="1620" spans="1:8" x14ac:dyDescent="0.3">
      <c r="A1620" s="37" t="s">
        <v>4</v>
      </c>
      <c r="B1620" s="38">
        <v>125000</v>
      </c>
      <c r="E1620" s="37" t="b">
        <v>0</v>
      </c>
      <c r="F1620" s="37" t="b">
        <v>1</v>
      </c>
      <c r="G1620" s="37">
        <v>0</v>
      </c>
      <c r="H1620" s="37" t="b">
        <v>0</v>
      </c>
    </row>
    <row r="1621" spans="1:8" x14ac:dyDescent="0.3">
      <c r="A1621" s="37" t="s">
        <v>2</v>
      </c>
      <c r="B1621" s="38">
        <v>115000</v>
      </c>
      <c r="E1621" s="37" t="b">
        <v>1</v>
      </c>
      <c r="F1621" s="37" t="b">
        <v>1</v>
      </c>
      <c r="G1621" s="37">
        <v>1</v>
      </c>
      <c r="H1621" s="37">
        <v>115000</v>
      </c>
    </row>
    <row r="1622" spans="1:8" x14ac:dyDescent="0.3">
      <c r="A1622" s="37" t="s">
        <v>128</v>
      </c>
      <c r="B1622" s="38">
        <v>150000</v>
      </c>
      <c r="E1622" s="37" t="b">
        <v>0</v>
      </c>
      <c r="F1622" s="37" t="b">
        <v>1</v>
      </c>
      <c r="G1622" s="37">
        <v>0</v>
      </c>
      <c r="H1622" s="37" t="b">
        <v>0</v>
      </c>
    </row>
    <row r="1623" spans="1:8" x14ac:dyDescent="0.3">
      <c r="A1623" s="37" t="s">
        <v>0</v>
      </c>
      <c r="B1623" s="38">
        <v>150000</v>
      </c>
      <c r="E1623" s="37" t="b">
        <v>0</v>
      </c>
      <c r="F1623" s="37" t="b">
        <v>1</v>
      </c>
      <c r="G1623" s="37">
        <v>0</v>
      </c>
      <c r="H1623" s="37" t="b">
        <v>0</v>
      </c>
    </row>
    <row r="1624" spans="1:8" x14ac:dyDescent="0.3">
      <c r="A1624" s="37" t="s">
        <v>4</v>
      </c>
      <c r="B1624" s="38">
        <v>175000</v>
      </c>
      <c r="E1624" s="37" t="b">
        <v>0</v>
      </c>
      <c r="F1624" s="37" t="b">
        <v>1</v>
      </c>
      <c r="G1624" s="37">
        <v>0</v>
      </c>
      <c r="H1624" s="37" t="b">
        <v>0</v>
      </c>
    </row>
    <row r="1625" spans="1:8" x14ac:dyDescent="0.3">
      <c r="A1625" s="37" t="s">
        <v>4</v>
      </c>
      <c r="B1625" s="38">
        <v>90000</v>
      </c>
      <c r="E1625" s="37" t="b">
        <v>0</v>
      </c>
      <c r="F1625" s="37" t="b">
        <v>1</v>
      </c>
      <c r="G1625" s="37">
        <v>0</v>
      </c>
      <c r="H1625" s="37" t="b">
        <v>0</v>
      </c>
    </row>
    <row r="1626" spans="1:8" x14ac:dyDescent="0.3">
      <c r="A1626" s="37" t="s">
        <v>0</v>
      </c>
      <c r="B1626" s="38">
        <v>90000</v>
      </c>
      <c r="E1626" s="37" t="b">
        <v>0</v>
      </c>
      <c r="F1626" s="37" t="b">
        <v>1</v>
      </c>
      <c r="G1626" s="37">
        <v>0</v>
      </c>
      <c r="H1626" s="37" t="b">
        <v>0</v>
      </c>
    </row>
    <row r="1627" spans="1:8" x14ac:dyDescent="0.3">
      <c r="A1627" s="37" t="s">
        <v>0</v>
      </c>
      <c r="B1627" s="38">
        <v>90000</v>
      </c>
      <c r="E1627" s="37" t="b">
        <v>0</v>
      </c>
      <c r="F1627" s="37" t="b">
        <v>1</v>
      </c>
      <c r="G1627" s="37">
        <v>0</v>
      </c>
      <c r="H1627" s="37" t="b">
        <v>0</v>
      </c>
    </row>
    <row r="1628" spans="1:8" x14ac:dyDescent="0.3">
      <c r="A1628" s="37" t="s">
        <v>2</v>
      </c>
      <c r="B1628" s="38">
        <v>115000</v>
      </c>
      <c r="E1628" s="37" t="b">
        <v>1</v>
      </c>
      <c r="F1628" s="37" t="b">
        <v>1</v>
      </c>
      <c r="G1628" s="37">
        <v>1</v>
      </c>
      <c r="H1628" s="37">
        <v>115000</v>
      </c>
    </row>
    <row r="1629" spans="1:8" x14ac:dyDescent="0.3">
      <c r="A1629" s="37" t="s">
        <v>0</v>
      </c>
      <c r="B1629" s="38">
        <v>200000</v>
      </c>
      <c r="E1629" s="37" t="b">
        <v>0</v>
      </c>
      <c r="F1629" s="37" t="b">
        <v>1</v>
      </c>
      <c r="G1629" s="37">
        <v>0</v>
      </c>
      <c r="H1629" s="37" t="b">
        <v>0</v>
      </c>
    </row>
    <row r="1630" spans="1:8" x14ac:dyDescent="0.3">
      <c r="A1630" s="37" t="s">
        <v>0</v>
      </c>
      <c r="B1630" s="38">
        <v>90000</v>
      </c>
      <c r="E1630" s="37" t="b">
        <v>0</v>
      </c>
      <c r="F1630" s="37" t="b">
        <v>1</v>
      </c>
      <c r="G1630" s="37">
        <v>0</v>
      </c>
      <c r="H1630" s="37" t="b">
        <v>0</v>
      </c>
    </row>
    <row r="1631" spans="1:8" x14ac:dyDescent="0.3">
      <c r="A1631" s="37" t="s">
        <v>125</v>
      </c>
      <c r="B1631" s="38">
        <v>115000</v>
      </c>
      <c r="E1631" s="37" t="b">
        <v>0</v>
      </c>
      <c r="F1631" s="37" t="b">
        <v>1</v>
      </c>
      <c r="G1631" s="37">
        <v>0</v>
      </c>
      <c r="H1631" s="37" t="b">
        <v>0</v>
      </c>
    </row>
    <row r="1632" spans="1:8" x14ac:dyDescent="0.3">
      <c r="A1632" s="37" t="s">
        <v>0</v>
      </c>
      <c r="B1632" s="38">
        <v>150000</v>
      </c>
      <c r="E1632" s="37" t="b">
        <v>0</v>
      </c>
      <c r="F1632" s="37" t="b">
        <v>1</v>
      </c>
      <c r="G1632" s="37">
        <v>0</v>
      </c>
      <c r="H1632" s="37" t="b">
        <v>0</v>
      </c>
    </row>
    <row r="1633" spans="1:8" x14ac:dyDescent="0.3">
      <c r="A1633" s="37" t="s">
        <v>128</v>
      </c>
      <c r="B1633" s="38">
        <v>90000</v>
      </c>
      <c r="E1633" s="37" t="b">
        <v>0</v>
      </c>
      <c r="F1633" s="37" t="b">
        <v>1</v>
      </c>
      <c r="G1633" s="37">
        <v>0</v>
      </c>
      <c r="H1633" s="37" t="b">
        <v>0</v>
      </c>
    </row>
    <row r="1634" spans="1:8" x14ac:dyDescent="0.3">
      <c r="A1634" s="37" t="s">
        <v>4</v>
      </c>
      <c r="B1634" s="38">
        <v>90000</v>
      </c>
      <c r="E1634" s="37" t="b">
        <v>0</v>
      </c>
      <c r="F1634" s="37" t="b">
        <v>1</v>
      </c>
      <c r="G1634" s="37">
        <v>0</v>
      </c>
      <c r="H1634" s="37" t="b">
        <v>0</v>
      </c>
    </row>
    <row r="1635" spans="1:8" x14ac:dyDescent="0.3">
      <c r="A1635" s="37" t="s">
        <v>0</v>
      </c>
      <c r="B1635" s="38">
        <v>90000</v>
      </c>
      <c r="E1635" s="37" t="b">
        <v>0</v>
      </c>
      <c r="F1635" s="37" t="b">
        <v>1</v>
      </c>
      <c r="G1635" s="37">
        <v>0</v>
      </c>
      <c r="H1635" s="37" t="b">
        <v>0</v>
      </c>
    </row>
    <row r="1636" spans="1:8" x14ac:dyDescent="0.3">
      <c r="A1636" s="37" t="s">
        <v>0</v>
      </c>
      <c r="B1636" s="38">
        <v>150000</v>
      </c>
      <c r="E1636" s="37" t="b">
        <v>0</v>
      </c>
      <c r="F1636" s="37" t="b">
        <v>1</v>
      </c>
      <c r="G1636" s="37">
        <v>0</v>
      </c>
      <c r="H1636" s="37" t="b">
        <v>0</v>
      </c>
    </row>
    <row r="1637" spans="1:8" x14ac:dyDescent="0.3">
      <c r="A1637" s="37" t="s">
        <v>4</v>
      </c>
      <c r="B1637" s="38">
        <v>150000</v>
      </c>
      <c r="E1637" s="37" t="b">
        <v>0</v>
      </c>
      <c r="F1637" s="37" t="b">
        <v>1</v>
      </c>
      <c r="G1637" s="37">
        <v>0</v>
      </c>
      <c r="H1637" s="37" t="b">
        <v>0</v>
      </c>
    </row>
    <row r="1638" spans="1:8" x14ac:dyDescent="0.3">
      <c r="A1638" s="37" t="s">
        <v>0</v>
      </c>
      <c r="B1638" s="38">
        <v>115000</v>
      </c>
      <c r="E1638" s="37" t="b">
        <v>0</v>
      </c>
      <c r="F1638" s="37" t="b">
        <v>1</v>
      </c>
      <c r="G1638" s="37">
        <v>0</v>
      </c>
      <c r="H1638" s="37" t="b">
        <v>0</v>
      </c>
    </row>
    <row r="1639" spans="1:8" x14ac:dyDescent="0.3">
      <c r="A1639" s="37" t="s">
        <v>0</v>
      </c>
      <c r="B1639" s="38">
        <v>115000</v>
      </c>
      <c r="E1639" s="37" t="b">
        <v>0</v>
      </c>
      <c r="F1639" s="37" t="b">
        <v>1</v>
      </c>
      <c r="G1639" s="37">
        <v>0</v>
      </c>
      <c r="H1639" s="37" t="b">
        <v>0</v>
      </c>
    </row>
    <row r="1640" spans="1:8" x14ac:dyDescent="0.3">
      <c r="A1640" s="37" t="s">
        <v>0</v>
      </c>
      <c r="B1640" s="38">
        <v>115000</v>
      </c>
      <c r="E1640" s="37" t="b">
        <v>0</v>
      </c>
      <c r="F1640" s="37" t="b">
        <v>1</v>
      </c>
      <c r="G1640" s="37">
        <v>0</v>
      </c>
      <c r="H1640" s="37" t="b">
        <v>0</v>
      </c>
    </row>
    <row r="1641" spans="1:8" x14ac:dyDescent="0.3">
      <c r="A1641" s="37" t="s">
        <v>0</v>
      </c>
      <c r="B1641" s="38">
        <v>115000</v>
      </c>
      <c r="E1641" s="37" t="b">
        <v>0</v>
      </c>
      <c r="F1641" s="37" t="b">
        <v>1</v>
      </c>
      <c r="G1641" s="37">
        <v>0</v>
      </c>
      <c r="H1641" s="37" t="b">
        <v>0</v>
      </c>
    </row>
    <row r="1642" spans="1:8" x14ac:dyDescent="0.3">
      <c r="A1642" s="37" t="s">
        <v>0</v>
      </c>
      <c r="B1642" s="38">
        <v>150000</v>
      </c>
      <c r="E1642" s="37" t="b">
        <v>0</v>
      </c>
      <c r="F1642" s="37" t="b">
        <v>1</v>
      </c>
      <c r="G1642" s="37">
        <v>0</v>
      </c>
      <c r="H1642" s="37" t="b">
        <v>0</v>
      </c>
    </row>
    <row r="1643" spans="1:8" x14ac:dyDescent="0.3">
      <c r="A1643" s="37" t="s">
        <v>2</v>
      </c>
      <c r="B1643" s="38">
        <v>175000</v>
      </c>
      <c r="E1643" s="37" t="b">
        <v>1</v>
      </c>
      <c r="F1643" s="37" t="b">
        <v>1</v>
      </c>
      <c r="G1643" s="37">
        <v>1</v>
      </c>
      <c r="H1643" s="37">
        <v>175000</v>
      </c>
    </row>
    <row r="1644" spans="1:8" x14ac:dyDescent="0.3">
      <c r="A1644" s="37" t="s">
        <v>0</v>
      </c>
      <c r="B1644" s="38">
        <v>90000</v>
      </c>
      <c r="E1644" s="37" t="b">
        <v>0</v>
      </c>
      <c r="F1644" s="37" t="b">
        <v>1</v>
      </c>
      <c r="G1644" s="37">
        <v>0</v>
      </c>
      <c r="H1644" s="37" t="b">
        <v>0</v>
      </c>
    </row>
    <row r="1645" spans="1:8" x14ac:dyDescent="0.3">
      <c r="A1645" s="37" t="s">
        <v>125</v>
      </c>
      <c r="B1645" s="38">
        <v>125000</v>
      </c>
      <c r="E1645" s="37" t="b">
        <v>0</v>
      </c>
      <c r="F1645" s="37" t="b">
        <v>1</v>
      </c>
      <c r="G1645" s="37">
        <v>0</v>
      </c>
      <c r="H1645" s="37" t="b">
        <v>0</v>
      </c>
    </row>
    <row r="1646" spans="1:8" x14ac:dyDescent="0.3">
      <c r="A1646" s="37" t="s">
        <v>2</v>
      </c>
      <c r="B1646" s="38">
        <v>90000</v>
      </c>
      <c r="E1646" s="37" t="b">
        <v>1</v>
      </c>
      <c r="F1646" s="37" t="b">
        <v>1</v>
      </c>
      <c r="G1646" s="37">
        <v>1</v>
      </c>
      <c r="H1646" s="37">
        <v>90000</v>
      </c>
    </row>
    <row r="1647" spans="1:8" x14ac:dyDescent="0.3">
      <c r="A1647" s="37" t="s">
        <v>4</v>
      </c>
      <c r="B1647" s="38">
        <v>90000</v>
      </c>
      <c r="E1647" s="37" t="b">
        <v>0</v>
      </c>
      <c r="F1647" s="37" t="b">
        <v>1</v>
      </c>
      <c r="G1647" s="37">
        <v>0</v>
      </c>
      <c r="H1647" s="37" t="b">
        <v>0</v>
      </c>
    </row>
    <row r="1648" spans="1:8" x14ac:dyDescent="0.3">
      <c r="A1648" s="37" t="s">
        <v>0</v>
      </c>
      <c r="B1648" s="38">
        <v>125000</v>
      </c>
      <c r="E1648" s="37" t="b">
        <v>0</v>
      </c>
      <c r="F1648" s="37" t="b">
        <v>1</v>
      </c>
      <c r="G1648" s="37">
        <v>0</v>
      </c>
      <c r="H1648" s="37" t="b">
        <v>0</v>
      </c>
    </row>
    <row r="1649" spans="1:8" x14ac:dyDescent="0.3">
      <c r="A1649" s="37" t="s">
        <v>4</v>
      </c>
      <c r="B1649" s="38">
        <v>125000</v>
      </c>
      <c r="E1649" s="37" t="b">
        <v>0</v>
      </c>
      <c r="F1649" s="37" t="b">
        <v>1</v>
      </c>
      <c r="G1649" s="37">
        <v>0</v>
      </c>
      <c r="H1649" s="37" t="b">
        <v>0</v>
      </c>
    </row>
    <row r="1650" spans="1:8" x14ac:dyDescent="0.3">
      <c r="A1650" s="37" t="s">
        <v>2</v>
      </c>
      <c r="B1650" s="38">
        <v>125000</v>
      </c>
      <c r="E1650" s="37" t="b">
        <v>1</v>
      </c>
      <c r="F1650" s="37" t="b">
        <v>1</v>
      </c>
      <c r="G1650" s="37">
        <v>1</v>
      </c>
      <c r="H1650" s="37">
        <v>125000</v>
      </c>
    </row>
    <row r="1651" spans="1:8" x14ac:dyDescent="0.3">
      <c r="A1651" s="37" t="s">
        <v>4</v>
      </c>
      <c r="B1651" s="38">
        <v>90000</v>
      </c>
      <c r="E1651" s="37" t="b">
        <v>0</v>
      </c>
      <c r="F1651" s="37" t="b">
        <v>1</v>
      </c>
      <c r="G1651" s="37">
        <v>0</v>
      </c>
      <c r="H1651" s="37" t="b">
        <v>0</v>
      </c>
    </row>
    <row r="1652" spans="1:8" x14ac:dyDescent="0.3">
      <c r="A1652" s="37" t="s">
        <v>0</v>
      </c>
      <c r="B1652" s="38">
        <v>115000</v>
      </c>
      <c r="E1652" s="37" t="b">
        <v>0</v>
      </c>
      <c r="F1652" s="37" t="b">
        <v>1</v>
      </c>
      <c r="G1652" s="37">
        <v>0</v>
      </c>
      <c r="H1652" s="37" t="b">
        <v>0</v>
      </c>
    </row>
    <row r="1653" spans="1:8" x14ac:dyDescent="0.3">
      <c r="A1653" s="37" t="s">
        <v>125</v>
      </c>
      <c r="B1653" s="38">
        <v>90000</v>
      </c>
      <c r="E1653" s="37" t="b">
        <v>0</v>
      </c>
      <c r="F1653" s="37" t="b">
        <v>1</v>
      </c>
      <c r="G1653" s="37">
        <v>0</v>
      </c>
      <c r="H1653" s="37" t="b">
        <v>0</v>
      </c>
    </row>
    <row r="1654" spans="1:8" x14ac:dyDescent="0.3">
      <c r="A1654" s="37" t="s">
        <v>126</v>
      </c>
      <c r="B1654" s="38">
        <v>175000</v>
      </c>
      <c r="E1654" s="37" t="b">
        <v>0</v>
      </c>
      <c r="F1654" s="37" t="b">
        <v>1</v>
      </c>
      <c r="G1654" s="37">
        <v>0</v>
      </c>
      <c r="H1654" s="37" t="b">
        <v>0</v>
      </c>
    </row>
    <row r="1655" spans="1:8" x14ac:dyDescent="0.3">
      <c r="A1655" s="37" t="s">
        <v>2</v>
      </c>
      <c r="B1655" s="38">
        <v>90000</v>
      </c>
      <c r="E1655" s="37" t="b">
        <v>1</v>
      </c>
      <c r="F1655" s="37" t="b">
        <v>1</v>
      </c>
      <c r="G1655" s="37">
        <v>1</v>
      </c>
      <c r="H1655" s="37">
        <v>90000</v>
      </c>
    </row>
    <row r="1656" spans="1:8" x14ac:dyDescent="0.3">
      <c r="A1656" s="37" t="s">
        <v>4</v>
      </c>
      <c r="B1656" s="38">
        <v>90000</v>
      </c>
      <c r="E1656" s="37" t="b">
        <v>0</v>
      </c>
      <c r="F1656" s="37" t="b">
        <v>1</v>
      </c>
      <c r="G1656" s="37">
        <v>0</v>
      </c>
      <c r="H1656" s="37" t="b">
        <v>0</v>
      </c>
    </row>
    <row r="1657" spans="1:8" x14ac:dyDescent="0.3">
      <c r="A1657" s="37" t="s">
        <v>0</v>
      </c>
      <c r="B1657" s="38">
        <v>150000</v>
      </c>
      <c r="E1657" s="37" t="b">
        <v>0</v>
      </c>
      <c r="F1657" s="37" t="b">
        <v>1</v>
      </c>
      <c r="G1657" s="37">
        <v>0</v>
      </c>
      <c r="H1657" s="37" t="b">
        <v>0</v>
      </c>
    </row>
    <row r="1658" spans="1:8" x14ac:dyDescent="0.3">
      <c r="A1658" s="37" t="s">
        <v>0</v>
      </c>
      <c r="B1658" s="38">
        <v>115000</v>
      </c>
      <c r="E1658" s="37" t="b">
        <v>0</v>
      </c>
      <c r="F1658" s="37" t="b">
        <v>1</v>
      </c>
      <c r="G1658" s="37">
        <v>0</v>
      </c>
      <c r="H1658" s="37" t="b">
        <v>0</v>
      </c>
    </row>
    <row r="1659" spans="1:8" x14ac:dyDescent="0.3">
      <c r="A1659" s="37" t="s">
        <v>126</v>
      </c>
      <c r="B1659" s="38">
        <v>90000</v>
      </c>
      <c r="E1659" s="37" t="b">
        <v>0</v>
      </c>
      <c r="F1659" s="37" t="b">
        <v>1</v>
      </c>
      <c r="G1659" s="37">
        <v>0</v>
      </c>
      <c r="H1659" s="37" t="b">
        <v>0</v>
      </c>
    </row>
    <row r="1660" spans="1:8" x14ac:dyDescent="0.3">
      <c r="A1660" s="37" t="s">
        <v>128</v>
      </c>
      <c r="B1660" s="38">
        <v>125000</v>
      </c>
      <c r="E1660" s="37" t="b">
        <v>0</v>
      </c>
      <c r="F1660" s="37" t="b">
        <v>1</v>
      </c>
      <c r="G1660" s="37">
        <v>0</v>
      </c>
      <c r="H1660" s="37" t="b">
        <v>0</v>
      </c>
    </row>
    <row r="1661" spans="1:8" x14ac:dyDescent="0.3">
      <c r="A1661" s="37" t="s">
        <v>128</v>
      </c>
      <c r="B1661" s="38">
        <v>90000</v>
      </c>
      <c r="E1661" s="37" t="b">
        <v>0</v>
      </c>
      <c r="F1661" s="37" t="b">
        <v>1</v>
      </c>
      <c r="G1661" s="37">
        <v>0</v>
      </c>
      <c r="H1661" s="37" t="b">
        <v>0</v>
      </c>
    </row>
    <row r="1662" spans="1:8" x14ac:dyDescent="0.3">
      <c r="A1662" s="37" t="s">
        <v>128</v>
      </c>
      <c r="B1662" s="38">
        <v>90000</v>
      </c>
      <c r="E1662" s="37" t="b">
        <v>0</v>
      </c>
      <c r="F1662" s="37" t="b">
        <v>1</v>
      </c>
      <c r="G1662" s="37">
        <v>0</v>
      </c>
      <c r="H1662" s="37" t="b">
        <v>0</v>
      </c>
    </row>
    <row r="1663" spans="1:8" x14ac:dyDescent="0.3">
      <c r="A1663" s="37" t="s">
        <v>125</v>
      </c>
      <c r="B1663" s="38">
        <v>90000</v>
      </c>
      <c r="E1663" s="37" t="b">
        <v>0</v>
      </c>
      <c r="F1663" s="37" t="b">
        <v>1</v>
      </c>
      <c r="G1663" s="37">
        <v>0</v>
      </c>
      <c r="H1663" s="37" t="b">
        <v>0</v>
      </c>
    </row>
    <row r="1664" spans="1:8" x14ac:dyDescent="0.3">
      <c r="A1664" s="37" t="s">
        <v>4</v>
      </c>
      <c r="B1664" s="38">
        <v>90000</v>
      </c>
      <c r="E1664" s="37" t="b">
        <v>0</v>
      </c>
      <c r="F1664" s="37" t="b">
        <v>1</v>
      </c>
      <c r="G1664" s="37">
        <v>0</v>
      </c>
      <c r="H1664" s="37" t="b">
        <v>0</v>
      </c>
    </row>
    <row r="1665" spans="1:8" x14ac:dyDescent="0.3">
      <c r="A1665" s="37" t="s">
        <v>4</v>
      </c>
      <c r="B1665" s="38">
        <v>115000</v>
      </c>
      <c r="E1665" s="37" t="b">
        <v>0</v>
      </c>
      <c r="F1665" s="37" t="b">
        <v>1</v>
      </c>
      <c r="G1665" s="37">
        <v>0</v>
      </c>
      <c r="H1665" s="37" t="b">
        <v>0</v>
      </c>
    </row>
    <row r="1666" spans="1:8" x14ac:dyDescent="0.3">
      <c r="A1666" s="37" t="s">
        <v>0</v>
      </c>
      <c r="B1666" s="38">
        <v>200000</v>
      </c>
      <c r="E1666" s="37" t="b">
        <v>0</v>
      </c>
      <c r="F1666" s="37" t="b">
        <v>1</v>
      </c>
      <c r="G1666" s="37">
        <v>0</v>
      </c>
      <c r="H1666" s="37" t="b">
        <v>0</v>
      </c>
    </row>
    <row r="1667" spans="1:8" x14ac:dyDescent="0.3">
      <c r="A1667" s="37" t="s">
        <v>128</v>
      </c>
      <c r="B1667" s="38">
        <v>90000</v>
      </c>
      <c r="E1667" s="37" t="b">
        <v>0</v>
      </c>
      <c r="F1667" s="37" t="b">
        <v>1</v>
      </c>
      <c r="G1667" s="37">
        <v>0</v>
      </c>
      <c r="H1667" s="37" t="b">
        <v>0</v>
      </c>
    </row>
    <row r="1668" spans="1:8" x14ac:dyDescent="0.3">
      <c r="A1668" s="37" t="s">
        <v>0</v>
      </c>
      <c r="B1668" s="38">
        <v>150000</v>
      </c>
      <c r="E1668" s="37" t="b">
        <v>0</v>
      </c>
      <c r="F1668" s="37" t="b">
        <v>1</v>
      </c>
      <c r="G1668" s="37">
        <v>0</v>
      </c>
      <c r="H1668" s="37" t="b">
        <v>0</v>
      </c>
    </row>
    <row r="1669" spans="1:8" x14ac:dyDescent="0.3">
      <c r="A1669" s="37" t="s">
        <v>2</v>
      </c>
      <c r="B1669" s="38">
        <v>115000</v>
      </c>
      <c r="E1669" s="37" t="b">
        <v>1</v>
      </c>
      <c r="F1669" s="37" t="b">
        <v>1</v>
      </c>
      <c r="G1669" s="37">
        <v>1</v>
      </c>
      <c r="H1669" s="37">
        <v>115000</v>
      </c>
    </row>
    <row r="1670" spans="1:8" x14ac:dyDescent="0.3">
      <c r="A1670" s="37" t="s">
        <v>4</v>
      </c>
      <c r="B1670" s="38">
        <v>125000</v>
      </c>
      <c r="E1670" s="37" t="b">
        <v>0</v>
      </c>
      <c r="F1670" s="37" t="b">
        <v>1</v>
      </c>
      <c r="G1670" s="37">
        <v>0</v>
      </c>
      <c r="H1670" s="37" t="b">
        <v>0</v>
      </c>
    </row>
    <row r="1671" spans="1:8" x14ac:dyDescent="0.3">
      <c r="A1671" s="37" t="s">
        <v>126</v>
      </c>
      <c r="B1671" s="38">
        <v>150000</v>
      </c>
      <c r="E1671" s="37" t="b">
        <v>0</v>
      </c>
      <c r="F1671" s="37" t="b">
        <v>1</v>
      </c>
      <c r="G1671" s="37">
        <v>0</v>
      </c>
      <c r="H1671" s="37" t="b">
        <v>0</v>
      </c>
    </row>
    <row r="1672" spans="1:8" x14ac:dyDescent="0.3">
      <c r="A1672" s="37" t="s">
        <v>0</v>
      </c>
      <c r="B1672" s="38">
        <v>125000</v>
      </c>
      <c r="E1672" s="37" t="b">
        <v>0</v>
      </c>
      <c r="F1672" s="37" t="b">
        <v>1</v>
      </c>
      <c r="G1672" s="37">
        <v>0</v>
      </c>
      <c r="H1672" s="37" t="b">
        <v>0</v>
      </c>
    </row>
    <row r="1673" spans="1:8" x14ac:dyDescent="0.3">
      <c r="A1673" s="37" t="s">
        <v>2</v>
      </c>
      <c r="B1673" s="38">
        <v>115000</v>
      </c>
      <c r="E1673" s="37" t="b">
        <v>1</v>
      </c>
      <c r="F1673" s="37" t="b">
        <v>1</v>
      </c>
      <c r="G1673" s="37">
        <v>1</v>
      </c>
      <c r="H1673" s="37">
        <v>115000</v>
      </c>
    </row>
    <row r="1674" spans="1:8" x14ac:dyDescent="0.3">
      <c r="A1674" s="37" t="s">
        <v>0</v>
      </c>
      <c r="B1674" s="38">
        <v>150000</v>
      </c>
      <c r="E1674" s="37" t="b">
        <v>0</v>
      </c>
      <c r="F1674" s="37" t="b">
        <v>1</v>
      </c>
      <c r="G1674" s="37">
        <v>0</v>
      </c>
      <c r="H1674" s="37" t="b">
        <v>0</v>
      </c>
    </row>
    <row r="1675" spans="1:8" x14ac:dyDescent="0.3">
      <c r="A1675" s="37" t="s">
        <v>2</v>
      </c>
      <c r="B1675" s="38">
        <v>90000</v>
      </c>
      <c r="E1675" s="37" t="b">
        <v>1</v>
      </c>
      <c r="F1675" s="37" t="b">
        <v>1</v>
      </c>
      <c r="G1675" s="37">
        <v>1</v>
      </c>
      <c r="H1675" s="37">
        <v>90000</v>
      </c>
    </row>
    <row r="1676" spans="1:8" x14ac:dyDescent="0.3">
      <c r="A1676" s="37" t="s">
        <v>0</v>
      </c>
      <c r="B1676" s="38">
        <v>90000</v>
      </c>
      <c r="E1676" s="37" t="b">
        <v>0</v>
      </c>
      <c r="F1676" s="37" t="b">
        <v>1</v>
      </c>
      <c r="G1676" s="37">
        <v>0</v>
      </c>
      <c r="H1676" s="37" t="b">
        <v>0</v>
      </c>
    </row>
    <row r="1677" spans="1:8" x14ac:dyDescent="0.3">
      <c r="A1677" s="37" t="s">
        <v>0</v>
      </c>
      <c r="B1677" s="38">
        <v>125000</v>
      </c>
      <c r="E1677" s="37" t="b">
        <v>0</v>
      </c>
      <c r="F1677" s="37" t="b">
        <v>1</v>
      </c>
      <c r="G1677" s="37">
        <v>0</v>
      </c>
      <c r="H1677" s="37" t="b">
        <v>0</v>
      </c>
    </row>
    <row r="1678" spans="1:8" x14ac:dyDescent="0.3">
      <c r="A1678" s="37" t="s">
        <v>4</v>
      </c>
      <c r="B1678" s="38">
        <v>125000</v>
      </c>
      <c r="E1678" s="37" t="b">
        <v>0</v>
      </c>
      <c r="F1678" s="37" t="b">
        <v>1</v>
      </c>
      <c r="G1678" s="37">
        <v>0</v>
      </c>
      <c r="H1678" s="37" t="b">
        <v>0</v>
      </c>
    </row>
    <row r="1679" spans="1:8" x14ac:dyDescent="0.3">
      <c r="A1679" s="37" t="s">
        <v>2</v>
      </c>
      <c r="B1679" s="38">
        <v>115000</v>
      </c>
      <c r="E1679" s="37" t="b">
        <v>1</v>
      </c>
      <c r="F1679" s="37" t="b">
        <v>1</v>
      </c>
      <c r="G1679" s="37">
        <v>1</v>
      </c>
      <c r="H1679" s="37">
        <v>115000</v>
      </c>
    </row>
    <row r="1680" spans="1:8" x14ac:dyDescent="0.3">
      <c r="A1680" s="37" t="s">
        <v>128</v>
      </c>
      <c r="B1680" s="38">
        <v>125000</v>
      </c>
      <c r="E1680" s="37" t="b">
        <v>0</v>
      </c>
      <c r="F1680" s="37" t="b">
        <v>1</v>
      </c>
      <c r="G1680" s="37">
        <v>0</v>
      </c>
      <c r="H1680" s="37" t="b">
        <v>0</v>
      </c>
    </row>
    <row r="1681" spans="1:8" x14ac:dyDescent="0.3">
      <c r="A1681" s="37" t="s">
        <v>2</v>
      </c>
      <c r="B1681" s="38">
        <v>125000</v>
      </c>
      <c r="E1681" s="37" t="b">
        <v>1</v>
      </c>
      <c r="F1681" s="37" t="b">
        <v>1</v>
      </c>
      <c r="G1681" s="37">
        <v>1</v>
      </c>
      <c r="H1681" s="37">
        <v>125000</v>
      </c>
    </row>
    <row r="1682" spans="1:8" x14ac:dyDescent="0.3">
      <c r="A1682" s="37" t="s">
        <v>128</v>
      </c>
      <c r="B1682" s="38">
        <v>90000</v>
      </c>
      <c r="E1682" s="37" t="b">
        <v>0</v>
      </c>
      <c r="F1682" s="37" t="b">
        <v>1</v>
      </c>
      <c r="G1682" s="37">
        <v>0</v>
      </c>
      <c r="H1682" s="37" t="b">
        <v>0</v>
      </c>
    </row>
    <row r="1683" spans="1:8" x14ac:dyDescent="0.3">
      <c r="A1683" s="37" t="s">
        <v>128</v>
      </c>
      <c r="B1683" s="38">
        <v>90000</v>
      </c>
      <c r="E1683" s="37" t="b">
        <v>0</v>
      </c>
      <c r="F1683" s="37" t="b">
        <v>1</v>
      </c>
      <c r="G1683" s="37">
        <v>0</v>
      </c>
      <c r="H1683" s="37" t="b">
        <v>0</v>
      </c>
    </row>
    <row r="1684" spans="1:8" x14ac:dyDescent="0.3">
      <c r="A1684" s="37" t="s">
        <v>0</v>
      </c>
      <c r="B1684" s="38">
        <v>115000</v>
      </c>
      <c r="E1684" s="37" t="b">
        <v>0</v>
      </c>
      <c r="F1684" s="37" t="b">
        <v>1</v>
      </c>
      <c r="G1684" s="37">
        <v>0</v>
      </c>
      <c r="H1684" s="37" t="b">
        <v>0</v>
      </c>
    </row>
    <row r="1685" spans="1:8" x14ac:dyDescent="0.3">
      <c r="A1685" s="37" t="s">
        <v>4</v>
      </c>
      <c r="B1685" s="38">
        <v>90000</v>
      </c>
      <c r="E1685" s="37" t="b">
        <v>0</v>
      </c>
      <c r="F1685" s="37" t="b">
        <v>1</v>
      </c>
      <c r="G1685" s="37">
        <v>0</v>
      </c>
      <c r="H1685" s="37" t="b">
        <v>0</v>
      </c>
    </row>
    <row r="1686" spans="1:8" x14ac:dyDescent="0.3">
      <c r="A1686" s="37" t="s">
        <v>4</v>
      </c>
      <c r="B1686" s="38">
        <v>150000</v>
      </c>
      <c r="E1686" s="37" t="b">
        <v>0</v>
      </c>
      <c r="F1686" s="37" t="b">
        <v>1</v>
      </c>
      <c r="G1686" s="37">
        <v>0</v>
      </c>
      <c r="H1686" s="37" t="b">
        <v>0</v>
      </c>
    </row>
    <row r="1687" spans="1:8" x14ac:dyDescent="0.3">
      <c r="A1687" s="37" t="s">
        <v>0</v>
      </c>
      <c r="B1687" s="38">
        <v>90000</v>
      </c>
      <c r="E1687" s="37" t="b">
        <v>0</v>
      </c>
      <c r="F1687" s="37" t="b">
        <v>1</v>
      </c>
      <c r="G1687" s="37">
        <v>0</v>
      </c>
      <c r="H1687" s="37" t="b">
        <v>0</v>
      </c>
    </row>
    <row r="1688" spans="1:8" x14ac:dyDescent="0.3">
      <c r="A1688" s="37" t="s">
        <v>0</v>
      </c>
      <c r="B1688" s="38">
        <v>90000</v>
      </c>
      <c r="E1688" s="37" t="b">
        <v>0</v>
      </c>
      <c r="F1688" s="37" t="b">
        <v>1</v>
      </c>
      <c r="G1688" s="37">
        <v>0</v>
      </c>
      <c r="H1688" s="37" t="b">
        <v>0</v>
      </c>
    </row>
    <row r="1689" spans="1:8" x14ac:dyDescent="0.3">
      <c r="A1689" s="37" t="s">
        <v>0</v>
      </c>
      <c r="B1689" s="38">
        <v>125000</v>
      </c>
      <c r="E1689" s="37" t="b">
        <v>0</v>
      </c>
      <c r="F1689" s="37" t="b">
        <v>1</v>
      </c>
      <c r="G1689" s="37">
        <v>0</v>
      </c>
      <c r="H1689" s="37" t="b">
        <v>0</v>
      </c>
    </row>
    <row r="1690" spans="1:8" x14ac:dyDescent="0.3">
      <c r="A1690" s="37" t="s">
        <v>4</v>
      </c>
      <c r="B1690" s="38">
        <v>90000</v>
      </c>
      <c r="E1690" s="37" t="b">
        <v>0</v>
      </c>
      <c r="F1690" s="37" t="b">
        <v>1</v>
      </c>
      <c r="G1690" s="37">
        <v>0</v>
      </c>
      <c r="H1690" s="37" t="b">
        <v>0</v>
      </c>
    </row>
    <row r="1691" spans="1:8" x14ac:dyDescent="0.3">
      <c r="A1691" s="37" t="s">
        <v>0</v>
      </c>
      <c r="B1691" s="38">
        <v>90000</v>
      </c>
      <c r="E1691" s="37" t="b">
        <v>0</v>
      </c>
      <c r="F1691" s="37" t="b">
        <v>1</v>
      </c>
      <c r="G1691" s="37">
        <v>0</v>
      </c>
      <c r="H1691" s="37" t="b">
        <v>0</v>
      </c>
    </row>
    <row r="1692" spans="1:8" x14ac:dyDescent="0.3">
      <c r="A1692" s="37" t="s">
        <v>2</v>
      </c>
      <c r="B1692" s="38">
        <v>90000</v>
      </c>
      <c r="E1692" s="37" t="b">
        <v>1</v>
      </c>
      <c r="F1692" s="37" t="b">
        <v>1</v>
      </c>
      <c r="G1692" s="37">
        <v>1</v>
      </c>
      <c r="H1692" s="37">
        <v>90000</v>
      </c>
    </row>
    <row r="1693" spans="1:8" x14ac:dyDescent="0.3">
      <c r="A1693" s="37" t="s">
        <v>128</v>
      </c>
      <c r="B1693" s="38">
        <v>125000</v>
      </c>
      <c r="E1693" s="37" t="b">
        <v>0</v>
      </c>
      <c r="F1693" s="37" t="b">
        <v>1</v>
      </c>
      <c r="G1693" s="37">
        <v>0</v>
      </c>
      <c r="H1693" s="37" t="b">
        <v>0</v>
      </c>
    </row>
    <row r="1694" spans="1:8" x14ac:dyDescent="0.3">
      <c r="A1694" s="37" t="s">
        <v>128</v>
      </c>
      <c r="B1694" s="38">
        <v>375000</v>
      </c>
      <c r="E1694" s="37" t="b">
        <v>0</v>
      </c>
      <c r="F1694" s="37" t="b">
        <v>1</v>
      </c>
      <c r="G1694" s="37">
        <v>0</v>
      </c>
      <c r="H1694" s="37" t="b">
        <v>0</v>
      </c>
    </row>
    <row r="1695" spans="1:8" x14ac:dyDescent="0.3">
      <c r="A1695" s="37" t="s">
        <v>0</v>
      </c>
      <c r="B1695" s="38">
        <v>125000</v>
      </c>
      <c r="E1695" s="37" t="b">
        <v>0</v>
      </c>
      <c r="F1695" s="37" t="b">
        <v>1</v>
      </c>
      <c r="G1695" s="37">
        <v>0</v>
      </c>
      <c r="H1695" s="37" t="b">
        <v>0</v>
      </c>
    </row>
    <row r="1696" spans="1:8" x14ac:dyDescent="0.3">
      <c r="A1696" s="37" t="s">
        <v>128</v>
      </c>
      <c r="B1696" s="38">
        <v>90000</v>
      </c>
      <c r="E1696" s="37" t="b">
        <v>0</v>
      </c>
      <c r="F1696" s="37" t="b">
        <v>1</v>
      </c>
      <c r="G1696" s="37">
        <v>0</v>
      </c>
      <c r="H1696" s="37" t="b">
        <v>0</v>
      </c>
    </row>
    <row r="1697" spans="1:8" x14ac:dyDescent="0.3">
      <c r="A1697" s="37" t="s">
        <v>0</v>
      </c>
      <c r="B1697" s="38">
        <v>90000</v>
      </c>
      <c r="E1697" s="37" t="b">
        <v>0</v>
      </c>
      <c r="F1697" s="37" t="b">
        <v>1</v>
      </c>
      <c r="G1697" s="37">
        <v>0</v>
      </c>
      <c r="H1697" s="37" t="b">
        <v>0</v>
      </c>
    </row>
    <row r="1698" spans="1:8" x14ac:dyDescent="0.3">
      <c r="A1698" s="37" t="s">
        <v>128</v>
      </c>
      <c r="B1698" s="38">
        <v>115000</v>
      </c>
      <c r="E1698" s="37" t="b">
        <v>0</v>
      </c>
      <c r="F1698" s="37" t="b">
        <v>1</v>
      </c>
      <c r="G1698" s="37">
        <v>0</v>
      </c>
      <c r="H1698" s="37" t="b">
        <v>0</v>
      </c>
    </row>
    <row r="1699" spans="1:8" x14ac:dyDescent="0.3">
      <c r="A1699" s="37" t="s">
        <v>0</v>
      </c>
      <c r="B1699" s="38">
        <v>90000</v>
      </c>
      <c r="E1699" s="37" t="b">
        <v>0</v>
      </c>
      <c r="F1699" s="37" t="b">
        <v>1</v>
      </c>
      <c r="G1699" s="37">
        <v>0</v>
      </c>
      <c r="H1699" s="37" t="b">
        <v>0</v>
      </c>
    </row>
    <row r="1700" spans="1:8" x14ac:dyDescent="0.3">
      <c r="A1700" s="37" t="s">
        <v>4</v>
      </c>
      <c r="B1700" s="38">
        <v>115000</v>
      </c>
      <c r="E1700" s="37" t="b">
        <v>0</v>
      </c>
      <c r="F1700" s="37" t="b">
        <v>1</v>
      </c>
      <c r="G1700" s="37">
        <v>0</v>
      </c>
      <c r="H1700" s="37" t="b">
        <v>0</v>
      </c>
    </row>
    <row r="1701" spans="1:8" x14ac:dyDescent="0.3">
      <c r="A1701" s="37" t="s">
        <v>0</v>
      </c>
      <c r="B1701" s="38">
        <v>90000</v>
      </c>
      <c r="E1701" s="37" t="b">
        <v>0</v>
      </c>
      <c r="F1701" s="37" t="b">
        <v>1</v>
      </c>
      <c r="G1701" s="37">
        <v>0</v>
      </c>
      <c r="H1701" s="37" t="b">
        <v>0</v>
      </c>
    </row>
    <row r="1702" spans="1:8" x14ac:dyDescent="0.3">
      <c r="A1702" s="37" t="s">
        <v>126</v>
      </c>
      <c r="B1702" s="38">
        <v>125000</v>
      </c>
      <c r="E1702" s="37" t="b">
        <v>0</v>
      </c>
      <c r="F1702" s="37" t="b">
        <v>1</v>
      </c>
      <c r="G1702" s="37">
        <v>0</v>
      </c>
      <c r="H1702" s="37" t="b">
        <v>0</v>
      </c>
    </row>
    <row r="1703" spans="1:8" x14ac:dyDescent="0.3">
      <c r="A1703" s="37" t="s">
        <v>128</v>
      </c>
      <c r="B1703" s="38">
        <v>175000</v>
      </c>
      <c r="E1703" s="37" t="b">
        <v>0</v>
      </c>
      <c r="F1703" s="37" t="b">
        <v>1</v>
      </c>
      <c r="G1703" s="37">
        <v>0</v>
      </c>
      <c r="H1703" s="37" t="b">
        <v>0</v>
      </c>
    </row>
    <row r="1704" spans="1:8" x14ac:dyDescent="0.3">
      <c r="A1704" s="37" t="s">
        <v>0</v>
      </c>
      <c r="B1704" s="38">
        <v>150000</v>
      </c>
      <c r="E1704" s="37" t="b">
        <v>0</v>
      </c>
      <c r="F1704" s="37" t="b">
        <v>1</v>
      </c>
      <c r="G1704" s="37">
        <v>0</v>
      </c>
      <c r="H1704" s="37" t="b">
        <v>0</v>
      </c>
    </row>
    <row r="1705" spans="1:8" x14ac:dyDescent="0.3">
      <c r="A1705" s="37" t="s">
        <v>0</v>
      </c>
      <c r="B1705" s="38">
        <v>90000</v>
      </c>
      <c r="E1705" s="37" t="b">
        <v>0</v>
      </c>
      <c r="F1705" s="37" t="b">
        <v>1</v>
      </c>
      <c r="G1705" s="37">
        <v>0</v>
      </c>
      <c r="H1705" s="37" t="b">
        <v>0</v>
      </c>
    </row>
    <row r="1706" spans="1:8" x14ac:dyDescent="0.3">
      <c r="A1706" s="37" t="s">
        <v>4</v>
      </c>
      <c r="B1706" s="38">
        <v>90000</v>
      </c>
      <c r="E1706" s="37" t="b">
        <v>0</v>
      </c>
      <c r="F1706" s="37" t="b">
        <v>1</v>
      </c>
      <c r="G1706" s="37">
        <v>0</v>
      </c>
      <c r="H1706" s="37" t="b">
        <v>0</v>
      </c>
    </row>
    <row r="1707" spans="1:8" x14ac:dyDescent="0.3">
      <c r="A1707" s="37" t="s">
        <v>125</v>
      </c>
      <c r="B1707" s="38">
        <v>115000</v>
      </c>
      <c r="E1707" s="37" t="b">
        <v>0</v>
      </c>
      <c r="F1707" s="37" t="b">
        <v>1</v>
      </c>
      <c r="G1707" s="37">
        <v>0</v>
      </c>
      <c r="H1707" s="37" t="b">
        <v>0</v>
      </c>
    </row>
    <row r="1708" spans="1:8" x14ac:dyDescent="0.3">
      <c r="A1708" s="37" t="s">
        <v>0</v>
      </c>
      <c r="B1708" s="38">
        <v>125000</v>
      </c>
      <c r="E1708" s="37" t="b">
        <v>0</v>
      </c>
      <c r="F1708" s="37" t="b">
        <v>1</v>
      </c>
      <c r="G1708" s="37">
        <v>0</v>
      </c>
      <c r="H1708" s="37" t="b">
        <v>0</v>
      </c>
    </row>
    <row r="1709" spans="1:8" x14ac:dyDescent="0.3">
      <c r="A1709" s="37" t="s">
        <v>2</v>
      </c>
      <c r="B1709" s="38">
        <v>150000</v>
      </c>
      <c r="E1709" s="37" t="b">
        <v>1</v>
      </c>
      <c r="F1709" s="37" t="b">
        <v>1</v>
      </c>
      <c r="G1709" s="37">
        <v>1</v>
      </c>
      <c r="H1709" s="37">
        <v>150000</v>
      </c>
    </row>
    <row r="1710" spans="1:8" x14ac:dyDescent="0.3">
      <c r="A1710" s="37" t="s">
        <v>52</v>
      </c>
      <c r="B1710" s="38">
        <v>150000</v>
      </c>
      <c r="E1710" s="37" t="b">
        <v>0</v>
      </c>
      <c r="F1710" s="37" t="b">
        <v>1</v>
      </c>
      <c r="G1710" s="37">
        <v>0</v>
      </c>
      <c r="H1710" s="37" t="b">
        <v>0</v>
      </c>
    </row>
    <row r="1711" spans="1:8" x14ac:dyDescent="0.3">
      <c r="A1711" s="37" t="s">
        <v>2</v>
      </c>
      <c r="B1711" s="38">
        <v>90000</v>
      </c>
      <c r="E1711" s="37" t="b">
        <v>1</v>
      </c>
      <c r="F1711" s="37" t="b">
        <v>1</v>
      </c>
      <c r="G1711" s="37">
        <v>1</v>
      </c>
      <c r="H1711" s="37">
        <v>90000</v>
      </c>
    </row>
    <row r="1712" spans="1:8" x14ac:dyDescent="0.3">
      <c r="A1712" s="37" t="s">
        <v>2</v>
      </c>
      <c r="B1712" s="38">
        <v>90000</v>
      </c>
      <c r="E1712" s="37" t="b">
        <v>1</v>
      </c>
      <c r="F1712" s="37" t="b">
        <v>1</v>
      </c>
      <c r="G1712" s="37">
        <v>1</v>
      </c>
      <c r="H1712" s="37">
        <v>90000</v>
      </c>
    </row>
    <row r="1713" spans="1:8" x14ac:dyDescent="0.3">
      <c r="A1713" s="37" t="s">
        <v>128</v>
      </c>
      <c r="B1713" s="38">
        <v>175000</v>
      </c>
      <c r="E1713" s="37" t="b">
        <v>0</v>
      </c>
      <c r="F1713" s="37" t="b">
        <v>1</v>
      </c>
      <c r="G1713" s="37">
        <v>0</v>
      </c>
      <c r="H1713" s="37" t="b">
        <v>0</v>
      </c>
    </row>
    <row r="1714" spans="1:8" x14ac:dyDescent="0.3">
      <c r="A1714" s="37" t="s">
        <v>128</v>
      </c>
      <c r="B1714" s="38">
        <v>150000</v>
      </c>
      <c r="E1714" s="37" t="b">
        <v>0</v>
      </c>
      <c r="F1714" s="37" t="b">
        <v>1</v>
      </c>
      <c r="G1714" s="37">
        <v>0</v>
      </c>
      <c r="H1714" s="37" t="b">
        <v>0</v>
      </c>
    </row>
    <row r="1715" spans="1:8" x14ac:dyDescent="0.3">
      <c r="A1715" s="37" t="s">
        <v>0</v>
      </c>
      <c r="B1715" s="38">
        <v>150000</v>
      </c>
      <c r="E1715" s="37" t="b">
        <v>0</v>
      </c>
      <c r="F1715" s="37" t="b">
        <v>1</v>
      </c>
      <c r="G1715" s="37">
        <v>0</v>
      </c>
      <c r="H1715" s="37" t="b">
        <v>0</v>
      </c>
    </row>
    <row r="1716" spans="1:8" x14ac:dyDescent="0.3">
      <c r="A1716" s="37" t="s">
        <v>4</v>
      </c>
      <c r="B1716" s="38">
        <v>115000</v>
      </c>
      <c r="E1716" s="37" t="b">
        <v>0</v>
      </c>
      <c r="F1716" s="37" t="b">
        <v>1</v>
      </c>
      <c r="G1716" s="37">
        <v>0</v>
      </c>
      <c r="H1716" s="37" t="b">
        <v>0</v>
      </c>
    </row>
    <row r="1717" spans="1:8" x14ac:dyDescent="0.3">
      <c r="A1717" s="37" t="s">
        <v>4</v>
      </c>
      <c r="B1717" s="38">
        <v>90000</v>
      </c>
      <c r="E1717" s="37" t="b">
        <v>0</v>
      </c>
      <c r="F1717" s="37" t="b">
        <v>1</v>
      </c>
      <c r="G1717" s="37">
        <v>0</v>
      </c>
      <c r="H1717" s="37" t="b">
        <v>0</v>
      </c>
    </row>
    <row r="1718" spans="1:8" x14ac:dyDescent="0.3">
      <c r="A1718" s="37" t="s">
        <v>0</v>
      </c>
      <c r="B1718" s="38">
        <v>350000</v>
      </c>
      <c r="E1718" s="37" t="b">
        <v>0</v>
      </c>
      <c r="F1718" s="37" t="b">
        <v>1</v>
      </c>
      <c r="G1718" s="37">
        <v>0</v>
      </c>
      <c r="H1718" s="37" t="b">
        <v>0</v>
      </c>
    </row>
    <row r="1719" spans="1:8" x14ac:dyDescent="0.3">
      <c r="A1719" s="37" t="s">
        <v>128</v>
      </c>
      <c r="B1719" s="38">
        <v>90000</v>
      </c>
      <c r="E1719" s="37" t="b">
        <v>0</v>
      </c>
      <c r="F1719" s="37" t="b">
        <v>1</v>
      </c>
      <c r="G1719" s="37">
        <v>0</v>
      </c>
      <c r="H1719" s="37" t="b">
        <v>0</v>
      </c>
    </row>
    <row r="1720" spans="1:8" x14ac:dyDescent="0.3">
      <c r="A1720" s="37" t="s">
        <v>4</v>
      </c>
      <c r="B1720" s="38">
        <v>90000</v>
      </c>
      <c r="E1720" s="37" t="b">
        <v>0</v>
      </c>
      <c r="F1720" s="37" t="b">
        <v>1</v>
      </c>
      <c r="G1720" s="37">
        <v>0</v>
      </c>
      <c r="H1720" s="37" t="b">
        <v>0</v>
      </c>
    </row>
    <row r="1721" spans="1:8" x14ac:dyDescent="0.3">
      <c r="A1721" s="37" t="s">
        <v>128</v>
      </c>
      <c r="B1721" s="38">
        <v>90000</v>
      </c>
      <c r="E1721" s="37" t="b">
        <v>0</v>
      </c>
      <c r="F1721" s="37" t="b">
        <v>1</v>
      </c>
      <c r="G1721" s="37">
        <v>0</v>
      </c>
      <c r="H1721" s="37" t="b">
        <v>0</v>
      </c>
    </row>
    <row r="1722" spans="1:8" x14ac:dyDescent="0.3">
      <c r="A1722" s="37" t="s">
        <v>4</v>
      </c>
      <c r="B1722" s="38">
        <v>125000</v>
      </c>
      <c r="E1722" s="37" t="b">
        <v>0</v>
      </c>
      <c r="F1722" s="37" t="b">
        <v>1</v>
      </c>
      <c r="G1722" s="37">
        <v>0</v>
      </c>
      <c r="H1722" s="37" t="b">
        <v>0</v>
      </c>
    </row>
    <row r="1723" spans="1:8" x14ac:dyDescent="0.3">
      <c r="A1723" s="37" t="s">
        <v>2</v>
      </c>
      <c r="B1723" s="38">
        <v>150000</v>
      </c>
      <c r="E1723" s="37" t="b">
        <v>1</v>
      </c>
      <c r="F1723" s="37" t="b">
        <v>1</v>
      </c>
      <c r="G1723" s="37">
        <v>1</v>
      </c>
      <c r="H1723" s="37">
        <v>150000</v>
      </c>
    </row>
    <row r="1724" spans="1:8" x14ac:dyDescent="0.3">
      <c r="A1724" s="37" t="s">
        <v>4</v>
      </c>
      <c r="B1724" s="38">
        <v>125000</v>
      </c>
      <c r="E1724" s="37" t="b">
        <v>0</v>
      </c>
      <c r="F1724" s="37" t="b">
        <v>1</v>
      </c>
      <c r="G1724" s="37">
        <v>0</v>
      </c>
      <c r="H1724" s="37" t="b">
        <v>0</v>
      </c>
    </row>
    <row r="1725" spans="1:8" x14ac:dyDescent="0.3">
      <c r="A1725" s="37" t="s">
        <v>128</v>
      </c>
      <c r="B1725" s="38">
        <v>90000</v>
      </c>
      <c r="E1725" s="37" t="b">
        <v>0</v>
      </c>
      <c r="F1725" s="37" t="b">
        <v>1</v>
      </c>
      <c r="G1725" s="37">
        <v>0</v>
      </c>
      <c r="H1725" s="37" t="b">
        <v>0</v>
      </c>
    </row>
    <row r="1726" spans="1:8" x14ac:dyDescent="0.3">
      <c r="A1726" s="37" t="s">
        <v>0</v>
      </c>
      <c r="B1726" s="38">
        <v>150000</v>
      </c>
      <c r="E1726" s="37" t="b">
        <v>0</v>
      </c>
      <c r="F1726" s="37" t="b">
        <v>1</v>
      </c>
      <c r="G1726" s="37">
        <v>0</v>
      </c>
      <c r="H1726" s="37" t="b">
        <v>0</v>
      </c>
    </row>
    <row r="1727" spans="1:8" x14ac:dyDescent="0.3">
      <c r="A1727" s="37" t="s">
        <v>126</v>
      </c>
      <c r="B1727" s="38">
        <v>150000</v>
      </c>
      <c r="E1727" s="37" t="b">
        <v>0</v>
      </c>
      <c r="F1727" s="37" t="b">
        <v>1</v>
      </c>
      <c r="G1727" s="37">
        <v>0</v>
      </c>
      <c r="H1727" s="37" t="b">
        <v>0</v>
      </c>
    </row>
    <row r="1728" spans="1:8" x14ac:dyDescent="0.3">
      <c r="A1728" s="37" t="s">
        <v>125</v>
      </c>
      <c r="B1728" s="38">
        <v>115000</v>
      </c>
      <c r="E1728" s="37" t="b">
        <v>0</v>
      </c>
      <c r="F1728" s="37" t="b">
        <v>1</v>
      </c>
      <c r="G1728" s="37">
        <v>0</v>
      </c>
      <c r="H1728" s="37" t="b">
        <v>0</v>
      </c>
    </row>
    <row r="1729" spans="1:8" x14ac:dyDescent="0.3">
      <c r="A1729" s="37" t="s">
        <v>2</v>
      </c>
      <c r="B1729" s="38">
        <v>125000</v>
      </c>
      <c r="E1729" s="37" t="b">
        <v>1</v>
      </c>
      <c r="F1729" s="37" t="b">
        <v>1</v>
      </c>
      <c r="G1729" s="37">
        <v>1</v>
      </c>
      <c r="H1729" s="37">
        <v>125000</v>
      </c>
    </row>
    <row r="1730" spans="1:8" x14ac:dyDescent="0.3">
      <c r="A1730" s="37" t="s">
        <v>0</v>
      </c>
      <c r="B1730" s="38">
        <v>225000</v>
      </c>
      <c r="E1730" s="37" t="b">
        <v>0</v>
      </c>
      <c r="F1730" s="37" t="b">
        <v>1</v>
      </c>
      <c r="G1730" s="37">
        <v>0</v>
      </c>
      <c r="H1730" s="37" t="b">
        <v>0</v>
      </c>
    </row>
    <row r="1731" spans="1:8" x14ac:dyDescent="0.3">
      <c r="A1731" s="37" t="s">
        <v>0</v>
      </c>
      <c r="B1731" s="38">
        <v>90000</v>
      </c>
      <c r="E1731" s="37" t="b">
        <v>0</v>
      </c>
      <c r="F1731" s="37" t="b">
        <v>1</v>
      </c>
      <c r="G1731" s="37">
        <v>0</v>
      </c>
      <c r="H1731" s="37" t="b">
        <v>0</v>
      </c>
    </row>
    <row r="1732" spans="1:8" x14ac:dyDescent="0.3">
      <c r="A1732" s="37" t="s">
        <v>2</v>
      </c>
      <c r="B1732" s="38">
        <v>115000</v>
      </c>
      <c r="E1732" s="37" t="b">
        <v>1</v>
      </c>
      <c r="F1732" s="37" t="b">
        <v>1</v>
      </c>
      <c r="G1732" s="37">
        <v>1</v>
      </c>
      <c r="H1732" s="37">
        <v>115000</v>
      </c>
    </row>
    <row r="1733" spans="1:8" x14ac:dyDescent="0.3">
      <c r="A1733" s="37" t="s">
        <v>2</v>
      </c>
      <c r="B1733" s="38">
        <v>175000</v>
      </c>
      <c r="E1733" s="37" t="b">
        <v>1</v>
      </c>
      <c r="F1733" s="37" t="b">
        <v>1</v>
      </c>
      <c r="G1733" s="37">
        <v>1</v>
      </c>
      <c r="H1733" s="37">
        <v>175000</v>
      </c>
    </row>
    <row r="1734" spans="1:8" x14ac:dyDescent="0.3">
      <c r="A1734" s="37" t="s">
        <v>2</v>
      </c>
      <c r="B1734" s="38">
        <v>115000</v>
      </c>
      <c r="E1734" s="37" t="b">
        <v>1</v>
      </c>
      <c r="F1734" s="37" t="b">
        <v>1</v>
      </c>
      <c r="G1734" s="37">
        <v>1</v>
      </c>
      <c r="H1734" s="37">
        <v>115000</v>
      </c>
    </row>
    <row r="1735" spans="1:8" x14ac:dyDescent="0.3">
      <c r="A1735" s="37" t="s">
        <v>0</v>
      </c>
      <c r="B1735" s="38">
        <v>90000</v>
      </c>
      <c r="E1735" s="37" t="b">
        <v>0</v>
      </c>
      <c r="F1735" s="37" t="b">
        <v>1</v>
      </c>
      <c r="G1735" s="37">
        <v>0</v>
      </c>
      <c r="H1735" s="37" t="b">
        <v>0</v>
      </c>
    </row>
    <row r="1736" spans="1:8" x14ac:dyDescent="0.3">
      <c r="A1736" s="37" t="s">
        <v>0</v>
      </c>
      <c r="B1736" s="38">
        <v>90000</v>
      </c>
      <c r="E1736" s="37" t="b">
        <v>0</v>
      </c>
      <c r="F1736" s="37" t="b">
        <v>1</v>
      </c>
      <c r="G1736" s="37">
        <v>0</v>
      </c>
      <c r="H1736" s="37" t="b">
        <v>0</v>
      </c>
    </row>
    <row r="1737" spans="1:8" x14ac:dyDescent="0.3">
      <c r="A1737" s="37" t="s">
        <v>2</v>
      </c>
      <c r="B1737" s="38">
        <v>150000</v>
      </c>
      <c r="E1737" s="37" t="b">
        <v>1</v>
      </c>
      <c r="F1737" s="37" t="b">
        <v>1</v>
      </c>
      <c r="G1737" s="37">
        <v>1</v>
      </c>
      <c r="H1737" s="37">
        <v>150000</v>
      </c>
    </row>
    <row r="1738" spans="1:8" x14ac:dyDescent="0.3">
      <c r="A1738" s="37" t="s">
        <v>0</v>
      </c>
      <c r="B1738" s="38">
        <v>225000</v>
      </c>
      <c r="E1738" s="37" t="b">
        <v>0</v>
      </c>
      <c r="F1738" s="37" t="b">
        <v>1</v>
      </c>
      <c r="G1738" s="37">
        <v>0</v>
      </c>
      <c r="H1738" s="37" t="b">
        <v>0</v>
      </c>
    </row>
    <row r="1739" spans="1:8" x14ac:dyDescent="0.3">
      <c r="A1739" s="37" t="s">
        <v>2</v>
      </c>
      <c r="B1739" s="38">
        <v>125000</v>
      </c>
      <c r="E1739" s="37" t="b">
        <v>1</v>
      </c>
      <c r="F1739" s="37" t="b">
        <v>1</v>
      </c>
      <c r="G1739" s="37">
        <v>1</v>
      </c>
      <c r="H1739" s="37">
        <v>125000</v>
      </c>
    </row>
    <row r="1740" spans="1:8" x14ac:dyDescent="0.3">
      <c r="A1740" s="37" t="s">
        <v>2</v>
      </c>
      <c r="B1740" s="38">
        <v>115000</v>
      </c>
      <c r="E1740" s="37" t="b">
        <v>1</v>
      </c>
      <c r="F1740" s="37" t="b">
        <v>1</v>
      </c>
      <c r="G1740" s="37">
        <v>1</v>
      </c>
      <c r="H1740" s="37">
        <v>115000</v>
      </c>
    </row>
    <row r="1741" spans="1:8" x14ac:dyDescent="0.3">
      <c r="A1741" s="37" t="s">
        <v>0</v>
      </c>
      <c r="B1741" s="38">
        <v>150000</v>
      </c>
      <c r="E1741" s="37" t="b">
        <v>0</v>
      </c>
      <c r="F1741" s="37" t="b">
        <v>1</v>
      </c>
      <c r="G1741" s="37">
        <v>0</v>
      </c>
      <c r="H1741" s="37" t="b">
        <v>0</v>
      </c>
    </row>
    <row r="1742" spans="1:8" x14ac:dyDescent="0.3">
      <c r="A1742" s="37" t="s">
        <v>0</v>
      </c>
      <c r="B1742" s="38">
        <v>200000</v>
      </c>
      <c r="E1742" s="37" t="b">
        <v>0</v>
      </c>
      <c r="F1742" s="37" t="b">
        <v>1</v>
      </c>
      <c r="G1742" s="37">
        <v>0</v>
      </c>
      <c r="H1742" s="37" t="b">
        <v>0</v>
      </c>
    </row>
    <row r="1743" spans="1:8" x14ac:dyDescent="0.3">
      <c r="A1743" s="37" t="s">
        <v>129</v>
      </c>
      <c r="B1743" s="38">
        <v>115000</v>
      </c>
      <c r="E1743" s="37" t="b">
        <v>0</v>
      </c>
      <c r="F1743" s="37" t="b">
        <v>1</v>
      </c>
      <c r="G1743" s="37">
        <v>0</v>
      </c>
      <c r="H1743" s="37" t="b">
        <v>0</v>
      </c>
    </row>
    <row r="1744" spans="1:8" x14ac:dyDescent="0.3">
      <c r="A1744" s="37" t="s">
        <v>125</v>
      </c>
      <c r="B1744" s="38">
        <v>115000</v>
      </c>
      <c r="E1744" s="37" t="b">
        <v>0</v>
      </c>
      <c r="F1744" s="37" t="b">
        <v>1</v>
      </c>
      <c r="G1744" s="37">
        <v>0</v>
      </c>
      <c r="H1744" s="37" t="b">
        <v>0</v>
      </c>
    </row>
    <row r="1745" spans="1:8" x14ac:dyDescent="0.3">
      <c r="A1745" s="37" t="s">
        <v>2</v>
      </c>
      <c r="B1745" s="38">
        <v>115000</v>
      </c>
      <c r="E1745" s="37" t="b">
        <v>1</v>
      </c>
      <c r="F1745" s="37" t="b">
        <v>1</v>
      </c>
      <c r="G1745" s="37">
        <v>1</v>
      </c>
      <c r="H1745" s="37">
        <v>115000</v>
      </c>
    </row>
    <row r="1746" spans="1:8" x14ac:dyDescent="0.3">
      <c r="A1746" s="37" t="s">
        <v>125</v>
      </c>
      <c r="B1746" s="38">
        <v>175000</v>
      </c>
      <c r="E1746" s="37" t="b">
        <v>0</v>
      </c>
      <c r="F1746" s="37" t="b">
        <v>1</v>
      </c>
      <c r="G1746" s="37">
        <v>0</v>
      </c>
      <c r="H1746" s="37" t="b">
        <v>0</v>
      </c>
    </row>
    <row r="1747" spans="1:8" x14ac:dyDescent="0.3">
      <c r="A1747" s="37" t="s">
        <v>128</v>
      </c>
      <c r="B1747" s="38">
        <v>150000</v>
      </c>
      <c r="E1747" s="37" t="b">
        <v>0</v>
      </c>
      <c r="F1747" s="37" t="b">
        <v>1</v>
      </c>
      <c r="G1747" s="37">
        <v>0</v>
      </c>
      <c r="H1747" s="37" t="b">
        <v>0</v>
      </c>
    </row>
    <row r="1748" spans="1:8" x14ac:dyDescent="0.3">
      <c r="A1748" s="37" t="s">
        <v>4</v>
      </c>
      <c r="B1748" s="38">
        <v>125000</v>
      </c>
      <c r="E1748" s="37" t="b">
        <v>0</v>
      </c>
      <c r="F1748" s="37" t="b">
        <v>1</v>
      </c>
      <c r="G1748" s="37">
        <v>0</v>
      </c>
      <c r="H1748" s="37" t="b">
        <v>0</v>
      </c>
    </row>
    <row r="1749" spans="1:8" x14ac:dyDescent="0.3">
      <c r="A1749" s="37" t="s">
        <v>4</v>
      </c>
      <c r="B1749" s="38">
        <v>90000</v>
      </c>
      <c r="E1749" s="37" t="b">
        <v>0</v>
      </c>
      <c r="F1749" s="37" t="b">
        <v>1</v>
      </c>
      <c r="G1749" s="37">
        <v>0</v>
      </c>
      <c r="H1749" s="37" t="b">
        <v>0</v>
      </c>
    </row>
    <row r="1750" spans="1:8" x14ac:dyDescent="0.3">
      <c r="A1750" s="37" t="s">
        <v>0</v>
      </c>
      <c r="B1750" s="38">
        <v>125000</v>
      </c>
      <c r="E1750" s="37" t="b">
        <v>0</v>
      </c>
      <c r="F1750" s="37" t="b">
        <v>1</v>
      </c>
      <c r="G1750" s="37">
        <v>0</v>
      </c>
      <c r="H1750" s="37" t="b">
        <v>0</v>
      </c>
    </row>
    <row r="1751" spans="1:8" x14ac:dyDescent="0.3">
      <c r="A1751" s="37" t="s">
        <v>4</v>
      </c>
      <c r="B1751" s="38">
        <v>125000</v>
      </c>
      <c r="E1751" s="37" t="b">
        <v>0</v>
      </c>
      <c r="F1751" s="37" t="b">
        <v>1</v>
      </c>
      <c r="G1751" s="37">
        <v>0</v>
      </c>
      <c r="H1751" s="37" t="b">
        <v>0</v>
      </c>
    </row>
    <row r="1752" spans="1:8" x14ac:dyDescent="0.3">
      <c r="A1752" s="37" t="s">
        <v>2</v>
      </c>
      <c r="B1752" s="38">
        <v>90000</v>
      </c>
      <c r="E1752" s="37" t="b">
        <v>1</v>
      </c>
      <c r="F1752" s="37" t="b">
        <v>1</v>
      </c>
      <c r="G1752" s="37">
        <v>1</v>
      </c>
      <c r="H1752" s="37">
        <v>90000</v>
      </c>
    </row>
    <row r="1753" spans="1:8" x14ac:dyDescent="0.3">
      <c r="A1753" s="37" t="s">
        <v>0</v>
      </c>
      <c r="B1753" s="38">
        <v>115000</v>
      </c>
      <c r="E1753" s="37" t="b">
        <v>0</v>
      </c>
      <c r="F1753" s="37" t="b">
        <v>1</v>
      </c>
      <c r="G1753" s="37">
        <v>0</v>
      </c>
      <c r="H1753" s="37" t="b">
        <v>0</v>
      </c>
    </row>
    <row r="1754" spans="1:8" x14ac:dyDescent="0.3">
      <c r="A1754" s="37" t="s">
        <v>2</v>
      </c>
      <c r="B1754" s="38">
        <v>125000</v>
      </c>
      <c r="E1754" s="37" t="b">
        <v>1</v>
      </c>
      <c r="F1754" s="37" t="b">
        <v>1</v>
      </c>
      <c r="G1754" s="37">
        <v>1</v>
      </c>
      <c r="H1754" s="37">
        <v>125000</v>
      </c>
    </row>
    <row r="1755" spans="1:8" x14ac:dyDescent="0.3">
      <c r="A1755" s="37" t="s">
        <v>4</v>
      </c>
      <c r="B1755" s="38">
        <v>90000</v>
      </c>
      <c r="E1755" s="37" t="b">
        <v>0</v>
      </c>
      <c r="F1755" s="37" t="b">
        <v>1</v>
      </c>
      <c r="G1755" s="37">
        <v>0</v>
      </c>
      <c r="H1755" s="37" t="b">
        <v>0</v>
      </c>
    </row>
    <row r="1756" spans="1:8" x14ac:dyDescent="0.3">
      <c r="A1756" s="37" t="s">
        <v>128</v>
      </c>
      <c r="B1756" s="38">
        <v>115000</v>
      </c>
      <c r="E1756" s="37" t="b">
        <v>0</v>
      </c>
      <c r="F1756" s="37" t="b">
        <v>1</v>
      </c>
      <c r="G1756" s="37">
        <v>0</v>
      </c>
      <c r="H1756" s="37" t="b">
        <v>0</v>
      </c>
    </row>
    <row r="1757" spans="1:8" x14ac:dyDescent="0.3">
      <c r="A1757" s="37" t="s">
        <v>0</v>
      </c>
      <c r="B1757" s="38">
        <v>115000</v>
      </c>
      <c r="E1757" s="37" t="b">
        <v>0</v>
      </c>
      <c r="F1757" s="37" t="b">
        <v>1</v>
      </c>
      <c r="G1757" s="37">
        <v>0</v>
      </c>
      <c r="H1757" s="37" t="b">
        <v>0</v>
      </c>
    </row>
    <row r="1758" spans="1:8" x14ac:dyDescent="0.3">
      <c r="A1758" s="37" t="s">
        <v>4</v>
      </c>
      <c r="B1758" s="38">
        <v>125000</v>
      </c>
      <c r="E1758" s="37" t="b">
        <v>0</v>
      </c>
      <c r="F1758" s="37" t="b">
        <v>1</v>
      </c>
      <c r="G1758" s="37">
        <v>0</v>
      </c>
      <c r="H1758" s="37" t="b">
        <v>0</v>
      </c>
    </row>
    <row r="1759" spans="1:8" x14ac:dyDescent="0.3">
      <c r="A1759" s="37" t="s">
        <v>2</v>
      </c>
      <c r="B1759" s="38">
        <v>125000</v>
      </c>
      <c r="E1759" s="37" t="b">
        <v>1</v>
      </c>
      <c r="F1759" s="37" t="b">
        <v>1</v>
      </c>
      <c r="G1759" s="37">
        <v>1</v>
      </c>
      <c r="H1759" s="37">
        <v>125000</v>
      </c>
    </row>
    <row r="1760" spans="1:8" x14ac:dyDescent="0.3">
      <c r="A1760" s="37" t="s">
        <v>0</v>
      </c>
      <c r="B1760" s="38">
        <v>115000</v>
      </c>
      <c r="E1760" s="37" t="b">
        <v>0</v>
      </c>
      <c r="F1760" s="37" t="b">
        <v>1</v>
      </c>
      <c r="G1760" s="37">
        <v>0</v>
      </c>
      <c r="H1760" s="37" t="b">
        <v>0</v>
      </c>
    </row>
    <row r="1761" spans="1:8" x14ac:dyDescent="0.3">
      <c r="A1761" s="37" t="s">
        <v>0</v>
      </c>
      <c r="B1761" s="38">
        <v>90000</v>
      </c>
      <c r="E1761" s="37" t="b">
        <v>0</v>
      </c>
      <c r="F1761" s="37" t="b">
        <v>1</v>
      </c>
      <c r="G1761" s="37">
        <v>0</v>
      </c>
      <c r="H1761" s="37" t="b">
        <v>0</v>
      </c>
    </row>
    <row r="1762" spans="1:8" x14ac:dyDescent="0.3">
      <c r="A1762" s="37" t="s">
        <v>4</v>
      </c>
      <c r="B1762" s="38">
        <v>115000</v>
      </c>
      <c r="E1762" s="37" t="b">
        <v>0</v>
      </c>
      <c r="F1762" s="37" t="b">
        <v>1</v>
      </c>
      <c r="G1762" s="37">
        <v>0</v>
      </c>
      <c r="H1762" s="37" t="b">
        <v>0</v>
      </c>
    </row>
    <row r="1763" spans="1:8" x14ac:dyDescent="0.3">
      <c r="A1763" s="37" t="s">
        <v>128</v>
      </c>
      <c r="B1763" s="38">
        <v>90000</v>
      </c>
      <c r="E1763" s="37" t="b">
        <v>0</v>
      </c>
      <c r="F1763" s="37" t="b">
        <v>1</v>
      </c>
      <c r="G1763" s="37">
        <v>0</v>
      </c>
      <c r="H1763" s="37" t="b">
        <v>0</v>
      </c>
    </row>
    <row r="1764" spans="1:8" x14ac:dyDescent="0.3">
      <c r="A1764" s="37" t="s">
        <v>0</v>
      </c>
      <c r="B1764" s="38">
        <v>175000</v>
      </c>
      <c r="E1764" s="37" t="b">
        <v>0</v>
      </c>
      <c r="F1764" s="37" t="b">
        <v>1</v>
      </c>
      <c r="G1764" s="37">
        <v>0</v>
      </c>
      <c r="H1764" s="37" t="b">
        <v>0</v>
      </c>
    </row>
    <row r="1765" spans="1:8" x14ac:dyDescent="0.3">
      <c r="A1765" s="37" t="s">
        <v>4</v>
      </c>
      <c r="B1765" s="38">
        <v>125000</v>
      </c>
      <c r="E1765" s="37" t="b">
        <v>0</v>
      </c>
      <c r="F1765" s="37" t="b">
        <v>1</v>
      </c>
      <c r="G1765" s="37">
        <v>0</v>
      </c>
      <c r="H1765" s="37" t="b">
        <v>0</v>
      </c>
    </row>
    <row r="1766" spans="1:8" x14ac:dyDescent="0.3">
      <c r="A1766" s="37" t="s">
        <v>0</v>
      </c>
      <c r="B1766" s="38">
        <v>90000</v>
      </c>
      <c r="E1766" s="37" t="b">
        <v>0</v>
      </c>
      <c r="F1766" s="37" t="b">
        <v>1</v>
      </c>
      <c r="G1766" s="37">
        <v>0</v>
      </c>
      <c r="H1766" s="37" t="b">
        <v>0</v>
      </c>
    </row>
    <row r="1767" spans="1:8" x14ac:dyDescent="0.3">
      <c r="A1767" s="37" t="s">
        <v>4</v>
      </c>
      <c r="B1767" s="38">
        <v>150000</v>
      </c>
      <c r="E1767" s="37" t="b">
        <v>0</v>
      </c>
      <c r="F1767" s="37" t="b">
        <v>1</v>
      </c>
      <c r="G1767" s="37">
        <v>0</v>
      </c>
      <c r="H1767" s="37" t="b">
        <v>0</v>
      </c>
    </row>
    <row r="1768" spans="1:8" x14ac:dyDescent="0.3">
      <c r="A1768" s="37" t="s">
        <v>2</v>
      </c>
      <c r="B1768" s="38">
        <v>125000</v>
      </c>
      <c r="E1768" s="37" t="b">
        <v>1</v>
      </c>
      <c r="F1768" s="37" t="b">
        <v>1</v>
      </c>
      <c r="G1768" s="37">
        <v>1</v>
      </c>
      <c r="H1768" s="37">
        <v>125000</v>
      </c>
    </row>
    <row r="1769" spans="1:8" x14ac:dyDescent="0.3">
      <c r="A1769" s="37" t="s">
        <v>125</v>
      </c>
      <c r="B1769" s="38">
        <v>115000</v>
      </c>
      <c r="E1769" s="37" t="b">
        <v>0</v>
      </c>
      <c r="F1769" s="37" t="b">
        <v>1</v>
      </c>
      <c r="G1769" s="37">
        <v>0</v>
      </c>
      <c r="H1769" s="37" t="b">
        <v>0</v>
      </c>
    </row>
    <row r="1770" spans="1:8" x14ac:dyDescent="0.3">
      <c r="A1770" s="37" t="s">
        <v>126</v>
      </c>
      <c r="B1770" s="38">
        <v>150000</v>
      </c>
      <c r="E1770" s="37" t="b">
        <v>0</v>
      </c>
      <c r="F1770" s="37" t="b">
        <v>1</v>
      </c>
      <c r="G1770" s="37">
        <v>0</v>
      </c>
      <c r="H1770" s="37" t="b">
        <v>0</v>
      </c>
    </row>
    <row r="1771" spans="1:8" x14ac:dyDescent="0.3">
      <c r="A1771" s="37" t="s">
        <v>128</v>
      </c>
      <c r="B1771" s="38">
        <v>150000</v>
      </c>
      <c r="E1771" s="37" t="b">
        <v>0</v>
      </c>
      <c r="F1771" s="37" t="b">
        <v>1</v>
      </c>
      <c r="G1771" s="37">
        <v>0</v>
      </c>
      <c r="H1771" s="37" t="b">
        <v>0</v>
      </c>
    </row>
    <row r="1772" spans="1:8" x14ac:dyDescent="0.3">
      <c r="A1772" s="37" t="s">
        <v>4</v>
      </c>
      <c r="B1772" s="38">
        <v>175000</v>
      </c>
      <c r="E1772" s="37" t="b">
        <v>0</v>
      </c>
      <c r="F1772" s="37" t="b">
        <v>1</v>
      </c>
      <c r="G1772" s="37">
        <v>0</v>
      </c>
      <c r="H1772" s="37" t="b">
        <v>0</v>
      </c>
    </row>
    <row r="1773" spans="1:8" x14ac:dyDescent="0.3">
      <c r="A1773" s="37" t="s">
        <v>4</v>
      </c>
      <c r="B1773" s="38">
        <v>125000</v>
      </c>
      <c r="E1773" s="37" t="b">
        <v>0</v>
      </c>
      <c r="F1773" s="37" t="b">
        <v>1</v>
      </c>
      <c r="G1773" s="37">
        <v>0</v>
      </c>
      <c r="H1773" s="37" t="b">
        <v>0</v>
      </c>
    </row>
    <row r="1774" spans="1:8" x14ac:dyDescent="0.3">
      <c r="A1774" s="37" t="s">
        <v>2</v>
      </c>
      <c r="B1774" s="38">
        <v>115000</v>
      </c>
      <c r="E1774" s="37" t="b">
        <v>1</v>
      </c>
      <c r="F1774" s="37" t="b">
        <v>1</v>
      </c>
      <c r="G1774" s="37">
        <v>1</v>
      </c>
      <c r="H1774" s="37">
        <v>115000</v>
      </c>
    </row>
    <row r="1775" spans="1:8" x14ac:dyDescent="0.3">
      <c r="A1775" s="37" t="s">
        <v>0</v>
      </c>
      <c r="B1775" s="38">
        <v>150000</v>
      </c>
      <c r="E1775" s="37" t="b">
        <v>0</v>
      </c>
      <c r="F1775" s="37" t="b">
        <v>1</v>
      </c>
      <c r="G1775" s="37">
        <v>0</v>
      </c>
      <c r="H1775" s="37" t="b">
        <v>0</v>
      </c>
    </row>
    <row r="1776" spans="1:8" x14ac:dyDescent="0.3">
      <c r="A1776" s="37" t="s">
        <v>4</v>
      </c>
      <c r="B1776" s="38">
        <v>90000</v>
      </c>
      <c r="E1776" s="37" t="b">
        <v>0</v>
      </c>
      <c r="F1776" s="37" t="b">
        <v>1</v>
      </c>
      <c r="G1776" s="37">
        <v>0</v>
      </c>
      <c r="H1776" s="37" t="b">
        <v>0</v>
      </c>
    </row>
    <row r="1777" spans="1:8" x14ac:dyDescent="0.3">
      <c r="A1777" s="37" t="s">
        <v>0</v>
      </c>
      <c r="B1777" s="38">
        <v>90000</v>
      </c>
      <c r="E1777" s="37" t="b">
        <v>0</v>
      </c>
      <c r="F1777" s="37" t="b">
        <v>1</v>
      </c>
      <c r="G1777" s="37">
        <v>0</v>
      </c>
      <c r="H1777" s="37" t="b">
        <v>0</v>
      </c>
    </row>
    <row r="1778" spans="1:8" x14ac:dyDescent="0.3">
      <c r="A1778" s="37" t="s">
        <v>0</v>
      </c>
      <c r="B1778" s="38">
        <v>175000</v>
      </c>
      <c r="E1778" s="37" t="b">
        <v>0</v>
      </c>
      <c r="F1778" s="37" t="b">
        <v>1</v>
      </c>
      <c r="G1778" s="37">
        <v>0</v>
      </c>
      <c r="H1778" s="37" t="b">
        <v>0</v>
      </c>
    </row>
    <row r="1779" spans="1:8" x14ac:dyDescent="0.3">
      <c r="A1779" s="37" t="s">
        <v>0</v>
      </c>
      <c r="B1779" s="38">
        <v>125000</v>
      </c>
      <c r="E1779" s="37" t="b">
        <v>0</v>
      </c>
      <c r="F1779" s="37" t="b">
        <v>1</v>
      </c>
      <c r="G1779" s="37">
        <v>0</v>
      </c>
      <c r="H1779" s="37" t="b">
        <v>0</v>
      </c>
    </row>
    <row r="1780" spans="1:8" x14ac:dyDescent="0.3">
      <c r="A1780" s="37" t="s">
        <v>128</v>
      </c>
      <c r="B1780" s="38">
        <v>150000</v>
      </c>
      <c r="E1780" s="37" t="b">
        <v>0</v>
      </c>
      <c r="F1780" s="37" t="b">
        <v>1</v>
      </c>
      <c r="G1780" s="37">
        <v>0</v>
      </c>
      <c r="H1780" s="37" t="b">
        <v>0</v>
      </c>
    </row>
    <row r="1781" spans="1:8" x14ac:dyDescent="0.3">
      <c r="A1781" s="37" t="s">
        <v>125</v>
      </c>
      <c r="B1781" s="38">
        <v>115000</v>
      </c>
      <c r="E1781" s="37" t="b">
        <v>0</v>
      </c>
      <c r="F1781" s="37" t="b">
        <v>1</v>
      </c>
      <c r="G1781" s="37">
        <v>0</v>
      </c>
      <c r="H1781" s="37" t="b">
        <v>0</v>
      </c>
    </row>
    <row r="1782" spans="1:8" x14ac:dyDescent="0.3">
      <c r="A1782" s="37" t="s">
        <v>0</v>
      </c>
      <c r="B1782" s="38">
        <v>90000</v>
      </c>
      <c r="E1782" s="37" t="b">
        <v>0</v>
      </c>
      <c r="F1782" s="37" t="b">
        <v>1</v>
      </c>
      <c r="G1782" s="37">
        <v>0</v>
      </c>
      <c r="H1782" s="37" t="b">
        <v>0</v>
      </c>
    </row>
    <row r="1783" spans="1:8" x14ac:dyDescent="0.3">
      <c r="A1783" s="37" t="s">
        <v>128</v>
      </c>
      <c r="B1783" s="38">
        <v>175000</v>
      </c>
      <c r="E1783" s="37" t="b">
        <v>0</v>
      </c>
      <c r="F1783" s="37" t="b">
        <v>1</v>
      </c>
      <c r="G1783" s="37">
        <v>0</v>
      </c>
      <c r="H1783" s="37" t="b">
        <v>0</v>
      </c>
    </row>
    <row r="1784" spans="1:8" x14ac:dyDescent="0.3">
      <c r="A1784" s="37" t="s">
        <v>128</v>
      </c>
      <c r="B1784" s="38">
        <v>90000</v>
      </c>
      <c r="E1784" s="37" t="b">
        <v>0</v>
      </c>
      <c r="F1784" s="37" t="b">
        <v>1</v>
      </c>
      <c r="G1784" s="37">
        <v>0</v>
      </c>
      <c r="H1784" s="37" t="b">
        <v>0</v>
      </c>
    </row>
    <row r="1785" spans="1:8" x14ac:dyDescent="0.3">
      <c r="A1785" s="37" t="s">
        <v>0</v>
      </c>
      <c r="B1785" s="38">
        <v>200000</v>
      </c>
      <c r="E1785" s="37" t="b">
        <v>0</v>
      </c>
      <c r="F1785" s="37" t="b">
        <v>1</v>
      </c>
      <c r="G1785" s="37">
        <v>0</v>
      </c>
      <c r="H1785" s="37" t="b">
        <v>0</v>
      </c>
    </row>
    <row r="1786" spans="1:8" x14ac:dyDescent="0.3">
      <c r="A1786" s="37" t="s">
        <v>126</v>
      </c>
      <c r="B1786" s="38">
        <v>90000</v>
      </c>
      <c r="E1786" s="37" t="b">
        <v>0</v>
      </c>
      <c r="F1786" s="37" t="b">
        <v>1</v>
      </c>
      <c r="G1786" s="37">
        <v>0</v>
      </c>
      <c r="H1786" s="37" t="b">
        <v>0</v>
      </c>
    </row>
    <row r="1787" spans="1:8" x14ac:dyDescent="0.3">
      <c r="A1787" s="37" t="s">
        <v>52</v>
      </c>
      <c r="B1787" s="38">
        <v>125000</v>
      </c>
      <c r="E1787" s="37" t="b">
        <v>0</v>
      </c>
      <c r="F1787" s="37" t="b">
        <v>1</v>
      </c>
      <c r="G1787" s="37">
        <v>0</v>
      </c>
      <c r="H1787" s="37" t="b">
        <v>0</v>
      </c>
    </row>
    <row r="1788" spans="1:8" x14ac:dyDescent="0.3">
      <c r="A1788" s="37" t="s">
        <v>0</v>
      </c>
      <c r="B1788" s="38">
        <v>90000</v>
      </c>
      <c r="E1788" s="37" t="b">
        <v>0</v>
      </c>
      <c r="F1788" s="37" t="b">
        <v>1</v>
      </c>
      <c r="G1788" s="37">
        <v>0</v>
      </c>
      <c r="H1788" s="37" t="b">
        <v>0</v>
      </c>
    </row>
    <row r="1789" spans="1:8" x14ac:dyDescent="0.3">
      <c r="A1789" s="37" t="s">
        <v>0</v>
      </c>
      <c r="B1789" s="38">
        <v>150000</v>
      </c>
      <c r="E1789" s="37" t="b">
        <v>0</v>
      </c>
      <c r="F1789" s="37" t="b">
        <v>1</v>
      </c>
      <c r="G1789" s="37">
        <v>0</v>
      </c>
      <c r="H1789" s="37" t="b">
        <v>0</v>
      </c>
    </row>
    <row r="1790" spans="1:8" x14ac:dyDescent="0.3">
      <c r="A1790" s="37" t="s">
        <v>4</v>
      </c>
      <c r="B1790" s="38">
        <v>115000</v>
      </c>
      <c r="E1790" s="37" t="b">
        <v>0</v>
      </c>
      <c r="F1790" s="37" t="b">
        <v>1</v>
      </c>
      <c r="G1790" s="37">
        <v>0</v>
      </c>
      <c r="H1790" s="37" t="b">
        <v>0</v>
      </c>
    </row>
    <row r="1791" spans="1:8" x14ac:dyDescent="0.3">
      <c r="A1791" s="37" t="s">
        <v>0</v>
      </c>
      <c r="B1791" s="38">
        <v>115000</v>
      </c>
      <c r="E1791" s="37" t="b">
        <v>0</v>
      </c>
      <c r="F1791" s="37" t="b">
        <v>1</v>
      </c>
      <c r="G1791" s="37">
        <v>0</v>
      </c>
      <c r="H1791" s="37" t="b">
        <v>0</v>
      </c>
    </row>
    <row r="1792" spans="1:8" x14ac:dyDescent="0.3">
      <c r="A1792" s="37" t="s">
        <v>126</v>
      </c>
      <c r="B1792" s="38">
        <v>150000</v>
      </c>
      <c r="E1792" s="37" t="b">
        <v>0</v>
      </c>
      <c r="F1792" s="37" t="b">
        <v>1</v>
      </c>
      <c r="G1792" s="37">
        <v>0</v>
      </c>
      <c r="H1792" s="37" t="b">
        <v>0</v>
      </c>
    </row>
    <row r="1793" spans="1:8" x14ac:dyDescent="0.3">
      <c r="A1793" s="37" t="s">
        <v>0</v>
      </c>
      <c r="B1793" s="38">
        <v>90000</v>
      </c>
      <c r="E1793" s="37" t="b">
        <v>0</v>
      </c>
      <c r="F1793" s="37" t="b">
        <v>1</v>
      </c>
      <c r="G1793" s="37">
        <v>0</v>
      </c>
      <c r="H1793" s="37" t="b">
        <v>0</v>
      </c>
    </row>
    <row r="1794" spans="1:8" x14ac:dyDescent="0.3">
      <c r="A1794" s="37" t="s">
        <v>4</v>
      </c>
      <c r="B1794" s="38">
        <v>90000</v>
      </c>
      <c r="E1794" s="37" t="b">
        <v>0</v>
      </c>
      <c r="F1794" s="37" t="b">
        <v>1</v>
      </c>
      <c r="G1794" s="37">
        <v>0</v>
      </c>
      <c r="H1794" s="37" t="b">
        <v>0</v>
      </c>
    </row>
    <row r="1795" spans="1:8" x14ac:dyDescent="0.3">
      <c r="A1795" s="37" t="s">
        <v>4</v>
      </c>
      <c r="B1795" s="38">
        <v>90000</v>
      </c>
      <c r="E1795" s="37" t="b">
        <v>0</v>
      </c>
      <c r="F1795" s="37" t="b">
        <v>1</v>
      </c>
      <c r="G1795" s="37">
        <v>0</v>
      </c>
      <c r="H1795" s="37" t="b">
        <v>0</v>
      </c>
    </row>
    <row r="1796" spans="1:8" x14ac:dyDescent="0.3">
      <c r="A1796" s="37" t="s">
        <v>0</v>
      </c>
      <c r="B1796" s="38">
        <v>225000</v>
      </c>
      <c r="E1796" s="37" t="b">
        <v>0</v>
      </c>
      <c r="F1796" s="37" t="b">
        <v>1</v>
      </c>
      <c r="G1796" s="37">
        <v>0</v>
      </c>
      <c r="H1796" s="37" t="b">
        <v>0</v>
      </c>
    </row>
    <row r="1797" spans="1:8" x14ac:dyDescent="0.3">
      <c r="A1797" s="37" t="s">
        <v>4</v>
      </c>
      <c r="B1797" s="38">
        <v>175000</v>
      </c>
      <c r="E1797" s="37" t="b">
        <v>0</v>
      </c>
      <c r="F1797" s="37" t="b">
        <v>1</v>
      </c>
      <c r="G1797" s="37">
        <v>0</v>
      </c>
      <c r="H1797" s="37" t="b">
        <v>0</v>
      </c>
    </row>
    <row r="1798" spans="1:8" x14ac:dyDescent="0.3">
      <c r="A1798" s="37" t="s">
        <v>2</v>
      </c>
      <c r="B1798" s="38">
        <v>200000</v>
      </c>
      <c r="E1798" s="37" t="b">
        <v>1</v>
      </c>
      <c r="F1798" s="37" t="b">
        <v>1</v>
      </c>
      <c r="G1798" s="37">
        <v>1</v>
      </c>
      <c r="H1798" s="37">
        <v>200000</v>
      </c>
    </row>
    <row r="1799" spans="1:8" x14ac:dyDescent="0.3">
      <c r="A1799" s="37" t="s">
        <v>128</v>
      </c>
      <c r="B1799" s="38">
        <v>125000</v>
      </c>
      <c r="E1799" s="37" t="b">
        <v>0</v>
      </c>
      <c r="F1799" s="37" t="b">
        <v>1</v>
      </c>
      <c r="G1799" s="37">
        <v>0</v>
      </c>
      <c r="H1799" s="37" t="b">
        <v>0</v>
      </c>
    </row>
    <row r="1800" spans="1:8" x14ac:dyDescent="0.3">
      <c r="A1800" s="37" t="s">
        <v>128</v>
      </c>
      <c r="B1800" s="38">
        <v>125000</v>
      </c>
      <c r="E1800" s="37" t="b">
        <v>0</v>
      </c>
      <c r="F1800" s="37" t="b">
        <v>1</v>
      </c>
      <c r="G1800" s="37">
        <v>0</v>
      </c>
      <c r="H1800" s="37" t="b">
        <v>0</v>
      </c>
    </row>
    <row r="1801" spans="1:8" x14ac:dyDescent="0.3">
      <c r="A1801" s="37" t="s">
        <v>4</v>
      </c>
      <c r="B1801" s="38">
        <v>90000</v>
      </c>
      <c r="E1801" s="37" t="b">
        <v>0</v>
      </c>
      <c r="F1801" s="37" t="b">
        <v>1</v>
      </c>
      <c r="G1801" s="37">
        <v>0</v>
      </c>
      <c r="H1801" s="37" t="b">
        <v>0</v>
      </c>
    </row>
    <row r="1802" spans="1:8" x14ac:dyDescent="0.3">
      <c r="A1802" s="37" t="s">
        <v>125</v>
      </c>
      <c r="B1802" s="38">
        <v>115000</v>
      </c>
      <c r="E1802" s="37" t="b">
        <v>0</v>
      </c>
      <c r="F1802" s="37" t="b">
        <v>1</v>
      </c>
      <c r="G1802" s="37">
        <v>0</v>
      </c>
      <c r="H1802" s="37" t="b">
        <v>0</v>
      </c>
    </row>
    <row r="1803" spans="1:8" x14ac:dyDescent="0.3">
      <c r="A1803" s="37" t="s">
        <v>4</v>
      </c>
      <c r="B1803" s="38">
        <v>90000</v>
      </c>
      <c r="E1803" s="37" t="b">
        <v>0</v>
      </c>
      <c r="F1803" s="37" t="b">
        <v>1</v>
      </c>
      <c r="G1803" s="37">
        <v>0</v>
      </c>
      <c r="H1803" s="37" t="b">
        <v>0</v>
      </c>
    </row>
    <row r="1804" spans="1:8" x14ac:dyDescent="0.3">
      <c r="A1804" s="37" t="s">
        <v>4</v>
      </c>
      <c r="B1804" s="38">
        <v>90000</v>
      </c>
      <c r="E1804" s="37" t="b">
        <v>0</v>
      </c>
      <c r="F1804" s="37" t="b">
        <v>1</v>
      </c>
      <c r="G1804" s="37">
        <v>0</v>
      </c>
      <c r="H1804" s="37" t="b">
        <v>0</v>
      </c>
    </row>
    <row r="1805" spans="1:8" x14ac:dyDescent="0.3">
      <c r="A1805" s="37" t="s">
        <v>128</v>
      </c>
      <c r="B1805" s="38">
        <v>150000</v>
      </c>
      <c r="E1805" s="37" t="b">
        <v>0</v>
      </c>
      <c r="F1805" s="37" t="b">
        <v>1</v>
      </c>
      <c r="G1805" s="37">
        <v>0</v>
      </c>
      <c r="H1805" s="37" t="b">
        <v>0</v>
      </c>
    </row>
    <row r="1806" spans="1:8" x14ac:dyDescent="0.3">
      <c r="A1806" s="37" t="s">
        <v>0</v>
      </c>
      <c r="B1806" s="38">
        <v>125000</v>
      </c>
      <c r="E1806" s="37" t="b">
        <v>0</v>
      </c>
      <c r="F1806" s="37" t="b">
        <v>1</v>
      </c>
      <c r="G1806" s="37">
        <v>0</v>
      </c>
      <c r="H1806" s="37" t="b">
        <v>0</v>
      </c>
    </row>
    <row r="1807" spans="1:8" x14ac:dyDescent="0.3">
      <c r="A1807" s="37" t="s">
        <v>4</v>
      </c>
      <c r="B1807" s="38">
        <v>90000</v>
      </c>
      <c r="E1807" s="37" t="b">
        <v>0</v>
      </c>
      <c r="F1807" s="37" t="b">
        <v>1</v>
      </c>
      <c r="G1807" s="37">
        <v>0</v>
      </c>
      <c r="H1807" s="37" t="b">
        <v>0</v>
      </c>
    </row>
    <row r="1808" spans="1:8" x14ac:dyDescent="0.3">
      <c r="A1808" s="37" t="s">
        <v>128</v>
      </c>
      <c r="B1808" s="38">
        <v>90000</v>
      </c>
      <c r="E1808" s="37" t="b">
        <v>0</v>
      </c>
      <c r="F1808" s="37" t="b">
        <v>1</v>
      </c>
      <c r="G1808" s="37">
        <v>0</v>
      </c>
      <c r="H1808" s="37" t="b">
        <v>0</v>
      </c>
    </row>
    <row r="1809" spans="1:8" x14ac:dyDescent="0.3">
      <c r="A1809" s="37" t="s">
        <v>0</v>
      </c>
      <c r="B1809" s="38">
        <v>90000</v>
      </c>
      <c r="E1809" s="37" t="b">
        <v>0</v>
      </c>
      <c r="F1809" s="37" t="b">
        <v>1</v>
      </c>
      <c r="G1809" s="37">
        <v>0</v>
      </c>
      <c r="H1809" s="37" t="b">
        <v>0</v>
      </c>
    </row>
    <row r="1810" spans="1:8" x14ac:dyDescent="0.3">
      <c r="A1810" s="37" t="s">
        <v>0</v>
      </c>
      <c r="B1810" s="38">
        <v>150000</v>
      </c>
      <c r="E1810" s="37" t="b">
        <v>0</v>
      </c>
      <c r="F1810" s="37" t="b">
        <v>1</v>
      </c>
      <c r="G1810" s="37">
        <v>0</v>
      </c>
      <c r="H1810" s="37" t="b">
        <v>0</v>
      </c>
    </row>
    <row r="1811" spans="1:8" x14ac:dyDescent="0.3">
      <c r="A1811" s="37" t="s">
        <v>4</v>
      </c>
      <c r="B1811" s="38">
        <v>125000</v>
      </c>
      <c r="E1811" s="37" t="b">
        <v>0</v>
      </c>
      <c r="F1811" s="37" t="b">
        <v>1</v>
      </c>
      <c r="G1811" s="37">
        <v>0</v>
      </c>
      <c r="H1811" s="37" t="b">
        <v>0</v>
      </c>
    </row>
    <row r="1812" spans="1:8" x14ac:dyDescent="0.3">
      <c r="A1812" s="37" t="s">
        <v>0</v>
      </c>
      <c r="B1812" s="38">
        <v>125000</v>
      </c>
      <c r="E1812" s="37" t="b">
        <v>0</v>
      </c>
      <c r="F1812" s="37" t="b">
        <v>1</v>
      </c>
      <c r="G1812" s="37">
        <v>0</v>
      </c>
      <c r="H1812" s="37" t="b">
        <v>0</v>
      </c>
    </row>
    <row r="1813" spans="1:8" x14ac:dyDescent="0.3">
      <c r="A1813" s="37" t="s">
        <v>2</v>
      </c>
      <c r="B1813" s="38">
        <v>90000</v>
      </c>
      <c r="E1813" s="37" t="b">
        <v>1</v>
      </c>
      <c r="F1813" s="37" t="b">
        <v>1</v>
      </c>
      <c r="G1813" s="37">
        <v>1</v>
      </c>
      <c r="H1813" s="37">
        <v>90000</v>
      </c>
    </row>
    <row r="1814" spans="1:8" x14ac:dyDescent="0.3">
      <c r="A1814" s="37" t="s">
        <v>0</v>
      </c>
      <c r="B1814" s="38">
        <v>150000</v>
      </c>
      <c r="E1814" s="37" t="b">
        <v>0</v>
      </c>
      <c r="F1814" s="37" t="b">
        <v>1</v>
      </c>
      <c r="G1814" s="37">
        <v>0</v>
      </c>
      <c r="H1814" s="37" t="b">
        <v>0</v>
      </c>
    </row>
    <row r="1815" spans="1:8" x14ac:dyDescent="0.3">
      <c r="A1815" s="37" t="s">
        <v>4</v>
      </c>
      <c r="B1815" s="38">
        <v>125000</v>
      </c>
      <c r="E1815" s="37" t="b">
        <v>0</v>
      </c>
      <c r="F1815" s="37" t="b">
        <v>1</v>
      </c>
      <c r="G1815" s="37">
        <v>0</v>
      </c>
      <c r="H1815" s="37" t="b">
        <v>0</v>
      </c>
    </row>
    <row r="1816" spans="1:8" x14ac:dyDescent="0.3">
      <c r="A1816" s="37" t="s">
        <v>0</v>
      </c>
      <c r="B1816" s="38">
        <v>90000</v>
      </c>
      <c r="E1816" s="37" t="b">
        <v>0</v>
      </c>
      <c r="F1816" s="37" t="b">
        <v>1</v>
      </c>
      <c r="G1816" s="37">
        <v>0</v>
      </c>
      <c r="H1816" s="37" t="b">
        <v>0</v>
      </c>
    </row>
    <row r="1817" spans="1:8" x14ac:dyDescent="0.3">
      <c r="A1817" s="37" t="s">
        <v>0</v>
      </c>
      <c r="B1817" s="38">
        <v>115000</v>
      </c>
      <c r="E1817" s="37" t="b">
        <v>0</v>
      </c>
      <c r="F1817" s="37" t="b">
        <v>1</v>
      </c>
      <c r="G1817" s="37">
        <v>0</v>
      </c>
      <c r="H1817" s="37" t="b">
        <v>0</v>
      </c>
    </row>
    <row r="1818" spans="1:8" x14ac:dyDescent="0.3">
      <c r="A1818" s="37" t="s">
        <v>0</v>
      </c>
      <c r="B1818" s="38">
        <v>115000</v>
      </c>
      <c r="E1818" s="37" t="b">
        <v>0</v>
      </c>
      <c r="F1818" s="37" t="b">
        <v>1</v>
      </c>
      <c r="G1818" s="37">
        <v>0</v>
      </c>
      <c r="H1818" s="37" t="b">
        <v>0</v>
      </c>
    </row>
    <row r="1819" spans="1:8" x14ac:dyDescent="0.3">
      <c r="A1819" s="37" t="s">
        <v>4</v>
      </c>
      <c r="B1819" s="38">
        <v>125000</v>
      </c>
      <c r="E1819" s="37" t="b">
        <v>0</v>
      </c>
      <c r="F1819" s="37" t="b">
        <v>1</v>
      </c>
      <c r="G1819" s="37">
        <v>0</v>
      </c>
      <c r="H1819" s="37" t="b">
        <v>0</v>
      </c>
    </row>
    <row r="1820" spans="1:8" x14ac:dyDescent="0.3">
      <c r="A1820" s="37" t="s">
        <v>126</v>
      </c>
      <c r="B1820" s="38">
        <v>90000</v>
      </c>
      <c r="E1820" s="37" t="b">
        <v>0</v>
      </c>
      <c r="F1820" s="37" t="b">
        <v>1</v>
      </c>
      <c r="G1820" s="37">
        <v>0</v>
      </c>
      <c r="H1820" s="37" t="b">
        <v>0</v>
      </c>
    </row>
    <row r="1821" spans="1:8" x14ac:dyDescent="0.3">
      <c r="A1821" s="37" t="s">
        <v>2</v>
      </c>
      <c r="B1821" s="38">
        <v>115000</v>
      </c>
      <c r="E1821" s="37" t="b">
        <v>1</v>
      </c>
      <c r="F1821" s="37" t="b">
        <v>1</v>
      </c>
      <c r="G1821" s="37">
        <v>1</v>
      </c>
      <c r="H1821" s="37">
        <v>115000</v>
      </c>
    </row>
    <row r="1822" spans="1:8" x14ac:dyDescent="0.3">
      <c r="A1822" s="37" t="s">
        <v>125</v>
      </c>
      <c r="B1822" s="38">
        <v>90000</v>
      </c>
      <c r="E1822" s="37" t="b">
        <v>0</v>
      </c>
      <c r="F1822" s="37" t="b">
        <v>1</v>
      </c>
      <c r="G1822" s="37">
        <v>0</v>
      </c>
      <c r="H1822" s="37" t="b">
        <v>0</v>
      </c>
    </row>
    <row r="1823" spans="1:8" x14ac:dyDescent="0.3">
      <c r="A1823" s="37" t="s">
        <v>2</v>
      </c>
      <c r="B1823" s="38">
        <v>90000</v>
      </c>
      <c r="E1823" s="37" t="b">
        <v>1</v>
      </c>
      <c r="F1823" s="37" t="b">
        <v>1</v>
      </c>
      <c r="G1823" s="37">
        <v>1</v>
      </c>
      <c r="H1823" s="37">
        <v>90000</v>
      </c>
    </row>
    <row r="1824" spans="1:8" x14ac:dyDescent="0.3">
      <c r="A1824" s="37" t="s">
        <v>128</v>
      </c>
      <c r="B1824" s="38">
        <v>90000</v>
      </c>
      <c r="E1824" s="37" t="b">
        <v>0</v>
      </c>
      <c r="F1824" s="37" t="b">
        <v>1</v>
      </c>
      <c r="G1824" s="37">
        <v>0</v>
      </c>
      <c r="H1824" s="37" t="b">
        <v>0</v>
      </c>
    </row>
    <row r="1825" spans="1:8" x14ac:dyDescent="0.3">
      <c r="A1825" s="37" t="s">
        <v>126</v>
      </c>
      <c r="B1825" s="38">
        <v>150000</v>
      </c>
      <c r="E1825" s="37" t="b">
        <v>0</v>
      </c>
      <c r="F1825" s="37" t="b">
        <v>1</v>
      </c>
      <c r="G1825" s="37">
        <v>0</v>
      </c>
      <c r="H1825" s="37" t="b">
        <v>0</v>
      </c>
    </row>
    <row r="1826" spans="1:8" x14ac:dyDescent="0.3">
      <c r="A1826" s="37" t="s">
        <v>4</v>
      </c>
      <c r="B1826" s="38">
        <v>125000</v>
      </c>
      <c r="E1826" s="37" t="b">
        <v>0</v>
      </c>
      <c r="F1826" s="37" t="b">
        <v>1</v>
      </c>
      <c r="G1826" s="37">
        <v>0</v>
      </c>
      <c r="H1826" s="37" t="b">
        <v>0</v>
      </c>
    </row>
    <row r="1827" spans="1:8" x14ac:dyDescent="0.3">
      <c r="A1827" s="37" t="s">
        <v>4</v>
      </c>
      <c r="B1827" s="38">
        <v>175000</v>
      </c>
      <c r="E1827" s="37" t="b">
        <v>0</v>
      </c>
      <c r="F1827" s="37" t="b">
        <v>1</v>
      </c>
      <c r="G1827" s="37">
        <v>0</v>
      </c>
      <c r="H1827" s="37" t="b">
        <v>0</v>
      </c>
    </row>
    <row r="1828" spans="1:8" x14ac:dyDescent="0.3">
      <c r="A1828" s="37" t="s">
        <v>2</v>
      </c>
      <c r="B1828" s="38">
        <v>115000</v>
      </c>
      <c r="E1828" s="37" t="b">
        <v>1</v>
      </c>
      <c r="F1828" s="37" t="b">
        <v>1</v>
      </c>
      <c r="G1828" s="37">
        <v>1</v>
      </c>
      <c r="H1828" s="37">
        <v>115000</v>
      </c>
    </row>
    <row r="1829" spans="1:8" x14ac:dyDescent="0.3">
      <c r="A1829" s="37" t="s">
        <v>0</v>
      </c>
      <c r="B1829" s="38">
        <v>80000</v>
      </c>
      <c r="E1829" s="37" t="b">
        <v>0</v>
      </c>
      <c r="F1829" s="37" t="b">
        <v>1</v>
      </c>
      <c r="G1829" s="37">
        <v>0</v>
      </c>
      <c r="H1829" s="37" t="b">
        <v>0</v>
      </c>
    </row>
    <row r="1830" spans="1:8" x14ac:dyDescent="0.3">
      <c r="A1830" s="37" t="s">
        <v>4</v>
      </c>
      <c r="B1830" s="38">
        <v>200000</v>
      </c>
      <c r="E1830" s="37" t="b">
        <v>0</v>
      </c>
      <c r="F1830" s="37" t="b">
        <v>1</v>
      </c>
      <c r="G1830" s="37">
        <v>0</v>
      </c>
      <c r="H1830" s="37" t="b">
        <v>0</v>
      </c>
    </row>
    <row r="1831" spans="1:8" x14ac:dyDescent="0.3">
      <c r="A1831" s="37" t="s">
        <v>4</v>
      </c>
      <c r="B1831" s="38">
        <v>200000</v>
      </c>
      <c r="E1831" s="37" t="b">
        <v>0</v>
      </c>
      <c r="F1831" s="37" t="b">
        <v>1</v>
      </c>
      <c r="G1831" s="37">
        <v>0</v>
      </c>
      <c r="H1831" s="37" t="b">
        <v>0</v>
      </c>
    </row>
    <row r="1832" spans="1:8" x14ac:dyDescent="0.3">
      <c r="A1832" s="37" t="s">
        <v>125</v>
      </c>
      <c r="B1832" s="38">
        <v>115000</v>
      </c>
      <c r="E1832" s="37" t="b">
        <v>0</v>
      </c>
      <c r="F1832" s="37" t="b">
        <v>1</v>
      </c>
      <c r="G1832" s="37">
        <v>0</v>
      </c>
      <c r="H1832" s="37" t="b">
        <v>0</v>
      </c>
    </row>
    <row r="1833" spans="1:8" x14ac:dyDescent="0.3">
      <c r="A1833" s="37" t="s">
        <v>0</v>
      </c>
      <c r="B1833" s="38">
        <v>125000</v>
      </c>
      <c r="E1833" s="37" t="b">
        <v>0</v>
      </c>
      <c r="F1833" s="37" t="b">
        <v>1</v>
      </c>
      <c r="G1833" s="37">
        <v>0</v>
      </c>
      <c r="H1833" s="37" t="b">
        <v>0</v>
      </c>
    </row>
    <row r="1834" spans="1:8" x14ac:dyDescent="0.3">
      <c r="A1834" s="37" t="s">
        <v>4</v>
      </c>
      <c r="B1834" s="38">
        <v>90000</v>
      </c>
      <c r="E1834" s="37" t="b">
        <v>0</v>
      </c>
      <c r="F1834" s="37" t="b">
        <v>1</v>
      </c>
      <c r="G1834" s="37">
        <v>0</v>
      </c>
      <c r="H1834" s="37" t="b">
        <v>0</v>
      </c>
    </row>
    <row r="1835" spans="1:8" x14ac:dyDescent="0.3">
      <c r="A1835" s="37" t="s">
        <v>4</v>
      </c>
      <c r="B1835" s="38">
        <v>115000</v>
      </c>
      <c r="E1835" s="37" t="b">
        <v>0</v>
      </c>
      <c r="F1835" s="37" t="b">
        <v>1</v>
      </c>
      <c r="G1835" s="37">
        <v>0</v>
      </c>
      <c r="H1835" s="37" t="b">
        <v>0</v>
      </c>
    </row>
    <row r="1836" spans="1:8" x14ac:dyDescent="0.3">
      <c r="A1836" s="37" t="s">
        <v>0</v>
      </c>
      <c r="B1836" s="38">
        <v>150000</v>
      </c>
      <c r="E1836" s="37" t="b">
        <v>0</v>
      </c>
      <c r="F1836" s="37" t="b">
        <v>1</v>
      </c>
      <c r="G1836" s="37">
        <v>0</v>
      </c>
      <c r="H1836" s="37" t="b">
        <v>0</v>
      </c>
    </row>
    <row r="1837" spans="1:8" x14ac:dyDescent="0.3">
      <c r="A1837" s="37" t="s">
        <v>4</v>
      </c>
      <c r="B1837" s="38">
        <v>125000</v>
      </c>
      <c r="E1837" s="37" t="b">
        <v>0</v>
      </c>
      <c r="F1837" s="37" t="b">
        <v>1</v>
      </c>
      <c r="G1837" s="37">
        <v>0</v>
      </c>
      <c r="H1837" s="37" t="b">
        <v>0</v>
      </c>
    </row>
    <row r="1838" spans="1:8" x14ac:dyDescent="0.3">
      <c r="A1838" s="37" t="s">
        <v>0</v>
      </c>
      <c r="B1838" s="38">
        <v>115000</v>
      </c>
      <c r="E1838" s="37" t="b">
        <v>0</v>
      </c>
      <c r="F1838" s="37" t="b">
        <v>1</v>
      </c>
      <c r="G1838" s="37">
        <v>0</v>
      </c>
      <c r="H1838" s="37" t="b">
        <v>0</v>
      </c>
    </row>
    <row r="1839" spans="1:8" x14ac:dyDescent="0.3">
      <c r="A1839" s="37" t="s">
        <v>2</v>
      </c>
      <c r="B1839" s="38">
        <v>115000</v>
      </c>
      <c r="E1839" s="37" t="b">
        <v>1</v>
      </c>
      <c r="F1839" s="37" t="b">
        <v>1</v>
      </c>
      <c r="G1839" s="37">
        <v>1</v>
      </c>
      <c r="H1839" s="37">
        <v>115000</v>
      </c>
    </row>
    <row r="1840" spans="1:8" x14ac:dyDescent="0.3">
      <c r="A1840" s="37" t="s">
        <v>128</v>
      </c>
      <c r="B1840" s="38">
        <v>125000</v>
      </c>
      <c r="E1840" s="37" t="b">
        <v>0</v>
      </c>
      <c r="F1840" s="37" t="b">
        <v>1</v>
      </c>
      <c r="G1840" s="37">
        <v>0</v>
      </c>
      <c r="H1840" s="37" t="b">
        <v>0</v>
      </c>
    </row>
    <row r="1841" spans="1:8" x14ac:dyDescent="0.3">
      <c r="A1841" s="37" t="s">
        <v>4</v>
      </c>
      <c r="B1841" s="38">
        <v>90000</v>
      </c>
      <c r="E1841" s="37" t="b">
        <v>0</v>
      </c>
      <c r="F1841" s="37" t="b">
        <v>1</v>
      </c>
      <c r="G1841" s="37">
        <v>0</v>
      </c>
      <c r="H1841" s="37" t="b">
        <v>0</v>
      </c>
    </row>
    <row r="1842" spans="1:8" x14ac:dyDescent="0.3">
      <c r="A1842" s="37" t="s">
        <v>0</v>
      </c>
      <c r="B1842" s="38">
        <v>90000</v>
      </c>
      <c r="E1842" s="37" t="b">
        <v>0</v>
      </c>
      <c r="F1842" s="37" t="b">
        <v>1</v>
      </c>
      <c r="G1842" s="37">
        <v>0</v>
      </c>
      <c r="H1842" s="37" t="b">
        <v>0</v>
      </c>
    </row>
    <row r="1843" spans="1:8" x14ac:dyDescent="0.3">
      <c r="A1843" s="37" t="s">
        <v>129</v>
      </c>
      <c r="B1843" s="38">
        <v>115000</v>
      </c>
      <c r="E1843" s="37" t="b">
        <v>0</v>
      </c>
      <c r="F1843" s="37" t="b">
        <v>1</v>
      </c>
      <c r="G1843" s="37">
        <v>0</v>
      </c>
      <c r="H1843" s="37" t="b">
        <v>0</v>
      </c>
    </row>
    <row r="1844" spans="1:8" x14ac:dyDescent="0.3">
      <c r="A1844" s="37" t="s">
        <v>0</v>
      </c>
      <c r="B1844" s="38">
        <v>90000</v>
      </c>
      <c r="E1844" s="37" t="b">
        <v>0</v>
      </c>
      <c r="F1844" s="37" t="b">
        <v>1</v>
      </c>
      <c r="G1844" s="37">
        <v>0</v>
      </c>
      <c r="H1844" s="37" t="b">
        <v>0</v>
      </c>
    </row>
    <row r="1845" spans="1:8" x14ac:dyDescent="0.3">
      <c r="A1845" s="37" t="s">
        <v>0</v>
      </c>
      <c r="B1845" s="38">
        <v>115000</v>
      </c>
      <c r="E1845" s="37" t="b">
        <v>0</v>
      </c>
      <c r="F1845" s="37" t="b">
        <v>1</v>
      </c>
      <c r="G1845" s="37">
        <v>0</v>
      </c>
      <c r="H1845" s="37" t="b">
        <v>0</v>
      </c>
    </row>
    <row r="1846" spans="1:8" x14ac:dyDescent="0.3">
      <c r="A1846" s="37" t="s">
        <v>4</v>
      </c>
      <c r="B1846" s="38">
        <v>115000</v>
      </c>
      <c r="E1846" s="37" t="b">
        <v>0</v>
      </c>
      <c r="F1846" s="37" t="b">
        <v>1</v>
      </c>
      <c r="G1846" s="37">
        <v>0</v>
      </c>
      <c r="H1846" s="37" t="b">
        <v>0</v>
      </c>
    </row>
    <row r="1847" spans="1:8" x14ac:dyDescent="0.3">
      <c r="A1847" s="37" t="s">
        <v>4</v>
      </c>
      <c r="B1847" s="38">
        <v>175000</v>
      </c>
      <c r="E1847" s="37" t="b">
        <v>0</v>
      </c>
      <c r="F1847" s="37" t="b">
        <v>1</v>
      </c>
      <c r="G1847" s="37">
        <v>0</v>
      </c>
      <c r="H1847" s="37" t="b">
        <v>0</v>
      </c>
    </row>
    <row r="1848" spans="1:8" x14ac:dyDescent="0.3">
      <c r="A1848" s="37" t="s">
        <v>4</v>
      </c>
      <c r="B1848" s="38">
        <v>90000</v>
      </c>
      <c r="E1848" s="37" t="b">
        <v>0</v>
      </c>
      <c r="F1848" s="37" t="b">
        <v>1</v>
      </c>
      <c r="G1848" s="37">
        <v>0</v>
      </c>
      <c r="H1848" s="37" t="b">
        <v>0</v>
      </c>
    </row>
    <row r="1849" spans="1:8" x14ac:dyDescent="0.3">
      <c r="A1849" s="37" t="s">
        <v>128</v>
      </c>
      <c r="B1849" s="38"/>
      <c r="E1849" s="37" t="b">
        <v>0</v>
      </c>
      <c r="F1849" s="37" t="b">
        <v>0</v>
      </c>
      <c r="G1849" s="37">
        <v>0</v>
      </c>
      <c r="H1849" s="37" t="b">
        <v>0</v>
      </c>
    </row>
    <row r="1850" spans="1:8" x14ac:dyDescent="0.3">
      <c r="A1850" s="37" t="s">
        <v>2</v>
      </c>
      <c r="B1850" s="38"/>
      <c r="E1850" s="37" t="b">
        <v>1</v>
      </c>
      <c r="F1850" s="37" t="b">
        <v>0</v>
      </c>
      <c r="G1850" s="37">
        <v>0</v>
      </c>
      <c r="H1850" s="37" t="b">
        <v>0</v>
      </c>
    </row>
    <row r="1851" spans="1:8" x14ac:dyDescent="0.3">
      <c r="A1851" s="37" t="s">
        <v>0</v>
      </c>
      <c r="B1851" s="38"/>
      <c r="E1851" s="37" t="b">
        <v>0</v>
      </c>
      <c r="F1851" s="37" t="b">
        <v>0</v>
      </c>
      <c r="G1851" s="37">
        <v>0</v>
      </c>
      <c r="H1851" s="37" t="b">
        <v>0</v>
      </c>
    </row>
    <row r="1852" spans="1:8" x14ac:dyDescent="0.3">
      <c r="A1852" s="37" t="s">
        <v>125</v>
      </c>
      <c r="B1852" s="38"/>
      <c r="E1852" s="37" t="b">
        <v>0</v>
      </c>
      <c r="F1852" s="37" t="b">
        <v>0</v>
      </c>
      <c r="G1852" s="37">
        <v>0</v>
      </c>
      <c r="H1852" s="37" t="b">
        <v>0</v>
      </c>
    </row>
    <row r="1853" spans="1:8" x14ac:dyDescent="0.3">
      <c r="A1853" s="37" t="s">
        <v>0</v>
      </c>
      <c r="B1853" s="38">
        <v>74235</v>
      </c>
      <c r="E1853" s="37" t="b">
        <v>0</v>
      </c>
      <c r="F1853" s="37" t="b">
        <v>1</v>
      </c>
      <c r="G1853" s="37">
        <v>0</v>
      </c>
      <c r="H1853" s="37" t="b">
        <v>0</v>
      </c>
    </row>
    <row r="1854" spans="1:8" x14ac:dyDescent="0.3">
      <c r="A1854" s="37" t="s">
        <v>2</v>
      </c>
      <c r="B1854" s="38">
        <v>81167</v>
      </c>
      <c r="E1854" s="37" t="b">
        <v>1</v>
      </c>
      <c r="F1854" s="37" t="b">
        <v>1</v>
      </c>
      <c r="G1854" s="37">
        <v>1</v>
      </c>
      <c r="H1854" s="37">
        <v>81167</v>
      </c>
    </row>
    <row r="1855" spans="1:8" x14ac:dyDescent="0.3">
      <c r="A1855" s="37" t="s">
        <v>2</v>
      </c>
      <c r="B1855" s="38">
        <v>92500</v>
      </c>
      <c r="E1855" s="37" t="b">
        <v>1</v>
      </c>
      <c r="F1855" s="37" t="b">
        <v>1</v>
      </c>
      <c r="G1855" s="37">
        <v>1</v>
      </c>
      <c r="H1855" s="37">
        <v>92500</v>
      </c>
    </row>
    <row r="1856" spans="1:8" x14ac:dyDescent="0.3">
      <c r="A1856" s="37" t="s">
        <v>2</v>
      </c>
      <c r="B1856" s="38"/>
      <c r="E1856" s="37" t="b">
        <v>1</v>
      </c>
      <c r="F1856" s="37" t="b">
        <v>0</v>
      </c>
      <c r="G1856" s="37">
        <v>0</v>
      </c>
      <c r="H1856" s="37" t="b">
        <v>0</v>
      </c>
    </row>
    <row r="1857" spans="1:8" x14ac:dyDescent="0.3">
      <c r="A1857" s="37" t="s">
        <v>2</v>
      </c>
      <c r="B1857" s="38"/>
      <c r="E1857" s="37" t="b">
        <v>1</v>
      </c>
      <c r="F1857" s="37" t="b">
        <v>0</v>
      </c>
      <c r="G1857" s="37">
        <v>0</v>
      </c>
      <c r="H1857" s="37" t="b">
        <v>0</v>
      </c>
    </row>
    <row r="1858" spans="1:8" x14ac:dyDescent="0.3">
      <c r="A1858" s="37" t="s">
        <v>4</v>
      </c>
      <c r="B1858" s="38"/>
      <c r="E1858" s="37" t="b">
        <v>0</v>
      </c>
      <c r="F1858" s="37" t="b">
        <v>0</v>
      </c>
      <c r="G1858" s="37">
        <v>0</v>
      </c>
      <c r="H1858" s="37" t="b">
        <v>0</v>
      </c>
    </row>
    <row r="1859" spans="1:8" x14ac:dyDescent="0.3">
      <c r="A1859" s="37" t="s">
        <v>2</v>
      </c>
      <c r="B1859" s="38"/>
      <c r="E1859" s="37" t="b">
        <v>1</v>
      </c>
      <c r="F1859" s="37" t="b">
        <v>0</v>
      </c>
      <c r="G1859" s="37">
        <v>0</v>
      </c>
      <c r="H1859" s="37" t="b">
        <v>0</v>
      </c>
    </row>
    <row r="1860" spans="1:8" x14ac:dyDescent="0.3">
      <c r="A1860" s="37" t="s">
        <v>0</v>
      </c>
      <c r="B1860" s="38">
        <v>224500</v>
      </c>
      <c r="E1860" s="37" t="b">
        <v>0</v>
      </c>
      <c r="F1860" s="37" t="b">
        <v>1</v>
      </c>
      <c r="G1860" s="37">
        <v>0</v>
      </c>
      <c r="H1860" s="37" t="b">
        <v>0</v>
      </c>
    </row>
    <row r="1861" spans="1:8" x14ac:dyDescent="0.3">
      <c r="A1861" s="37" t="s">
        <v>52</v>
      </c>
      <c r="B1861" s="38">
        <v>80000</v>
      </c>
      <c r="E1861" s="37" t="b">
        <v>0</v>
      </c>
      <c r="F1861" s="37" t="b">
        <v>1</v>
      </c>
      <c r="G1861" s="37">
        <v>0</v>
      </c>
      <c r="H1861" s="37" t="b">
        <v>0</v>
      </c>
    </row>
    <row r="1862" spans="1:8" x14ac:dyDescent="0.3">
      <c r="A1862" s="37" t="s">
        <v>0</v>
      </c>
      <c r="B1862" s="38">
        <v>161955.5</v>
      </c>
      <c r="E1862" s="37" t="b">
        <v>0</v>
      </c>
      <c r="F1862" s="37" t="b">
        <v>1</v>
      </c>
      <c r="G1862" s="37">
        <v>0</v>
      </c>
      <c r="H1862" s="37" t="b">
        <v>0</v>
      </c>
    </row>
    <row r="1863" spans="1:8" x14ac:dyDescent="0.3">
      <c r="A1863" s="37" t="s">
        <v>0</v>
      </c>
      <c r="B1863" s="38">
        <v>115000</v>
      </c>
      <c r="E1863" s="37" t="b">
        <v>0</v>
      </c>
      <c r="F1863" s="37" t="b">
        <v>1</v>
      </c>
      <c r="G1863" s="37">
        <v>0</v>
      </c>
      <c r="H1863" s="37" t="b">
        <v>0</v>
      </c>
    </row>
    <row r="1864" spans="1:8" x14ac:dyDescent="0.3">
      <c r="A1864" s="37" t="s">
        <v>2</v>
      </c>
      <c r="B1864" s="38">
        <v>97500</v>
      </c>
      <c r="E1864" s="37" t="b">
        <v>1</v>
      </c>
      <c r="F1864" s="37" t="b">
        <v>1</v>
      </c>
      <c r="G1864" s="37">
        <v>1</v>
      </c>
      <c r="H1864" s="37">
        <v>97500</v>
      </c>
    </row>
    <row r="1865" spans="1:8" x14ac:dyDescent="0.3">
      <c r="A1865" s="37" t="s">
        <v>125</v>
      </c>
      <c r="B1865" s="38">
        <v>105000</v>
      </c>
      <c r="E1865" s="37" t="b">
        <v>0</v>
      </c>
      <c r="F1865" s="37" t="b">
        <v>1</v>
      </c>
      <c r="G1865" s="37">
        <v>0</v>
      </c>
      <c r="H1865" s="37" t="b">
        <v>0</v>
      </c>
    </row>
    <row r="1866" spans="1:8" x14ac:dyDescent="0.3">
      <c r="A1866" s="37" t="s">
        <v>2</v>
      </c>
      <c r="B1866" s="38">
        <v>52500</v>
      </c>
      <c r="E1866" s="37" t="b">
        <v>1</v>
      </c>
      <c r="F1866" s="37" t="b">
        <v>1</v>
      </c>
      <c r="G1866" s="37">
        <v>1</v>
      </c>
      <c r="H1866" s="37">
        <v>52500</v>
      </c>
    </row>
    <row r="1867" spans="1:8" x14ac:dyDescent="0.3">
      <c r="A1867" s="37" t="s">
        <v>4</v>
      </c>
      <c r="B1867" s="38"/>
      <c r="E1867" s="37" t="b">
        <v>0</v>
      </c>
      <c r="F1867" s="37" t="b">
        <v>0</v>
      </c>
      <c r="G1867" s="37">
        <v>0</v>
      </c>
      <c r="H1867" s="37" t="b">
        <v>0</v>
      </c>
    </row>
    <row r="1868" spans="1:8" x14ac:dyDescent="0.3">
      <c r="A1868" s="37" t="s">
        <v>4</v>
      </c>
      <c r="B1868" s="38"/>
      <c r="E1868" s="37" t="b">
        <v>0</v>
      </c>
      <c r="F1868" s="37" t="b">
        <v>0</v>
      </c>
      <c r="G1868" s="37">
        <v>0</v>
      </c>
      <c r="H1868" s="37" t="b">
        <v>0</v>
      </c>
    </row>
    <row r="1869" spans="1:8" x14ac:dyDescent="0.3">
      <c r="A1869" s="37" t="s">
        <v>2</v>
      </c>
      <c r="B1869" s="38"/>
      <c r="E1869" s="37" t="b">
        <v>1</v>
      </c>
      <c r="F1869" s="37" t="b">
        <v>0</v>
      </c>
      <c r="G1869" s="37">
        <v>0</v>
      </c>
      <c r="H1869" s="37" t="b">
        <v>0</v>
      </c>
    </row>
    <row r="1870" spans="1:8" x14ac:dyDescent="0.3">
      <c r="A1870" s="37" t="s">
        <v>125</v>
      </c>
      <c r="B1870" s="38">
        <v>110000</v>
      </c>
      <c r="E1870" s="37" t="b">
        <v>0</v>
      </c>
      <c r="F1870" s="37" t="b">
        <v>1</v>
      </c>
      <c r="G1870" s="37">
        <v>0</v>
      </c>
      <c r="H1870" s="37" t="b">
        <v>0</v>
      </c>
    </row>
    <row r="1871" spans="1:8" x14ac:dyDescent="0.3">
      <c r="A1871" s="37" t="s">
        <v>0</v>
      </c>
      <c r="B1871" s="38">
        <v>190000</v>
      </c>
      <c r="E1871" s="37" t="b">
        <v>0</v>
      </c>
      <c r="F1871" s="37" t="b">
        <v>1</v>
      </c>
      <c r="G1871" s="37">
        <v>0</v>
      </c>
      <c r="H1871" s="37" t="b">
        <v>0</v>
      </c>
    </row>
    <row r="1872" spans="1:8" x14ac:dyDescent="0.3">
      <c r="A1872" s="37" t="s">
        <v>126</v>
      </c>
      <c r="B1872" s="38"/>
      <c r="E1872" s="37" t="b">
        <v>0</v>
      </c>
      <c r="F1872" s="37" t="b">
        <v>0</v>
      </c>
      <c r="G1872" s="37">
        <v>0</v>
      </c>
      <c r="H1872" s="37" t="b">
        <v>0</v>
      </c>
    </row>
    <row r="1873" spans="1:8" x14ac:dyDescent="0.3">
      <c r="A1873" s="37" t="s">
        <v>2</v>
      </c>
      <c r="B1873" s="38"/>
      <c r="E1873" s="37" t="b">
        <v>1</v>
      </c>
      <c r="F1873" s="37" t="b">
        <v>0</v>
      </c>
      <c r="G1873" s="37">
        <v>0</v>
      </c>
      <c r="H1873" s="37" t="b">
        <v>0</v>
      </c>
    </row>
    <row r="1874" spans="1:8" x14ac:dyDescent="0.3">
      <c r="A1874" s="37" t="s">
        <v>2</v>
      </c>
      <c r="B1874" s="38">
        <v>50000</v>
      </c>
      <c r="E1874" s="37" t="b">
        <v>1</v>
      </c>
      <c r="F1874" s="37" t="b">
        <v>1</v>
      </c>
      <c r="G1874" s="37">
        <v>1</v>
      </c>
      <c r="H1874" s="37">
        <v>50000</v>
      </c>
    </row>
    <row r="1875" spans="1:8" x14ac:dyDescent="0.3">
      <c r="A1875" s="37" t="s">
        <v>2</v>
      </c>
      <c r="B1875" s="38"/>
      <c r="E1875" s="37" t="b">
        <v>1</v>
      </c>
      <c r="F1875" s="37" t="b">
        <v>0</v>
      </c>
      <c r="G1875" s="37">
        <v>0</v>
      </c>
      <c r="H1875" s="37" t="b">
        <v>0</v>
      </c>
    </row>
    <row r="1876" spans="1:8" x14ac:dyDescent="0.3">
      <c r="A1876" s="37" t="s">
        <v>2</v>
      </c>
      <c r="B1876" s="38"/>
      <c r="E1876" s="37" t="b">
        <v>1</v>
      </c>
      <c r="F1876" s="37" t="b">
        <v>0</v>
      </c>
      <c r="G1876" s="37">
        <v>0</v>
      </c>
      <c r="H1876" s="37" t="b">
        <v>0</v>
      </c>
    </row>
    <row r="1877" spans="1:8" x14ac:dyDescent="0.3">
      <c r="A1877" s="37" t="s">
        <v>0</v>
      </c>
      <c r="B1877" s="38">
        <v>106500</v>
      </c>
      <c r="E1877" s="37" t="b">
        <v>0</v>
      </c>
      <c r="F1877" s="37" t="b">
        <v>1</v>
      </c>
      <c r="G1877" s="37">
        <v>0</v>
      </c>
      <c r="H1877" s="37" t="b">
        <v>0</v>
      </c>
    </row>
    <row r="1878" spans="1:8" x14ac:dyDescent="0.3">
      <c r="A1878" s="37" t="s">
        <v>2</v>
      </c>
      <c r="B1878" s="38">
        <v>127500</v>
      </c>
      <c r="E1878" s="37" t="b">
        <v>1</v>
      </c>
      <c r="F1878" s="37" t="b">
        <v>1</v>
      </c>
      <c r="G1878" s="37">
        <v>1</v>
      </c>
      <c r="H1878" s="37">
        <v>127500</v>
      </c>
    </row>
    <row r="1879" spans="1:8" x14ac:dyDescent="0.3">
      <c r="A1879" s="37" t="s">
        <v>125</v>
      </c>
      <c r="B1879" s="38">
        <v>145000</v>
      </c>
      <c r="E1879" s="37" t="b">
        <v>0</v>
      </c>
      <c r="F1879" s="37" t="b">
        <v>1</v>
      </c>
      <c r="G1879" s="37">
        <v>0</v>
      </c>
      <c r="H1879" s="37" t="b">
        <v>0</v>
      </c>
    </row>
    <row r="1880" spans="1:8" x14ac:dyDescent="0.3">
      <c r="A1880" s="37" t="s">
        <v>128</v>
      </c>
      <c r="B1880" s="38">
        <v>166000</v>
      </c>
      <c r="E1880" s="37" t="b">
        <v>0</v>
      </c>
      <c r="F1880" s="37" t="b">
        <v>1</v>
      </c>
      <c r="G1880" s="37">
        <v>0</v>
      </c>
      <c r="H1880" s="37" t="b">
        <v>0</v>
      </c>
    </row>
    <row r="1881" spans="1:8" x14ac:dyDescent="0.3">
      <c r="A1881" s="37" t="s">
        <v>0</v>
      </c>
      <c r="B1881" s="38"/>
      <c r="E1881" s="37" t="b">
        <v>0</v>
      </c>
      <c r="F1881" s="37" t="b">
        <v>0</v>
      </c>
      <c r="G1881" s="37">
        <v>0</v>
      </c>
      <c r="H1881" s="37" t="b">
        <v>0</v>
      </c>
    </row>
    <row r="1882" spans="1:8" x14ac:dyDescent="0.3">
      <c r="A1882" s="37" t="s">
        <v>4</v>
      </c>
      <c r="B1882" s="38">
        <v>105000</v>
      </c>
      <c r="E1882" s="37" t="b">
        <v>0</v>
      </c>
      <c r="F1882" s="37" t="b">
        <v>1</v>
      </c>
      <c r="G1882" s="37">
        <v>0</v>
      </c>
      <c r="H1882" s="37" t="b">
        <v>0</v>
      </c>
    </row>
    <row r="1883" spans="1:8" x14ac:dyDescent="0.3">
      <c r="A1883" s="37" t="s">
        <v>0</v>
      </c>
      <c r="B1883" s="38">
        <v>237500</v>
      </c>
      <c r="E1883" s="37" t="b">
        <v>0</v>
      </c>
      <c r="F1883" s="37" t="b">
        <v>1</v>
      </c>
      <c r="G1883" s="37">
        <v>0</v>
      </c>
      <c r="H1883" s="37" t="b">
        <v>0</v>
      </c>
    </row>
    <row r="1884" spans="1:8" x14ac:dyDescent="0.3">
      <c r="A1884" s="37" t="s">
        <v>2</v>
      </c>
      <c r="B1884" s="38"/>
      <c r="E1884" s="37" t="b">
        <v>1</v>
      </c>
      <c r="F1884" s="37" t="b">
        <v>0</v>
      </c>
      <c r="G1884" s="37">
        <v>0</v>
      </c>
      <c r="H1884" s="37" t="b">
        <v>0</v>
      </c>
    </row>
    <row r="1885" spans="1:8" x14ac:dyDescent="0.3">
      <c r="A1885" s="37" t="s">
        <v>125</v>
      </c>
      <c r="B1885" s="38">
        <v>170000</v>
      </c>
      <c r="E1885" s="37" t="b">
        <v>0</v>
      </c>
      <c r="F1885" s="37" t="b">
        <v>1</v>
      </c>
      <c r="G1885" s="37">
        <v>0</v>
      </c>
      <c r="H1885" s="37" t="b">
        <v>0</v>
      </c>
    </row>
    <row r="1886" spans="1:8" x14ac:dyDescent="0.3">
      <c r="A1886" s="37" t="s">
        <v>2</v>
      </c>
      <c r="B1886" s="38">
        <v>90000</v>
      </c>
      <c r="E1886" s="37" t="b">
        <v>1</v>
      </c>
      <c r="F1886" s="37" t="b">
        <v>1</v>
      </c>
      <c r="G1886" s="37">
        <v>1</v>
      </c>
      <c r="H1886" s="37">
        <v>90000</v>
      </c>
    </row>
    <row r="1887" spans="1:8" x14ac:dyDescent="0.3">
      <c r="A1887" s="37" t="s">
        <v>52</v>
      </c>
      <c r="B1887" s="38">
        <v>97500</v>
      </c>
      <c r="E1887" s="37" t="b">
        <v>0</v>
      </c>
      <c r="F1887" s="37" t="b">
        <v>1</v>
      </c>
      <c r="G1887" s="37">
        <v>0</v>
      </c>
      <c r="H1887" s="37" t="b">
        <v>0</v>
      </c>
    </row>
    <row r="1888" spans="1:8" x14ac:dyDescent="0.3">
      <c r="A1888" s="37" t="s">
        <v>0</v>
      </c>
      <c r="B1888" s="38">
        <v>82500</v>
      </c>
      <c r="E1888" s="37" t="b">
        <v>0</v>
      </c>
      <c r="F1888" s="37" t="b">
        <v>1</v>
      </c>
      <c r="G1888" s="37">
        <v>0</v>
      </c>
      <c r="H1888" s="37" t="b">
        <v>0</v>
      </c>
    </row>
    <row r="1889" spans="1:8" x14ac:dyDescent="0.3">
      <c r="A1889" s="37" t="s">
        <v>2</v>
      </c>
      <c r="B1889" s="38"/>
      <c r="E1889" s="37" t="b">
        <v>1</v>
      </c>
      <c r="F1889" s="37" t="b">
        <v>0</v>
      </c>
      <c r="G1889" s="37">
        <v>0</v>
      </c>
      <c r="H1889" s="37" t="b">
        <v>0</v>
      </c>
    </row>
    <row r="1890" spans="1:8" x14ac:dyDescent="0.3">
      <c r="A1890" s="37" t="s">
        <v>4</v>
      </c>
      <c r="B1890" s="38">
        <v>105000</v>
      </c>
      <c r="E1890" s="37" t="b">
        <v>0</v>
      </c>
      <c r="F1890" s="37" t="b">
        <v>1</v>
      </c>
      <c r="G1890" s="37">
        <v>0</v>
      </c>
      <c r="H1890" s="37" t="b">
        <v>0</v>
      </c>
    </row>
    <row r="1891" spans="1:8" x14ac:dyDescent="0.3">
      <c r="A1891" s="37" t="s">
        <v>4</v>
      </c>
      <c r="B1891" s="38">
        <v>105000</v>
      </c>
      <c r="E1891" s="37" t="b">
        <v>0</v>
      </c>
      <c r="F1891" s="37" t="b">
        <v>1</v>
      </c>
      <c r="G1891" s="37">
        <v>0</v>
      </c>
      <c r="H1891" s="37" t="b">
        <v>0</v>
      </c>
    </row>
    <row r="1892" spans="1:8" x14ac:dyDescent="0.3">
      <c r="A1892" s="37" t="s">
        <v>0</v>
      </c>
      <c r="B1892" s="38">
        <v>175000</v>
      </c>
      <c r="E1892" s="37" t="b">
        <v>0</v>
      </c>
      <c r="F1892" s="37" t="b">
        <v>1</v>
      </c>
      <c r="G1892" s="37">
        <v>0</v>
      </c>
      <c r="H1892" s="37" t="b">
        <v>0</v>
      </c>
    </row>
    <row r="1893" spans="1:8" x14ac:dyDescent="0.3">
      <c r="A1893" s="37" t="s">
        <v>0</v>
      </c>
      <c r="B1893" s="38">
        <v>155000</v>
      </c>
      <c r="E1893" s="37" t="b">
        <v>0</v>
      </c>
      <c r="F1893" s="37" t="b">
        <v>1</v>
      </c>
      <c r="G1893" s="37">
        <v>0</v>
      </c>
      <c r="H1893" s="37" t="b">
        <v>0</v>
      </c>
    </row>
    <row r="1894" spans="1:8" x14ac:dyDescent="0.3">
      <c r="A1894" s="37" t="s">
        <v>125</v>
      </c>
      <c r="B1894" s="38">
        <v>92500</v>
      </c>
      <c r="E1894" s="37" t="b">
        <v>0</v>
      </c>
      <c r="F1894" s="37" t="b">
        <v>1</v>
      </c>
      <c r="G1894" s="37">
        <v>0</v>
      </c>
      <c r="H1894" s="37" t="b">
        <v>0</v>
      </c>
    </row>
    <row r="1895" spans="1:8" x14ac:dyDescent="0.3">
      <c r="A1895" s="37" t="s">
        <v>126</v>
      </c>
      <c r="B1895" s="38">
        <v>135000</v>
      </c>
      <c r="E1895" s="37" t="b">
        <v>0</v>
      </c>
      <c r="F1895" s="37" t="b">
        <v>1</v>
      </c>
      <c r="G1895" s="37">
        <v>0</v>
      </c>
      <c r="H1895" s="37" t="b">
        <v>0</v>
      </c>
    </row>
    <row r="1896" spans="1:8" x14ac:dyDescent="0.3">
      <c r="A1896" s="37" t="s">
        <v>0</v>
      </c>
      <c r="B1896" s="38">
        <v>215000</v>
      </c>
      <c r="E1896" s="37" t="b">
        <v>0</v>
      </c>
      <c r="F1896" s="37" t="b">
        <v>1</v>
      </c>
      <c r="G1896" s="37">
        <v>0</v>
      </c>
      <c r="H1896" s="37" t="b">
        <v>0</v>
      </c>
    </row>
    <row r="1897" spans="1:8" x14ac:dyDescent="0.3">
      <c r="A1897" s="37" t="s">
        <v>2</v>
      </c>
      <c r="B1897" s="38">
        <v>43000</v>
      </c>
      <c r="E1897" s="37" t="b">
        <v>1</v>
      </c>
      <c r="F1897" s="37" t="b">
        <v>1</v>
      </c>
      <c r="G1897" s="37">
        <v>1</v>
      </c>
      <c r="H1897" s="37">
        <v>43000</v>
      </c>
    </row>
    <row r="1898" spans="1:8" x14ac:dyDescent="0.3">
      <c r="A1898" s="37" t="s">
        <v>2</v>
      </c>
      <c r="B1898" s="38">
        <v>157000</v>
      </c>
      <c r="E1898" s="37" t="b">
        <v>1</v>
      </c>
      <c r="F1898" s="37" t="b">
        <v>1</v>
      </c>
      <c r="G1898" s="37">
        <v>1</v>
      </c>
      <c r="H1898" s="37">
        <v>157000</v>
      </c>
    </row>
    <row r="1899" spans="1:8" x14ac:dyDescent="0.3">
      <c r="A1899" s="37" t="s">
        <v>125</v>
      </c>
      <c r="B1899" s="38"/>
      <c r="E1899" s="37" t="b">
        <v>0</v>
      </c>
      <c r="F1899" s="37" t="b">
        <v>0</v>
      </c>
      <c r="G1899" s="37">
        <v>0</v>
      </c>
      <c r="H1899" s="37" t="b">
        <v>0</v>
      </c>
    </row>
    <row r="1900" spans="1:8" x14ac:dyDescent="0.3">
      <c r="A1900" s="37" t="s">
        <v>2</v>
      </c>
      <c r="B1900" s="38">
        <v>170000</v>
      </c>
      <c r="E1900" s="37" t="b">
        <v>1</v>
      </c>
      <c r="F1900" s="37" t="b">
        <v>1</v>
      </c>
      <c r="G1900" s="37">
        <v>1</v>
      </c>
      <c r="H1900" s="37">
        <v>170000</v>
      </c>
    </row>
    <row r="1901" spans="1:8" x14ac:dyDescent="0.3">
      <c r="A1901" s="37" t="s">
        <v>126</v>
      </c>
      <c r="B1901" s="38">
        <v>130000</v>
      </c>
      <c r="E1901" s="37" t="b">
        <v>0</v>
      </c>
      <c r="F1901" s="37" t="b">
        <v>1</v>
      </c>
      <c r="G1901" s="37">
        <v>0</v>
      </c>
      <c r="H1901" s="37" t="b">
        <v>0</v>
      </c>
    </row>
    <row r="1902" spans="1:8" x14ac:dyDescent="0.3">
      <c r="A1902" s="37" t="s">
        <v>125</v>
      </c>
      <c r="B1902" s="38">
        <v>122500</v>
      </c>
      <c r="E1902" s="37" t="b">
        <v>0</v>
      </c>
      <c r="F1902" s="37" t="b">
        <v>1</v>
      </c>
      <c r="G1902" s="37">
        <v>0</v>
      </c>
      <c r="H1902" s="37" t="b">
        <v>0</v>
      </c>
    </row>
    <row r="1903" spans="1:8" x14ac:dyDescent="0.3">
      <c r="A1903" s="37" t="s">
        <v>2</v>
      </c>
      <c r="B1903" s="38">
        <v>87500</v>
      </c>
      <c r="E1903" s="37" t="b">
        <v>1</v>
      </c>
      <c r="F1903" s="37" t="b">
        <v>1</v>
      </c>
      <c r="G1903" s="37">
        <v>1</v>
      </c>
      <c r="H1903" s="37">
        <v>87500</v>
      </c>
    </row>
    <row r="1904" spans="1:8" x14ac:dyDescent="0.3">
      <c r="A1904" s="37" t="s">
        <v>4</v>
      </c>
      <c r="B1904" s="38"/>
      <c r="E1904" s="37" t="b">
        <v>0</v>
      </c>
      <c r="F1904" s="37" t="b">
        <v>0</v>
      </c>
      <c r="G1904" s="37">
        <v>0</v>
      </c>
      <c r="H1904" s="37" t="b">
        <v>0</v>
      </c>
    </row>
    <row r="1905" spans="1:8" x14ac:dyDescent="0.3">
      <c r="A1905" s="37" t="s">
        <v>4</v>
      </c>
      <c r="B1905" s="38">
        <v>120000</v>
      </c>
      <c r="E1905" s="37" t="b">
        <v>0</v>
      </c>
      <c r="F1905" s="37" t="b">
        <v>1</v>
      </c>
      <c r="G1905" s="37">
        <v>0</v>
      </c>
      <c r="H1905" s="37" t="b">
        <v>0</v>
      </c>
    </row>
    <row r="1906" spans="1:8" x14ac:dyDescent="0.3">
      <c r="A1906" s="37" t="s">
        <v>128</v>
      </c>
      <c r="B1906" s="38">
        <v>140000</v>
      </c>
      <c r="E1906" s="37" t="b">
        <v>0</v>
      </c>
      <c r="F1906" s="37" t="b">
        <v>1</v>
      </c>
      <c r="G1906" s="37">
        <v>0</v>
      </c>
      <c r="H1906" s="37" t="b">
        <v>0</v>
      </c>
    </row>
    <row r="1907" spans="1:8" x14ac:dyDescent="0.3">
      <c r="A1907" s="37" t="s">
        <v>2</v>
      </c>
      <c r="B1907" s="38">
        <v>65000</v>
      </c>
      <c r="E1907" s="37" t="b">
        <v>1</v>
      </c>
      <c r="F1907" s="37" t="b">
        <v>1</v>
      </c>
      <c r="G1907" s="37">
        <v>1</v>
      </c>
      <c r="H1907" s="37">
        <v>65000</v>
      </c>
    </row>
    <row r="1908" spans="1:8" x14ac:dyDescent="0.3">
      <c r="A1908" s="37" t="s">
        <v>2</v>
      </c>
      <c r="B1908" s="38"/>
      <c r="E1908" s="37" t="b">
        <v>1</v>
      </c>
      <c r="F1908" s="37" t="b">
        <v>0</v>
      </c>
      <c r="G1908" s="37">
        <v>0</v>
      </c>
      <c r="H1908" s="37" t="b">
        <v>0</v>
      </c>
    </row>
    <row r="1909" spans="1:8" x14ac:dyDescent="0.3">
      <c r="A1909" s="37" t="s">
        <v>4</v>
      </c>
      <c r="B1909" s="38">
        <v>115000</v>
      </c>
      <c r="E1909" s="37" t="b">
        <v>0</v>
      </c>
      <c r="F1909" s="37" t="b">
        <v>1</v>
      </c>
      <c r="G1909" s="37">
        <v>0</v>
      </c>
      <c r="H1909" s="37" t="b">
        <v>0</v>
      </c>
    </row>
    <row r="1910" spans="1:8" x14ac:dyDescent="0.3">
      <c r="A1910" s="37" t="s">
        <v>2</v>
      </c>
      <c r="B1910" s="38"/>
      <c r="E1910" s="37" t="b">
        <v>1</v>
      </c>
      <c r="F1910" s="37" t="b">
        <v>0</v>
      </c>
      <c r="G1910" s="37">
        <v>0</v>
      </c>
      <c r="H1910" s="37" t="b">
        <v>0</v>
      </c>
    </row>
    <row r="1911" spans="1:8" x14ac:dyDescent="0.3">
      <c r="A1911" s="37" t="s">
        <v>2</v>
      </c>
      <c r="B1911" s="38"/>
      <c r="E1911" s="37" t="b">
        <v>1</v>
      </c>
      <c r="F1911" s="37" t="b">
        <v>0</v>
      </c>
      <c r="G1911" s="37">
        <v>0</v>
      </c>
      <c r="H1911" s="37" t="b">
        <v>0</v>
      </c>
    </row>
    <row r="1912" spans="1:8" x14ac:dyDescent="0.3">
      <c r="A1912" s="37" t="s">
        <v>0</v>
      </c>
      <c r="B1912" s="38">
        <v>165000</v>
      </c>
      <c r="E1912" s="37" t="b">
        <v>0</v>
      </c>
      <c r="F1912" s="37" t="b">
        <v>1</v>
      </c>
      <c r="G1912" s="37">
        <v>0</v>
      </c>
      <c r="H1912" s="37" t="b">
        <v>0</v>
      </c>
    </row>
    <row r="1913" spans="1:8" x14ac:dyDescent="0.3">
      <c r="A1913" s="37" t="s">
        <v>4</v>
      </c>
      <c r="B1913" s="38">
        <v>160000</v>
      </c>
      <c r="E1913" s="37" t="b">
        <v>0</v>
      </c>
      <c r="F1913" s="37" t="b">
        <v>1</v>
      </c>
      <c r="G1913" s="37">
        <v>0</v>
      </c>
      <c r="H1913" s="37" t="b">
        <v>0</v>
      </c>
    </row>
    <row r="1914" spans="1:8" x14ac:dyDescent="0.3">
      <c r="A1914" s="37" t="s">
        <v>4</v>
      </c>
      <c r="B1914" s="38"/>
      <c r="E1914" s="37" t="b">
        <v>0</v>
      </c>
      <c r="F1914" s="37" t="b">
        <v>0</v>
      </c>
      <c r="G1914" s="37">
        <v>0</v>
      </c>
      <c r="H1914" s="37" t="b">
        <v>0</v>
      </c>
    </row>
    <row r="1915" spans="1:8" x14ac:dyDescent="0.3">
      <c r="A1915" s="37" t="s">
        <v>2</v>
      </c>
      <c r="B1915" s="38">
        <v>95000</v>
      </c>
      <c r="E1915" s="37" t="b">
        <v>1</v>
      </c>
      <c r="F1915" s="37" t="b">
        <v>1</v>
      </c>
      <c r="G1915" s="37">
        <v>1</v>
      </c>
      <c r="H1915" s="37">
        <v>95000</v>
      </c>
    </row>
    <row r="1916" spans="1:8" x14ac:dyDescent="0.3">
      <c r="A1916" s="37" t="s">
        <v>2</v>
      </c>
      <c r="B1916" s="38"/>
      <c r="E1916" s="37" t="b">
        <v>1</v>
      </c>
      <c r="F1916" s="37" t="b">
        <v>0</v>
      </c>
      <c r="G1916" s="37">
        <v>0</v>
      </c>
      <c r="H1916" s="37" t="b">
        <v>0</v>
      </c>
    </row>
    <row r="1917" spans="1:8" x14ac:dyDescent="0.3">
      <c r="A1917" s="37" t="s">
        <v>0</v>
      </c>
      <c r="B1917" s="38">
        <v>222500</v>
      </c>
      <c r="E1917" s="37" t="b">
        <v>0</v>
      </c>
      <c r="F1917" s="37" t="b">
        <v>1</v>
      </c>
      <c r="G1917" s="37">
        <v>0</v>
      </c>
      <c r="H1917" s="37" t="b">
        <v>0</v>
      </c>
    </row>
    <row r="1918" spans="1:8" x14ac:dyDescent="0.3">
      <c r="A1918" s="37" t="s">
        <v>4</v>
      </c>
      <c r="B1918" s="38"/>
      <c r="E1918" s="37" t="b">
        <v>0</v>
      </c>
      <c r="F1918" s="37" t="b">
        <v>0</v>
      </c>
      <c r="G1918" s="37">
        <v>0</v>
      </c>
      <c r="H1918" s="37" t="b">
        <v>0</v>
      </c>
    </row>
    <row r="1919" spans="1:8" x14ac:dyDescent="0.3">
      <c r="A1919" s="37" t="s">
        <v>0</v>
      </c>
      <c r="B1919" s="38">
        <v>135000</v>
      </c>
      <c r="E1919" s="37" t="b">
        <v>0</v>
      </c>
      <c r="F1919" s="37" t="b">
        <v>1</v>
      </c>
      <c r="G1919" s="37">
        <v>0</v>
      </c>
      <c r="H1919" s="37" t="b">
        <v>0</v>
      </c>
    </row>
    <row r="1920" spans="1:8" x14ac:dyDescent="0.3">
      <c r="A1920" s="37" t="s">
        <v>4</v>
      </c>
      <c r="B1920" s="38"/>
      <c r="E1920" s="37" t="b">
        <v>0</v>
      </c>
      <c r="F1920" s="37" t="b">
        <v>0</v>
      </c>
      <c r="G1920" s="37">
        <v>0</v>
      </c>
      <c r="H1920" s="37" t="b">
        <v>0</v>
      </c>
    </row>
    <row r="1921" spans="1:8" x14ac:dyDescent="0.3">
      <c r="A1921" s="37" t="s">
        <v>4</v>
      </c>
      <c r="B1921" s="38"/>
      <c r="E1921" s="37" t="b">
        <v>0</v>
      </c>
      <c r="F1921" s="37" t="b">
        <v>0</v>
      </c>
      <c r="G1921" s="37">
        <v>0</v>
      </c>
      <c r="H1921" s="37" t="b">
        <v>0</v>
      </c>
    </row>
    <row r="1922" spans="1:8" x14ac:dyDescent="0.3">
      <c r="A1922" s="37" t="s">
        <v>2</v>
      </c>
      <c r="B1922" s="38">
        <v>115000</v>
      </c>
      <c r="E1922" s="37" t="b">
        <v>1</v>
      </c>
      <c r="F1922" s="37" t="b">
        <v>1</v>
      </c>
      <c r="G1922" s="37">
        <v>1</v>
      </c>
      <c r="H1922" s="37">
        <v>115000</v>
      </c>
    </row>
    <row r="1923" spans="1:8" x14ac:dyDescent="0.3">
      <c r="A1923" s="37" t="s">
        <v>125</v>
      </c>
      <c r="B1923" s="38">
        <v>135000</v>
      </c>
      <c r="E1923" s="37" t="b">
        <v>0</v>
      </c>
      <c r="F1923" s="37" t="b">
        <v>1</v>
      </c>
      <c r="G1923" s="37">
        <v>0</v>
      </c>
      <c r="H1923" s="37" t="b">
        <v>0</v>
      </c>
    </row>
    <row r="1924" spans="1:8" x14ac:dyDescent="0.3">
      <c r="A1924" s="37" t="s">
        <v>2</v>
      </c>
      <c r="B1924" s="38">
        <v>100000</v>
      </c>
      <c r="E1924" s="37" t="b">
        <v>1</v>
      </c>
      <c r="F1924" s="37" t="b">
        <v>1</v>
      </c>
      <c r="G1924" s="37">
        <v>1</v>
      </c>
      <c r="H1924" s="37">
        <v>100000</v>
      </c>
    </row>
    <row r="1925" spans="1:8" x14ac:dyDescent="0.3">
      <c r="A1925" s="37" t="s">
        <v>2</v>
      </c>
      <c r="B1925" s="38">
        <v>85000</v>
      </c>
      <c r="E1925" s="37" t="b">
        <v>1</v>
      </c>
      <c r="F1925" s="37" t="b">
        <v>1</v>
      </c>
      <c r="G1925" s="37">
        <v>1</v>
      </c>
      <c r="H1925" s="37">
        <v>85000</v>
      </c>
    </row>
    <row r="1926" spans="1:8" x14ac:dyDescent="0.3">
      <c r="A1926" s="37" t="s">
        <v>2</v>
      </c>
      <c r="B1926" s="38">
        <v>189000</v>
      </c>
      <c r="E1926" s="37" t="b">
        <v>1</v>
      </c>
      <c r="F1926" s="37" t="b">
        <v>1</v>
      </c>
      <c r="G1926" s="37">
        <v>1</v>
      </c>
      <c r="H1926" s="37">
        <v>189000</v>
      </c>
    </row>
    <row r="1927" spans="1:8" x14ac:dyDescent="0.3">
      <c r="A1927" s="37" t="s">
        <v>125</v>
      </c>
      <c r="B1927" s="38">
        <v>80000</v>
      </c>
      <c r="E1927" s="37" t="b">
        <v>0</v>
      </c>
      <c r="F1927" s="37" t="b">
        <v>1</v>
      </c>
      <c r="G1927" s="37">
        <v>0</v>
      </c>
      <c r="H1927" s="37" t="b">
        <v>0</v>
      </c>
    </row>
    <row r="1928" spans="1:8" x14ac:dyDescent="0.3">
      <c r="A1928" s="37" t="s">
        <v>2</v>
      </c>
      <c r="B1928" s="38">
        <v>72500</v>
      </c>
      <c r="E1928" s="37" t="b">
        <v>1</v>
      </c>
      <c r="F1928" s="37" t="b">
        <v>1</v>
      </c>
      <c r="G1928" s="37">
        <v>1</v>
      </c>
      <c r="H1928" s="37">
        <v>72500</v>
      </c>
    </row>
    <row r="1929" spans="1:8" x14ac:dyDescent="0.3">
      <c r="A1929" s="37" t="s">
        <v>2</v>
      </c>
      <c r="B1929" s="38">
        <v>60000</v>
      </c>
      <c r="E1929" s="37" t="b">
        <v>1</v>
      </c>
      <c r="F1929" s="37" t="b">
        <v>1</v>
      </c>
      <c r="G1929" s="37">
        <v>1</v>
      </c>
      <c r="H1929" s="37">
        <v>60000</v>
      </c>
    </row>
    <row r="1930" spans="1:8" x14ac:dyDescent="0.3">
      <c r="A1930" s="37" t="s">
        <v>0</v>
      </c>
      <c r="B1930" s="38">
        <v>85132.5</v>
      </c>
      <c r="E1930" s="37" t="b">
        <v>0</v>
      </c>
      <c r="F1930" s="37" t="b">
        <v>1</v>
      </c>
      <c r="G1930" s="37">
        <v>0</v>
      </c>
      <c r="H1930" s="37" t="b">
        <v>0</v>
      </c>
    </row>
    <row r="1931" spans="1:8" x14ac:dyDescent="0.3">
      <c r="A1931" s="37" t="s">
        <v>2</v>
      </c>
      <c r="B1931" s="38"/>
      <c r="E1931" s="37" t="b">
        <v>1</v>
      </c>
      <c r="F1931" s="37" t="b">
        <v>0</v>
      </c>
      <c r="G1931" s="37">
        <v>0</v>
      </c>
      <c r="H1931" s="37" t="b">
        <v>0</v>
      </c>
    </row>
    <row r="1932" spans="1:8" x14ac:dyDescent="0.3">
      <c r="A1932" s="37" t="s">
        <v>0</v>
      </c>
      <c r="B1932" s="38">
        <v>100000</v>
      </c>
      <c r="E1932" s="37" t="b">
        <v>0</v>
      </c>
      <c r="F1932" s="37" t="b">
        <v>1</v>
      </c>
      <c r="G1932" s="37">
        <v>0</v>
      </c>
      <c r="H1932" s="37" t="b">
        <v>0</v>
      </c>
    </row>
    <row r="1933" spans="1:8" x14ac:dyDescent="0.3">
      <c r="A1933" s="37" t="s">
        <v>0</v>
      </c>
      <c r="B1933" s="38">
        <v>130000</v>
      </c>
      <c r="E1933" s="37" t="b">
        <v>0</v>
      </c>
      <c r="F1933" s="37" t="b">
        <v>1</v>
      </c>
      <c r="G1933" s="37">
        <v>0</v>
      </c>
      <c r="H1933" s="37" t="b">
        <v>0</v>
      </c>
    </row>
    <row r="1934" spans="1:8" x14ac:dyDescent="0.3">
      <c r="A1934" s="37" t="s">
        <v>4</v>
      </c>
      <c r="B1934" s="38">
        <v>110000</v>
      </c>
      <c r="E1934" s="37" t="b">
        <v>0</v>
      </c>
      <c r="F1934" s="37" t="b">
        <v>1</v>
      </c>
      <c r="G1934" s="37">
        <v>0</v>
      </c>
      <c r="H1934" s="37" t="b">
        <v>0</v>
      </c>
    </row>
    <row r="1935" spans="1:8" x14ac:dyDescent="0.3">
      <c r="A1935" s="37" t="s">
        <v>4</v>
      </c>
      <c r="B1935" s="38">
        <v>122500</v>
      </c>
      <c r="E1935" s="37" t="b">
        <v>0</v>
      </c>
      <c r="F1935" s="37" t="b">
        <v>1</v>
      </c>
      <c r="G1935" s="37">
        <v>0</v>
      </c>
      <c r="H1935" s="37" t="b">
        <v>0</v>
      </c>
    </row>
    <row r="1936" spans="1:8" x14ac:dyDescent="0.3">
      <c r="A1936" s="37" t="s">
        <v>2</v>
      </c>
      <c r="B1936" s="38">
        <v>127500</v>
      </c>
      <c r="E1936" s="37" t="b">
        <v>1</v>
      </c>
      <c r="F1936" s="37" t="b">
        <v>1</v>
      </c>
      <c r="G1936" s="37">
        <v>1</v>
      </c>
      <c r="H1936" s="37">
        <v>127500</v>
      </c>
    </row>
    <row r="1937" spans="1:8" x14ac:dyDescent="0.3">
      <c r="A1937" s="37" t="s">
        <v>0</v>
      </c>
      <c r="B1937" s="38">
        <v>162500</v>
      </c>
      <c r="E1937" s="37" t="b">
        <v>0</v>
      </c>
      <c r="F1937" s="37" t="b">
        <v>1</v>
      </c>
      <c r="G1937" s="37">
        <v>0</v>
      </c>
      <c r="H1937" s="37" t="b">
        <v>0</v>
      </c>
    </row>
    <row r="1938" spans="1:8" x14ac:dyDescent="0.3">
      <c r="A1938" s="37" t="s">
        <v>4</v>
      </c>
      <c r="B1938" s="38">
        <v>130000</v>
      </c>
      <c r="E1938" s="37" t="b">
        <v>0</v>
      </c>
      <c r="F1938" s="37" t="b">
        <v>1</v>
      </c>
      <c r="G1938" s="37">
        <v>0</v>
      </c>
      <c r="H1938" s="37" t="b">
        <v>0</v>
      </c>
    </row>
    <row r="1939" spans="1:8" x14ac:dyDescent="0.3">
      <c r="A1939" s="37" t="s">
        <v>125</v>
      </c>
      <c r="B1939" s="38"/>
      <c r="E1939" s="37" t="b">
        <v>0</v>
      </c>
      <c r="F1939" s="37" t="b">
        <v>0</v>
      </c>
      <c r="G1939" s="37">
        <v>0</v>
      </c>
      <c r="H1939" s="37" t="b">
        <v>0</v>
      </c>
    </row>
    <row r="1940" spans="1:8" x14ac:dyDescent="0.3">
      <c r="A1940" s="37" t="s">
        <v>125</v>
      </c>
      <c r="B1940" s="38">
        <v>172500</v>
      </c>
      <c r="E1940" s="37" t="b">
        <v>0</v>
      </c>
      <c r="F1940" s="37" t="b">
        <v>1</v>
      </c>
      <c r="G1940" s="37">
        <v>0</v>
      </c>
      <c r="H1940" s="37" t="b">
        <v>0</v>
      </c>
    </row>
    <row r="1941" spans="1:8" x14ac:dyDescent="0.3">
      <c r="A1941" s="37" t="s">
        <v>128</v>
      </c>
      <c r="B1941" s="38"/>
      <c r="E1941" s="37" t="b">
        <v>0</v>
      </c>
      <c r="F1941" s="37" t="b">
        <v>0</v>
      </c>
      <c r="G1941" s="37">
        <v>0</v>
      </c>
      <c r="H1941" s="37" t="b">
        <v>0</v>
      </c>
    </row>
    <row r="1942" spans="1:8" x14ac:dyDescent="0.3">
      <c r="A1942" s="37" t="s">
        <v>0</v>
      </c>
      <c r="B1942" s="38"/>
      <c r="E1942" s="37" t="b">
        <v>0</v>
      </c>
      <c r="F1942" s="37" t="b">
        <v>0</v>
      </c>
      <c r="G1942" s="37">
        <v>0</v>
      </c>
      <c r="H1942" s="37" t="b">
        <v>0</v>
      </c>
    </row>
    <row r="1943" spans="1:8" x14ac:dyDescent="0.3">
      <c r="A1943" s="37" t="s">
        <v>0</v>
      </c>
      <c r="B1943" s="38">
        <v>105000</v>
      </c>
      <c r="E1943" s="37" t="b">
        <v>0</v>
      </c>
      <c r="F1943" s="37" t="b">
        <v>1</v>
      </c>
      <c r="G1943" s="37">
        <v>0</v>
      </c>
      <c r="H1943" s="37" t="b">
        <v>0</v>
      </c>
    </row>
    <row r="1944" spans="1:8" x14ac:dyDescent="0.3">
      <c r="A1944" s="37" t="s">
        <v>2</v>
      </c>
      <c r="B1944" s="38"/>
      <c r="E1944" s="37" t="b">
        <v>1</v>
      </c>
      <c r="F1944" s="37" t="b">
        <v>0</v>
      </c>
      <c r="G1944" s="37">
        <v>0</v>
      </c>
      <c r="H1944" s="37" t="b">
        <v>0</v>
      </c>
    </row>
    <row r="1945" spans="1:8" x14ac:dyDescent="0.3">
      <c r="A1945" s="37" t="s">
        <v>2</v>
      </c>
      <c r="B1945" s="38">
        <v>109159</v>
      </c>
      <c r="E1945" s="37" t="b">
        <v>1</v>
      </c>
      <c r="F1945" s="37" t="b">
        <v>1</v>
      </c>
      <c r="G1945" s="37">
        <v>1</v>
      </c>
      <c r="H1945" s="37">
        <v>109159</v>
      </c>
    </row>
    <row r="1946" spans="1:8" x14ac:dyDescent="0.3">
      <c r="A1946" s="37" t="s">
        <v>2</v>
      </c>
      <c r="B1946" s="38">
        <v>89833.5</v>
      </c>
      <c r="E1946" s="37" t="b">
        <v>1</v>
      </c>
      <c r="F1946" s="37" t="b">
        <v>1</v>
      </c>
      <c r="G1946" s="37">
        <v>1</v>
      </c>
      <c r="H1946" s="37">
        <v>89833.5</v>
      </c>
    </row>
    <row r="1947" spans="1:8" x14ac:dyDescent="0.3">
      <c r="A1947" s="37" t="s">
        <v>0</v>
      </c>
      <c r="B1947" s="38">
        <v>123225</v>
      </c>
      <c r="E1947" s="37" t="b">
        <v>0</v>
      </c>
      <c r="F1947" s="37" t="b">
        <v>1</v>
      </c>
      <c r="G1947" s="37">
        <v>0</v>
      </c>
      <c r="H1947" s="37" t="b">
        <v>0</v>
      </c>
    </row>
    <row r="1948" spans="1:8" x14ac:dyDescent="0.3">
      <c r="A1948" s="37" t="s">
        <v>2</v>
      </c>
      <c r="B1948" s="38">
        <v>109159</v>
      </c>
      <c r="E1948" s="37" t="b">
        <v>1</v>
      </c>
      <c r="F1948" s="37" t="b">
        <v>1</v>
      </c>
      <c r="G1948" s="37">
        <v>1</v>
      </c>
      <c r="H1948" s="37">
        <v>109159</v>
      </c>
    </row>
    <row r="1949" spans="1:8" x14ac:dyDescent="0.3">
      <c r="A1949" s="37" t="s">
        <v>128</v>
      </c>
      <c r="B1949" s="38">
        <v>177495</v>
      </c>
      <c r="E1949" s="37" t="b">
        <v>0</v>
      </c>
      <c r="F1949" s="37" t="b">
        <v>1</v>
      </c>
      <c r="G1949" s="37">
        <v>0</v>
      </c>
      <c r="H1949" s="37" t="b">
        <v>0</v>
      </c>
    </row>
    <row r="1950" spans="1:8" x14ac:dyDescent="0.3">
      <c r="A1950" s="37" t="s">
        <v>4</v>
      </c>
      <c r="B1950" s="38">
        <v>157500</v>
      </c>
      <c r="E1950" s="37" t="b">
        <v>0</v>
      </c>
      <c r="F1950" s="37" t="b">
        <v>1</v>
      </c>
      <c r="G1950" s="37">
        <v>0</v>
      </c>
      <c r="H1950" s="37" t="b">
        <v>0</v>
      </c>
    </row>
    <row r="1951" spans="1:8" x14ac:dyDescent="0.3">
      <c r="A1951" s="37" t="s">
        <v>2</v>
      </c>
      <c r="B1951" s="38">
        <v>91000</v>
      </c>
      <c r="E1951" s="37" t="b">
        <v>1</v>
      </c>
      <c r="F1951" s="37" t="b">
        <v>1</v>
      </c>
      <c r="G1951" s="37">
        <v>1</v>
      </c>
      <c r="H1951" s="37">
        <v>91000</v>
      </c>
    </row>
    <row r="1952" spans="1:8" x14ac:dyDescent="0.3">
      <c r="A1952" s="37" t="s">
        <v>0</v>
      </c>
      <c r="B1952" s="38"/>
      <c r="E1952" s="37" t="b">
        <v>0</v>
      </c>
      <c r="F1952" s="37" t="b">
        <v>0</v>
      </c>
      <c r="G1952" s="37">
        <v>0</v>
      </c>
      <c r="H1952" s="37" t="b">
        <v>0</v>
      </c>
    </row>
    <row r="1953" spans="1:8" x14ac:dyDescent="0.3">
      <c r="A1953" s="37" t="s">
        <v>4</v>
      </c>
      <c r="B1953" s="38"/>
      <c r="E1953" s="37" t="b">
        <v>0</v>
      </c>
      <c r="F1953" s="37" t="b">
        <v>0</v>
      </c>
      <c r="G1953" s="37">
        <v>0</v>
      </c>
      <c r="H1953" s="37" t="b">
        <v>0</v>
      </c>
    </row>
    <row r="1954" spans="1:8" x14ac:dyDescent="0.3">
      <c r="A1954" s="37" t="s">
        <v>2</v>
      </c>
      <c r="B1954" s="38"/>
      <c r="E1954" s="37" t="b">
        <v>1</v>
      </c>
      <c r="F1954" s="37" t="b">
        <v>0</v>
      </c>
      <c r="G1954" s="37">
        <v>0</v>
      </c>
      <c r="H1954" s="37" t="b">
        <v>0</v>
      </c>
    </row>
    <row r="1955" spans="1:8" x14ac:dyDescent="0.3">
      <c r="A1955" s="37" t="s">
        <v>126</v>
      </c>
      <c r="B1955" s="38">
        <v>122500</v>
      </c>
      <c r="E1955" s="37" t="b">
        <v>0</v>
      </c>
      <c r="F1955" s="37" t="b">
        <v>1</v>
      </c>
      <c r="G1955" s="37">
        <v>0</v>
      </c>
      <c r="H1955" s="37" t="b">
        <v>0</v>
      </c>
    </row>
    <row r="1956" spans="1:8" x14ac:dyDescent="0.3">
      <c r="A1956" s="37" t="s">
        <v>2</v>
      </c>
      <c r="B1956" s="38"/>
      <c r="E1956" s="37" t="b">
        <v>1</v>
      </c>
      <c r="F1956" s="37" t="b">
        <v>0</v>
      </c>
      <c r="G1956" s="37">
        <v>0</v>
      </c>
      <c r="H1956" s="37" t="b">
        <v>0</v>
      </c>
    </row>
    <row r="1957" spans="1:8" x14ac:dyDescent="0.3">
      <c r="A1957" s="37" t="s">
        <v>2</v>
      </c>
      <c r="B1957" s="38"/>
      <c r="E1957" s="37" t="b">
        <v>1</v>
      </c>
      <c r="F1957" s="37" t="b">
        <v>0</v>
      </c>
      <c r="G1957" s="37">
        <v>0</v>
      </c>
      <c r="H1957" s="37" t="b">
        <v>0</v>
      </c>
    </row>
    <row r="1958" spans="1:8" x14ac:dyDescent="0.3">
      <c r="A1958" s="37" t="s">
        <v>128</v>
      </c>
      <c r="B1958" s="38">
        <v>170000</v>
      </c>
      <c r="E1958" s="37" t="b">
        <v>0</v>
      </c>
      <c r="F1958" s="37" t="b">
        <v>1</v>
      </c>
      <c r="G1958" s="37">
        <v>0</v>
      </c>
      <c r="H1958" s="37" t="b">
        <v>0</v>
      </c>
    </row>
    <row r="1959" spans="1:8" x14ac:dyDescent="0.3">
      <c r="A1959" s="37" t="s">
        <v>52</v>
      </c>
      <c r="B1959" s="38">
        <v>105000</v>
      </c>
      <c r="E1959" s="37" t="b">
        <v>0</v>
      </c>
      <c r="F1959" s="37" t="b">
        <v>1</v>
      </c>
      <c r="G1959" s="37">
        <v>0</v>
      </c>
      <c r="H1959" s="37" t="b">
        <v>0</v>
      </c>
    </row>
    <row r="1960" spans="1:8" x14ac:dyDescent="0.3">
      <c r="A1960" s="37" t="s">
        <v>4</v>
      </c>
      <c r="B1960" s="38">
        <v>130000</v>
      </c>
      <c r="E1960" s="37" t="b">
        <v>0</v>
      </c>
      <c r="F1960" s="37" t="b">
        <v>1</v>
      </c>
      <c r="G1960" s="37">
        <v>0</v>
      </c>
      <c r="H1960" s="37" t="b">
        <v>0</v>
      </c>
    </row>
    <row r="1961" spans="1:8" x14ac:dyDescent="0.3">
      <c r="A1961" s="37" t="s">
        <v>128</v>
      </c>
      <c r="B1961" s="38">
        <v>184844.5</v>
      </c>
      <c r="E1961" s="37" t="b">
        <v>0</v>
      </c>
      <c r="F1961" s="37" t="b">
        <v>1</v>
      </c>
      <c r="G1961" s="37">
        <v>0</v>
      </c>
      <c r="H1961" s="37" t="b">
        <v>0</v>
      </c>
    </row>
    <row r="1962" spans="1:8" x14ac:dyDescent="0.3">
      <c r="A1962" s="37" t="s">
        <v>0</v>
      </c>
      <c r="B1962" s="38">
        <v>135000</v>
      </c>
      <c r="E1962" s="37" t="b">
        <v>0</v>
      </c>
      <c r="F1962" s="37" t="b">
        <v>1</v>
      </c>
      <c r="G1962" s="37">
        <v>0</v>
      </c>
      <c r="H1962" s="37" t="b">
        <v>0</v>
      </c>
    </row>
    <row r="1963" spans="1:8" x14ac:dyDescent="0.3">
      <c r="A1963" s="37" t="s">
        <v>0</v>
      </c>
      <c r="B1963" s="38">
        <v>130000</v>
      </c>
      <c r="E1963" s="37" t="b">
        <v>0</v>
      </c>
      <c r="F1963" s="37" t="b">
        <v>1</v>
      </c>
      <c r="G1963" s="37">
        <v>0</v>
      </c>
      <c r="H1963" s="37" t="b">
        <v>0</v>
      </c>
    </row>
    <row r="1964" spans="1:8" x14ac:dyDescent="0.3">
      <c r="A1964" s="37" t="s">
        <v>126</v>
      </c>
      <c r="B1964" s="38">
        <v>140000</v>
      </c>
      <c r="E1964" s="37" t="b">
        <v>0</v>
      </c>
      <c r="F1964" s="37" t="b">
        <v>1</v>
      </c>
      <c r="G1964" s="37">
        <v>0</v>
      </c>
      <c r="H1964" s="37" t="b">
        <v>0</v>
      </c>
    </row>
    <row r="1965" spans="1:8" x14ac:dyDescent="0.3">
      <c r="A1965" s="37" t="s">
        <v>0</v>
      </c>
      <c r="B1965" s="38">
        <v>165000</v>
      </c>
      <c r="E1965" s="37" t="b">
        <v>0</v>
      </c>
      <c r="F1965" s="37" t="b">
        <v>1</v>
      </c>
      <c r="G1965" s="37">
        <v>0</v>
      </c>
      <c r="H1965" s="37" t="b">
        <v>0</v>
      </c>
    </row>
    <row r="1966" spans="1:8" x14ac:dyDescent="0.3">
      <c r="A1966" s="37" t="s">
        <v>2</v>
      </c>
      <c r="B1966" s="38"/>
      <c r="E1966" s="37" t="b">
        <v>1</v>
      </c>
      <c r="F1966" s="37" t="b">
        <v>0</v>
      </c>
      <c r="G1966" s="37">
        <v>0</v>
      </c>
      <c r="H1966" s="37" t="b">
        <v>0</v>
      </c>
    </row>
    <row r="1967" spans="1:8" x14ac:dyDescent="0.3">
      <c r="A1967" s="37" t="s">
        <v>128</v>
      </c>
      <c r="B1967" s="38">
        <v>167500</v>
      </c>
      <c r="E1967" s="37" t="b">
        <v>0</v>
      </c>
      <c r="F1967" s="37" t="b">
        <v>1</v>
      </c>
      <c r="G1967" s="37">
        <v>0</v>
      </c>
      <c r="H1967" s="37" t="b">
        <v>0</v>
      </c>
    </row>
    <row r="1968" spans="1:8" x14ac:dyDescent="0.3">
      <c r="A1968" s="37" t="s">
        <v>0</v>
      </c>
      <c r="B1968" s="38">
        <v>165000</v>
      </c>
      <c r="E1968" s="37" t="b">
        <v>0</v>
      </c>
      <c r="F1968" s="37" t="b">
        <v>1</v>
      </c>
      <c r="G1968" s="37">
        <v>0</v>
      </c>
      <c r="H1968" s="37" t="b">
        <v>0</v>
      </c>
    </row>
    <row r="1969" spans="1:8" x14ac:dyDescent="0.3">
      <c r="A1969" s="37" t="s">
        <v>0</v>
      </c>
      <c r="B1969" s="38">
        <v>200000</v>
      </c>
      <c r="E1969" s="37" t="b">
        <v>0</v>
      </c>
      <c r="F1969" s="37" t="b">
        <v>1</v>
      </c>
      <c r="G1969" s="37">
        <v>0</v>
      </c>
      <c r="H1969" s="37" t="b">
        <v>0</v>
      </c>
    </row>
    <row r="1970" spans="1:8" x14ac:dyDescent="0.3">
      <c r="A1970" s="37" t="s">
        <v>128</v>
      </c>
      <c r="B1970" s="38">
        <v>190000</v>
      </c>
      <c r="E1970" s="37" t="b">
        <v>0</v>
      </c>
      <c r="F1970" s="37" t="b">
        <v>1</v>
      </c>
      <c r="G1970" s="37">
        <v>0</v>
      </c>
      <c r="H1970" s="37" t="b">
        <v>0</v>
      </c>
    </row>
    <row r="1971" spans="1:8" x14ac:dyDescent="0.3">
      <c r="A1971" s="37" t="s">
        <v>4</v>
      </c>
      <c r="B1971" s="38"/>
      <c r="E1971" s="37" t="b">
        <v>0</v>
      </c>
      <c r="F1971" s="37" t="b">
        <v>0</v>
      </c>
      <c r="G1971" s="37">
        <v>0</v>
      </c>
      <c r="H1971" s="37" t="b">
        <v>0</v>
      </c>
    </row>
    <row r="1972" spans="1:8" x14ac:dyDescent="0.3">
      <c r="A1972" s="37" t="s">
        <v>4</v>
      </c>
      <c r="B1972" s="38">
        <v>127500</v>
      </c>
      <c r="E1972" s="37" t="b">
        <v>0</v>
      </c>
      <c r="F1972" s="37" t="b">
        <v>1</v>
      </c>
      <c r="G1972" s="37">
        <v>0</v>
      </c>
      <c r="H1972" s="37" t="b">
        <v>0</v>
      </c>
    </row>
    <row r="1973" spans="1:8" x14ac:dyDescent="0.3">
      <c r="A1973" s="37" t="s">
        <v>2</v>
      </c>
      <c r="B1973" s="38">
        <v>110000</v>
      </c>
      <c r="E1973" s="37" t="b">
        <v>1</v>
      </c>
      <c r="F1973" s="37" t="b">
        <v>1</v>
      </c>
      <c r="G1973" s="37">
        <v>1</v>
      </c>
      <c r="H1973" s="37">
        <v>110000</v>
      </c>
    </row>
    <row r="1974" spans="1:8" x14ac:dyDescent="0.3">
      <c r="A1974" s="37" t="s">
        <v>4</v>
      </c>
      <c r="B1974" s="38">
        <v>102500</v>
      </c>
      <c r="E1974" s="37" t="b">
        <v>0</v>
      </c>
      <c r="F1974" s="37" t="b">
        <v>1</v>
      </c>
      <c r="G1974" s="37">
        <v>0</v>
      </c>
      <c r="H1974" s="37" t="b">
        <v>0</v>
      </c>
    </row>
    <row r="1975" spans="1:8" x14ac:dyDescent="0.3">
      <c r="A1975" s="37" t="s">
        <v>126</v>
      </c>
      <c r="B1975" s="38"/>
      <c r="E1975" s="37" t="b">
        <v>0</v>
      </c>
      <c r="F1975" s="37" t="b">
        <v>0</v>
      </c>
      <c r="G1975" s="37">
        <v>0</v>
      </c>
      <c r="H1975" s="37" t="b">
        <v>0</v>
      </c>
    </row>
    <row r="1976" spans="1:8" x14ac:dyDescent="0.3">
      <c r="A1976" s="37" t="s">
        <v>2</v>
      </c>
      <c r="B1976" s="38">
        <v>50000</v>
      </c>
      <c r="E1976" s="37" t="b">
        <v>1</v>
      </c>
      <c r="F1976" s="37" t="b">
        <v>1</v>
      </c>
      <c r="G1976" s="37">
        <v>1</v>
      </c>
      <c r="H1976" s="37">
        <v>50000</v>
      </c>
    </row>
    <row r="1977" spans="1:8" x14ac:dyDescent="0.3">
      <c r="A1977" s="37" t="s">
        <v>2</v>
      </c>
      <c r="B1977" s="38"/>
      <c r="E1977" s="37" t="b">
        <v>1</v>
      </c>
      <c r="F1977" s="37" t="b">
        <v>0</v>
      </c>
      <c r="G1977" s="37">
        <v>0</v>
      </c>
      <c r="H1977" s="37" t="b">
        <v>0</v>
      </c>
    </row>
    <row r="1978" spans="1:8" x14ac:dyDescent="0.3">
      <c r="A1978" s="37" t="s">
        <v>2</v>
      </c>
      <c r="B1978" s="38">
        <v>55000</v>
      </c>
      <c r="E1978" s="37" t="b">
        <v>1</v>
      </c>
      <c r="F1978" s="37" t="b">
        <v>1</v>
      </c>
      <c r="G1978" s="37">
        <v>1</v>
      </c>
      <c r="H1978" s="37">
        <v>55000</v>
      </c>
    </row>
    <row r="1979" spans="1:8" x14ac:dyDescent="0.3">
      <c r="A1979" s="37" t="s">
        <v>2</v>
      </c>
      <c r="B1979" s="38"/>
      <c r="E1979" s="37" t="b">
        <v>1</v>
      </c>
      <c r="F1979" s="37" t="b">
        <v>0</v>
      </c>
      <c r="G1979" s="37">
        <v>0</v>
      </c>
      <c r="H1979" s="37" t="b">
        <v>0</v>
      </c>
    </row>
    <row r="1980" spans="1:8" x14ac:dyDescent="0.3">
      <c r="A1980" s="37" t="s">
        <v>128</v>
      </c>
      <c r="B1980" s="38">
        <v>160000</v>
      </c>
      <c r="E1980" s="37" t="b">
        <v>0</v>
      </c>
      <c r="F1980" s="37" t="b">
        <v>1</v>
      </c>
      <c r="G1980" s="37">
        <v>0</v>
      </c>
      <c r="H1980" s="37" t="b">
        <v>0</v>
      </c>
    </row>
    <row r="1981" spans="1:8" x14ac:dyDescent="0.3">
      <c r="A1981" s="37" t="s">
        <v>125</v>
      </c>
      <c r="B1981" s="38"/>
      <c r="E1981" s="37" t="b">
        <v>0</v>
      </c>
      <c r="F1981" s="37" t="b">
        <v>0</v>
      </c>
      <c r="G1981" s="37">
        <v>0</v>
      </c>
      <c r="H1981" s="37" t="b">
        <v>0</v>
      </c>
    </row>
    <row r="1982" spans="1:8" x14ac:dyDescent="0.3">
      <c r="A1982" s="37" t="s">
        <v>52</v>
      </c>
      <c r="B1982" s="38">
        <v>172500</v>
      </c>
      <c r="E1982" s="37" t="b">
        <v>0</v>
      </c>
      <c r="F1982" s="37" t="b">
        <v>1</v>
      </c>
      <c r="G1982" s="37">
        <v>0</v>
      </c>
      <c r="H1982" s="37" t="b">
        <v>0</v>
      </c>
    </row>
    <row r="1983" spans="1:8" x14ac:dyDescent="0.3">
      <c r="A1983" s="37" t="s">
        <v>125</v>
      </c>
      <c r="B1983" s="38">
        <v>165000</v>
      </c>
      <c r="E1983" s="37" t="b">
        <v>0</v>
      </c>
      <c r="F1983" s="37" t="b">
        <v>1</v>
      </c>
      <c r="G1983" s="37">
        <v>0</v>
      </c>
      <c r="H1983" s="37" t="b">
        <v>0</v>
      </c>
    </row>
    <row r="1984" spans="1:8" x14ac:dyDescent="0.3">
      <c r="A1984" s="37" t="s">
        <v>2</v>
      </c>
      <c r="B1984" s="38">
        <v>112500</v>
      </c>
      <c r="E1984" s="37" t="b">
        <v>1</v>
      </c>
      <c r="F1984" s="37" t="b">
        <v>1</v>
      </c>
      <c r="G1984" s="37">
        <v>1</v>
      </c>
      <c r="H1984" s="37">
        <v>112500</v>
      </c>
    </row>
    <row r="1985" spans="1:8" x14ac:dyDescent="0.3">
      <c r="A1985" s="37" t="s">
        <v>4</v>
      </c>
      <c r="B1985" s="38">
        <v>115000</v>
      </c>
      <c r="E1985" s="37" t="b">
        <v>0</v>
      </c>
      <c r="F1985" s="37" t="b">
        <v>1</v>
      </c>
      <c r="G1985" s="37">
        <v>0</v>
      </c>
      <c r="H1985" s="37" t="b">
        <v>0</v>
      </c>
    </row>
    <row r="1986" spans="1:8" x14ac:dyDescent="0.3">
      <c r="A1986" s="37" t="s">
        <v>128</v>
      </c>
      <c r="B1986" s="38">
        <v>210000</v>
      </c>
      <c r="E1986" s="37" t="b">
        <v>0</v>
      </c>
      <c r="F1986" s="37" t="b">
        <v>1</v>
      </c>
      <c r="G1986" s="37">
        <v>0</v>
      </c>
      <c r="H1986" s="37" t="b">
        <v>0</v>
      </c>
    </row>
    <row r="1987" spans="1:8" x14ac:dyDescent="0.3">
      <c r="A1987" s="37" t="s">
        <v>126</v>
      </c>
      <c r="B1987" s="38">
        <v>155000</v>
      </c>
      <c r="E1987" s="37" t="b">
        <v>0</v>
      </c>
      <c r="F1987" s="37" t="b">
        <v>1</v>
      </c>
      <c r="G1987" s="37">
        <v>0</v>
      </c>
      <c r="H1987" s="37" t="b">
        <v>0</v>
      </c>
    </row>
    <row r="1988" spans="1:8" x14ac:dyDescent="0.3">
      <c r="A1988" s="37" t="s">
        <v>0</v>
      </c>
      <c r="B1988" s="38">
        <v>234000</v>
      </c>
      <c r="E1988" s="37" t="b">
        <v>0</v>
      </c>
      <c r="F1988" s="37" t="b">
        <v>1</v>
      </c>
      <c r="G1988" s="37">
        <v>0</v>
      </c>
      <c r="H1988" s="37" t="b">
        <v>0</v>
      </c>
    </row>
    <row r="1989" spans="1:8" x14ac:dyDescent="0.3">
      <c r="A1989" s="37" t="s">
        <v>4</v>
      </c>
      <c r="B1989" s="38">
        <v>127500</v>
      </c>
      <c r="E1989" s="37" t="b">
        <v>0</v>
      </c>
      <c r="F1989" s="37" t="b">
        <v>1</v>
      </c>
      <c r="G1989" s="37">
        <v>0</v>
      </c>
      <c r="H1989" s="37" t="b">
        <v>0</v>
      </c>
    </row>
    <row r="1990" spans="1:8" x14ac:dyDescent="0.3">
      <c r="A1990" s="37" t="s">
        <v>2</v>
      </c>
      <c r="B1990" s="38">
        <v>111500</v>
      </c>
      <c r="E1990" s="37" t="b">
        <v>1</v>
      </c>
      <c r="F1990" s="37" t="b">
        <v>1</v>
      </c>
      <c r="G1990" s="37">
        <v>1</v>
      </c>
      <c r="H1990" s="37">
        <v>111500</v>
      </c>
    </row>
    <row r="1991" spans="1:8" x14ac:dyDescent="0.3">
      <c r="A1991" s="37" t="s">
        <v>2</v>
      </c>
      <c r="B1991" s="38"/>
      <c r="E1991" s="37" t="b">
        <v>1</v>
      </c>
      <c r="F1991" s="37" t="b">
        <v>0</v>
      </c>
      <c r="G1991" s="37">
        <v>0</v>
      </c>
      <c r="H1991" s="37" t="b">
        <v>0</v>
      </c>
    </row>
    <row r="1992" spans="1:8" x14ac:dyDescent="0.3">
      <c r="A1992" s="37" t="s">
        <v>0</v>
      </c>
      <c r="B1992" s="38">
        <v>157500</v>
      </c>
      <c r="E1992" s="37" t="b">
        <v>0</v>
      </c>
      <c r="F1992" s="37" t="b">
        <v>1</v>
      </c>
      <c r="G1992" s="37">
        <v>0</v>
      </c>
      <c r="H1992" s="37" t="b">
        <v>0</v>
      </c>
    </row>
    <row r="1993" spans="1:8" x14ac:dyDescent="0.3">
      <c r="A1993" s="37" t="s">
        <v>128</v>
      </c>
      <c r="B1993" s="38">
        <v>150000</v>
      </c>
      <c r="E1993" s="37" t="b">
        <v>0</v>
      </c>
      <c r="F1993" s="37" t="b">
        <v>1</v>
      </c>
      <c r="G1993" s="37">
        <v>0</v>
      </c>
      <c r="H1993" s="37" t="b">
        <v>0</v>
      </c>
    </row>
    <row r="1994" spans="1:8" x14ac:dyDescent="0.3">
      <c r="A1994" s="37" t="s">
        <v>0</v>
      </c>
      <c r="B1994" s="38">
        <v>143500</v>
      </c>
      <c r="E1994" s="37" t="b">
        <v>0</v>
      </c>
      <c r="F1994" s="37" t="b">
        <v>1</v>
      </c>
      <c r="G1994" s="37">
        <v>0</v>
      </c>
      <c r="H1994" s="37" t="b">
        <v>0</v>
      </c>
    </row>
    <row r="1995" spans="1:8" x14ac:dyDescent="0.3">
      <c r="A1995" s="37" t="s">
        <v>126</v>
      </c>
      <c r="B1995" s="38"/>
      <c r="E1995" s="37" t="b">
        <v>0</v>
      </c>
      <c r="F1995" s="37" t="b">
        <v>0</v>
      </c>
      <c r="G1995" s="37">
        <v>0</v>
      </c>
      <c r="H1995" s="37" t="b">
        <v>0</v>
      </c>
    </row>
    <row r="1996" spans="1:8" x14ac:dyDescent="0.3">
      <c r="A1996" s="37" t="s">
        <v>2</v>
      </c>
      <c r="B1996" s="38"/>
      <c r="E1996" s="37" t="b">
        <v>1</v>
      </c>
      <c r="F1996" s="37" t="b">
        <v>0</v>
      </c>
      <c r="G1996" s="37">
        <v>0</v>
      </c>
      <c r="H1996" s="37" t="b">
        <v>0</v>
      </c>
    </row>
    <row r="1997" spans="1:8" x14ac:dyDescent="0.3">
      <c r="A1997" s="37" t="s">
        <v>125</v>
      </c>
      <c r="B1997" s="38">
        <v>130000</v>
      </c>
      <c r="E1997" s="37" t="b">
        <v>0</v>
      </c>
      <c r="F1997" s="37" t="b">
        <v>1</v>
      </c>
      <c r="G1997" s="37">
        <v>0</v>
      </c>
      <c r="H1997" s="37" t="b">
        <v>0</v>
      </c>
    </row>
    <row r="1998" spans="1:8" x14ac:dyDescent="0.3">
      <c r="A1998" s="37" t="s">
        <v>0</v>
      </c>
      <c r="B1998" s="38">
        <v>167500</v>
      </c>
      <c r="E1998" s="37" t="b">
        <v>0</v>
      </c>
      <c r="F1998" s="37" t="b">
        <v>1</v>
      </c>
      <c r="G1998" s="37">
        <v>0</v>
      </c>
      <c r="H1998" s="37" t="b">
        <v>0</v>
      </c>
    </row>
    <row r="1999" spans="1:8" x14ac:dyDescent="0.3">
      <c r="A1999" s="37" t="s">
        <v>0</v>
      </c>
      <c r="B1999" s="38">
        <v>117500</v>
      </c>
      <c r="E1999" s="37" t="b">
        <v>0</v>
      </c>
      <c r="F1999" s="37" t="b">
        <v>1</v>
      </c>
      <c r="G1999" s="37">
        <v>0</v>
      </c>
      <c r="H1999" s="37" t="b">
        <v>0</v>
      </c>
    </row>
    <row r="2000" spans="1:8" x14ac:dyDescent="0.3">
      <c r="A2000" s="37" t="s">
        <v>126</v>
      </c>
      <c r="B2000" s="38"/>
      <c r="E2000" s="37" t="b">
        <v>0</v>
      </c>
      <c r="F2000" s="37" t="b">
        <v>0</v>
      </c>
      <c r="G2000" s="37">
        <v>0</v>
      </c>
      <c r="H2000" s="37" t="b">
        <v>0</v>
      </c>
    </row>
    <row r="2001" spans="1:8" x14ac:dyDescent="0.3">
      <c r="A2001" s="37" t="s">
        <v>126</v>
      </c>
      <c r="B2001" s="38">
        <v>155000</v>
      </c>
      <c r="E2001" s="37" t="b">
        <v>0</v>
      </c>
      <c r="F2001" s="37" t="b">
        <v>1</v>
      </c>
      <c r="G2001" s="37">
        <v>0</v>
      </c>
      <c r="H2001" s="37" t="b">
        <v>0</v>
      </c>
    </row>
    <row r="2002" spans="1:8" x14ac:dyDescent="0.3">
      <c r="A2002" s="37" t="s">
        <v>4</v>
      </c>
      <c r="B2002" s="38">
        <v>127500</v>
      </c>
      <c r="E2002" s="37" t="b">
        <v>0</v>
      </c>
      <c r="F2002" s="37" t="b">
        <v>1</v>
      </c>
      <c r="G2002" s="37">
        <v>0</v>
      </c>
      <c r="H2002" s="37" t="b">
        <v>0</v>
      </c>
    </row>
    <row r="2003" spans="1:8" x14ac:dyDescent="0.3">
      <c r="A2003" s="37" t="s">
        <v>2</v>
      </c>
      <c r="B2003" s="38"/>
      <c r="E2003" s="37" t="b">
        <v>1</v>
      </c>
      <c r="F2003" s="37" t="b">
        <v>0</v>
      </c>
      <c r="G2003" s="37">
        <v>0</v>
      </c>
      <c r="H2003" s="37" t="b">
        <v>0</v>
      </c>
    </row>
    <row r="2004" spans="1:8" x14ac:dyDescent="0.3">
      <c r="A2004" s="37" t="s">
        <v>4</v>
      </c>
      <c r="B2004" s="38">
        <v>120000</v>
      </c>
      <c r="E2004" s="37" t="b">
        <v>0</v>
      </c>
      <c r="F2004" s="37" t="b">
        <v>1</v>
      </c>
      <c r="G2004" s="37">
        <v>0</v>
      </c>
      <c r="H2004" s="37" t="b">
        <v>0</v>
      </c>
    </row>
    <row r="2005" spans="1:8" x14ac:dyDescent="0.3">
      <c r="A2005" s="37" t="s">
        <v>2</v>
      </c>
      <c r="B2005" s="38">
        <v>102500</v>
      </c>
      <c r="E2005" s="37" t="b">
        <v>1</v>
      </c>
      <c r="F2005" s="37" t="b">
        <v>1</v>
      </c>
      <c r="G2005" s="37">
        <v>1</v>
      </c>
      <c r="H2005" s="37">
        <v>102500</v>
      </c>
    </row>
    <row r="2006" spans="1:8" x14ac:dyDescent="0.3">
      <c r="A2006" s="37" t="s">
        <v>0</v>
      </c>
      <c r="B2006" s="38"/>
      <c r="E2006" s="37" t="b">
        <v>0</v>
      </c>
      <c r="F2006" s="37" t="b">
        <v>0</v>
      </c>
      <c r="G2006" s="37">
        <v>0</v>
      </c>
      <c r="H2006" s="37" t="b">
        <v>0</v>
      </c>
    </row>
    <row r="2007" spans="1:8" x14ac:dyDescent="0.3">
      <c r="A2007" s="37" t="s">
        <v>2</v>
      </c>
      <c r="B2007" s="38"/>
      <c r="E2007" s="37" t="b">
        <v>1</v>
      </c>
      <c r="F2007" s="37" t="b">
        <v>0</v>
      </c>
      <c r="G2007" s="37">
        <v>0</v>
      </c>
      <c r="H2007" s="37" t="b">
        <v>0</v>
      </c>
    </row>
    <row r="2008" spans="1:8" x14ac:dyDescent="0.3">
      <c r="A2008" s="37" t="s">
        <v>0</v>
      </c>
      <c r="B2008" s="38">
        <v>157500</v>
      </c>
      <c r="E2008" s="37" t="b">
        <v>0</v>
      </c>
      <c r="F2008" s="37" t="b">
        <v>1</v>
      </c>
      <c r="G2008" s="37">
        <v>0</v>
      </c>
      <c r="H2008" s="37" t="b">
        <v>0</v>
      </c>
    </row>
    <row r="2009" spans="1:8" x14ac:dyDescent="0.3">
      <c r="A2009" s="37" t="s">
        <v>2</v>
      </c>
      <c r="B2009" s="38"/>
      <c r="E2009" s="37" t="b">
        <v>1</v>
      </c>
      <c r="F2009" s="37" t="b">
        <v>0</v>
      </c>
      <c r="G2009" s="37">
        <v>0</v>
      </c>
      <c r="H2009" s="37" t="b">
        <v>0</v>
      </c>
    </row>
    <row r="2010" spans="1:8" x14ac:dyDescent="0.3">
      <c r="A2010" s="37" t="s">
        <v>0</v>
      </c>
      <c r="B2010" s="38">
        <v>70000</v>
      </c>
      <c r="E2010" s="37" t="b">
        <v>0</v>
      </c>
      <c r="F2010" s="37" t="b">
        <v>1</v>
      </c>
      <c r="G2010" s="37">
        <v>0</v>
      </c>
      <c r="H2010" s="37" t="b">
        <v>0</v>
      </c>
    </row>
    <row r="2011" spans="1:8" x14ac:dyDescent="0.3">
      <c r="A2011" s="37" t="s">
        <v>0</v>
      </c>
      <c r="B2011" s="38">
        <v>115000</v>
      </c>
      <c r="E2011" s="37" t="b">
        <v>0</v>
      </c>
      <c r="F2011" s="37" t="b">
        <v>1</v>
      </c>
      <c r="G2011" s="37">
        <v>0</v>
      </c>
      <c r="H2011" s="37" t="b">
        <v>0</v>
      </c>
    </row>
    <row r="2012" spans="1:8" x14ac:dyDescent="0.3">
      <c r="A2012" s="37" t="s">
        <v>0</v>
      </c>
      <c r="B2012" s="38">
        <v>175000</v>
      </c>
      <c r="E2012" s="37" t="b">
        <v>0</v>
      </c>
      <c r="F2012" s="37" t="b">
        <v>1</v>
      </c>
      <c r="G2012" s="37">
        <v>0</v>
      </c>
      <c r="H2012" s="37" t="b">
        <v>0</v>
      </c>
    </row>
    <row r="2013" spans="1:8" x14ac:dyDescent="0.3">
      <c r="A2013" s="37" t="s">
        <v>4</v>
      </c>
      <c r="B2013" s="38">
        <v>205000</v>
      </c>
      <c r="E2013" s="37" t="b">
        <v>0</v>
      </c>
      <c r="F2013" s="37" t="b">
        <v>1</v>
      </c>
      <c r="G2013" s="37">
        <v>0</v>
      </c>
      <c r="H2013" s="37" t="b">
        <v>0</v>
      </c>
    </row>
    <row r="2014" spans="1:8" x14ac:dyDescent="0.3">
      <c r="A2014" s="37" t="s">
        <v>2</v>
      </c>
      <c r="B2014" s="38">
        <v>120000</v>
      </c>
      <c r="E2014" s="37" t="b">
        <v>1</v>
      </c>
      <c r="F2014" s="37" t="b">
        <v>1</v>
      </c>
      <c r="G2014" s="37">
        <v>1</v>
      </c>
      <c r="H2014" s="37">
        <v>120000</v>
      </c>
    </row>
    <row r="2015" spans="1:8" x14ac:dyDescent="0.3">
      <c r="A2015" s="37" t="s">
        <v>0</v>
      </c>
      <c r="B2015" s="38">
        <v>110000</v>
      </c>
      <c r="E2015" s="37" t="b">
        <v>0</v>
      </c>
      <c r="F2015" s="37" t="b">
        <v>1</v>
      </c>
      <c r="G2015" s="37">
        <v>0</v>
      </c>
      <c r="H2015" s="37" t="b">
        <v>0</v>
      </c>
    </row>
    <row r="2016" spans="1:8" x14ac:dyDescent="0.3">
      <c r="A2016" s="37" t="s">
        <v>2</v>
      </c>
      <c r="B2016" s="38">
        <v>145000</v>
      </c>
      <c r="E2016" s="37" t="b">
        <v>1</v>
      </c>
      <c r="F2016" s="37" t="b">
        <v>1</v>
      </c>
      <c r="G2016" s="37">
        <v>1</v>
      </c>
      <c r="H2016" s="37">
        <v>145000</v>
      </c>
    </row>
    <row r="2017" spans="1:8" x14ac:dyDescent="0.3">
      <c r="A2017" s="37" t="s">
        <v>0</v>
      </c>
      <c r="B2017" s="38">
        <v>150000</v>
      </c>
      <c r="E2017" s="37" t="b">
        <v>0</v>
      </c>
      <c r="F2017" s="37" t="b">
        <v>1</v>
      </c>
      <c r="G2017" s="37">
        <v>0</v>
      </c>
      <c r="H2017" s="37" t="b">
        <v>0</v>
      </c>
    </row>
    <row r="2018" spans="1:8" x14ac:dyDescent="0.3">
      <c r="A2018" s="37" t="s">
        <v>0</v>
      </c>
      <c r="B2018" s="38">
        <v>125000</v>
      </c>
      <c r="E2018" s="37" t="b">
        <v>0</v>
      </c>
      <c r="F2018" s="37" t="b">
        <v>1</v>
      </c>
      <c r="G2018" s="37">
        <v>0</v>
      </c>
      <c r="H2018" s="37" t="b">
        <v>0</v>
      </c>
    </row>
    <row r="2019" spans="1:8" x14ac:dyDescent="0.3">
      <c r="A2019" s="37" t="s">
        <v>128</v>
      </c>
      <c r="B2019" s="38">
        <v>170000</v>
      </c>
      <c r="E2019" s="37" t="b">
        <v>0</v>
      </c>
      <c r="F2019" s="37" t="b">
        <v>1</v>
      </c>
      <c r="G2019" s="37">
        <v>0</v>
      </c>
      <c r="H2019" s="37" t="b">
        <v>0</v>
      </c>
    </row>
    <row r="2020" spans="1:8" x14ac:dyDescent="0.3">
      <c r="A2020" s="37" t="s">
        <v>4</v>
      </c>
      <c r="B2020" s="38"/>
      <c r="E2020" s="37" t="b">
        <v>0</v>
      </c>
      <c r="F2020" s="37" t="b">
        <v>0</v>
      </c>
      <c r="G2020" s="37">
        <v>0</v>
      </c>
      <c r="H2020" s="37" t="b">
        <v>0</v>
      </c>
    </row>
    <row r="2021" spans="1:8" x14ac:dyDescent="0.3">
      <c r="A2021" s="37" t="s">
        <v>2</v>
      </c>
      <c r="B2021" s="38">
        <v>80000</v>
      </c>
      <c r="E2021" s="37" t="b">
        <v>1</v>
      </c>
      <c r="F2021" s="37" t="b">
        <v>1</v>
      </c>
      <c r="G2021" s="37">
        <v>1</v>
      </c>
      <c r="H2021" s="37">
        <v>80000</v>
      </c>
    </row>
    <row r="2022" spans="1:8" x14ac:dyDescent="0.3">
      <c r="A2022" s="37" t="s">
        <v>2</v>
      </c>
      <c r="B2022" s="38"/>
      <c r="E2022" s="37" t="b">
        <v>1</v>
      </c>
      <c r="F2022" s="37" t="b">
        <v>0</v>
      </c>
      <c r="G2022" s="37">
        <v>0</v>
      </c>
      <c r="H2022" s="37" t="b">
        <v>0</v>
      </c>
    </row>
    <row r="2023" spans="1:8" x14ac:dyDescent="0.3">
      <c r="A2023" s="37" t="s">
        <v>0</v>
      </c>
      <c r="B2023" s="38"/>
      <c r="E2023" s="37" t="b">
        <v>0</v>
      </c>
      <c r="F2023" s="37" t="b">
        <v>0</v>
      </c>
      <c r="G2023" s="37">
        <v>0</v>
      </c>
      <c r="H2023" s="37" t="b">
        <v>0</v>
      </c>
    </row>
    <row r="2024" spans="1:8" x14ac:dyDescent="0.3">
      <c r="A2024" s="37" t="s">
        <v>0</v>
      </c>
      <c r="B2024" s="38">
        <v>117500</v>
      </c>
      <c r="E2024" s="37" t="b">
        <v>0</v>
      </c>
      <c r="F2024" s="37" t="b">
        <v>1</v>
      </c>
      <c r="G2024" s="37">
        <v>0</v>
      </c>
      <c r="H2024" s="37" t="b">
        <v>0</v>
      </c>
    </row>
    <row r="2025" spans="1:8" x14ac:dyDescent="0.3">
      <c r="A2025" s="37" t="s">
        <v>2</v>
      </c>
      <c r="B2025" s="38">
        <v>125000</v>
      </c>
      <c r="E2025" s="37" t="b">
        <v>1</v>
      </c>
      <c r="F2025" s="37" t="b">
        <v>1</v>
      </c>
      <c r="G2025" s="37">
        <v>1</v>
      </c>
      <c r="H2025" s="37">
        <v>125000</v>
      </c>
    </row>
    <row r="2026" spans="1:8" x14ac:dyDescent="0.3">
      <c r="A2026" s="37" t="s">
        <v>4</v>
      </c>
      <c r="B2026" s="38">
        <v>144481.5</v>
      </c>
      <c r="E2026" s="37" t="b">
        <v>0</v>
      </c>
      <c r="F2026" s="37" t="b">
        <v>1</v>
      </c>
      <c r="G2026" s="37">
        <v>0</v>
      </c>
      <c r="H2026" s="37" t="b">
        <v>0</v>
      </c>
    </row>
    <row r="2027" spans="1:8" x14ac:dyDescent="0.3">
      <c r="A2027" s="37" t="s">
        <v>2</v>
      </c>
      <c r="B2027" s="38">
        <v>47275.5</v>
      </c>
      <c r="E2027" s="37" t="b">
        <v>1</v>
      </c>
      <c r="F2027" s="37" t="b">
        <v>1</v>
      </c>
      <c r="G2027" s="37">
        <v>1</v>
      </c>
      <c r="H2027" s="37">
        <v>47275.5</v>
      </c>
    </row>
    <row r="2028" spans="1:8" x14ac:dyDescent="0.3">
      <c r="A2028" s="37" t="s">
        <v>2</v>
      </c>
      <c r="B2028" s="38">
        <v>140000</v>
      </c>
      <c r="E2028" s="37" t="b">
        <v>1</v>
      </c>
      <c r="F2028" s="37" t="b">
        <v>1</v>
      </c>
      <c r="G2028" s="37">
        <v>1</v>
      </c>
      <c r="H2028" s="37">
        <v>140000</v>
      </c>
    </row>
    <row r="2029" spans="1:8" x14ac:dyDescent="0.3">
      <c r="A2029" s="37" t="s">
        <v>2</v>
      </c>
      <c r="B2029" s="38">
        <v>75000</v>
      </c>
      <c r="E2029" s="37" t="b">
        <v>1</v>
      </c>
      <c r="F2029" s="37" t="b">
        <v>1</v>
      </c>
      <c r="G2029" s="37">
        <v>1</v>
      </c>
      <c r="H2029" s="37">
        <v>75000</v>
      </c>
    </row>
    <row r="2030" spans="1:8" x14ac:dyDescent="0.3">
      <c r="A2030" s="37" t="s">
        <v>0</v>
      </c>
      <c r="B2030" s="38"/>
      <c r="E2030" s="37" t="b">
        <v>0</v>
      </c>
      <c r="F2030" s="37" t="b">
        <v>0</v>
      </c>
      <c r="G2030" s="37">
        <v>0</v>
      </c>
      <c r="H2030" s="37" t="b">
        <v>0</v>
      </c>
    </row>
    <row r="2031" spans="1:8" x14ac:dyDescent="0.3">
      <c r="A2031" s="37" t="s">
        <v>4</v>
      </c>
      <c r="B2031" s="38"/>
      <c r="E2031" s="37" t="b">
        <v>0</v>
      </c>
      <c r="F2031" s="37" t="b">
        <v>0</v>
      </c>
      <c r="G2031" s="37">
        <v>0</v>
      </c>
      <c r="H2031" s="37" t="b">
        <v>0</v>
      </c>
    </row>
    <row r="2032" spans="1:8" x14ac:dyDescent="0.3">
      <c r="A2032" s="37" t="s">
        <v>0</v>
      </c>
      <c r="B2032" s="38">
        <v>140000</v>
      </c>
      <c r="E2032" s="37" t="b">
        <v>0</v>
      </c>
      <c r="F2032" s="37" t="b">
        <v>1</v>
      </c>
      <c r="G2032" s="37">
        <v>0</v>
      </c>
      <c r="H2032" s="37" t="b">
        <v>0</v>
      </c>
    </row>
    <row r="2033" spans="1:8" x14ac:dyDescent="0.3">
      <c r="A2033" s="37" t="s">
        <v>4</v>
      </c>
      <c r="B2033" s="38"/>
      <c r="E2033" s="37" t="b">
        <v>0</v>
      </c>
      <c r="F2033" s="37" t="b">
        <v>0</v>
      </c>
      <c r="G2033" s="37">
        <v>0</v>
      </c>
      <c r="H2033" s="37" t="b">
        <v>0</v>
      </c>
    </row>
    <row r="2034" spans="1:8" x14ac:dyDescent="0.3">
      <c r="A2034" s="37" t="s">
        <v>52</v>
      </c>
      <c r="B2034" s="38">
        <v>85000</v>
      </c>
      <c r="E2034" s="37" t="b">
        <v>0</v>
      </c>
      <c r="F2034" s="37" t="b">
        <v>1</v>
      </c>
      <c r="G2034" s="37">
        <v>0</v>
      </c>
      <c r="H2034" s="37" t="b">
        <v>0</v>
      </c>
    </row>
    <row r="2035" spans="1:8" x14ac:dyDescent="0.3">
      <c r="A2035" s="37" t="s">
        <v>128</v>
      </c>
      <c r="B2035" s="38">
        <v>165000</v>
      </c>
      <c r="E2035" s="37" t="b">
        <v>0</v>
      </c>
      <c r="F2035" s="37" t="b">
        <v>1</v>
      </c>
      <c r="G2035" s="37">
        <v>0</v>
      </c>
      <c r="H2035" s="37" t="b">
        <v>0</v>
      </c>
    </row>
    <row r="2036" spans="1:8" x14ac:dyDescent="0.3">
      <c r="A2036" s="37" t="s">
        <v>4</v>
      </c>
      <c r="B2036" s="38">
        <v>80000</v>
      </c>
      <c r="E2036" s="37" t="b">
        <v>0</v>
      </c>
      <c r="F2036" s="37" t="b">
        <v>1</v>
      </c>
      <c r="G2036" s="37">
        <v>0</v>
      </c>
      <c r="H2036" s="37" t="b">
        <v>0</v>
      </c>
    </row>
    <row r="2037" spans="1:8" x14ac:dyDescent="0.3">
      <c r="A2037" s="37" t="s">
        <v>0</v>
      </c>
      <c r="B2037" s="38">
        <v>130000</v>
      </c>
      <c r="E2037" s="37" t="b">
        <v>0</v>
      </c>
      <c r="F2037" s="37" t="b">
        <v>1</v>
      </c>
      <c r="G2037" s="37">
        <v>0</v>
      </c>
      <c r="H2037" s="37" t="b">
        <v>0</v>
      </c>
    </row>
    <row r="2038" spans="1:8" x14ac:dyDescent="0.3">
      <c r="A2038" s="37" t="s">
        <v>126</v>
      </c>
      <c r="B2038" s="38">
        <v>125000</v>
      </c>
      <c r="E2038" s="37" t="b">
        <v>0</v>
      </c>
      <c r="F2038" s="37" t="b">
        <v>1</v>
      </c>
      <c r="G2038" s="37">
        <v>0</v>
      </c>
      <c r="H2038" s="37" t="b">
        <v>0</v>
      </c>
    </row>
    <row r="2039" spans="1:8" x14ac:dyDescent="0.3">
      <c r="A2039" s="37" t="s">
        <v>0</v>
      </c>
      <c r="B2039" s="38">
        <v>77500</v>
      </c>
      <c r="E2039" s="37" t="b">
        <v>0</v>
      </c>
      <c r="F2039" s="37" t="b">
        <v>1</v>
      </c>
      <c r="G2039" s="37">
        <v>0</v>
      </c>
      <c r="H2039" s="37" t="b">
        <v>0</v>
      </c>
    </row>
    <row r="2040" spans="1:8" x14ac:dyDescent="0.3">
      <c r="A2040" s="37" t="s">
        <v>4</v>
      </c>
      <c r="B2040" s="38">
        <v>162500</v>
      </c>
      <c r="E2040" s="37" t="b">
        <v>0</v>
      </c>
      <c r="F2040" s="37" t="b">
        <v>1</v>
      </c>
      <c r="G2040" s="37">
        <v>0</v>
      </c>
      <c r="H2040" s="37" t="b">
        <v>0</v>
      </c>
    </row>
    <row r="2041" spans="1:8" x14ac:dyDescent="0.3">
      <c r="A2041" s="37" t="s">
        <v>126</v>
      </c>
      <c r="B2041" s="38">
        <v>127500</v>
      </c>
      <c r="E2041" s="37" t="b">
        <v>0</v>
      </c>
      <c r="F2041" s="37" t="b">
        <v>1</v>
      </c>
      <c r="G2041" s="37">
        <v>0</v>
      </c>
      <c r="H2041" s="37" t="b">
        <v>0</v>
      </c>
    </row>
    <row r="2042" spans="1:8" x14ac:dyDescent="0.3">
      <c r="A2042" s="37" t="s">
        <v>125</v>
      </c>
      <c r="B2042" s="38"/>
      <c r="E2042" s="37" t="b">
        <v>0</v>
      </c>
      <c r="F2042" s="37" t="b">
        <v>0</v>
      </c>
      <c r="G2042" s="37">
        <v>0</v>
      </c>
      <c r="H2042" s="37" t="b">
        <v>0</v>
      </c>
    </row>
    <row r="2043" spans="1:8" x14ac:dyDescent="0.3">
      <c r="A2043" s="37" t="s">
        <v>0</v>
      </c>
      <c r="B2043" s="38">
        <v>172500</v>
      </c>
      <c r="E2043" s="37" t="b">
        <v>0</v>
      </c>
      <c r="F2043" s="37" t="b">
        <v>1</v>
      </c>
      <c r="G2043" s="37">
        <v>0</v>
      </c>
      <c r="H2043" s="37" t="b">
        <v>0</v>
      </c>
    </row>
    <row r="2044" spans="1:8" x14ac:dyDescent="0.3">
      <c r="A2044" s="37" t="s">
        <v>2</v>
      </c>
      <c r="B2044" s="38">
        <v>85000</v>
      </c>
      <c r="E2044" s="37" t="b">
        <v>1</v>
      </c>
      <c r="F2044" s="37" t="b">
        <v>1</v>
      </c>
      <c r="G2044" s="37">
        <v>1</v>
      </c>
      <c r="H2044" s="37">
        <v>85000</v>
      </c>
    </row>
    <row r="2045" spans="1:8" x14ac:dyDescent="0.3">
      <c r="A2045" s="37" t="s">
        <v>4</v>
      </c>
      <c r="B2045" s="38"/>
      <c r="E2045" s="37" t="b">
        <v>0</v>
      </c>
      <c r="F2045" s="37" t="b">
        <v>0</v>
      </c>
      <c r="G2045" s="37">
        <v>0</v>
      </c>
      <c r="H2045" s="37" t="b">
        <v>0</v>
      </c>
    </row>
    <row r="2046" spans="1:8" x14ac:dyDescent="0.3">
      <c r="A2046" s="37" t="s">
        <v>2</v>
      </c>
      <c r="B2046" s="38"/>
      <c r="E2046" s="37" t="b">
        <v>1</v>
      </c>
      <c r="F2046" s="37" t="b">
        <v>0</v>
      </c>
      <c r="G2046" s="37">
        <v>0</v>
      </c>
      <c r="H2046" s="37" t="b">
        <v>0</v>
      </c>
    </row>
    <row r="2047" spans="1:8" x14ac:dyDescent="0.3">
      <c r="A2047" s="37" t="s">
        <v>2</v>
      </c>
      <c r="B2047" s="38"/>
      <c r="E2047" s="37" t="b">
        <v>1</v>
      </c>
      <c r="F2047" s="37" t="b">
        <v>0</v>
      </c>
      <c r="G2047" s="37">
        <v>0</v>
      </c>
      <c r="H2047" s="37" t="b">
        <v>0</v>
      </c>
    </row>
    <row r="2048" spans="1:8" x14ac:dyDescent="0.3">
      <c r="A2048" s="37" t="s">
        <v>0</v>
      </c>
      <c r="B2048" s="38"/>
      <c r="E2048" s="37" t="b">
        <v>0</v>
      </c>
      <c r="F2048" s="37" t="b">
        <v>0</v>
      </c>
      <c r="G2048" s="37">
        <v>0</v>
      </c>
      <c r="H2048" s="37" t="b">
        <v>0</v>
      </c>
    </row>
    <row r="2049" spans="1:8" x14ac:dyDescent="0.3">
      <c r="A2049" s="37" t="s">
        <v>0</v>
      </c>
      <c r="B2049" s="38">
        <v>140000</v>
      </c>
      <c r="E2049" s="37" t="b">
        <v>0</v>
      </c>
      <c r="F2049" s="37" t="b">
        <v>1</v>
      </c>
      <c r="G2049" s="37">
        <v>0</v>
      </c>
      <c r="H2049" s="37" t="b">
        <v>0</v>
      </c>
    </row>
    <row r="2050" spans="1:8" x14ac:dyDescent="0.3">
      <c r="A2050" s="37" t="s">
        <v>4</v>
      </c>
      <c r="B2050" s="38">
        <v>105000</v>
      </c>
      <c r="E2050" s="37" t="b">
        <v>0</v>
      </c>
      <c r="F2050" s="37" t="b">
        <v>1</v>
      </c>
      <c r="G2050" s="37">
        <v>0</v>
      </c>
      <c r="H2050" s="37" t="b">
        <v>0</v>
      </c>
    </row>
    <row r="2051" spans="1:8" x14ac:dyDescent="0.3">
      <c r="A2051" s="37" t="s">
        <v>4</v>
      </c>
      <c r="B2051" s="38"/>
      <c r="E2051" s="37" t="b">
        <v>0</v>
      </c>
      <c r="F2051" s="37" t="b">
        <v>0</v>
      </c>
      <c r="G2051" s="37">
        <v>0</v>
      </c>
      <c r="H2051" s="37" t="b">
        <v>0</v>
      </c>
    </row>
    <row r="2052" spans="1:8" x14ac:dyDescent="0.3">
      <c r="A2052" s="37" t="s">
        <v>4</v>
      </c>
      <c r="B2052" s="38">
        <v>97500</v>
      </c>
      <c r="E2052" s="37" t="b">
        <v>0</v>
      </c>
      <c r="F2052" s="37" t="b">
        <v>1</v>
      </c>
      <c r="G2052" s="37">
        <v>0</v>
      </c>
      <c r="H2052" s="37" t="b">
        <v>0</v>
      </c>
    </row>
    <row r="2053" spans="1:8" x14ac:dyDescent="0.3">
      <c r="A2053" s="37" t="s">
        <v>4</v>
      </c>
      <c r="B2053" s="38">
        <v>103000</v>
      </c>
      <c r="E2053" s="37" t="b">
        <v>0</v>
      </c>
      <c r="F2053" s="37" t="b">
        <v>1</v>
      </c>
      <c r="G2053" s="37">
        <v>0</v>
      </c>
      <c r="H2053" s="37" t="b">
        <v>0</v>
      </c>
    </row>
    <row r="2054" spans="1:8" x14ac:dyDescent="0.3">
      <c r="A2054" s="37" t="s">
        <v>2</v>
      </c>
      <c r="B2054" s="38"/>
      <c r="E2054" s="37" t="b">
        <v>1</v>
      </c>
      <c r="F2054" s="37" t="b">
        <v>0</v>
      </c>
      <c r="G2054" s="37">
        <v>0</v>
      </c>
      <c r="H2054" s="37" t="b">
        <v>0</v>
      </c>
    </row>
    <row r="2055" spans="1:8" x14ac:dyDescent="0.3">
      <c r="A2055" s="37" t="s">
        <v>125</v>
      </c>
      <c r="B2055" s="38">
        <v>120000</v>
      </c>
      <c r="E2055" s="37" t="b">
        <v>0</v>
      </c>
      <c r="F2055" s="37" t="b">
        <v>1</v>
      </c>
      <c r="G2055" s="37">
        <v>0</v>
      </c>
      <c r="H2055" s="37" t="b">
        <v>0</v>
      </c>
    </row>
    <row r="2056" spans="1:8" x14ac:dyDescent="0.3">
      <c r="A2056" s="37" t="s">
        <v>4</v>
      </c>
      <c r="B2056" s="38">
        <v>142500</v>
      </c>
      <c r="E2056" s="37" t="b">
        <v>0</v>
      </c>
      <c r="F2056" s="37" t="b">
        <v>1</v>
      </c>
      <c r="G2056" s="37">
        <v>0</v>
      </c>
      <c r="H2056" s="37" t="b">
        <v>0</v>
      </c>
    </row>
    <row r="2057" spans="1:8" x14ac:dyDescent="0.3">
      <c r="A2057" s="37" t="s">
        <v>126</v>
      </c>
      <c r="B2057" s="38">
        <v>190000</v>
      </c>
      <c r="E2057" s="37" t="b">
        <v>0</v>
      </c>
      <c r="F2057" s="37" t="b">
        <v>1</v>
      </c>
      <c r="G2057" s="37">
        <v>0</v>
      </c>
      <c r="H2057" s="37" t="b">
        <v>0</v>
      </c>
    </row>
    <row r="2058" spans="1:8" x14ac:dyDescent="0.3">
      <c r="A2058" s="37" t="s">
        <v>0</v>
      </c>
      <c r="B2058" s="38">
        <v>114500</v>
      </c>
      <c r="E2058" s="37" t="b">
        <v>0</v>
      </c>
      <c r="F2058" s="37" t="b">
        <v>1</v>
      </c>
      <c r="G2058" s="37">
        <v>0</v>
      </c>
      <c r="H2058" s="37" t="b">
        <v>0</v>
      </c>
    </row>
    <row r="2059" spans="1:8" x14ac:dyDescent="0.3">
      <c r="A2059" s="37" t="s">
        <v>0</v>
      </c>
      <c r="B2059" s="38">
        <v>132500</v>
      </c>
      <c r="E2059" s="37" t="b">
        <v>0</v>
      </c>
      <c r="F2059" s="37" t="b">
        <v>1</v>
      </c>
      <c r="G2059" s="37">
        <v>0</v>
      </c>
      <c r="H2059" s="37" t="b">
        <v>0</v>
      </c>
    </row>
    <row r="2060" spans="1:8" x14ac:dyDescent="0.3">
      <c r="A2060" s="37" t="s">
        <v>0</v>
      </c>
      <c r="B2060" s="38"/>
      <c r="E2060" s="37" t="b">
        <v>0</v>
      </c>
      <c r="F2060" s="37" t="b">
        <v>0</v>
      </c>
      <c r="G2060" s="37">
        <v>0</v>
      </c>
      <c r="H2060" s="37" t="b">
        <v>0</v>
      </c>
    </row>
    <row r="2061" spans="1:8" x14ac:dyDescent="0.3">
      <c r="A2061" s="37" t="s">
        <v>52</v>
      </c>
      <c r="B2061" s="38">
        <v>77500</v>
      </c>
      <c r="E2061" s="37" t="b">
        <v>0</v>
      </c>
      <c r="F2061" s="37" t="b">
        <v>1</v>
      </c>
      <c r="G2061" s="37">
        <v>0</v>
      </c>
      <c r="H2061" s="37" t="b">
        <v>0</v>
      </c>
    </row>
    <row r="2062" spans="1:8" x14ac:dyDescent="0.3">
      <c r="A2062" s="37" t="s">
        <v>2</v>
      </c>
      <c r="B2062" s="38">
        <v>124444</v>
      </c>
      <c r="E2062" s="37" t="b">
        <v>1</v>
      </c>
      <c r="F2062" s="37" t="b">
        <v>1</v>
      </c>
      <c r="G2062" s="37">
        <v>1</v>
      </c>
      <c r="H2062" s="37">
        <v>124444</v>
      </c>
    </row>
    <row r="2063" spans="1:8" x14ac:dyDescent="0.3">
      <c r="A2063" s="37" t="s">
        <v>2</v>
      </c>
      <c r="B2063" s="38">
        <v>222500</v>
      </c>
      <c r="E2063" s="37" t="b">
        <v>1</v>
      </c>
      <c r="F2063" s="37" t="b">
        <v>1</v>
      </c>
      <c r="G2063" s="37">
        <v>1</v>
      </c>
      <c r="H2063" s="37">
        <v>222500</v>
      </c>
    </row>
    <row r="2064" spans="1:8" x14ac:dyDescent="0.3">
      <c r="A2064" s="37" t="s">
        <v>2</v>
      </c>
      <c r="B2064" s="38">
        <v>118222</v>
      </c>
      <c r="E2064" s="37" t="b">
        <v>1</v>
      </c>
      <c r="F2064" s="37" t="b">
        <v>1</v>
      </c>
      <c r="G2064" s="37">
        <v>1</v>
      </c>
      <c r="H2064" s="37">
        <v>118222</v>
      </c>
    </row>
    <row r="2065" spans="1:8" x14ac:dyDescent="0.3">
      <c r="A2065" s="37" t="s">
        <v>2</v>
      </c>
      <c r="B2065" s="38">
        <v>215500</v>
      </c>
      <c r="E2065" s="37" t="b">
        <v>1</v>
      </c>
      <c r="F2065" s="37" t="b">
        <v>1</v>
      </c>
      <c r="G2065" s="37">
        <v>1</v>
      </c>
      <c r="H2065" s="37">
        <v>215500</v>
      </c>
    </row>
    <row r="2066" spans="1:8" x14ac:dyDescent="0.3">
      <c r="A2066" s="37" t="s">
        <v>128</v>
      </c>
      <c r="B2066" s="38">
        <v>186960</v>
      </c>
      <c r="E2066" s="37" t="b">
        <v>0</v>
      </c>
      <c r="F2066" s="37" t="b">
        <v>1</v>
      </c>
      <c r="G2066" s="37">
        <v>0</v>
      </c>
      <c r="H2066" s="37" t="b">
        <v>0</v>
      </c>
    </row>
    <row r="2067" spans="1:8" x14ac:dyDescent="0.3">
      <c r="A2067" s="37" t="s">
        <v>0</v>
      </c>
      <c r="B2067" s="38">
        <v>196800</v>
      </c>
      <c r="E2067" s="37" t="b">
        <v>0</v>
      </c>
      <c r="F2067" s="37" t="b">
        <v>1</v>
      </c>
      <c r="G2067" s="37">
        <v>0</v>
      </c>
      <c r="H2067" s="37" t="b">
        <v>0</v>
      </c>
    </row>
    <row r="2068" spans="1:8" x14ac:dyDescent="0.3">
      <c r="A2068" s="37" t="s">
        <v>0</v>
      </c>
      <c r="B2068" s="38">
        <v>224500</v>
      </c>
      <c r="E2068" s="37" t="b">
        <v>0</v>
      </c>
      <c r="F2068" s="37" t="b">
        <v>1</v>
      </c>
      <c r="G2068" s="37">
        <v>0</v>
      </c>
      <c r="H2068" s="37" t="b">
        <v>0</v>
      </c>
    </row>
    <row r="2069" spans="1:8" x14ac:dyDescent="0.3">
      <c r="A2069" s="37" t="s">
        <v>0</v>
      </c>
      <c r="B2069" s="38">
        <v>209955.5</v>
      </c>
      <c r="E2069" s="37" t="b">
        <v>0</v>
      </c>
      <c r="F2069" s="37" t="b">
        <v>1</v>
      </c>
      <c r="G2069" s="37">
        <v>0</v>
      </c>
      <c r="H2069" s="37" t="b">
        <v>0</v>
      </c>
    </row>
    <row r="2070" spans="1:8" x14ac:dyDescent="0.3">
      <c r="A2070" s="37" t="s">
        <v>0</v>
      </c>
      <c r="B2070" s="38">
        <v>161955.5</v>
      </c>
      <c r="E2070" s="37" t="b">
        <v>0</v>
      </c>
      <c r="F2070" s="37" t="b">
        <v>1</v>
      </c>
      <c r="G2070" s="37">
        <v>0</v>
      </c>
      <c r="H2070" s="37" t="b">
        <v>0</v>
      </c>
    </row>
    <row r="2071" spans="1:8" x14ac:dyDescent="0.3">
      <c r="A2071" s="37" t="s">
        <v>0</v>
      </c>
      <c r="B2071" s="38">
        <v>196800</v>
      </c>
      <c r="E2071" s="37" t="b">
        <v>0</v>
      </c>
      <c r="F2071" s="37" t="b">
        <v>1</v>
      </c>
      <c r="G2071" s="37">
        <v>0</v>
      </c>
      <c r="H2071" s="37" t="b">
        <v>0</v>
      </c>
    </row>
    <row r="2072" spans="1:8" x14ac:dyDescent="0.3">
      <c r="A2072" s="37" t="s">
        <v>128</v>
      </c>
      <c r="B2072" s="38">
        <v>211511</v>
      </c>
      <c r="E2072" s="37" t="b">
        <v>0</v>
      </c>
      <c r="F2072" s="37" t="b">
        <v>1</v>
      </c>
      <c r="G2072" s="37">
        <v>0</v>
      </c>
      <c r="H2072" s="37" t="b">
        <v>0</v>
      </c>
    </row>
    <row r="2073" spans="1:8" x14ac:dyDescent="0.3">
      <c r="A2073" s="37" t="s">
        <v>128</v>
      </c>
      <c r="B2073" s="38">
        <v>196800</v>
      </c>
      <c r="E2073" s="37" t="b">
        <v>0</v>
      </c>
      <c r="F2073" s="37" t="b">
        <v>1</v>
      </c>
      <c r="G2073" s="37">
        <v>0</v>
      </c>
      <c r="H2073" s="37" t="b">
        <v>0</v>
      </c>
    </row>
    <row r="2074" spans="1:8" x14ac:dyDescent="0.3">
      <c r="A2074" s="37" t="s">
        <v>0</v>
      </c>
      <c r="B2074" s="38">
        <v>224500</v>
      </c>
      <c r="E2074" s="37" t="b">
        <v>0</v>
      </c>
      <c r="F2074" s="37" t="b">
        <v>1</v>
      </c>
      <c r="G2074" s="37">
        <v>0</v>
      </c>
      <c r="H2074" s="37" t="b">
        <v>0</v>
      </c>
    </row>
    <row r="2075" spans="1:8" x14ac:dyDescent="0.3">
      <c r="A2075" s="37" t="s">
        <v>0</v>
      </c>
      <c r="B2075" s="38">
        <v>158857.5</v>
      </c>
      <c r="E2075" s="37" t="b">
        <v>0</v>
      </c>
      <c r="F2075" s="37" t="b">
        <v>1</v>
      </c>
      <c r="G2075" s="37">
        <v>0</v>
      </c>
      <c r="H2075" s="37" t="b">
        <v>0</v>
      </c>
    </row>
    <row r="2076" spans="1:8" x14ac:dyDescent="0.3">
      <c r="A2076" s="37" t="s">
        <v>0</v>
      </c>
      <c r="B2076" s="38">
        <v>199000</v>
      </c>
      <c r="E2076" s="37" t="b">
        <v>0</v>
      </c>
      <c r="F2076" s="37" t="b">
        <v>1</v>
      </c>
      <c r="G2076" s="37">
        <v>0</v>
      </c>
      <c r="H2076" s="37" t="b">
        <v>0</v>
      </c>
    </row>
    <row r="2077" spans="1:8" x14ac:dyDescent="0.3">
      <c r="A2077" s="37" t="s">
        <v>0</v>
      </c>
      <c r="B2077" s="38">
        <v>224500</v>
      </c>
      <c r="E2077" s="37" t="b">
        <v>0</v>
      </c>
      <c r="F2077" s="37" t="b">
        <v>1</v>
      </c>
      <c r="G2077" s="37">
        <v>0</v>
      </c>
      <c r="H2077" s="37" t="b">
        <v>0</v>
      </c>
    </row>
    <row r="2078" spans="1:8" x14ac:dyDescent="0.3">
      <c r="A2078" s="37" t="s">
        <v>0</v>
      </c>
      <c r="B2078" s="38">
        <v>158857.5</v>
      </c>
      <c r="E2078" s="37" t="b">
        <v>0</v>
      </c>
      <c r="F2078" s="37" t="b">
        <v>1</v>
      </c>
      <c r="G2078" s="37">
        <v>0</v>
      </c>
      <c r="H2078" s="37" t="b">
        <v>0</v>
      </c>
    </row>
    <row r="2079" spans="1:8" x14ac:dyDescent="0.3">
      <c r="A2079" s="37" t="s">
        <v>0</v>
      </c>
      <c r="B2079" s="38">
        <v>224500</v>
      </c>
      <c r="E2079" s="37" t="b">
        <v>0</v>
      </c>
      <c r="F2079" s="37" t="b">
        <v>1</v>
      </c>
      <c r="G2079" s="37">
        <v>0</v>
      </c>
      <c r="H2079" s="37" t="b">
        <v>0</v>
      </c>
    </row>
    <row r="2080" spans="1:8" x14ac:dyDescent="0.3">
      <c r="A2080" s="37" t="s">
        <v>128</v>
      </c>
      <c r="B2080" s="38">
        <v>196800</v>
      </c>
      <c r="E2080" s="37" t="b">
        <v>0</v>
      </c>
      <c r="F2080" s="37" t="b">
        <v>1</v>
      </c>
      <c r="G2080" s="37">
        <v>0</v>
      </c>
      <c r="H2080" s="37" t="b">
        <v>0</v>
      </c>
    </row>
    <row r="2081" spans="1:8" x14ac:dyDescent="0.3">
      <c r="A2081" s="37" t="s">
        <v>0</v>
      </c>
      <c r="B2081" s="38">
        <v>224500</v>
      </c>
      <c r="E2081" s="37" t="b">
        <v>0</v>
      </c>
      <c r="F2081" s="37" t="b">
        <v>1</v>
      </c>
      <c r="G2081" s="37">
        <v>0</v>
      </c>
      <c r="H2081" s="37" t="b">
        <v>0</v>
      </c>
    </row>
    <row r="2082" spans="1:8" x14ac:dyDescent="0.3">
      <c r="A2082" s="37" t="s">
        <v>0</v>
      </c>
      <c r="B2082" s="38">
        <v>224500</v>
      </c>
      <c r="E2082" s="37" t="b">
        <v>0</v>
      </c>
      <c r="F2082" s="37" t="b">
        <v>1</v>
      </c>
      <c r="G2082" s="37">
        <v>0</v>
      </c>
      <c r="H2082" s="37" t="b">
        <v>0</v>
      </c>
    </row>
    <row r="2083" spans="1:8" x14ac:dyDescent="0.3">
      <c r="A2083" s="37" t="s">
        <v>0</v>
      </c>
      <c r="B2083" s="38">
        <v>234500</v>
      </c>
      <c r="E2083" s="37" t="b">
        <v>0</v>
      </c>
      <c r="F2083" s="37" t="b">
        <v>1</v>
      </c>
      <c r="G2083" s="37">
        <v>0</v>
      </c>
      <c r="H2083" s="37" t="b">
        <v>0</v>
      </c>
    </row>
    <row r="2084" spans="1:8" x14ac:dyDescent="0.3">
      <c r="A2084" s="37" t="s">
        <v>128</v>
      </c>
      <c r="B2084" s="38">
        <v>200935.5</v>
      </c>
      <c r="E2084" s="37" t="b">
        <v>0</v>
      </c>
      <c r="F2084" s="37" t="b">
        <v>1</v>
      </c>
      <c r="G2084" s="37">
        <v>0</v>
      </c>
      <c r="H2084" s="37" t="b">
        <v>0</v>
      </c>
    </row>
    <row r="2085" spans="1:8" x14ac:dyDescent="0.3">
      <c r="A2085" s="37" t="s">
        <v>4</v>
      </c>
      <c r="B2085" s="38">
        <v>105000</v>
      </c>
      <c r="E2085" s="37" t="b">
        <v>0</v>
      </c>
      <c r="F2085" s="37" t="b">
        <v>1</v>
      </c>
      <c r="G2085" s="37">
        <v>0</v>
      </c>
      <c r="H2085" s="37" t="b">
        <v>0</v>
      </c>
    </row>
    <row r="2086" spans="1:8" x14ac:dyDescent="0.3">
      <c r="A2086" s="37" t="s">
        <v>2</v>
      </c>
      <c r="B2086" s="38">
        <v>90000</v>
      </c>
      <c r="E2086" s="37" t="b">
        <v>1</v>
      </c>
      <c r="F2086" s="37" t="b">
        <v>1</v>
      </c>
      <c r="G2086" s="37">
        <v>1</v>
      </c>
      <c r="H2086" s="37">
        <v>90000</v>
      </c>
    </row>
    <row r="2087" spans="1:8" x14ac:dyDescent="0.3">
      <c r="A2087" s="37" t="s">
        <v>129</v>
      </c>
      <c r="B2087" s="38">
        <v>150000</v>
      </c>
      <c r="E2087" s="37" t="b">
        <v>0</v>
      </c>
      <c r="F2087" s="37" t="b">
        <v>1</v>
      </c>
      <c r="G2087" s="37">
        <v>0</v>
      </c>
      <c r="H2087" s="37" t="b">
        <v>0</v>
      </c>
    </row>
    <row r="2088" spans="1:8" x14ac:dyDescent="0.3">
      <c r="A2088" s="37" t="s">
        <v>4</v>
      </c>
      <c r="B2088" s="38">
        <v>120000</v>
      </c>
      <c r="E2088" s="37" t="b">
        <v>0</v>
      </c>
      <c r="F2088" s="37" t="b">
        <v>1</v>
      </c>
      <c r="G2088" s="37">
        <v>0</v>
      </c>
      <c r="H2088" s="37" t="b">
        <v>0</v>
      </c>
    </row>
    <row r="2089" spans="1:8" x14ac:dyDescent="0.3">
      <c r="A2089" s="37" t="s">
        <v>125</v>
      </c>
      <c r="B2089" s="38">
        <v>110000</v>
      </c>
      <c r="E2089" s="37" t="b">
        <v>0</v>
      </c>
      <c r="F2089" s="37" t="b">
        <v>1</v>
      </c>
      <c r="G2089" s="37">
        <v>0</v>
      </c>
      <c r="H2089" s="37" t="b">
        <v>0</v>
      </c>
    </row>
    <row r="2090" spans="1:8" x14ac:dyDescent="0.3">
      <c r="A2090" s="37" t="s">
        <v>2</v>
      </c>
      <c r="B2090" s="38"/>
      <c r="E2090" s="37" t="b">
        <v>1</v>
      </c>
      <c r="F2090" s="37" t="b">
        <v>0</v>
      </c>
      <c r="G2090" s="37">
        <v>0</v>
      </c>
      <c r="H2090" s="37" t="b">
        <v>0</v>
      </c>
    </row>
    <row r="2091" spans="1:8" x14ac:dyDescent="0.3">
      <c r="A2091" s="37" t="s">
        <v>2</v>
      </c>
      <c r="B2091" s="38"/>
      <c r="E2091" s="37" t="b">
        <v>1</v>
      </c>
      <c r="F2091" s="37" t="b">
        <v>0</v>
      </c>
      <c r="G2091" s="37">
        <v>0</v>
      </c>
      <c r="H2091" s="37" t="b">
        <v>0</v>
      </c>
    </row>
    <row r="2092" spans="1:8" x14ac:dyDescent="0.3">
      <c r="A2092" s="37" t="s">
        <v>0</v>
      </c>
      <c r="B2092" s="38">
        <v>195000</v>
      </c>
      <c r="E2092" s="37" t="b">
        <v>0</v>
      </c>
      <c r="F2092" s="37" t="b">
        <v>1</v>
      </c>
      <c r="G2092" s="37">
        <v>0</v>
      </c>
      <c r="H2092" s="37" t="b">
        <v>0</v>
      </c>
    </row>
    <row r="2093" spans="1:8" x14ac:dyDescent="0.3">
      <c r="A2093" s="37" t="s">
        <v>2</v>
      </c>
      <c r="B2093" s="38"/>
      <c r="E2093" s="37" t="b">
        <v>1</v>
      </c>
      <c r="F2093" s="37" t="b">
        <v>0</v>
      </c>
      <c r="G2093" s="37">
        <v>0</v>
      </c>
      <c r="H2093" s="37" t="b">
        <v>0</v>
      </c>
    </row>
    <row r="2094" spans="1:8" x14ac:dyDescent="0.3">
      <c r="A2094" s="37" t="s">
        <v>2</v>
      </c>
      <c r="B2094" s="38"/>
      <c r="E2094" s="37" t="b">
        <v>1</v>
      </c>
      <c r="F2094" s="37" t="b">
        <v>0</v>
      </c>
      <c r="G2094" s="37">
        <v>0</v>
      </c>
      <c r="H2094" s="37" t="b">
        <v>0</v>
      </c>
    </row>
    <row r="2095" spans="1:8" x14ac:dyDescent="0.3">
      <c r="A2095" s="37" t="s">
        <v>0</v>
      </c>
      <c r="B2095" s="38">
        <v>195000</v>
      </c>
      <c r="E2095" s="37" t="b">
        <v>0</v>
      </c>
      <c r="F2095" s="37" t="b">
        <v>1</v>
      </c>
      <c r="G2095" s="37">
        <v>0</v>
      </c>
      <c r="H2095" s="37" t="b">
        <v>0</v>
      </c>
    </row>
    <row r="2096" spans="1:8" x14ac:dyDescent="0.3">
      <c r="A2096" s="37" t="s">
        <v>126</v>
      </c>
      <c r="B2096" s="38"/>
      <c r="E2096" s="37" t="b">
        <v>0</v>
      </c>
      <c r="F2096" s="37" t="b">
        <v>0</v>
      </c>
      <c r="G2096" s="37">
        <v>0</v>
      </c>
      <c r="H2096" s="37" t="b">
        <v>0</v>
      </c>
    </row>
    <row r="2097" spans="1:8" x14ac:dyDescent="0.3">
      <c r="A2097" s="37" t="s">
        <v>2</v>
      </c>
      <c r="B2097" s="38"/>
      <c r="E2097" s="37" t="b">
        <v>1</v>
      </c>
      <c r="F2097" s="37" t="b">
        <v>0</v>
      </c>
      <c r="G2097" s="37">
        <v>0</v>
      </c>
      <c r="H2097" s="37" t="b">
        <v>0</v>
      </c>
    </row>
    <row r="2098" spans="1:8" x14ac:dyDescent="0.3">
      <c r="A2098" s="37" t="s">
        <v>2</v>
      </c>
      <c r="B2098" s="38"/>
      <c r="E2098" s="37" t="b">
        <v>1</v>
      </c>
      <c r="F2098" s="37" t="b">
        <v>0</v>
      </c>
      <c r="G2098" s="37">
        <v>0</v>
      </c>
      <c r="H2098" s="37" t="b">
        <v>0</v>
      </c>
    </row>
    <row r="2099" spans="1:8" x14ac:dyDescent="0.3">
      <c r="A2099" s="37" t="s">
        <v>2</v>
      </c>
      <c r="B2099" s="38">
        <v>115000</v>
      </c>
      <c r="E2099" s="37" t="b">
        <v>1</v>
      </c>
      <c r="F2099" s="37" t="b">
        <v>1</v>
      </c>
      <c r="G2099" s="37">
        <v>1</v>
      </c>
      <c r="H2099" s="37">
        <v>115000</v>
      </c>
    </row>
    <row r="2100" spans="1:8" x14ac:dyDescent="0.3">
      <c r="A2100" s="37" t="s">
        <v>0</v>
      </c>
      <c r="B2100" s="38">
        <v>200000</v>
      </c>
      <c r="E2100" s="37" t="b">
        <v>0</v>
      </c>
      <c r="F2100" s="37" t="b">
        <v>1</v>
      </c>
      <c r="G2100" s="37">
        <v>0</v>
      </c>
      <c r="H2100" s="37" t="b">
        <v>0</v>
      </c>
    </row>
    <row r="2101" spans="1:8" x14ac:dyDescent="0.3">
      <c r="A2101" s="37" t="s">
        <v>126</v>
      </c>
      <c r="B2101" s="38">
        <v>150000</v>
      </c>
      <c r="E2101" s="37" t="b">
        <v>0</v>
      </c>
      <c r="F2101" s="37" t="b">
        <v>1</v>
      </c>
      <c r="G2101" s="37">
        <v>0</v>
      </c>
      <c r="H2101" s="37" t="b">
        <v>0</v>
      </c>
    </row>
    <row r="2102" spans="1:8" x14ac:dyDescent="0.3">
      <c r="A2102" s="37" t="s">
        <v>4</v>
      </c>
      <c r="B2102" s="38"/>
      <c r="E2102" s="37" t="b">
        <v>0</v>
      </c>
      <c r="F2102" s="37" t="b">
        <v>0</v>
      </c>
      <c r="G2102" s="37">
        <v>0</v>
      </c>
      <c r="H2102" s="37" t="b">
        <v>0</v>
      </c>
    </row>
    <row r="2103" spans="1:8" x14ac:dyDescent="0.3">
      <c r="A2103" s="37" t="s">
        <v>2</v>
      </c>
      <c r="B2103" s="38"/>
      <c r="E2103" s="37" t="b">
        <v>1</v>
      </c>
      <c r="F2103" s="37" t="b">
        <v>0</v>
      </c>
      <c r="G2103" s="37">
        <v>0</v>
      </c>
      <c r="H2103" s="37" t="b">
        <v>0</v>
      </c>
    </row>
    <row r="2104" spans="1:8" x14ac:dyDescent="0.3">
      <c r="A2104" s="37" t="s">
        <v>2</v>
      </c>
      <c r="B2104" s="38"/>
      <c r="E2104" s="37" t="b">
        <v>1</v>
      </c>
      <c r="F2104" s="37" t="b">
        <v>0</v>
      </c>
      <c r="G2104" s="37">
        <v>0</v>
      </c>
      <c r="H2104" s="37" t="b">
        <v>0</v>
      </c>
    </row>
    <row r="2105" spans="1:8" x14ac:dyDescent="0.3">
      <c r="A2105" s="37" t="s">
        <v>0</v>
      </c>
      <c r="B2105" s="38">
        <v>61022</v>
      </c>
      <c r="E2105" s="37" t="b">
        <v>0</v>
      </c>
      <c r="F2105" s="37" t="b">
        <v>1</v>
      </c>
      <c r="G2105" s="37">
        <v>0</v>
      </c>
      <c r="H2105" s="37" t="b">
        <v>0</v>
      </c>
    </row>
    <row r="2106" spans="1:8" x14ac:dyDescent="0.3">
      <c r="A2106" s="37" t="s">
        <v>128</v>
      </c>
      <c r="B2106" s="38">
        <v>157000</v>
      </c>
      <c r="E2106" s="37" t="b">
        <v>0</v>
      </c>
      <c r="F2106" s="37" t="b">
        <v>1</v>
      </c>
      <c r="G2106" s="37">
        <v>0</v>
      </c>
      <c r="H2106" s="37" t="b">
        <v>0</v>
      </c>
    </row>
    <row r="2107" spans="1:8" x14ac:dyDescent="0.3">
      <c r="A2107" s="37" t="s">
        <v>2</v>
      </c>
      <c r="B2107" s="38"/>
      <c r="E2107" s="37" t="b">
        <v>1</v>
      </c>
      <c r="F2107" s="37" t="b">
        <v>0</v>
      </c>
      <c r="G2107" s="37">
        <v>0</v>
      </c>
      <c r="H2107" s="37" t="b">
        <v>0</v>
      </c>
    </row>
    <row r="2108" spans="1:8" x14ac:dyDescent="0.3">
      <c r="A2108" s="37" t="s">
        <v>125</v>
      </c>
      <c r="B2108" s="38">
        <v>95000</v>
      </c>
      <c r="E2108" s="37" t="b">
        <v>0</v>
      </c>
      <c r="F2108" s="37" t="b">
        <v>1</v>
      </c>
      <c r="G2108" s="37">
        <v>0</v>
      </c>
      <c r="H2108" s="37" t="b">
        <v>0</v>
      </c>
    </row>
    <row r="2109" spans="1:8" x14ac:dyDescent="0.3">
      <c r="A2109" s="37" t="s">
        <v>4</v>
      </c>
      <c r="B2109" s="38">
        <v>98275.5</v>
      </c>
      <c r="E2109" s="37" t="b">
        <v>0</v>
      </c>
      <c r="F2109" s="37" t="b">
        <v>1</v>
      </c>
      <c r="G2109" s="37">
        <v>0</v>
      </c>
      <c r="H2109" s="37" t="b">
        <v>0</v>
      </c>
    </row>
    <row r="2110" spans="1:8" x14ac:dyDescent="0.3">
      <c r="A2110" s="37" t="s">
        <v>125</v>
      </c>
      <c r="B2110" s="38">
        <v>104000</v>
      </c>
      <c r="E2110" s="37" t="b">
        <v>0</v>
      </c>
      <c r="F2110" s="37" t="b">
        <v>1</v>
      </c>
      <c r="G2110" s="37">
        <v>0</v>
      </c>
      <c r="H2110" s="37" t="b">
        <v>0</v>
      </c>
    </row>
    <row r="2111" spans="1:8" x14ac:dyDescent="0.3">
      <c r="A2111" s="37" t="s">
        <v>126</v>
      </c>
      <c r="B2111" s="38"/>
      <c r="E2111" s="37" t="b">
        <v>0</v>
      </c>
      <c r="F2111" s="37" t="b">
        <v>0</v>
      </c>
      <c r="G2111" s="37">
        <v>0</v>
      </c>
      <c r="H2111" s="37" t="b">
        <v>0</v>
      </c>
    </row>
    <row r="2112" spans="1:8" x14ac:dyDescent="0.3">
      <c r="A2112" s="37" t="s">
        <v>0</v>
      </c>
      <c r="B2112" s="38"/>
      <c r="E2112" s="37" t="b">
        <v>0</v>
      </c>
      <c r="F2112" s="37" t="b">
        <v>0</v>
      </c>
      <c r="G2112" s="37">
        <v>0</v>
      </c>
      <c r="H2112" s="37" t="b">
        <v>0</v>
      </c>
    </row>
    <row r="2113" spans="1:8" x14ac:dyDescent="0.3">
      <c r="A2113" s="37" t="s">
        <v>4</v>
      </c>
      <c r="B2113" s="38">
        <v>130000</v>
      </c>
      <c r="E2113" s="37" t="b">
        <v>0</v>
      </c>
      <c r="F2113" s="37" t="b">
        <v>1</v>
      </c>
      <c r="G2113" s="37">
        <v>0</v>
      </c>
      <c r="H2113" s="37" t="b">
        <v>0</v>
      </c>
    </row>
    <row r="2114" spans="1:8" x14ac:dyDescent="0.3">
      <c r="A2114" s="37" t="s">
        <v>2</v>
      </c>
      <c r="B2114" s="38"/>
      <c r="E2114" s="37" t="b">
        <v>1</v>
      </c>
      <c r="F2114" s="37" t="b">
        <v>0</v>
      </c>
      <c r="G2114" s="37">
        <v>0</v>
      </c>
      <c r="H2114" s="37" t="b">
        <v>0</v>
      </c>
    </row>
    <row r="2115" spans="1:8" x14ac:dyDescent="0.3">
      <c r="A2115" s="37" t="s">
        <v>2</v>
      </c>
      <c r="B2115" s="38">
        <v>125000</v>
      </c>
      <c r="E2115" s="37" t="b">
        <v>1</v>
      </c>
      <c r="F2115" s="37" t="b">
        <v>1</v>
      </c>
      <c r="G2115" s="37">
        <v>1</v>
      </c>
      <c r="H2115" s="37">
        <v>125000</v>
      </c>
    </row>
    <row r="2116" spans="1:8" x14ac:dyDescent="0.3">
      <c r="A2116" s="37" t="s">
        <v>0</v>
      </c>
      <c r="B2116" s="38"/>
      <c r="E2116" s="37" t="b">
        <v>0</v>
      </c>
      <c r="F2116" s="37" t="b">
        <v>0</v>
      </c>
      <c r="G2116" s="37">
        <v>0</v>
      </c>
      <c r="H2116" s="37" t="b">
        <v>0</v>
      </c>
    </row>
    <row r="2117" spans="1:8" x14ac:dyDescent="0.3">
      <c r="A2117" s="37" t="s">
        <v>128</v>
      </c>
      <c r="B2117" s="38">
        <v>200000</v>
      </c>
      <c r="E2117" s="37" t="b">
        <v>0</v>
      </c>
      <c r="F2117" s="37" t="b">
        <v>1</v>
      </c>
      <c r="G2117" s="37">
        <v>0</v>
      </c>
      <c r="H2117" s="37" t="b">
        <v>0</v>
      </c>
    </row>
    <row r="2118" spans="1:8" x14ac:dyDescent="0.3">
      <c r="A2118" s="37" t="s">
        <v>2</v>
      </c>
      <c r="B2118" s="38"/>
      <c r="E2118" s="37" t="b">
        <v>1</v>
      </c>
      <c r="F2118" s="37" t="b">
        <v>0</v>
      </c>
      <c r="G2118" s="37">
        <v>0</v>
      </c>
      <c r="H2118" s="37" t="b">
        <v>0</v>
      </c>
    </row>
    <row r="2119" spans="1:8" x14ac:dyDescent="0.3">
      <c r="A2119" s="37" t="s">
        <v>2</v>
      </c>
      <c r="B2119" s="38"/>
      <c r="E2119" s="37" t="b">
        <v>1</v>
      </c>
      <c r="F2119" s="37" t="b">
        <v>0</v>
      </c>
      <c r="G2119" s="37">
        <v>0</v>
      </c>
      <c r="H2119" s="37" t="b">
        <v>0</v>
      </c>
    </row>
    <row r="2120" spans="1:8" x14ac:dyDescent="0.3">
      <c r="A2120" s="37" t="s">
        <v>128</v>
      </c>
      <c r="B2120" s="38">
        <v>175000</v>
      </c>
      <c r="E2120" s="37" t="b">
        <v>0</v>
      </c>
      <c r="F2120" s="37" t="b">
        <v>1</v>
      </c>
      <c r="G2120" s="37">
        <v>0</v>
      </c>
      <c r="H2120" s="37" t="b">
        <v>0</v>
      </c>
    </row>
    <row r="2121" spans="1:8" x14ac:dyDescent="0.3">
      <c r="A2121" s="37" t="s">
        <v>2</v>
      </c>
      <c r="B2121" s="38">
        <v>92500</v>
      </c>
      <c r="E2121" s="37" t="b">
        <v>1</v>
      </c>
      <c r="F2121" s="37" t="b">
        <v>1</v>
      </c>
      <c r="G2121" s="37">
        <v>1</v>
      </c>
      <c r="H2121" s="37">
        <v>92500</v>
      </c>
    </row>
    <row r="2122" spans="1:8" x14ac:dyDescent="0.3">
      <c r="A2122" s="37" t="s">
        <v>2</v>
      </c>
      <c r="B2122" s="38">
        <v>95000</v>
      </c>
      <c r="E2122" s="37" t="b">
        <v>1</v>
      </c>
      <c r="F2122" s="37" t="b">
        <v>1</v>
      </c>
      <c r="G2122" s="37">
        <v>1</v>
      </c>
      <c r="H2122" s="37">
        <v>95000</v>
      </c>
    </row>
    <row r="2123" spans="1:8" x14ac:dyDescent="0.3">
      <c r="A2123" s="37" t="s">
        <v>4</v>
      </c>
      <c r="B2123" s="38"/>
      <c r="E2123" s="37" t="b">
        <v>0</v>
      </c>
      <c r="F2123" s="37" t="b">
        <v>0</v>
      </c>
      <c r="G2123" s="37">
        <v>0</v>
      </c>
      <c r="H2123" s="37" t="b">
        <v>0</v>
      </c>
    </row>
    <row r="2124" spans="1:8" x14ac:dyDescent="0.3">
      <c r="A2124" s="37" t="s">
        <v>129</v>
      </c>
      <c r="B2124" s="38"/>
      <c r="E2124" s="37" t="b">
        <v>0</v>
      </c>
      <c r="F2124" s="37" t="b">
        <v>0</v>
      </c>
      <c r="G2124" s="37">
        <v>0</v>
      </c>
      <c r="H2124" s="37" t="b">
        <v>0</v>
      </c>
    </row>
    <row r="2125" spans="1:8" x14ac:dyDescent="0.3">
      <c r="A2125" s="37" t="s">
        <v>0</v>
      </c>
      <c r="B2125" s="38">
        <v>205000</v>
      </c>
      <c r="E2125" s="37" t="b">
        <v>0</v>
      </c>
      <c r="F2125" s="37" t="b">
        <v>1</v>
      </c>
      <c r="G2125" s="37">
        <v>0</v>
      </c>
      <c r="H2125" s="37" t="b">
        <v>0</v>
      </c>
    </row>
    <row r="2126" spans="1:8" x14ac:dyDescent="0.3">
      <c r="A2126" s="37" t="s">
        <v>0</v>
      </c>
      <c r="B2126" s="38">
        <v>99876.2734375</v>
      </c>
      <c r="E2126" s="37" t="b">
        <v>0</v>
      </c>
      <c r="F2126" s="37" t="b">
        <v>1</v>
      </c>
      <c r="G2126" s="37">
        <v>0</v>
      </c>
      <c r="H2126" s="37" t="b">
        <v>0</v>
      </c>
    </row>
    <row r="2127" spans="1:8" x14ac:dyDescent="0.3">
      <c r="A2127" s="37" t="s">
        <v>128</v>
      </c>
      <c r="B2127" s="38">
        <v>160000</v>
      </c>
      <c r="E2127" s="37" t="b">
        <v>0</v>
      </c>
      <c r="F2127" s="37" t="b">
        <v>1</v>
      </c>
      <c r="G2127" s="37">
        <v>0</v>
      </c>
      <c r="H2127" s="37" t="b">
        <v>0</v>
      </c>
    </row>
    <row r="2128" spans="1:8" x14ac:dyDescent="0.3">
      <c r="A2128" s="37" t="s">
        <v>0</v>
      </c>
      <c r="B2128" s="38">
        <v>190000</v>
      </c>
      <c r="E2128" s="37" t="b">
        <v>0</v>
      </c>
      <c r="F2128" s="37" t="b">
        <v>1</v>
      </c>
      <c r="G2128" s="37">
        <v>0</v>
      </c>
      <c r="H2128" s="37" t="b">
        <v>0</v>
      </c>
    </row>
    <row r="2129" spans="1:8" x14ac:dyDescent="0.3">
      <c r="A2129" s="37" t="s">
        <v>0</v>
      </c>
      <c r="B2129" s="38">
        <v>250000</v>
      </c>
      <c r="E2129" s="37" t="b">
        <v>0</v>
      </c>
      <c r="F2129" s="37" t="b">
        <v>1</v>
      </c>
      <c r="G2129" s="37">
        <v>0</v>
      </c>
      <c r="H2129" s="37" t="b">
        <v>0</v>
      </c>
    </row>
    <row r="2130" spans="1:8" x14ac:dyDescent="0.3">
      <c r="A2130" s="37" t="s">
        <v>2</v>
      </c>
      <c r="B2130" s="38">
        <v>100000</v>
      </c>
      <c r="E2130" s="37" t="b">
        <v>1</v>
      </c>
      <c r="F2130" s="37" t="b">
        <v>1</v>
      </c>
      <c r="G2130" s="37">
        <v>1</v>
      </c>
      <c r="H2130" s="37">
        <v>100000</v>
      </c>
    </row>
    <row r="2131" spans="1:8" x14ac:dyDescent="0.3">
      <c r="A2131" s="37" t="s">
        <v>0</v>
      </c>
      <c r="B2131" s="38">
        <v>157500</v>
      </c>
      <c r="E2131" s="37" t="b">
        <v>0</v>
      </c>
      <c r="F2131" s="37" t="b">
        <v>1</v>
      </c>
      <c r="G2131" s="37">
        <v>0</v>
      </c>
      <c r="H2131" s="37" t="b">
        <v>0</v>
      </c>
    </row>
    <row r="2132" spans="1:8" x14ac:dyDescent="0.3">
      <c r="A2132" s="37" t="s">
        <v>126</v>
      </c>
      <c r="B2132" s="38">
        <v>165000</v>
      </c>
      <c r="E2132" s="37" t="b">
        <v>0</v>
      </c>
      <c r="F2132" s="37" t="b">
        <v>1</v>
      </c>
      <c r="G2132" s="37">
        <v>0</v>
      </c>
      <c r="H2132" s="37" t="b">
        <v>0</v>
      </c>
    </row>
    <row r="2133" spans="1:8" x14ac:dyDescent="0.3">
      <c r="A2133" s="37" t="s">
        <v>2</v>
      </c>
      <c r="B2133" s="38">
        <v>87000</v>
      </c>
      <c r="E2133" s="37" t="b">
        <v>1</v>
      </c>
      <c r="F2133" s="37" t="b">
        <v>1</v>
      </c>
      <c r="G2133" s="37">
        <v>1</v>
      </c>
      <c r="H2133" s="37">
        <v>87000</v>
      </c>
    </row>
    <row r="2134" spans="1:8" x14ac:dyDescent="0.3">
      <c r="A2134" s="37" t="s">
        <v>2</v>
      </c>
      <c r="B2134" s="38">
        <v>71850</v>
      </c>
      <c r="E2134" s="37" t="b">
        <v>1</v>
      </c>
      <c r="F2134" s="37" t="b">
        <v>1</v>
      </c>
      <c r="G2134" s="37">
        <v>1</v>
      </c>
      <c r="H2134" s="37">
        <v>71850</v>
      </c>
    </row>
    <row r="2135" spans="1:8" x14ac:dyDescent="0.3">
      <c r="A2135" s="37" t="s">
        <v>4</v>
      </c>
      <c r="B2135" s="38">
        <v>110000</v>
      </c>
      <c r="E2135" s="37" t="b">
        <v>0</v>
      </c>
      <c r="F2135" s="37" t="b">
        <v>1</v>
      </c>
      <c r="G2135" s="37">
        <v>0</v>
      </c>
      <c r="H2135" s="37" t="b">
        <v>0</v>
      </c>
    </row>
    <row r="2136" spans="1:8" x14ac:dyDescent="0.3">
      <c r="A2136" s="37" t="s">
        <v>0</v>
      </c>
      <c r="B2136" s="38">
        <v>207560</v>
      </c>
      <c r="E2136" s="37" t="b">
        <v>0</v>
      </c>
      <c r="F2136" s="37" t="b">
        <v>1</v>
      </c>
      <c r="G2136" s="37">
        <v>0</v>
      </c>
      <c r="H2136" s="37" t="b">
        <v>0</v>
      </c>
    </row>
    <row r="2137" spans="1:8" x14ac:dyDescent="0.3">
      <c r="A2137" s="37" t="s">
        <v>4</v>
      </c>
      <c r="B2137" s="38"/>
      <c r="E2137" s="37" t="b">
        <v>0</v>
      </c>
      <c r="F2137" s="37" t="b">
        <v>0</v>
      </c>
      <c r="G2137" s="37">
        <v>0</v>
      </c>
      <c r="H2137" s="37" t="b">
        <v>0</v>
      </c>
    </row>
    <row r="2138" spans="1:8" x14ac:dyDescent="0.3">
      <c r="A2138" s="37" t="s">
        <v>2</v>
      </c>
      <c r="B2138" s="38">
        <v>70000</v>
      </c>
      <c r="E2138" s="37" t="b">
        <v>1</v>
      </c>
      <c r="F2138" s="37" t="b">
        <v>1</v>
      </c>
      <c r="G2138" s="37">
        <v>1</v>
      </c>
      <c r="H2138" s="37">
        <v>70000</v>
      </c>
    </row>
    <row r="2139" spans="1:8" x14ac:dyDescent="0.3">
      <c r="A2139" s="37" t="s">
        <v>0</v>
      </c>
      <c r="B2139" s="38">
        <v>187500</v>
      </c>
      <c r="E2139" s="37" t="b">
        <v>0</v>
      </c>
      <c r="F2139" s="37" t="b">
        <v>1</v>
      </c>
      <c r="G2139" s="37">
        <v>0</v>
      </c>
      <c r="H2139" s="37" t="b">
        <v>0</v>
      </c>
    </row>
    <row r="2140" spans="1:8" x14ac:dyDescent="0.3">
      <c r="A2140" s="37" t="s">
        <v>126</v>
      </c>
      <c r="B2140" s="38">
        <v>127500</v>
      </c>
      <c r="E2140" s="37" t="b">
        <v>0</v>
      </c>
      <c r="F2140" s="37" t="b">
        <v>1</v>
      </c>
      <c r="G2140" s="37">
        <v>0</v>
      </c>
      <c r="H2140" s="37" t="b">
        <v>0</v>
      </c>
    </row>
    <row r="2141" spans="1:8" x14ac:dyDescent="0.3">
      <c r="A2141" s="37" t="s">
        <v>126</v>
      </c>
      <c r="B2141" s="38">
        <v>140000</v>
      </c>
      <c r="E2141" s="37" t="b">
        <v>0</v>
      </c>
      <c r="F2141" s="37" t="b">
        <v>1</v>
      </c>
      <c r="G2141" s="37">
        <v>0</v>
      </c>
      <c r="H2141" s="37" t="b">
        <v>0</v>
      </c>
    </row>
    <row r="2142" spans="1:8" x14ac:dyDescent="0.3">
      <c r="A2142" s="37" t="s">
        <v>4</v>
      </c>
      <c r="B2142" s="38">
        <v>140000</v>
      </c>
      <c r="E2142" s="37" t="b">
        <v>0</v>
      </c>
      <c r="F2142" s="37" t="b">
        <v>1</v>
      </c>
      <c r="G2142" s="37">
        <v>0</v>
      </c>
      <c r="H2142" s="37" t="b">
        <v>0</v>
      </c>
    </row>
    <row r="2143" spans="1:8" x14ac:dyDescent="0.3">
      <c r="A2143" s="37" t="s">
        <v>0</v>
      </c>
      <c r="B2143" s="38">
        <v>107500</v>
      </c>
      <c r="E2143" s="37" t="b">
        <v>0</v>
      </c>
      <c r="F2143" s="37" t="b">
        <v>1</v>
      </c>
      <c r="G2143" s="37">
        <v>0</v>
      </c>
      <c r="H2143" s="37" t="b">
        <v>0</v>
      </c>
    </row>
    <row r="2144" spans="1:8" x14ac:dyDescent="0.3">
      <c r="A2144" s="37" t="s">
        <v>0</v>
      </c>
      <c r="B2144" s="38"/>
      <c r="E2144" s="37" t="b">
        <v>0</v>
      </c>
      <c r="F2144" s="37" t="b">
        <v>0</v>
      </c>
      <c r="G2144" s="37">
        <v>0</v>
      </c>
      <c r="H2144" s="37" t="b">
        <v>0</v>
      </c>
    </row>
    <row r="2145" spans="1:8" x14ac:dyDescent="0.3">
      <c r="A2145" s="37" t="s">
        <v>4</v>
      </c>
      <c r="B2145" s="38"/>
      <c r="E2145" s="37" t="b">
        <v>0</v>
      </c>
      <c r="F2145" s="37" t="b">
        <v>0</v>
      </c>
      <c r="G2145" s="37">
        <v>0</v>
      </c>
      <c r="H2145" s="37" t="b">
        <v>0</v>
      </c>
    </row>
    <row r="2146" spans="1:8" x14ac:dyDescent="0.3">
      <c r="A2146" s="37" t="s">
        <v>0</v>
      </c>
      <c r="B2146" s="38">
        <v>225000</v>
      </c>
      <c r="E2146" s="37" t="b">
        <v>0</v>
      </c>
      <c r="F2146" s="37" t="b">
        <v>1</v>
      </c>
      <c r="G2146" s="37">
        <v>0</v>
      </c>
      <c r="H2146" s="37" t="b">
        <v>0</v>
      </c>
    </row>
    <row r="2147" spans="1:8" x14ac:dyDescent="0.3">
      <c r="A2147" s="37" t="s">
        <v>128</v>
      </c>
      <c r="B2147" s="38">
        <v>153000</v>
      </c>
      <c r="E2147" s="37" t="b">
        <v>0</v>
      </c>
      <c r="F2147" s="37" t="b">
        <v>1</v>
      </c>
      <c r="G2147" s="37">
        <v>0</v>
      </c>
      <c r="H2147" s="37" t="b">
        <v>0</v>
      </c>
    </row>
    <row r="2148" spans="1:8" x14ac:dyDescent="0.3">
      <c r="A2148" s="37" t="s">
        <v>4</v>
      </c>
      <c r="B2148" s="38"/>
      <c r="E2148" s="37" t="b">
        <v>0</v>
      </c>
      <c r="F2148" s="37" t="b">
        <v>0</v>
      </c>
      <c r="G2148" s="37">
        <v>0</v>
      </c>
      <c r="H2148" s="37" t="b">
        <v>0</v>
      </c>
    </row>
    <row r="2149" spans="1:8" x14ac:dyDescent="0.3">
      <c r="A2149" s="37" t="s">
        <v>0</v>
      </c>
      <c r="B2149" s="38">
        <v>110000</v>
      </c>
      <c r="E2149" s="37" t="b">
        <v>0</v>
      </c>
      <c r="F2149" s="37" t="b">
        <v>1</v>
      </c>
      <c r="G2149" s="37">
        <v>0</v>
      </c>
      <c r="H2149" s="37" t="b">
        <v>0</v>
      </c>
    </row>
    <row r="2150" spans="1:8" x14ac:dyDescent="0.3">
      <c r="A2150" s="37" t="s">
        <v>52</v>
      </c>
      <c r="B2150" s="38">
        <v>100000</v>
      </c>
      <c r="E2150" s="37" t="b">
        <v>0</v>
      </c>
      <c r="F2150" s="37" t="b">
        <v>1</v>
      </c>
      <c r="G2150" s="37">
        <v>0</v>
      </c>
      <c r="H2150" s="37" t="b">
        <v>0</v>
      </c>
    </row>
    <row r="2151" spans="1:8" x14ac:dyDescent="0.3">
      <c r="A2151" s="37" t="s">
        <v>0</v>
      </c>
      <c r="B2151" s="38">
        <v>157500</v>
      </c>
      <c r="E2151" s="37" t="b">
        <v>0</v>
      </c>
      <c r="F2151" s="37" t="b">
        <v>1</v>
      </c>
      <c r="G2151" s="37">
        <v>0</v>
      </c>
      <c r="H2151" s="37" t="b">
        <v>0</v>
      </c>
    </row>
    <row r="2152" spans="1:8" x14ac:dyDescent="0.3">
      <c r="A2152" s="37" t="s">
        <v>2</v>
      </c>
      <c r="B2152" s="38">
        <v>85000</v>
      </c>
      <c r="E2152" s="37" t="b">
        <v>1</v>
      </c>
      <c r="F2152" s="37" t="b">
        <v>1</v>
      </c>
      <c r="G2152" s="37">
        <v>1</v>
      </c>
      <c r="H2152" s="37">
        <v>85000</v>
      </c>
    </row>
    <row r="2153" spans="1:8" x14ac:dyDescent="0.3">
      <c r="A2153" s="37" t="s">
        <v>0</v>
      </c>
      <c r="B2153" s="38">
        <v>110000</v>
      </c>
      <c r="E2153" s="37" t="b">
        <v>0</v>
      </c>
      <c r="F2153" s="37" t="b">
        <v>1</v>
      </c>
      <c r="G2153" s="37">
        <v>0</v>
      </c>
      <c r="H2153" s="37" t="b">
        <v>0</v>
      </c>
    </row>
    <row r="2154" spans="1:8" x14ac:dyDescent="0.3">
      <c r="A2154" s="37" t="s">
        <v>0</v>
      </c>
      <c r="B2154" s="38"/>
      <c r="E2154" s="37" t="b">
        <v>0</v>
      </c>
      <c r="F2154" s="37" t="b">
        <v>0</v>
      </c>
      <c r="G2154" s="37">
        <v>0</v>
      </c>
      <c r="H2154" s="37" t="b">
        <v>0</v>
      </c>
    </row>
    <row r="2155" spans="1:8" x14ac:dyDescent="0.3">
      <c r="A2155" s="37" t="s">
        <v>0</v>
      </c>
      <c r="B2155" s="38">
        <v>205000</v>
      </c>
      <c r="E2155" s="37" t="b">
        <v>0</v>
      </c>
      <c r="F2155" s="37" t="b">
        <v>1</v>
      </c>
      <c r="G2155" s="37">
        <v>0</v>
      </c>
      <c r="H2155" s="37" t="b">
        <v>0</v>
      </c>
    </row>
    <row r="2156" spans="1:8" x14ac:dyDescent="0.3">
      <c r="A2156" s="37" t="s">
        <v>4</v>
      </c>
      <c r="B2156" s="38">
        <v>120000</v>
      </c>
      <c r="E2156" s="37" t="b">
        <v>0</v>
      </c>
      <c r="F2156" s="37" t="b">
        <v>1</v>
      </c>
      <c r="G2156" s="37">
        <v>0</v>
      </c>
      <c r="H2156" s="37" t="b">
        <v>0</v>
      </c>
    </row>
    <row r="2157" spans="1:8" x14ac:dyDescent="0.3">
      <c r="A2157" s="37" t="s">
        <v>128</v>
      </c>
      <c r="B2157" s="38">
        <v>165000</v>
      </c>
      <c r="E2157" s="37" t="b">
        <v>0</v>
      </c>
      <c r="F2157" s="37" t="b">
        <v>1</v>
      </c>
      <c r="G2157" s="37">
        <v>0</v>
      </c>
      <c r="H2157" s="37" t="b">
        <v>0</v>
      </c>
    </row>
    <row r="2158" spans="1:8" x14ac:dyDescent="0.3">
      <c r="A2158" s="37" t="s">
        <v>2</v>
      </c>
      <c r="B2158" s="38"/>
      <c r="E2158" s="37" t="b">
        <v>1</v>
      </c>
      <c r="F2158" s="37" t="b">
        <v>0</v>
      </c>
      <c r="G2158" s="37">
        <v>0</v>
      </c>
      <c r="H2158" s="37" t="b">
        <v>0</v>
      </c>
    </row>
    <row r="2159" spans="1:8" x14ac:dyDescent="0.3">
      <c r="A2159" s="37" t="s">
        <v>125</v>
      </c>
      <c r="B2159" s="38"/>
      <c r="E2159" s="37" t="b">
        <v>0</v>
      </c>
      <c r="F2159" s="37" t="b">
        <v>0</v>
      </c>
      <c r="G2159" s="37">
        <v>0</v>
      </c>
      <c r="H2159" s="37" t="b">
        <v>0</v>
      </c>
    </row>
    <row r="2160" spans="1:8" x14ac:dyDescent="0.3">
      <c r="A2160" s="37" t="s">
        <v>4</v>
      </c>
      <c r="B2160" s="38">
        <v>122500</v>
      </c>
      <c r="E2160" s="37" t="b">
        <v>0</v>
      </c>
      <c r="F2160" s="37" t="b">
        <v>1</v>
      </c>
      <c r="G2160" s="37">
        <v>0</v>
      </c>
      <c r="H2160" s="37" t="b">
        <v>0</v>
      </c>
    </row>
    <row r="2161" spans="1:8" x14ac:dyDescent="0.3">
      <c r="A2161" s="37" t="s">
        <v>0</v>
      </c>
      <c r="B2161" s="38">
        <v>225000</v>
      </c>
      <c r="E2161" s="37" t="b">
        <v>0</v>
      </c>
      <c r="F2161" s="37" t="b">
        <v>1</v>
      </c>
      <c r="G2161" s="37">
        <v>0</v>
      </c>
      <c r="H2161" s="37" t="b">
        <v>0</v>
      </c>
    </row>
    <row r="2162" spans="1:8" x14ac:dyDescent="0.3">
      <c r="A2162" s="37" t="s">
        <v>4</v>
      </c>
      <c r="B2162" s="38"/>
      <c r="E2162" s="37" t="b">
        <v>0</v>
      </c>
      <c r="F2162" s="37" t="b">
        <v>0</v>
      </c>
      <c r="G2162" s="37">
        <v>0</v>
      </c>
      <c r="H2162" s="37" t="b">
        <v>0</v>
      </c>
    </row>
    <row r="2163" spans="1:8" x14ac:dyDescent="0.3">
      <c r="A2163" s="37" t="s">
        <v>4</v>
      </c>
      <c r="B2163" s="38"/>
      <c r="E2163" s="37" t="b">
        <v>0</v>
      </c>
      <c r="F2163" s="37" t="b">
        <v>0</v>
      </c>
      <c r="G2163" s="37">
        <v>0</v>
      </c>
      <c r="H2163" s="37" t="b">
        <v>0</v>
      </c>
    </row>
    <row r="2164" spans="1:8" x14ac:dyDescent="0.3">
      <c r="A2164" s="37" t="s">
        <v>126</v>
      </c>
      <c r="B2164" s="38">
        <v>150000</v>
      </c>
      <c r="E2164" s="37" t="b">
        <v>0</v>
      </c>
      <c r="F2164" s="37" t="b">
        <v>1</v>
      </c>
      <c r="G2164" s="37">
        <v>0</v>
      </c>
      <c r="H2164" s="37" t="b">
        <v>0</v>
      </c>
    </row>
    <row r="2165" spans="1:8" x14ac:dyDescent="0.3">
      <c r="A2165" s="37" t="s">
        <v>128</v>
      </c>
      <c r="B2165" s="38">
        <v>200000</v>
      </c>
      <c r="E2165" s="37" t="b">
        <v>0</v>
      </c>
      <c r="F2165" s="37" t="b">
        <v>1</v>
      </c>
      <c r="G2165" s="37">
        <v>0</v>
      </c>
      <c r="H2165" s="37" t="b">
        <v>0</v>
      </c>
    </row>
    <row r="2166" spans="1:8" x14ac:dyDescent="0.3">
      <c r="A2166" s="37" t="s">
        <v>0</v>
      </c>
      <c r="B2166" s="38">
        <v>146383</v>
      </c>
      <c r="E2166" s="37" t="b">
        <v>0</v>
      </c>
      <c r="F2166" s="37" t="b">
        <v>1</v>
      </c>
      <c r="G2166" s="37">
        <v>0</v>
      </c>
      <c r="H2166" s="37" t="b">
        <v>0</v>
      </c>
    </row>
    <row r="2167" spans="1:8" x14ac:dyDescent="0.3">
      <c r="A2167" s="37" t="s">
        <v>2</v>
      </c>
      <c r="B2167" s="38">
        <v>75000</v>
      </c>
      <c r="E2167" s="37" t="b">
        <v>1</v>
      </c>
      <c r="F2167" s="37" t="b">
        <v>1</v>
      </c>
      <c r="G2167" s="37">
        <v>1</v>
      </c>
      <c r="H2167" s="37">
        <v>75000</v>
      </c>
    </row>
    <row r="2168" spans="1:8" x14ac:dyDescent="0.3">
      <c r="A2168" s="37" t="s">
        <v>0</v>
      </c>
      <c r="B2168" s="38">
        <v>132500</v>
      </c>
      <c r="E2168" s="37" t="b">
        <v>0</v>
      </c>
      <c r="F2168" s="37" t="b">
        <v>1</v>
      </c>
      <c r="G2168" s="37">
        <v>0</v>
      </c>
      <c r="H2168" s="37" t="b">
        <v>0</v>
      </c>
    </row>
    <row r="2169" spans="1:8" x14ac:dyDescent="0.3">
      <c r="A2169" s="37" t="s">
        <v>0</v>
      </c>
      <c r="B2169" s="38"/>
      <c r="E2169" s="37" t="b">
        <v>0</v>
      </c>
      <c r="F2169" s="37" t="b">
        <v>0</v>
      </c>
      <c r="G2169" s="37">
        <v>0</v>
      </c>
      <c r="H2169" s="37" t="b">
        <v>0</v>
      </c>
    </row>
    <row r="2170" spans="1:8" x14ac:dyDescent="0.3">
      <c r="A2170" s="37" t="s">
        <v>125</v>
      </c>
      <c r="B2170" s="38"/>
      <c r="E2170" s="37" t="b">
        <v>0</v>
      </c>
      <c r="F2170" s="37" t="b">
        <v>0</v>
      </c>
      <c r="G2170" s="37">
        <v>0</v>
      </c>
      <c r="H2170" s="37" t="b">
        <v>0</v>
      </c>
    </row>
    <row r="2171" spans="1:8" x14ac:dyDescent="0.3">
      <c r="A2171" s="37" t="s">
        <v>2</v>
      </c>
      <c r="B2171" s="38">
        <v>85000</v>
      </c>
      <c r="E2171" s="37" t="b">
        <v>1</v>
      </c>
      <c r="F2171" s="37" t="b">
        <v>1</v>
      </c>
      <c r="G2171" s="37">
        <v>1</v>
      </c>
      <c r="H2171" s="37">
        <v>85000</v>
      </c>
    </row>
    <row r="2172" spans="1:8" x14ac:dyDescent="0.3">
      <c r="A2172" s="37" t="s">
        <v>2</v>
      </c>
      <c r="B2172" s="38">
        <v>82500</v>
      </c>
      <c r="E2172" s="37" t="b">
        <v>1</v>
      </c>
      <c r="F2172" s="37" t="b">
        <v>1</v>
      </c>
      <c r="G2172" s="37">
        <v>1</v>
      </c>
      <c r="H2172" s="37">
        <v>82500</v>
      </c>
    </row>
    <row r="2173" spans="1:8" x14ac:dyDescent="0.3">
      <c r="A2173" s="37" t="s">
        <v>2</v>
      </c>
      <c r="B2173" s="38">
        <v>55000</v>
      </c>
      <c r="E2173" s="37" t="b">
        <v>1</v>
      </c>
      <c r="F2173" s="37" t="b">
        <v>1</v>
      </c>
      <c r="G2173" s="37">
        <v>1</v>
      </c>
      <c r="H2173" s="37">
        <v>55000</v>
      </c>
    </row>
    <row r="2174" spans="1:8" x14ac:dyDescent="0.3">
      <c r="A2174" s="37" t="s">
        <v>2</v>
      </c>
      <c r="B2174" s="38">
        <v>85000</v>
      </c>
      <c r="E2174" s="37" t="b">
        <v>1</v>
      </c>
      <c r="F2174" s="37" t="b">
        <v>1</v>
      </c>
      <c r="G2174" s="37">
        <v>1</v>
      </c>
      <c r="H2174" s="37">
        <v>85000</v>
      </c>
    </row>
    <row r="2175" spans="1:8" x14ac:dyDescent="0.3">
      <c r="A2175" s="37" t="s">
        <v>0</v>
      </c>
      <c r="B2175" s="38">
        <v>75000</v>
      </c>
      <c r="E2175" s="37" t="b">
        <v>0</v>
      </c>
      <c r="F2175" s="37" t="b">
        <v>1</v>
      </c>
      <c r="G2175" s="37">
        <v>0</v>
      </c>
      <c r="H2175" s="37" t="b">
        <v>0</v>
      </c>
    </row>
    <row r="2176" spans="1:8" x14ac:dyDescent="0.3">
      <c r="A2176" s="37" t="s">
        <v>2</v>
      </c>
      <c r="B2176" s="38">
        <v>65000</v>
      </c>
      <c r="E2176" s="37" t="b">
        <v>1</v>
      </c>
      <c r="F2176" s="37" t="b">
        <v>1</v>
      </c>
      <c r="G2176" s="37">
        <v>1</v>
      </c>
      <c r="H2176" s="37">
        <v>65000</v>
      </c>
    </row>
    <row r="2177" spans="1:8" x14ac:dyDescent="0.3">
      <c r="A2177" s="37" t="s">
        <v>0</v>
      </c>
      <c r="B2177" s="38"/>
      <c r="E2177" s="37" t="b">
        <v>0</v>
      </c>
      <c r="F2177" s="37" t="b">
        <v>0</v>
      </c>
      <c r="G2177" s="37">
        <v>0</v>
      </c>
      <c r="H2177" s="37" t="b">
        <v>0</v>
      </c>
    </row>
    <row r="2178" spans="1:8" x14ac:dyDescent="0.3">
      <c r="A2178" s="37" t="s">
        <v>2</v>
      </c>
      <c r="B2178" s="38"/>
      <c r="E2178" s="37" t="b">
        <v>1</v>
      </c>
      <c r="F2178" s="37" t="b">
        <v>0</v>
      </c>
      <c r="G2178" s="37">
        <v>0</v>
      </c>
      <c r="H2178" s="37" t="b">
        <v>0</v>
      </c>
    </row>
    <row r="2179" spans="1:8" x14ac:dyDescent="0.3">
      <c r="A2179" s="37" t="s">
        <v>2</v>
      </c>
      <c r="B2179" s="38">
        <v>71500</v>
      </c>
      <c r="E2179" s="37" t="b">
        <v>1</v>
      </c>
      <c r="F2179" s="37" t="b">
        <v>1</v>
      </c>
      <c r="G2179" s="37">
        <v>1</v>
      </c>
      <c r="H2179" s="37">
        <v>71500</v>
      </c>
    </row>
    <row r="2180" spans="1:8" x14ac:dyDescent="0.3">
      <c r="A2180" s="37" t="s">
        <v>2</v>
      </c>
      <c r="B2180" s="38">
        <v>121065</v>
      </c>
      <c r="E2180" s="37" t="b">
        <v>1</v>
      </c>
      <c r="F2180" s="37" t="b">
        <v>1</v>
      </c>
      <c r="G2180" s="37">
        <v>1</v>
      </c>
      <c r="H2180" s="37">
        <v>121065</v>
      </c>
    </row>
    <row r="2181" spans="1:8" x14ac:dyDescent="0.3">
      <c r="A2181" s="37" t="s">
        <v>4</v>
      </c>
      <c r="B2181" s="38"/>
      <c r="E2181" s="37" t="b">
        <v>0</v>
      </c>
      <c r="F2181" s="37" t="b">
        <v>0</v>
      </c>
      <c r="G2181" s="37">
        <v>0</v>
      </c>
      <c r="H2181" s="37" t="b">
        <v>0</v>
      </c>
    </row>
    <row r="2182" spans="1:8" x14ac:dyDescent="0.3">
      <c r="A2182" s="37" t="s">
        <v>52</v>
      </c>
      <c r="B2182" s="38"/>
      <c r="E2182" s="37" t="b">
        <v>0</v>
      </c>
      <c r="F2182" s="37" t="b">
        <v>0</v>
      </c>
      <c r="G2182" s="37">
        <v>0</v>
      </c>
      <c r="H2182" s="37" t="b">
        <v>0</v>
      </c>
    </row>
    <row r="2183" spans="1:8" x14ac:dyDescent="0.3">
      <c r="A2183" s="37" t="s">
        <v>4</v>
      </c>
      <c r="B2183" s="38">
        <v>175000</v>
      </c>
      <c r="E2183" s="37" t="b">
        <v>0</v>
      </c>
      <c r="F2183" s="37" t="b">
        <v>1</v>
      </c>
      <c r="G2183" s="37">
        <v>0</v>
      </c>
      <c r="H2183" s="37" t="b">
        <v>0</v>
      </c>
    </row>
    <row r="2184" spans="1:8" x14ac:dyDescent="0.3">
      <c r="A2184" s="37" t="s">
        <v>0</v>
      </c>
      <c r="B2184" s="38">
        <v>195000</v>
      </c>
      <c r="E2184" s="37" t="b">
        <v>0</v>
      </c>
      <c r="F2184" s="37" t="b">
        <v>1</v>
      </c>
      <c r="G2184" s="37">
        <v>0</v>
      </c>
      <c r="H2184" s="37" t="b">
        <v>0</v>
      </c>
    </row>
    <row r="2185" spans="1:8" x14ac:dyDescent="0.3">
      <c r="A2185" s="37" t="s">
        <v>4</v>
      </c>
      <c r="B2185" s="38">
        <v>145000</v>
      </c>
      <c r="E2185" s="37" t="b">
        <v>0</v>
      </c>
      <c r="F2185" s="37" t="b">
        <v>1</v>
      </c>
      <c r="G2185" s="37">
        <v>0</v>
      </c>
      <c r="H2185" s="37" t="b">
        <v>0</v>
      </c>
    </row>
    <row r="2186" spans="1:8" x14ac:dyDescent="0.3">
      <c r="A2186" s="37" t="s">
        <v>125</v>
      </c>
      <c r="B2186" s="38">
        <v>145000</v>
      </c>
      <c r="E2186" s="37" t="b">
        <v>0</v>
      </c>
      <c r="F2186" s="37" t="b">
        <v>1</v>
      </c>
      <c r="G2186" s="37">
        <v>0</v>
      </c>
      <c r="H2186" s="37" t="b">
        <v>0</v>
      </c>
    </row>
    <row r="2187" spans="1:8" x14ac:dyDescent="0.3">
      <c r="A2187" s="37" t="s">
        <v>0</v>
      </c>
      <c r="B2187" s="38"/>
      <c r="E2187" s="37" t="b">
        <v>0</v>
      </c>
      <c r="F2187" s="37" t="b">
        <v>0</v>
      </c>
      <c r="G2187" s="37">
        <v>0</v>
      </c>
      <c r="H2187" s="37" t="b">
        <v>0</v>
      </c>
    </row>
    <row r="2188" spans="1:8" x14ac:dyDescent="0.3">
      <c r="A2188" s="37" t="s">
        <v>0</v>
      </c>
      <c r="B2188" s="38">
        <v>240000</v>
      </c>
      <c r="E2188" s="37" t="b">
        <v>0</v>
      </c>
      <c r="F2188" s="37" t="b">
        <v>1</v>
      </c>
      <c r="G2188" s="37">
        <v>0</v>
      </c>
      <c r="H2188" s="37" t="b">
        <v>0</v>
      </c>
    </row>
    <row r="2189" spans="1:8" x14ac:dyDescent="0.3">
      <c r="A2189" s="37" t="s">
        <v>2</v>
      </c>
      <c r="B2189" s="38">
        <v>75000</v>
      </c>
      <c r="E2189" s="37" t="b">
        <v>1</v>
      </c>
      <c r="F2189" s="37" t="b">
        <v>1</v>
      </c>
      <c r="G2189" s="37">
        <v>1</v>
      </c>
      <c r="H2189" s="37">
        <v>75000</v>
      </c>
    </row>
    <row r="2190" spans="1:8" x14ac:dyDescent="0.3">
      <c r="A2190" s="37" t="s">
        <v>125</v>
      </c>
      <c r="B2190" s="38">
        <v>92500</v>
      </c>
      <c r="E2190" s="37" t="b">
        <v>0</v>
      </c>
      <c r="F2190" s="37" t="b">
        <v>1</v>
      </c>
      <c r="G2190" s="37">
        <v>0</v>
      </c>
      <c r="H2190" s="37" t="b">
        <v>0</v>
      </c>
    </row>
    <row r="2191" spans="1:8" x14ac:dyDescent="0.3">
      <c r="A2191" s="37" t="s">
        <v>2</v>
      </c>
      <c r="B2191" s="38"/>
      <c r="E2191" s="37" t="b">
        <v>1</v>
      </c>
      <c r="F2191" s="37" t="b">
        <v>0</v>
      </c>
      <c r="G2191" s="37">
        <v>0</v>
      </c>
      <c r="H2191" s="37" t="b">
        <v>0</v>
      </c>
    </row>
    <row r="2192" spans="1:8" x14ac:dyDescent="0.3">
      <c r="A2192" s="37" t="s">
        <v>125</v>
      </c>
      <c r="B2192" s="38">
        <v>90000</v>
      </c>
      <c r="E2192" s="37" t="b">
        <v>0</v>
      </c>
      <c r="F2192" s="37" t="b">
        <v>1</v>
      </c>
      <c r="G2192" s="37">
        <v>0</v>
      </c>
      <c r="H2192" s="37" t="b">
        <v>0</v>
      </c>
    </row>
    <row r="2193" spans="1:8" x14ac:dyDescent="0.3">
      <c r="A2193" s="37" t="s">
        <v>2</v>
      </c>
      <c r="B2193" s="38">
        <v>115000</v>
      </c>
      <c r="E2193" s="37" t="b">
        <v>1</v>
      </c>
      <c r="F2193" s="37" t="b">
        <v>1</v>
      </c>
      <c r="G2193" s="37">
        <v>1</v>
      </c>
      <c r="H2193" s="37">
        <v>115000</v>
      </c>
    </row>
    <row r="2194" spans="1:8" x14ac:dyDescent="0.3">
      <c r="A2194" s="37" t="s">
        <v>0</v>
      </c>
      <c r="B2194" s="38">
        <v>140000</v>
      </c>
      <c r="E2194" s="37" t="b">
        <v>0</v>
      </c>
      <c r="F2194" s="37" t="b">
        <v>1</v>
      </c>
      <c r="G2194" s="37">
        <v>0</v>
      </c>
      <c r="H2194" s="37" t="b">
        <v>0</v>
      </c>
    </row>
    <row r="2195" spans="1:8" x14ac:dyDescent="0.3">
      <c r="A2195" s="37" t="s">
        <v>52</v>
      </c>
      <c r="B2195" s="38">
        <v>77500</v>
      </c>
      <c r="E2195" s="37" t="b">
        <v>0</v>
      </c>
      <c r="F2195" s="37" t="b">
        <v>1</v>
      </c>
      <c r="G2195" s="37">
        <v>0</v>
      </c>
      <c r="H2195" s="37" t="b">
        <v>0</v>
      </c>
    </row>
    <row r="2196" spans="1:8" x14ac:dyDescent="0.3">
      <c r="A2196" s="37" t="s">
        <v>4</v>
      </c>
      <c r="B2196" s="38">
        <v>99500</v>
      </c>
      <c r="E2196" s="37" t="b">
        <v>0</v>
      </c>
      <c r="F2196" s="37" t="b">
        <v>1</v>
      </c>
      <c r="G2196" s="37">
        <v>0</v>
      </c>
      <c r="H2196" s="37" t="b">
        <v>0</v>
      </c>
    </row>
    <row r="2197" spans="1:8" x14ac:dyDescent="0.3">
      <c r="A2197" s="37" t="s">
        <v>4</v>
      </c>
      <c r="B2197" s="38"/>
      <c r="E2197" s="37" t="b">
        <v>0</v>
      </c>
      <c r="F2197" s="37" t="b">
        <v>0</v>
      </c>
      <c r="G2197" s="37">
        <v>0</v>
      </c>
      <c r="H2197" s="37" t="b">
        <v>0</v>
      </c>
    </row>
    <row r="2198" spans="1:8" x14ac:dyDescent="0.3">
      <c r="A2198" s="37" t="s">
        <v>4</v>
      </c>
      <c r="B2198" s="38">
        <v>112500</v>
      </c>
      <c r="E2198" s="37" t="b">
        <v>0</v>
      </c>
      <c r="F2198" s="37" t="b">
        <v>1</v>
      </c>
      <c r="G2198" s="37">
        <v>0</v>
      </c>
      <c r="H2198" s="37" t="b">
        <v>0</v>
      </c>
    </row>
    <row r="2199" spans="1:8" x14ac:dyDescent="0.3">
      <c r="A2199" s="37" t="s">
        <v>128</v>
      </c>
      <c r="B2199" s="38">
        <v>135000</v>
      </c>
      <c r="E2199" s="37" t="b">
        <v>0</v>
      </c>
      <c r="F2199" s="37" t="b">
        <v>1</v>
      </c>
      <c r="G2199" s="37">
        <v>0</v>
      </c>
      <c r="H2199" s="37" t="b">
        <v>0</v>
      </c>
    </row>
    <row r="2200" spans="1:8" x14ac:dyDescent="0.3">
      <c r="A2200" s="37" t="s">
        <v>128</v>
      </c>
      <c r="B2200" s="38">
        <v>135000</v>
      </c>
      <c r="E2200" s="37" t="b">
        <v>0</v>
      </c>
      <c r="F2200" s="37" t="b">
        <v>1</v>
      </c>
      <c r="G2200" s="37">
        <v>0</v>
      </c>
      <c r="H2200" s="37" t="b">
        <v>0</v>
      </c>
    </row>
    <row r="2201" spans="1:8" x14ac:dyDescent="0.3">
      <c r="A2201" s="37" t="s">
        <v>2</v>
      </c>
      <c r="B2201" s="38">
        <v>115000</v>
      </c>
      <c r="E2201" s="37" t="b">
        <v>1</v>
      </c>
      <c r="F2201" s="37" t="b">
        <v>1</v>
      </c>
      <c r="G2201" s="37">
        <v>1</v>
      </c>
      <c r="H2201" s="37">
        <v>115000</v>
      </c>
    </row>
    <row r="2202" spans="1:8" x14ac:dyDescent="0.3">
      <c r="A2202" s="37" t="s">
        <v>2</v>
      </c>
      <c r="B2202" s="38">
        <v>97500</v>
      </c>
      <c r="E2202" s="37" t="b">
        <v>1</v>
      </c>
      <c r="F2202" s="37" t="b">
        <v>1</v>
      </c>
      <c r="G2202" s="37">
        <v>1</v>
      </c>
      <c r="H2202" s="37">
        <v>97500</v>
      </c>
    </row>
    <row r="2203" spans="1:8" x14ac:dyDescent="0.3">
      <c r="A2203" s="37" t="s">
        <v>2</v>
      </c>
      <c r="B2203" s="38"/>
      <c r="E2203" s="37" t="b">
        <v>1</v>
      </c>
      <c r="F2203" s="37" t="b">
        <v>0</v>
      </c>
      <c r="G2203" s="37">
        <v>0</v>
      </c>
      <c r="H2203" s="37" t="b">
        <v>0</v>
      </c>
    </row>
    <row r="2204" spans="1:8" x14ac:dyDescent="0.3">
      <c r="A2204" s="37" t="s">
        <v>0</v>
      </c>
      <c r="B2204" s="38">
        <v>151500</v>
      </c>
      <c r="E2204" s="37" t="b">
        <v>0</v>
      </c>
      <c r="F2204" s="37" t="b">
        <v>1</v>
      </c>
      <c r="G2204" s="37">
        <v>0</v>
      </c>
      <c r="H2204" s="37" t="b">
        <v>0</v>
      </c>
    </row>
    <row r="2205" spans="1:8" x14ac:dyDescent="0.3">
      <c r="A2205" s="37" t="s">
        <v>125</v>
      </c>
      <c r="B2205" s="38">
        <v>120000</v>
      </c>
      <c r="E2205" s="37" t="b">
        <v>0</v>
      </c>
      <c r="F2205" s="37" t="b">
        <v>1</v>
      </c>
      <c r="G2205" s="37">
        <v>0</v>
      </c>
      <c r="H2205" s="37" t="b">
        <v>0</v>
      </c>
    </row>
    <row r="2206" spans="1:8" x14ac:dyDescent="0.3">
      <c r="A2206" s="37" t="s">
        <v>2</v>
      </c>
      <c r="B2206" s="38"/>
      <c r="E2206" s="37" t="b">
        <v>1</v>
      </c>
      <c r="F2206" s="37" t="b">
        <v>0</v>
      </c>
      <c r="G2206" s="37">
        <v>0</v>
      </c>
      <c r="H2206" s="37" t="b">
        <v>0</v>
      </c>
    </row>
    <row r="2207" spans="1:8" x14ac:dyDescent="0.3">
      <c r="A2207" s="37" t="s">
        <v>0</v>
      </c>
      <c r="B2207" s="38">
        <v>130000</v>
      </c>
      <c r="E2207" s="37" t="b">
        <v>0</v>
      </c>
      <c r="F2207" s="37" t="b">
        <v>1</v>
      </c>
      <c r="G2207" s="37">
        <v>0</v>
      </c>
      <c r="H2207" s="37" t="b">
        <v>0</v>
      </c>
    </row>
    <row r="2208" spans="1:8" x14ac:dyDescent="0.3">
      <c r="A2208" s="37" t="s">
        <v>0</v>
      </c>
      <c r="B2208" s="38">
        <v>135000</v>
      </c>
      <c r="E2208" s="37" t="b">
        <v>0</v>
      </c>
      <c r="F2208" s="37" t="b">
        <v>1</v>
      </c>
      <c r="G2208" s="37">
        <v>0</v>
      </c>
      <c r="H2208" s="37" t="b">
        <v>0</v>
      </c>
    </row>
    <row r="2209" spans="1:8" x14ac:dyDescent="0.3">
      <c r="A2209" s="37" t="s">
        <v>128</v>
      </c>
      <c r="B2209" s="38">
        <v>165000</v>
      </c>
      <c r="E2209" s="37" t="b">
        <v>0</v>
      </c>
      <c r="F2209" s="37" t="b">
        <v>1</v>
      </c>
      <c r="G2209" s="37">
        <v>0</v>
      </c>
      <c r="H2209" s="37" t="b">
        <v>0</v>
      </c>
    </row>
    <row r="2210" spans="1:8" x14ac:dyDescent="0.3">
      <c r="A2210" s="37" t="s">
        <v>0</v>
      </c>
      <c r="B2210" s="38"/>
      <c r="E2210" s="37" t="b">
        <v>0</v>
      </c>
      <c r="F2210" s="37" t="b">
        <v>0</v>
      </c>
      <c r="G2210" s="37">
        <v>0</v>
      </c>
      <c r="H2210" s="37" t="b">
        <v>0</v>
      </c>
    </row>
    <row r="2211" spans="1:8" x14ac:dyDescent="0.3">
      <c r="A2211" s="37" t="s">
        <v>4</v>
      </c>
      <c r="B2211" s="38"/>
      <c r="E2211" s="37" t="b">
        <v>0</v>
      </c>
      <c r="F2211" s="37" t="b">
        <v>0</v>
      </c>
      <c r="G2211" s="37">
        <v>0</v>
      </c>
      <c r="H2211" s="37" t="b">
        <v>0</v>
      </c>
    </row>
    <row r="2212" spans="1:8" x14ac:dyDescent="0.3">
      <c r="A2212" s="37" t="s">
        <v>4</v>
      </c>
      <c r="B2212" s="38"/>
      <c r="E2212" s="37" t="b">
        <v>0</v>
      </c>
      <c r="F2212" s="37" t="b">
        <v>0</v>
      </c>
      <c r="G2212" s="37">
        <v>0</v>
      </c>
      <c r="H2212" s="37" t="b">
        <v>0</v>
      </c>
    </row>
    <row r="2213" spans="1:8" x14ac:dyDescent="0.3">
      <c r="A2213" s="37" t="s">
        <v>128</v>
      </c>
      <c r="B2213" s="38"/>
      <c r="E2213" s="37" t="b">
        <v>0</v>
      </c>
      <c r="F2213" s="37" t="b">
        <v>0</v>
      </c>
      <c r="G2213" s="37">
        <v>0</v>
      </c>
      <c r="H2213" s="37" t="b">
        <v>0</v>
      </c>
    </row>
    <row r="2214" spans="1:8" x14ac:dyDescent="0.3">
      <c r="A2214" s="37" t="s">
        <v>2</v>
      </c>
      <c r="B2214" s="38">
        <v>52500</v>
      </c>
      <c r="E2214" s="37" t="b">
        <v>1</v>
      </c>
      <c r="F2214" s="37" t="b">
        <v>1</v>
      </c>
      <c r="G2214" s="37">
        <v>1</v>
      </c>
      <c r="H2214" s="37">
        <v>52500</v>
      </c>
    </row>
    <row r="2215" spans="1:8" x14ac:dyDescent="0.3">
      <c r="A2215" s="37" t="s">
        <v>2</v>
      </c>
      <c r="B2215" s="38">
        <v>75000</v>
      </c>
      <c r="E2215" s="37" t="b">
        <v>1</v>
      </c>
      <c r="F2215" s="37" t="b">
        <v>1</v>
      </c>
      <c r="G2215" s="37">
        <v>1</v>
      </c>
      <c r="H2215" s="37">
        <v>75000</v>
      </c>
    </row>
    <row r="2216" spans="1:8" x14ac:dyDescent="0.3">
      <c r="A2216" s="37" t="s">
        <v>0</v>
      </c>
      <c r="B2216" s="38">
        <v>55000</v>
      </c>
      <c r="E2216" s="37" t="b">
        <v>0</v>
      </c>
      <c r="F2216" s="37" t="b">
        <v>1</v>
      </c>
      <c r="G2216" s="37">
        <v>0</v>
      </c>
      <c r="H2216" s="37" t="b">
        <v>0</v>
      </c>
    </row>
    <row r="2217" spans="1:8" x14ac:dyDescent="0.3">
      <c r="A2217" s="37" t="s">
        <v>2</v>
      </c>
      <c r="B2217" s="38"/>
      <c r="E2217" s="37" t="b">
        <v>1</v>
      </c>
      <c r="F2217" s="37" t="b">
        <v>0</v>
      </c>
      <c r="G2217" s="37">
        <v>0</v>
      </c>
      <c r="H2217" s="37" t="b">
        <v>0</v>
      </c>
    </row>
    <row r="2218" spans="1:8" x14ac:dyDescent="0.3">
      <c r="A2218" s="37" t="s">
        <v>0</v>
      </c>
      <c r="B2218" s="38"/>
      <c r="E2218" s="37" t="b">
        <v>0</v>
      </c>
      <c r="F2218" s="37" t="b">
        <v>0</v>
      </c>
      <c r="G2218" s="37">
        <v>0</v>
      </c>
      <c r="H2218" s="37" t="b">
        <v>0</v>
      </c>
    </row>
    <row r="2219" spans="1:8" x14ac:dyDescent="0.3">
      <c r="A2219" s="37" t="s">
        <v>4</v>
      </c>
      <c r="B2219" s="38">
        <v>117500</v>
      </c>
      <c r="E2219" s="37" t="b">
        <v>0</v>
      </c>
      <c r="F2219" s="37" t="b">
        <v>1</v>
      </c>
      <c r="G2219" s="37">
        <v>0</v>
      </c>
      <c r="H2219" s="37" t="b">
        <v>0</v>
      </c>
    </row>
    <row r="2220" spans="1:8" x14ac:dyDescent="0.3">
      <c r="A2220" s="37" t="s">
        <v>0</v>
      </c>
      <c r="B2220" s="38">
        <v>100000</v>
      </c>
      <c r="E2220" s="37" t="b">
        <v>0</v>
      </c>
      <c r="F2220" s="37" t="b">
        <v>1</v>
      </c>
      <c r="G2220" s="37">
        <v>0</v>
      </c>
      <c r="H2220" s="37" t="b">
        <v>0</v>
      </c>
    </row>
    <row r="2221" spans="1:8" x14ac:dyDescent="0.3">
      <c r="A2221" s="37" t="s">
        <v>125</v>
      </c>
      <c r="B2221" s="38"/>
      <c r="E2221" s="37" t="b">
        <v>0</v>
      </c>
      <c r="F2221" s="37" t="b">
        <v>0</v>
      </c>
      <c r="G2221" s="37">
        <v>0</v>
      </c>
      <c r="H2221" s="37" t="b">
        <v>0</v>
      </c>
    </row>
    <row r="2222" spans="1:8" x14ac:dyDescent="0.3">
      <c r="A2222" s="37" t="s">
        <v>4</v>
      </c>
      <c r="B2222" s="38"/>
      <c r="E2222" s="37" t="b">
        <v>0</v>
      </c>
      <c r="F2222" s="37" t="b">
        <v>0</v>
      </c>
      <c r="G2222" s="37">
        <v>0</v>
      </c>
      <c r="H2222" s="37" t="b">
        <v>0</v>
      </c>
    </row>
    <row r="2223" spans="1:8" x14ac:dyDescent="0.3">
      <c r="A2223" s="37" t="s">
        <v>2</v>
      </c>
      <c r="B2223" s="38">
        <v>65000</v>
      </c>
      <c r="E2223" s="37" t="b">
        <v>1</v>
      </c>
      <c r="F2223" s="37" t="b">
        <v>1</v>
      </c>
      <c r="G2223" s="37">
        <v>1</v>
      </c>
      <c r="H2223" s="37">
        <v>65000</v>
      </c>
    </row>
    <row r="2224" spans="1:8" x14ac:dyDescent="0.3">
      <c r="A2224" s="37" t="s">
        <v>0</v>
      </c>
      <c r="B2224" s="38">
        <v>250000</v>
      </c>
      <c r="E2224" s="37" t="b">
        <v>0</v>
      </c>
      <c r="F2224" s="37" t="b">
        <v>1</v>
      </c>
      <c r="G2224" s="37">
        <v>0</v>
      </c>
      <c r="H2224" s="37" t="b">
        <v>0</v>
      </c>
    </row>
    <row r="2225" spans="1:8" x14ac:dyDescent="0.3">
      <c r="A2225" s="37" t="s">
        <v>126</v>
      </c>
      <c r="B2225" s="38"/>
      <c r="E2225" s="37" t="b">
        <v>0</v>
      </c>
      <c r="F2225" s="37" t="b">
        <v>0</v>
      </c>
      <c r="G2225" s="37">
        <v>0</v>
      </c>
      <c r="H2225" s="37" t="b">
        <v>0</v>
      </c>
    </row>
    <row r="2226" spans="1:8" x14ac:dyDescent="0.3">
      <c r="A2226" s="37" t="s">
        <v>2</v>
      </c>
      <c r="B2226" s="38"/>
      <c r="E2226" s="37" t="b">
        <v>1</v>
      </c>
      <c r="F2226" s="37" t="b">
        <v>0</v>
      </c>
      <c r="G2226" s="37">
        <v>0</v>
      </c>
      <c r="H2226" s="37" t="b">
        <v>0</v>
      </c>
    </row>
    <row r="2227" spans="1:8" x14ac:dyDescent="0.3">
      <c r="A2227" s="37" t="s">
        <v>125</v>
      </c>
      <c r="B2227" s="38">
        <v>125654.5</v>
      </c>
      <c r="E2227" s="37" t="b">
        <v>0</v>
      </c>
      <c r="F2227" s="37" t="b">
        <v>1</v>
      </c>
      <c r="G2227" s="37">
        <v>0</v>
      </c>
      <c r="H2227" s="37" t="b">
        <v>0</v>
      </c>
    </row>
    <row r="2228" spans="1:8" x14ac:dyDescent="0.3">
      <c r="A2228" s="37" t="s">
        <v>4</v>
      </c>
      <c r="B2228" s="38">
        <v>117500</v>
      </c>
      <c r="E2228" s="37" t="b">
        <v>0</v>
      </c>
      <c r="F2228" s="37" t="b">
        <v>1</v>
      </c>
      <c r="G2228" s="37">
        <v>0</v>
      </c>
      <c r="H2228" s="37" t="b">
        <v>0</v>
      </c>
    </row>
    <row r="2229" spans="1:8" x14ac:dyDescent="0.3">
      <c r="A2229" s="37" t="s">
        <v>52</v>
      </c>
      <c r="B2229" s="38">
        <v>51000</v>
      </c>
      <c r="E2229" s="37" t="b">
        <v>0</v>
      </c>
      <c r="F2229" s="37" t="b">
        <v>1</v>
      </c>
      <c r="G2229" s="37">
        <v>0</v>
      </c>
      <c r="H2229" s="37" t="b">
        <v>0</v>
      </c>
    </row>
    <row r="2230" spans="1:8" x14ac:dyDescent="0.3">
      <c r="A2230" s="37" t="s">
        <v>128</v>
      </c>
      <c r="B2230" s="38">
        <v>172500</v>
      </c>
      <c r="E2230" s="37" t="b">
        <v>0</v>
      </c>
      <c r="F2230" s="37" t="b">
        <v>1</v>
      </c>
      <c r="G2230" s="37">
        <v>0</v>
      </c>
      <c r="H2230" s="37" t="b">
        <v>0</v>
      </c>
    </row>
    <row r="2231" spans="1:8" x14ac:dyDescent="0.3">
      <c r="A2231" s="37" t="s">
        <v>4</v>
      </c>
      <c r="B2231" s="38">
        <v>115000</v>
      </c>
      <c r="E2231" s="37" t="b">
        <v>0</v>
      </c>
      <c r="F2231" s="37" t="b">
        <v>1</v>
      </c>
      <c r="G2231" s="37">
        <v>0</v>
      </c>
      <c r="H2231" s="37" t="b">
        <v>0</v>
      </c>
    </row>
    <row r="2232" spans="1:8" x14ac:dyDescent="0.3">
      <c r="A2232" s="37" t="s">
        <v>125</v>
      </c>
      <c r="B2232" s="38">
        <v>105000</v>
      </c>
      <c r="E2232" s="37" t="b">
        <v>0</v>
      </c>
      <c r="F2232" s="37" t="b">
        <v>1</v>
      </c>
      <c r="G2232" s="37">
        <v>0</v>
      </c>
      <c r="H2232" s="37" t="b">
        <v>0</v>
      </c>
    </row>
    <row r="2233" spans="1:8" x14ac:dyDescent="0.3">
      <c r="A2233" s="37" t="s">
        <v>0</v>
      </c>
      <c r="B2233" s="38">
        <v>137500</v>
      </c>
      <c r="E2233" s="37" t="b">
        <v>0</v>
      </c>
      <c r="F2233" s="37" t="b">
        <v>1</v>
      </c>
      <c r="G2233" s="37">
        <v>0</v>
      </c>
      <c r="H2233" s="37" t="b">
        <v>0</v>
      </c>
    </row>
    <row r="2234" spans="1:8" x14ac:dyDescent="0.3">
      <c r="A2234" s="37" t="s">
        <v>2</v>
      </c>
      <c r="B2234" s="38"/>
      <c r="E2234" s="37" t="b">
        <v>1</v>
      </c>
      <c r="F2234" s="37" t="b">
        <v>0</v>
      </c>
      <c r="G2234" s="37">
        <v>0</v>
      </c>
      <c r="H2234" s="37" t="b">
        <v>0</v>
      </c>
    </row>
    <row r="2235" spans="1:8" x14ac:dyDescent="0.3">
      <c r="A2235" s="37" t="s">
        <v>2</v>
      </c>
      <c r="B2235" s="38">
        <v>52000</v>
      </c>
      <c r="E2235" s="37" t="b">
        <v>1</v>
      </c>
      <c r="F2235" s="37" t="b">
        <v>1</v>
      </c>
      <c r="G2235" s="37">
        <v>1</v>
      </c>
      <c r="H2235" s="37">
        <v>52000</v>
      </c>
    </row>
    <row r="2236" spans="1:8" x14ac:dyDescent="0.3">
      <c r="A2236" s="37" t="s">
        <v>0</v>
      </c>
      <c r="B2236" s="38"/>
      <c r="E2236" s="37" t="b">
        <v>0</v>
      </c>
      <c r="F2236" s="37" t="b">
        <v>0</v>
      </c>
      <c r="G2236" s="37">
        <v>0</v>
      </c>
      <c r="H2236" s="37" t="b">
        <v>0</v>
      </c>
    </row>
    <row r="2237" spans="1:8" x14ac:dyDescent="0.3">
      <c r="A2237" s="37" t="s">
        <v>2</v>
      </c>
      <c r="B2237" s="38"/>
      <c r="E2237" s="37" t="b">
        <v>1</v>
      </c>
      <c r="F2237" s="37" t="b">
        <v>0</v>
      </c>
      <c r="G2237" s="37">
        <v>0</v>
      </c>
      <c r="H2237" s="37" t="b">
        <v>0</v>
      </c>
    </row>
    <row r="2238" spans="1:8" x14ac:dyDescent="0.3">
      <c r="A2238" s="37" t="s">
        <v>4</v>
      </c>
      <c r="B2238" s="38">
        <v>117500</v>
      </c>
      <c r="E2238" s="37" t="b">
        <v>0</v>
      </c>
      <c r="F2238" s="37" t="b">
        <v>1</v>
      </c>
      <c r="G2238" s="37">
        <v>0</v>
      </c>
      <c r="H2238" s="37" t="b">
        <v>0</v>
      </c>
    </row>
    <row r="2239" spans="1:8" x14ac:dyDescent="0.3">
      <c r="A2239" s="37" t="s">
        <v>4</v>
      </c>
      <c r="B2239" s="38">
        <v>105000</v>
      </c>
      <c r="E2239" s="37" t="b">
        <v>0</v>
      </c>
      <c r="F2239" s="37" t="b">
        <v>1</v>
      </c>
      <c r="G2239" s="37">
        <v>0</v>
      </c>
      <c r="H2239" s="37" t="b">
        <v>0</v>
      </c>
    </row>
    <row r="2240" spans="1:8" x14ac:dyDescent="0.3">
      <c r="A2240" s="37" t="s">
        <v>2</v>
      </c>
      <c r="B2240" s="38"/>
      <c r="E2240" s="37" t="b">
        <v>1</v>
      </c>
      <c r="F2240" s="37" t="b">
        <v>0</v>
      </c>
      <c r="G2240" s="37">
        <v>0</v>
      </c>
      <c r="H2240" s="37" t="b">
        <v>0</v>
      </c>
    </row>
    <row r="2241" spans="1:8" x14ac:dyDescent="0.3">
      <c r="A2241" s="37" t="s">
        <v>4</v>
      </c>
      <c r="B2241" s="38">
        <v>165000</v>
      </c>
      <c r="E2241" s="37" t="b">
        <v>0</v>
      </c>
      <c r="F2241" s="37" t="b">
        <v>1</v>
      </c>
      <c r="G2241" s="37">
        <v>0</v>
      </c>
      <c r="H2241" s="37" t="b">
        <v>0</v>
      </c>
    </row>
    <row r="2242" spans="1:8" x14ac:dyDescent="0.3">
      <c r="A2242" s="37" t="s">
        <v>2</v>
      </c>
      <c r="B2242" s="38">
        <v>62500</v>
      </c>
      <c r="E2242" s="37" t="b">
        <v>1</v>
      </c>
      <c r="F2242" s="37" t="b">
        <v>1</v>
      </c>
      <c r="G2242" s="37">
        <v>1</v>
      </c>
      <c r="H2242" s="37">
        <v>62500</v>
      </c>
    </row>
    <row r="2243" spans="1:8" x14ac:dyDescent="0.3">
      <c r="A2243" s="37" t="s">
        <v>125</v>
      </c>
      <c r="B2243" s="38"/>
      <c r="E2243" s="37" t="b">
        <v>0</v>
      </c>
      <c r="F2243" s="37" t="b">
        <v>0</v>
      </c>
      <c r="G2243" s="37">
        <v>0</v>
      </c>
      <c r="H2243" s="37" t="b">
        <v>0</v>
      </c>
    </row>
    <row r="2244" spans="1:8" x14ac:dyDescent="0.3">
      <c r="A2244" s="37" t="s">
        <v>0</v>
      </c>
      <c r="B2244" s="38"/>
      <c r="E2244" s="37" t="b">
        <v>0</v>
      </c>
      <c r="F2244" s="37" t="b">
        <v>0</v>
      </c>
      <c r="G2244" s="37">
        <v>0</v>
      </c>
      <c r="H2244" s="37" t="b">
        <v>0</v>
      </c>
    </row>
    <row r="2245" spans="1:8" x14ac:dyDescent="0.3">
      <c r="A2245" s="37" t="s">
        <v>128</v>
      </c>
      <c r="B2245" s="38"/>
      <c r="E2245" s="37" t="b">
        <v>0</v>
      </c>
      <c r="F2245" s="37" t="b">
        <v>0</v>
      </c>
      <c r="G2245" s="37">
        <v>0</v>
      </c>
      <c r="H2245" s="37" t="b">
        <v>0</v>
      </c>
    </row>
    <row r="2246" spans="1:8" x14ac:dyDescent="0.3">
      <c r="A2246" s="37" t="s">
        <v>0</v>
      </c>
      <c r="B2246" s="38"/>
      <c r="E2246" s="37" t="b">
        <v>0</v>
      </c>
      <c r="F2246" s="37" t="b">
        <v>0</v>
      </c>
      <c r="G2246" s="37">
        <v>0</v>
      </c>
      <c r="H2246" s="37" t="b">
        <v>0</v>
      </c>
    </row>
    <row r="2247" spans="1:8" x14ac:dyDescent="0.3">
      <c r="A2247" s="37" t="s">
        <v>0</v>
      </c>
      <c r="B2247" s="38"/>
      <c r="E2247" s="37" t="b">
        <v>0</v>
      </c>
      <c r="F2247" s="37" t="b">
        <v>0</v>
      </c>
      <c r="G2247" s="37">
        <v>0</v>
      </c>
      <c r="H2247" s="37" t="b">
        <v>0</v>
      </c>
    </row>
    <row r="2248" spans="1:8" x14ac:dyDescent="0.3">
      <c r="A2248" s="37" t="s">
        <v>2</v>
      </c>
      <c r="B2248" s="38">
        <v>52500</v>
      </c>
      <c r="E2248" s="37" t="b">
        <v>1</v>
      </c>
      <c r="F2248" s="37" t="b">
        <v>1</v>
      </c>
      <c r="G2248" s="37">
        <v>1</v>
      </c>
      <c r="H2248" s="37">
        <v>52500</v>
      </c>
    </row>
    <row r="2249" spans="1:8" x14ac:dyDescent="0.3">
      <c r="A2249" s="37" t="s">
        <v>126</v>
      </c>
      <c r="B2249" s="38">
        <v>172500</v>
      </c>
      <c r="E2249" s="37" t="b">
        <v>0</v>
      </c>
      <c r="F2249" s="37" t="b">
        <v>1</v>
      </c>
      <c r="G2249" s="37">
        <v>0</v>
      </c>
      <c r="H2249" s="37" t="b">
        <v>0</v>
      </c>
    </row>
    <row r="2250" spans="1:8" x14ac:dyDescent="0.3">
      <c r="A2250" s="37" t="s">
        <v>2</v>
      </c>
      <c r="B2250" s="38">
        <v>112500</v>
      </c>
      <c r="E2250" s="37" t="b">
        <v>1</v>
      </c>
      <c r="F2250" s="37" t="b">
        <v>1</v>
      </c>
      <c r="G2250" s="37">
        <v>1</v>
      </c>
      <c r="H2250" s="37">
        <v>112500</v>
      </c>
    </row>
    <row r="2251" spans="1:8" x14ac:dyDescent="0.3">
      <c r="A2251" s="37" t="s">
        <v>0</v>
      </c>
      <c r="B2251" s="38">
        <v>102500</v>
      </c>
      <c r="E2251" s="37" t="b">
        <v>0</v>
      </c>
      <c r="F2251" s="37" t="b">
        <v>1</v>
      </c>
      <c r="G2251" s="37">
        <v>0</v>
      </c>
      <c r="H2251" s="37" t="b">
        <v>0</v>
      </c>
    </row>
    <row r="2252" spans="1:8" x14ac:dyDescent="0.3">
      <c r="A2252" s="37" t="s">
        <v>128</v>
      </c>
      <c r="B2252" s="38">
        <v>160000</v>
      </c>
      <c r="E2252" s="37" t="b">
        <v>0</v>
      </c>
      <c r="F2252" s="37" t="b">
        <v>1</v>
      </c>
      <c r="G2252" s="37">
        <v>0</v>
      </c>
      <c r="H2252" s="37" t="b">
        <v>0</v>
      </c>
    </row>
    <row r="2253" spans="1:8" x14ac:dyDescent="0.3">
      <c r="A2253" s="37" t="s">
        <v>128</v>
      </c>
      <c r="B2253" s="38">
        <v>115000</v>
      </c>
      <c r="E2253" s="37" t="b">
        <v>0</v>
      </c>
      <c r="F2253" s="37" t="b">
        <v>1</v>
      </c>
      <c r="G2253" s="37">
        <v>0</v>
      </c>
      <c r="H2253" s="37" t="b">
        <v>0</v>
      </c>
    </row>
    <row r="2254" spans="1:8" x14ac:dyDescent="0.3">
      <c r="A2254" s="37" t="s">
        <v>4</v>
      </c>
      <c r="B2254" s="38"/>
      <c r="E2254" s="37" t="b">
        <v>0</v>
      </c>
      <c r="F2254" s="37" t="b">
        <v>0</v>
      </c>
      <c r="G2254" s="37">
        <v>0</v>
      </c>
      <c r="H2254" s="37" t="b">
        <v>0</v>
      </c>
    </row>
    <row r="2255" spans="1:8" x14ac:dyDescent="0.3">
      <c r="A2255" s="37" t="s">
        <v>2</v>
      </c>
      <c r="B2255" s="38"/>
      <c r="E2255" s="37" t="b">
        <v>1</v>
      </c>
      <c r="F2255" s="37" t="b">
        <v>0</v>
      </c>
      <c r="G2255" s="37">
        <v>0</v>
      </c>
      <c r="H2255" s="37" t="b">
        <v>0</v>
      </c>
    </row>
    <row r="2256" spans="1:8" x14ac:dyDescent="0.3">
      <c r="A2256" s="37" t="s">
        <v>2</v>
      </c>
      <c r="B2256" s="38">
        <v>86500</v>
      </c>
      <c r="E2256" s="37" t="b">
        <v>1</v>
      </c>
      <c r="F2256" s="37" t="b">
        <v>1</v>
      </c>
      <c r="G2256" s="37">
        <v>1</v>
      </c>
      <c r="H2256" s="37">
        <v>86500</v>
      </c>
    </row>
    <row r="2257" spans="1:8" x14ac:dyDescent="0.3">
      <c r="A2257" s="37" t="s">
        <v>4</v>
      </c>
      <c r="B2257" s="38">
        <v>110000</v>
      </c>
      <c r="E2257" s="37" t="b">
        <v>0</v>
      </c>
      <c r="F2257" s="37" t="b">
        <v>1</v>
      </c>
      <c r="G2257" s="37">
        <v>0</v>
      </c>
      <c r="H2257" s="37" t="b">
        <v>0</v>
      </c>
    </row>
    <row r="2258" spans="1:8" x14ac:dyDescent="0.3">
      <c r="A2258" s="37" t="s">
        <v>2</v>
      </c>
      <c r="B2258" s="38">
        <v>145000</v>
      </c>
      <c r="E2258" s="37" t="b">
        <v>1</v>
      </c>
      <c r="F2258" s="37" t="b">
        <v>1</v>
      </c>
      <c r="G2258" s="37">
        <v>1</v>
      </c>
      <c r="H2258" s="37">
        <v>145000</v>
      </c>
    </row>
    <row r="2259" spans="1:8" x14ac:dyDescent="0.3">
      <c r="A2259" s="37" t="s">
        <v>2</v>
      </c>
      <c r="B2259" s="38">
        <v>82500</v>
      </c>
      <c r="E2259" s="37" t="b">
        <v>1</v>
      </c>
      <c r="F2259" s="37" t="b">
        <v>1</v>
      </c>
      <c r="G2259" s="37">
        <v>1</v>
      </c>
      <c r="H2259" s="37">
        <v>82500</v>
      </c>
    </row>
    <row r="2260" spans="1:8" x14ac:dyDescent="0.3">
      <c r="A2260" s="37" t="s">
        <v>4</v>
      </c>
      <c r="B2260" s="38"/>
      <c r="E2260" s="37" t="b">
        <v>0</v>
      </c>
      <c r="F2260" s="37" t="b">
        <v>0</v>
      </c>
      <c r="G2260" s="37">
        <v>0</v>
      </c>
      <c r="H2260" s="37" t="b">
        <v>0</v>
      </c>
    </row>
    <row r="2261" spans="1:8" x14ac:dyDescent="0.3">
      <c r="A2261" s="37" t="s">
        <v>2</v>
      </c>
      <c r="B2261" s="38">
        <v>65000</v>
      </c>
      <c r="E2261" s="37" t="b">
        <v>1</v>
      </c>
      <c r="F2261" s="37" t="b">
        <v>1</v>
      </c>
      <c r="G2261" s="37">
        <v>1</v>
      </c>
      <c r="H2261" s="37">
        <v>65000</v>
      </c>
    </row>
    <row r="2262" spans="1:8" x14ac:dyDescent="0.3">
      <c r="A2262" s="37" t="s">
        <v>2</v>
      </c>
      <c r="B2262" s="38"/>
      <c r="E2262" s="37" t="b">
        <v>1</v>
      </c>
      <c r="F2262" s="37" t="b">
        <v>0</v>
      </c>
      <c r="G2262" s="37">
        <v>0</v>
      </c>
      <c r="H2262" s="37" t="b">
        <v>0</v>
      </c>
    </row>
    <row r="2263" spans="1:8" x14ac:dyDescent="0.3">
      <c r="A2263" s="37" t="s">
        <v>4</v>
      </c>
      <c r="B2263" s="38"/>
      <c r="E2263" s="37" t="b">
        <v>0</v>
      </c>
      <c r="F2263" s="37" t="b">
        <v>0</v>
      </c>
      <c r="G2263" s="37">
        <v>0</v>
      </c>
      <c r="H2263" s="37" t="b">
        <v>0</v>
      </c>
    </row>
    <row r="2264" spans="1:8" x14ac:dyDescent="0.3">
      <c r="A2264" s="37" t="s">
        <v>4</v>
      </c>
      <c r="B2264" s="38"/>
      <c r="E2264" s="37" t="b">
        <v>0</v>
      </c>
      <c r="F2264" s="37" t="b">
        <v>0</v>
      </c>
      <c r="G2264" s="37">
        <v>0</v>
      </c>
      <c r="H2264" s="37" t="b">
        <v>0</v>
      </c>
    </row>
    <row r="2265" spans="1:8" x14ac:dyDescent="0.3">
      <c r="A2265" s="37" t="s">
        <v>126</v>
      </c>
      <c r="B2265" s="38">
        <v>116500</v>
      </c>
      <c r="E2265" s="37" t="b">
        <v>0</v>
      </c>
      <c r="F2265" s="37" t="b">
        <v>1</v>
      </c>
      <c r="G2265" s="37">
        <v>0</v>
      </c>
      <c r="H2265" s="37" t="b">
        <v>0</v>
      </c>
    </row>
    <row r="2266" spans="1:8" x14ac:dyDescent="0.3">
      <c r="A2266" s="37" t="s">
        <v>2</v>
      </c>
      <c r="B2266" s="38"/>
      <c r="E2266" s="37" t="b">
        <v>1</v>
      </c>
      <c r="F2266" s="37" t="b">
        <v>0</v>
      </c>
      <c r="G2266" s="37">
        <v>0</v>
      </c>
      <c r="H2266" s="37" t="b">
        <v>0</v>
      </c>
    </row>
    <row r="2267" spans="1:8" x14ac:dyDescent="0.3">
      <c r="A2267" s="37" t="s">
        <v>0</v>
      </c>
      <c r="B2267" s="38"/>
      <c r="E2267" s="37" t="b">
        <v>0</v>
      </c>
      <c r="F2267" s="37" t="b">
        <v>0</v>
      </c>
      <c r="G2267" s="37">
        <v>0</v>
      </c>
      <c r="H2267" s="37" t="b">
        <v>0</v>
      </c>
    </row>
    <row r="2268" spans="1:8" x14ac:dyDescent="0.3">
      <c r="A2268" s="37" t="s">
        <v>128</v>
      </c>
      <c r="B2268" s="38">
        <v>135000</v>
      </c>
      <c r="E2268" s="37" t="b">
        <v>0</v>
      </c>
      <c r="F2268" s="37" t="b">
        <v>1</v>
      </c>
      <c r="G2268" s="37">
        <v>0</v>
      </c>
      <c r="H2268" s="37" t="b">
        <v>0</v>
      </c>
    </row>
    <row r="2269" spans="1:8" x14ac:dyDescent="0.3">
      <c r="A2269" s="37" t="s">
        <v>4</v>
      </c>
      <c r="B2269" s="38">
        <v>112500</v>
      </c>
      <c r="E2269" s="37" t="b">
        <v>0</v>
      </c>
      <c r="F2269" s="37" t="b">
        <v>1</v>
      </c>
      <c r="G2269" s="37">
        <v>0</v>
      </c>
      <c r="H2269" s="37" t="b">
        <v>0</v>
      </c>
    </row>
    <row r="2270" spans="1:8" x14ac:dyDescent="0.3">
      <c r="A2270" s="37" t="s">
        <v>2</v>
      </c>
      <c r="B2270" s="38">
        <v>90000</v>
      </c>
      <c r="E2270" s="37" t="b">
        <v>1</v>
      </c>
      <c r="F2270" s="37" t="b">
        <v>1</v>
      </c>
      <c r="G2270" s="37">
        <v>1</v>
      </c>
      <c r="H2270" s="37">
        <v>90000</v>
      </c>
    </row>
    <row r="2271" spans="1:8" x14ac:dyDescent="0.3">
      <c r="A2271" s="37" t="s">
        <v>2</v>
      </c>
      <c r="B2271" s="38"/>
      <c r="E2271" s="37" t="b">
        <v>1</v>
      </c>
      <c r="F2271" s="37" t="b">
        <v>0</v>
      </c>
      <c r="G2271" s="37">
        <v>0</v>
      </c>
      <c r="H2271" s="37" t="b">
        <v>0</v>
      </c>
    </row>
    <row r="2272" spans="1:8" x14ac:dyDescent="0.3">
      <c r="A2272" s="37" t="s">
        <v>125</v>
      </c>
      <c r="B2272" s="38">
        <v>112500</v>
      </c>
      <c r="E2272" s="37" t="b">
        <v>0</v>
      </c>
      <c r="F2272" s="37" t="b">
        <v>1</v>
      </c>
      <c r="G2272" s="37">
        <v>0</v>
      </c>
      <c r="H2272" s="37" t="b">
        <v>0</v>
      </c>
    </row>
    <row r="2273" spans="1:8" x14ac:dyDescent="0.3">
      <c r="A2273" s="37" t="s">
        <v>128</v>
      </c>
      <c r="B2273" s="38">
        <v>165000</v>
      </c>
      <c r="E2273" s="37" t="b">
        <v>0</v>
      </c>
      <c r="F2273" s="37" t="b">
        <v>1</v>
      </c>
      <c r="G2273" s="37">
        <v>0</v>
      </c>
      <c r="H2273" s="37" t="b">
        <v>0</v>
      </c>
    </row>
    <row r="2274" spans="1:8" x14ac:dyDescent="0.3">
      <c r="A2274" s="37" t="s">
        <v>2</v>
      </c>
      <c r="B2274" s="38">
        <v>60000</v>
      </c>
      <c r="E2274" s="37" t="b">
        <v>1</v>
      </c>
      <c r="F2274" s="37" t="b">
        <v>1</v>
      </c>
      <c r="G2274" s="37">
        <v>1</v>
      </c>
      <c r="H2274" s="37">
        <v>60000</v>
      </c>
    </row>
    <row r="2275" spans="1:8" x14ac:dyDescent="0.3">
      <c r="A2275" s="37" t="s">
        <v>2</v>
      </c>
      <c r="B2275" s="38"/>
      <c r="E2275" s="37" t="b">
        <v>1</v>
      </c>
      <c r="F2275" s="37" t="b">
        <v>0</v>
      </c>
      <c r="G2275" s="37">
        <v>0</v>
      </c>
      <c r="H2275" s="37" t="b">
        <v>0</v>
      </c>
    </row>
    <row r="2276" spans="1:8" x14ac:dyDescent="0.3">
      <c r="A2276" s="37" t="s">
        <v>2</v>
      </c>
      <c r="B2276" s="38">
        <v>67500</v>
      </c>
      <c r="E2276" s="37" t="b">
        <v>1</v>
      </c>
      <c r="F2276" s="37" t="b">
        <v>1</v>
      </c>
      <c r="G2276" s="37">
        <v>1</v>
      </c>
      <c r="H2276" s="37">
        <v>67500</v>
      </c>
    </row>
    <row r="2277" spans="1:8" x14ac:dyDescent="0.3">
      <c r="A2277" s="37" t="s">
        <v>0</v>
      </c>
      <c r="B2277" s="38">
        <v>205000</v>
      </c>
      <c r="E2277" s="37" t="b">
        <v>0</v>
      </c>
      <c r="F2277" s="37" t="b">
        <v>1</v>
      </c>
      <c r="G2277" s="37">
        <v>0</v>
      </c>
      <c r="H2277" s="37" t="b">
        <v>0</v>
      </c>
    </row>
    <row r="2278" spans="1:8" x14ac:dyDescent="0.3">
      <c r="A2278" s="37" t="s">
        <v>2</v>
      </c>
      <c r="B2278" s="38"/>
      <c r="E2278" s="37" t="b">
        <v>1</v>
      </c>
      <c r="F2278" s="37" t="b">
        <v>0</v>
      </c>
      <c r="G2278" s="37">
        <v>0</v>
      </c>
      <c r="H2278" s="37" t="b">
        <v>0</v>
      </c>
    </row>
    <row r="2279" spans="1:8" x14ac:dyDescent="0.3">
      <c r="A2279" s="37" t="s">
        <v>0</v>
      </c>
      <c r="B2279" s="38">
        <v>197500</v>
      </c>
      <c r="E2279" s="37" t="b">
        <v>0</v>
      </c>
      <c r="F2279" s="37" t="b">
        <v>1</v>
      </c>
      <c r="G2279" s="37">
        <v>0</v>
      </c>
      <c r="H2279" s="37" t="b">
        <v>0</v>
      </c>
    </row>
    <row r="2280" spans="1:8" x14ac:dyDescent="0.3">
      <c r="A2280" s="37" t="s">
        <v>52</v>
      </c>
      <c r="B2280" s="38"/>
      <c r="E2280" s="37" t="b">
        <v>0</v>
      </c>
      <c r="F2280" s="37" t="b">
        <v>0</v>
      </c>
      <c r="G2280" s="37">
        <v>0</v>
      </c>
      <c r="H2280" s="37" t="b">
        <v>0</v>
      </c>
    </row>
    <row r="2281" spans="1:8" x14ac:dyDescent="0.3">
      <c r="A2281" s="37" t="s">
        <v>2</v>
      </c>
      <c r="B2281" s="38">
        <v>70000</v>
      </c>
      <c r="E2281" s="37" t="b">
        <v>1</v>
      </c>
      <c r="F2281" s="37" t="b">
        <v>1</v>
      </c>
      <c r="G2281" s="37">
        <v>1</v>
      </c>
      <c r="H2281" s="37">
        <v>70000</v>
      </c>
    </row>
    <row r="2282" spans="1:8" x14ac:dyDescent="0.3">
      <c r="A2282" s="37" t="s">
        <v>0</v>
      </c>
      <c r="B2282" s="38">
        <v>210000</v>
      </c>
      <c r="E2282" s="37" t="b">
        <v>0</v>
      </c>
      <c r="F2282" s="37" t="b">
        <v>1</v>
      </c>
      <c r="G2282" s="37">
        <v>0</v>
      </c>
      <c r="H2282" s="37" t="b">
        <v>0</v>
      </c>
    </row>
    <row r="2283" spans="1:8" x14ac:dyDescent="0.3">
      <c r="A2283" s="37" t="s">
        <v>2</v>
      </c>
      <c r="B2283" s="38"/>
      <c r="E2283" s="37" t="b">
        <v>1</v>
      </c>
      <c r="F2283" s="37" t="b">
        <v>0</v>
      </c>
      <c r="G2283" s="37">
        <v>0</v>
      </c>
      <c r="H2283" s="37" t="b">
        <v>0</v>
      </c>
    </row>
    <row r="2284" spans="1:8" x14ac:dyDescent="0.3">
      <c r="A2284" s="37" t="s">
        <v>0</v>
      </c>
      <c r="B2284" s="38">
        <v>122500</v>
      </c>
      <c r="E2284" s="37" t="b">
        <v>0</v>
      </c>
      <c r="F2284" s="37" t="b">
        <v>1</v>
      </c>
      <c r="G2284" s="37">
        <v>0</v>
      </c>
      <c r="H2284" s="37" t="b">
        <v>0</v>
      </c>
    </row>
    <row r="2285" spans="1:8" x14ac:dyDescent="0.3">
      <c r="A2285" s="37" t="s">
        <v>2</v>
      </c>
      <c r="B2285" s="38"/>
      <c r="E2285" s="37" t="b">
        <v>1</v>
      </c>
      <c r="F2285" s="37" t="b">
        <v>0</v>
      </c>
      <c r="G2285" s="37">
        <v>0</v>
      </c>
      <c r="H2285" s="37" t="b">
        <v>0</v>
      </c>
    </row>
    <row r="2286" spans="1:8" x14ac:dyDescent="0.3">
      <c r="A2286" s="37" t="s">
        <v>126</v>
      </c>
      <c r="B2286" s="38">
        <v>95000</v>
      </c>
      <c r="E2286" s="37" t="b">
        <v>0</v>
      </c>
      <c r="F2286" s="37" t="b">
        <v>1</v>
      </c>
      <c r="G2286" s="37">
        <v>0</v>
      </c>
      <c r="H2286" s="37" t="b">
        <v>0</v>
      </c>
    </row>
    <row r="2287" spans="1:8" x14ac:dyDescent="0.3">
      <c r="A2287" s="37" t="s">
        <v>126</v>
      </c>
      <c r="B2287" s="38">
        <v>167500</v>
      </c>
      <c r="E2287" s="37" t="b">
        <v>0</v>
      </c>
      <c r="F2287" s="37" t="b">
        <v>1</v>
      </c>
      <c r="G2287" s="37">
        <v>0</v>
      </c>
      <c r="H2287" s="37" t="b">
        <v>0</v>
      </c>
    </row>
    <row r="2288" spans="1:8" x14ac:dyDescent="0.3">
      <c r="A2288" s="37" t="s">
        <v>0</v>
      </c>
      <c r="B2288" s="38">
        <v>182500</v>
      </c>
      <c r="E2288" s="37" t="b">
        <v>0</v>
      </c>
      <c r="F2288" s="37" t="b">
        <v>1</v>
      </c>
      <c r="G2288" s="37">
        <v>0</v>
      </c>
      <c r="H2288" s="37" t="b">
        <v>0</v>
      </c>
    </row>
    <row r="2289" spans="1:8" x14ac:dyDescent="0.3">
      <c r="A2289" s="37" t="s">
        <v>0</v>
      </c>
      <c r="B2289" s="38">
        <v>205000</v>
      </c>
      <c r="E2289" s="37" t="b">
        <v>0</v>
      </c>
      <c r="F2289" s="37" t="b">
        <v>1</v>
      </c>
      <c r="G2289" s="37">
        <v>0</v>
      </c>
      <c r="H2289" s="37" t="b">
        <v>0</v>
      </c>
    </row>
    <row r="2290" spans="1:8" x14ac:dyDescent="0.3">
      <c r="A2290" s="37" t="s">
        <v>2</v>
      </c>
      <c r="B2290" s="38">
        <v>105900</v>
      </c>
      <c r="E2290" s="37" t="b">
        <v>1</v>
      </c>
      <c r="F2290" s="37" t="b">
        <v>1</v>
      </c>
      <c r="G2290" s="37">
        <v>1</v>
      </c>
      <c r="H2290" s="37">
        <v>105900</v>
      </c>
    </row>
    <row r="2291" spans="1:8" x14ac:dyDescent="0.3">
      <c r="A2291" s="37" t="s">
        <v>2</v>
      </c>
      <c r="B2291" s="38"/>
      <c r="E2291" s="37" t="b">
        <v>1</v>
      </c>
      <c r="F2291" s="37" t="b">
        <v>0</v>
      </c>
      <c r="G2291" s="37">
        <v>0</v>
      </c>
      <c r="H2291" s="37" t="b">
        <v>0</v>
      </c>
    </row>
    <row r="2292" spans="1:8" x14ac:dyDescent="0.3">
      <c r="A2292" s="37" t="s">
        <v>2</v>
      </c>
      <c r="B2292" s="38"/>
      <c r="E2292" s="37" t="b">
        <v>1</v>
      </c>
      <c r="F2292" s="37" t="b">
        <v>0</v>
      </c>
      <c r="G2292" s="37">
        <v>0</v>
      </c>
      <c r="H2292" s="37" t="b">
        <v>0</v>
      </c>
    </row>
    <row r="2293" spans="1:8" x14ac:dyDescent="0.3">
      <c r="A2293" s="37" t="s">
        <v>2</v>
      </c>
      <c r="B2293" s="38"/>
      <c r="E2293" s="37" t="b">
        <v>1</v>
      </c>
      <c r="F2293" s="37" t="b">
        <v>0</v>
      </c>
      <c r="G2293" s="37">
        <v>0</v>
      </c>
      <c r="H2293" s="37" t="b">
        <v>0</v>
      </c>
    </row>
    <row r="2294" spans="1:8" x14ac:dyDescent="0.3">
      <c r="A2294" s="37" t="s">
        <v>125</v>
      </c>
      <c r="B2294" s="38"/>
      <c r="E2294" s="37" t="b">
        <v>0</v>
      </c>
      <c r="F2294" s="37" t="b">
        <v>0</v>
      </c>
      <c r="G2294" s="37">
        <v>0</v>
      </c>
      <c r="H2294" s="37" t="b">
        <v>0</v>
      </c>
    </row>
    <row r="2295" spans="1:8" x14ac:dyDescent="0.3">
      <c r="A2295" s="37" t="s">
        <v>0</v>
      </c>
      <c r="B2295" s="38">
        <v>185000</v>
      </c>
      <c r="E2295" s="37" t="b">
        <v>0</v>
      </c>
      <c r="F2295" s="37" t="b">
        <v>1</v>
      </c>
      <c r="G2295" s="37">
        <v>0</v>
      </c>
      <c r="H2295" s="37" t="b">
        <v>0</v>
      </c>
    </row>
    <row r="2296" spans="1:8" x14ac:dyDescent="0.3">
      <c r="A2296" s="37" t="s">
        <v>2</v>
      </c>
      <c r="B2296" s="38">
        <v>100000</v>
      </c>
      <c r="E2296" s="37" t="b">
        <v>1</v>
      </c>
      <c r="F2296" s="37" t="b">
        <v>1</v>
      </c>
      <c r="G2296" s="37">
        <v>1</v>
      </c>
      <c r="H2296" s="37">
        <v>100000</v>
      </c>
    </row>
    <row r="2297" spans="1:8" x14ac:dyDescent="0.3">
      <c r="A2297" s="37" t="s">
        <v>4</v>
      </c>
      <c r="B2297" s="38">
        <v>105000</v>
      </c>
      <c r="E2297" s="37" t="b">
        <v>0</v>
      </c>
      <c r="F2297" s="37" t="b">
        <v>1</v>
      </c>
      <c r="G2297" s="37">
        <v>0</v>
      </c>
      <c r="H2297" s="37" t="b">
        <v>0</v>
      </c>
    </row>
    <row r="2298" spans="1:8" x14ac:dyDescent="0.3">
      <c r="A2298" s="37" t="s">
        <v>0</v>
      </c>
      <c r="B2298" s="38">
        <v>160000</v>
      </c>
      <c r="E2298" s="37" t="b">
        <v>0</v>
      </c>
      <c r="F2298" s="37" t="b">
        <v>1</v>
      </c>
      <c r="G2298" s="37">
        <v>0</v>
      </c>
      <c r="H2298" s="37" t="b">
        <v>0</v>
      </c>
    </row>
    <row r="2299" spans="1:8" x14ac:dyDescent="0.3">
      <c r="A2299" s="37" t="s">
        <v>2</v>
      </c>
      <c r="B2299" s="38"/>
      <c r="E2299" s="37" t="b">
        <v>1</v>
      </c>
      <c r="F2299" s="37" t="b">
        <v>0</v>
      </c>
      <c r="G2299" s="37">
        <v>0</v>
      </c>
      <c r="H2299" s="37" t="b">
        <v>0</v>
      </c>
    </row>
    <row r="2300" spans="1:8" x14ac:dyDescent="0.3">
      <c r="A2300" s="37" t="s">
        <v>128</v>
      </c>
      <c r="B2300" s="38">
        <v>180000</v>
      </c>
      <c r="E2300" s="37" t="b">
        <v>0</v>
      </c>
      <c r="F2300" s="37" t="b">
        <v>1</v>
      </c>
      <c r="G2300" s="37">
        <v>0</v>
      </c>
      <c r="H2300" s="37" t="b">
        <v>0</v>
      </c>
    </row>
    <row r="2301" spans="1:8" x14ac:dyDescent="0.3">
      <c r="A2301" s="37" t="s">
        <v>128</v>
      </c>
      <c r="B2301" s="38">
        <v>157500</v>
      </c>
      <c r="E2301" s="37" t="b">
        <v>0</v>
      </c>
      <c r="F2301" s="37" t="b">
        <v>1</v>
      </c>
      <c r="G2301" s="37">
        <v>0</v>
      </c>
      <c r="H2301" s="37" t="b">
        <v>0</v>
      </c>
    </row>
    <row r="2302" spans="1:8" x14ac:dyDescent="0.3">
      <c r="A2302" s="37" t="s">
        <v>2</v>
      </c>
      <c r="B2302" s="38">
        <v>107500</v>
      </c>
      <c r="E2302" s="37" t="b">
        <v>1</v>
      </c>
      <c r="F2302" s="37" t="b">
        <v>1</v>
      </c>
      <c r="G2302" s="37">
        <v>1</v>
      </c>
      <c r="H2302" s="37">
        <v>107500</v>
      </c>
    </row>
    <row r="2303" spans="1:8" x14ac:dyDescent="0.3">
      <c r="A2303" s="37" t="s">
        <v>2</v>
      </c>
      <c r="B2303" s="38">
        <v>70000</v>
      </c>
      <c r="E2303" s="37" t="b">
        <v>1</v>
      </c>
      <c r="F2303" s="37" t="b">
        <v>1</v>
      </c>
      <c r="G2303" s="37">
        <v>1</v>
      </c>
      <c r="H2303" s="37">
        <v>70000</v>
      </c>
    </row>
    <row r="2304" spans="1:8" x14ac:dyDescent="0.3">
      <c r="A2304" s="37" t="s">
        <v>0</v>
      </c>
      <c r="B2304" s="38"/>
      <c r="E2304" s="37" t="b">
        <v>0</v>
      </c>
      <c r="F2304" s="37" t="b">
        <v>0</v>
      </c>
      <c r="G2304" s="37">
        <v>0</v>
      </c>
      <c r="H2304" s="37" t="b">
        <v>0</v>
      </c>
    </row>
    <row r="2305" spans="1:8" x14ac:dyDescent="0.3">
      <c r="A2305" s="37" t="s">
        <v>2</v>
      </c>
      <c r="B2305" s="38">
        <v>90000</v>
      </c>
      <c r="E2305" s="37" t="b">
        <v>1</v>
      </c>
      <c r="F2305" s="37" t="b">
        <v>1</v>
      </c>
      <c r="G2305" s="37">
        <v>1</v>
      </c>
      <c r="H2305" s="37">
        <v>90000</v>
      </c>
    </row>
    <row r="2306" spans="1:8" x14ac:dyDescent="0.3">
      <c r="A2306" s="37" t="s">
        <v>0</v>
      </c>
      <c r="B2306" s="38">
        <v>150000</v>
      </c>
      <c r="E2306" s="37" t="b">
        <v>0</v>
      </c>
      <c r="F2306" s="37" t="b">
        <v>1</v>
      </c>
      <c r="G2306" s="37">
        <v>0</v>
      </c>
      <c r="H2306" s="37" t="b">
        <v>0</v>
      </c>
    </row>
    <row r="2307" spans="1:8" x14ac:dyDescent="0.3">
      <c r="A2307" s="37" t="s">
        <v>2</v>
      </c>
      <c r="B2307" s="38"/>
      <c r="E2307" s="37" t="b">
        <v>1</v>
      </c>
      <c r="F2307" s="37" t="b">
        <v>0</v>
      </c>
      <c r="G2307" s="37">
        <v>0</v>
      </c>
      <c r="H2307" s="37" t="b">
        <v>0</v>
      </c>
    </row>
    <row r="2308" spans="1:8" x14ac:dyDescent="0.3">
      <c r="A2308" s="37" t="s">
        <v>2</v>
      </c>
      <c r="B2308" s="38">
        <v>122500</v>
      </c>
      <c r="E2308" s="37" t="b">
        <v>1</v>
      </c>
      <c r="F2308" s="37" t="b">
        <v>1</v>
      </c>
      <c r="G2308" s="37">
        <v>1</v>
      </c>
      <c r="H2308" s="37">
        <v>122500</v>
      </c>
    </row>
    <row r="2309" spans="1:8" x14ac:dyDescent="0.3">
      <c r="A2309" s="37" t="s">
        <v>126</v>
      </c>
      <c r="B2309" s="38">
        <v>172500</v>
      </c>
      <c r="E2309" s="37" t="b">
        <v>0</v>
      </c>
      <c r="F2309" s="37" t="b">
        <v>1</v>
      </c>
      <c r="G2309" s="37">
        <v>0</v>
      </c>
      <c r="H2309" s="37" t="b">
        <v>0</v>
      </c>
    </row>
    <row r="2310" spans="1:8" x14ac:dyDescent="0.3">
      <c r="A2310" s="37" t="s">
        <v>2</v>
      </c>
      <c r="B2310" s="38">
        <v>90000</v>
      </c>
      <c r="E2310" s="37" t="b">
        <v>1</v>
      </c>
      <c r="F2310" s="37" t="b">
        <v>1</v>
      </c>
      <c r="G2310" s="37">
        <v>1</v>
      </c>
      <c r="H2310" s="37">
        <v>90000</v>
      </c>
    </row>
    <row r="2311" spans="1:8" x14ac:dyDescent="0.3">
      <c r="A2311" s="37" t="s">
        <v>0</v>
      </c>
      <c r="B2311" s="38"/>
      <c r="E2311" s="37" t="b">
        <v>0</v>
      </c>
      <c r="F2311" s="37" t="b">
        <v>0</v>
      </c>
      <c r="G2311" s="37">
        <v>0</v>
      </c>
      <c r="H2311" s="37" t="b">
        <v>0</v>
      </c>
    </row>
    <row r="2312" spans="1:8" x14ac:dyDescent="0.3">
      <c r="A2312" s="37" t="s">
        <v>2</v>
      </c>
      <c r="B2312" s="38">
        <v>74801.5</v>
      </c>
      <c r="E2312" s="37" t="b">
        <v>1</v>
      </c>
      <c r="F2312" s="37" t="b">
        <v>1</v>
      </c>
      <c r="G2312" s="37">
        <v>1</v>
      </c>
      <c r="H2312" s="37">
        <v>74801.5</v>
      </c>
    </row>
    <row r="2313" spans="1:8" x14ac:dyDescent="0.3">
      <c r="A2313" s="37" t="s">
        <v>2</v>
      </c>
      <c r="B2313" s="38">
        <v>125000</v>
      </c>
      <c r="E2313" s="37" t="b">
        <v>1</v>
      </c>
      <c r="F2313" s="37" t="b">
        <v>1</v>
      </c>
      <c r="G2313" s="37">
        <v>1</v>
      </c>
      <c r="H2313" s="37">
        <v>125000</v>
      </c>
    </row>
    <row r="2314" spans="1:8" x14ac:dyDescent="0.3">
      <c r="A2314" s="37" t="s">
        <v>0</v>
      </c>
      <c r="B2314" s="38">
        <v>139000</v>
      </c>
      <c r="E2314" s="37" t="b">
        <v>0</v>
      </c>
      <c r="F2314" s="37" t="b">
        <v>1</v>
      </c>
      <c r="G2314" s="37">
        <v>0</v>
      </c>
      <c r="H2314" s="37" t="b">
        <v>0</v>
      </c>
    </row>
    <row r="2315" spans="1:8" x14ac:dyDescent="0.3">
      <c r="A2315" s="37" t="s">
        <v>2</v>
      </c>
      <c r="B2315" s="38">
        <v>87500</v>
      </c>
      <c r="E2315" s="37" t="b">
        <v>1</v>
      </c>
      <c r="F2315" s="37" t="b">
        <v>1</v>
      </c>
      <c r="G2315" s="37">
        <v>1</v>
      </c>
      <c r="H2315" s="37">
        <v>87500</v>
      </c>
    </row>
    <row r="2316" spans="1:8" x14ac:dyDescent="0.3">
      <c r="A2316" s="37" t="s">
        <v>0</v>
      </c>
      <c r="B2316" s="38"/>
      <c r="E2316" s="37" t="b">
        <v>0</v>
      </c>
      <c r="F2316" s="37" t="b">
        <v>0</v>
      </c>
      <c r="G2316" s="37">
        <v>0</v>
      </c>
      <c r="H2316" s="37" t="b">
        <v>0</v>
      </c>
    </row>
    <row r="2317" spans="1:8" x14ac:dyDescent="0.3">
      <c r="A2317" s="37" t="s">
        <v>2</v>
      </c>
      <c r="B2317" s="38"/>
      <c r="E2317" s="37" t="b">
        <v>1</v>
      </c>
      <c r="F2317" s="37" t="b">
        <v>0</v>
      </c>
      <c r="G2317" s="37">
        <v>0</v>
      </c>
      <c r="H2317" s="37" t="b">
        <v>0</v>
      </c>
    </row>
    <row r="2318" spans="1:8" x14ac:dyDescent="0.3">
      <c r="A2318" s="37" t="s">
        <v>0</v>
      </c>
      <c r="B2318" s="38"/>
      <c r="E2318" s="37" t="b">
        <v>0</v>
      </c>
      <c r="F2318" s="37" t="b">
        <v>0</v>
      </c>
      <c r="G2318" s="37">
        <v>0</v>
      </c>
      <c r="H2318" s="37" t="b">
        <v>0</v>
      </c>
    </row>
    <row r="2319" spans="1:8" x14ac:dyDescent="0.3">
      <c r="A2319" s="37" t="s">
        <v>0</v>
      </c>
      <c r="B2319" s="38">
        <v>140000</v>
      </c>
      <c r="E2319" s="37" t="b">
        <v>0</v>
      </c>
      <c r="F2319" s="37" t="b">
        <v>1</v>
      </c>
      <c r="G2319" s="37">
        <v>0</v>
      </c>
      <c r="H2319" s="37" t="b">
        <v>0</v>
      </c>
    </row>
    <row r="2320" spans="1:8" x14ac:dyDescent="0.3">
      <c r="A2320" s="37" t="s">
        <v>0</v>
      </c>
      <c r="B2320" s="38">
        <v>155000</v>
      </c>
      <c r="E2320" s="37" t="b">
        <v>0</v>
      </c>
      <c r="F2320" s="37" t="b">
        <v>1</v>
      </c>
      <c r="G2320" s="37">
        <v>0</v>
      </c>
      <c r="H2320" s="37" t="b">
        <v>0</v>
      </c>
    </row>
    <row r="2321" spans="1:8" x14ac:dyDescent="0.3">
      <c r="A2321" s="37" t="s">
        <v>2</v>
      </c>
      <c r="B2321" s="38">
        <v>65000</v>
      </c>
      <c r="E2321" s="37" t="b">
        <v>1</v>
      </c>
      <c r="F2321" s="37" t="b">
        <v>1</v>
      </c>
      <c r="G2321" s="37">
        <v>1</v>
      </c>
      <c r="H2321" s="37">
        <v>65000</v>
      </c>
    </row>
    <row r="2322" spans="1:8" x14ac:dyDescent="0.3">
      <c r="A2322" s="37" t="s">
        <v>0</v>
      </c>
      <c r="B2322" s="38">
        <v>165000</v>
      </c>
      <c r="E2322" s="37" t="b">
        <v>0</v>
      </c>
      <c r="F2322" s="37" t="b">
        <v>1</v>
      </c>
      <c r="G2322" s="37">
        <v>0</v>
      </c>
      <c r="H2322" s="37" t="b">
        <v>0</v>
      </c>
    </row>
    <row r="2323" spans="1:8" x14ac:dyDescent="0.3">
      <c r="A2323" s="37" t="s">
        <v>4</v>
      </c>
      <c r="B2323" s="38">
        <v>145000</v>
      </c>
      <c r="E2323" s="37" t="b">
        <v>0</v>
      </c>
      <c r="F2323" s="37" t="b">
        <v>1</v>
      </c>
      <c r="G2323" s="37">
        <v>0</v>
      </c>
      <c r="H2323" s="37" t="b">
        <v>0</v>
      </c>
    </row>
    <row r="2324" spans="1:8" x14ac:dyDescent="0.3">
      <c r="A2324" s="37" t="s">
        <v>0</v>
      </c>
      <c r="B2324" s="38">
        <v>300000</v>
      </c>
      <c r="E2324" s="37" t="b">
        <v>0</v>
      </c>
      <c r="F2324" s="37" t="b">
        <v>1</v>
      </c>
      <c r="G2324" s="37">
        <v>0</v>
      </c>
      <c r="H2324" s="37" t="b">
        <v>0</v>
      </c>
    </row>
    <row r="2325" spans="1:8" x14ac:dyDescent="0.3">
      <c r="A2325" s="37" t="s">
        <v>2</v>
      </c>
      <c r="B2325" s="38"/>
      <c r="E2325" s="37" t="b">
        <v>1</v>
      </c>
      <c r="F2325" s="37" t="b">
        <v>0</v>
      </c>
      <c r="G2325" s="37">
        <v>0</v>
      </c>
      <c r="H2325" s="37" t="b">
        <v>0</v>
      </c>
    </row>
    <row r="2326" spans="1:8" x14ac:dyDescent="0.3">
      <c r="A2326" s="37" t="s">
        <v>128</v>
      </c>
      <c r="B2326" s="38">
        <v>157500</v>
      </c>
      <c r="E2326" s="37" t="b">
        <v>0</v>
      </c>
      <c r="F2326" s="37" t="b">
        <v>1</v>
      </c>
      <c r="G2326" s="37">
        <v>0</v>
      </c>
      <c r="H2326" s="37" t="b">
        <v>0</v>
      </c>
    </row>
    <row r="2327" spans="1:8" x14ac:dyDescent="0.3">
      <c r="A2327" s="37" t="s">
        <v>2</v>
      </c>
      <c r="B2327" s="38">
        <v>80000</v>
      </c>
      <c r="E2327" s="37" t="b">
        <v>1</v>
      </c>
      <c r="F2327" s="37" t="b">
        <v>1</v>
      </c>
      <c r="G2327" s="37">
        <v>1</v>
      </c>
      <c r="H2327" s="37">
        <v>80000</v>
      </c>
    </row>
    <row r="2328" spans="1:8" x14ac:dyDescent="0.3">
      <c r="A2328" s="37" t="s">
        <v>4</v>
      </c>
      <c r="B2328" s="38">
        <v>175000</v>
      </c>
      <c r="E2328" s="37" t="b">
        <v>0</v>
      </c>
      <c r="F2328" s="37" t="b">
        <v>1</v>
      </c>
      <c r="G2328" s="37">
        <v>0</v>
      </c>
      <c r="H2328" s="37" t="b">
        <v>0</v>
      </c>
    </row>
    <row r="2329" spans="1:8" x14ac:dyDescent="0.3">
      <c r="A2329" s="37" t="s">
        <v>0</v>
      </c>
      <c r="B2329" s="38">
        <v>130000</v>
      </c>
      <c r="E2329" s="37" t="b">
        <v>0</v>
      </c>
      <c r="F2329" s="37" t="b">
        <v>1</v>
      </c>
      <c r="G2329" s="37">
        <v>0</v>
      </c>
      <c r="H2329" s="37" t="b">
        <v>0</v>
      </c>
    </row>
    <row r="2330" spans="1:8" x14ac:dyDescent="0.3">
      <c r="A2330" s="37" t="s">
        <v>0</v>
      </c>
      <c r="B2330" s="38">
        <v>160000</v>
      </c>
      <c r="E2330" s="37" t="b">
        <v>0</v>
      </c>
      <c r="F2330" s="37" t="b">
        <v>1</v>
      </c>
      <c r="G2330" s="37">
        <v>0</v>
      </c>
      <c r="H2330" s="37" t="b">
        <v>0</v>
      </c>
    </row>
    <row r="2331" spans="1:8" x14ac:dyDescent="0.3">
      <c r="A2331" s="37" t="s">
        <v>2</v>
      </c>
      <c r="B2331" s="38">
        <v>87500</v>
      </c>
      <c r="E2331" s="37" t="b">
        <v>1</v>
      </c>
      <c r="F2331" s="37" t="b">
        <v>1</v>
      </c>
      <c r="G2331" s="37">
        <v>1</v>
      </c>
      <c r="H2331" s="37">
        <v>87500</v>
      </c>
    </row>
    <row r="2332" spans="1:8" x14ac:dyDescent="0.3">
      <c r="A2332" s="37" t="s">
        <v>2</v>
      </c>
      <c r="B2332" s="38">
        <v>105000</v>
      </c>
      <c r="E2332" s="37" t="b">
        <v>1</v>
      </c>
      <c r="F2332" s="37" t="b">
        <v>1</v>
      </c>
      <c r="G2332" s="37">
        <v>1</v>
      </c>
      <c r="H2332" s="37">
        <v>105000</v>
      </c>
    </row>
    <row r="2333" spans="1:8" x14ac:dyDescent="0.3">
      <c r="A2333" s="37" t="s">
        <v>0</v>
      </c>
      <c r="B2333" s="38"/>
      <c r="E2333" s="37" t="b">
        <v>0</v>
      </c>
      <c r="F2333" s="37" t="b">
        <v>0</v>
      </c>
      <c r="G2333" s="37">
        <v>0</v>
      </c>
      <c r="H2333" s="37" t="b">
        <v>0</v>
      </c>
    </row>
    <row r="2334" spans="1:8" x14ac:dyDescent="0.3">
      <c r="A2334" s="37" t="s">
        <v>4</v>
      </c>
      <c r="B2334" s="38"/>
      <c r="E2334" s="37" t="b">
        <v>0</v>
      </c>
      <c r="F2334" s="37" t="b">
        <v>0</v>
      </c>
      <c r="G2334" s="37">
        <v>0</v>
      </c>
      <c r="H2334" s="37" t="b">
        <v>0</v>
      </c>
    </row>
    <row r="2335" spans="1:8" x14ac:dyDescent="0.3">
      <c r="A2335" s="37" t="s">
        <v>2</v>
      </c>
      <c r="B2335" s="38">
        <v>112500</v>
      </c>
      <c r="E2335" s="37" t="b">
        <v>1</v>
      </c>
      <c r="F2335" s="37" t="b">
        <v>1</v>
      </c>
      <c r="G2335" s="37">
        <v>1</v>
      </c>
      <c r="H2335" s="37">
        <v>112500</v>
      </c>
    </row>
    <row r="2336" spans="1:8" x14ac:dyDescent="0.3">
      <c r="A2336" s="37" t="s">
        <v>128</v>
      </c>
      <c r="B2336" s="38">
        <v>185000</v>
      </c>
      <c r="E2336" s="37" t="b">
        <v>0</v>
      </c>
      <c r="F2336" s="37" t="b">
        <v>1</v>
      </c>
      <c r="G2336" s="37">
        <v>0</v>
      </c>
      <c r="H2336" s="37" t="b">
        <v>0</v>
      </c>
    </row>
    <row r="2337" spans="1:8" x14ac:dyDescent="0.3">
      <c r="A2337" s="37" t="s">
        <v>52</v>
      </c>
      <c r="B2337" s="38">
        <v>74500</v>
      </c>
      <c r="E2337" s="37" t="b">
        <v>0</v>
      </c>
      <c r="F2337" s="37" t="b">
        <v>1</v>
      </c>
      <c r="G2337" s="37">
        <v>0</v>
      </c>
      <c r="H2337" s="37" t="b">
        <v>0</v>
      </c>
    </row>
    <row r="2338" spans="1:8" x14ac:dyDescent="0.3">
      <c r="A2338" s="37" t="s">
        <v>4</v>
      </c>
      <c r="B2338" s="38">
        <v>255000</v>
      </c>
      <c r="E2338" s="37" t="b">
        <v>0</v>
      </c>
      <c r="F2338" s="37" t="b">
        <v>1</v>
      </c>
      <c r="G2338" s="37">
        <v>0</v>
      </c>
      <c r="H2338" s="37" t="b">
        <v>0</v>
      </c>
    </row>
    <row r="2339" spans="1:8" x14ac:dyDescent="0.3">
      <c r="A2339" s="37" t="s">
        <v>125</v>
      </c>
      <c r="B2339" s="38"/>
      <c r="E2339" s="37" t="b">
        <v>0</v>
      </c>
      <c r="F2339" s="37" t="b">
        <v>0</v>
      </c>
      <c r="G2339" s="37">
        <v>0</v>
      </c>
      <c r="H2339" s="37" t="b">
        <v>0</v>
      </c>
    </row>
    <row r="2340" spans="1:8" x14ac:dyDescent="0.3">
      <c r="A2340" s="37" t="s">
        <v>0</v>
      </c>
      <c r="B2340" s="38">
        <v>110000</v>
      </c>
      <c r="E2340" s="37" t="b">
        <v>0</v>
      </c>
      <c r="F2340" s="37" t="b">
        <v>1</v>
      </c>
      <c r="G2340" s="37">
        <v>0</v>
      </c>
      <c r="H2340" s="37" t="b">
        <v>0</v>
      </c>
    </row>
    <row r="2341" spans="1:8" x14ac:dyDescent="0.3">
      <c r="A2341" s="37" t="s">
        <v>1</v>
      </c>
      <c r="B2341" s="38">
        <v>250000</v>
      </c>
      <c r="E2341" s="37" t="b">
        <v>0</v>
      </c>
      <c r="F2341" s="37" t="b">
        <v>1</v>
      </c>
      <c r="G2341" s="37">
        <v>0</v>
      </c>
      <c r="H2341" s="37" t="b">
        <v>0</v>
      </c>
    </row>
    <row r="2342" spans="1:8" x14ac:dyDescent="0.3">
      <c r="A2342" s="37" t="s">
        <v>2</v>
      </c>
      <c r="B2342" s="38">
        <v>95000</v>
      </c>
      <c r="E2342" s="37" t="b">
        <v>1</v>
      </c>
      <c r="F2342" s="37" t="b">
        <v>1</v>
      </c>
      <c r="G2342" s="37">
        <v>1</v>
      </c>
      <c r="H2342" s="37">
        <v>95000</v>
      </c>
    </row>
    <row r="2343" spans="1:8" x14ac:dyDescent="0.3">
      <c r="A2343" s="37" t="s">
        <v>2</v>
      </c>
      <c r="B2343" s="38">
        <v>52500</v>
      </c>
      <c r="E2343" s="37" t="b">
        <v>1</v>
      </c>
      <c r="F2343" s="37" t="b">
        <v>1</v>
      </c>
      <c r="G2343" s="37">
        <v>1</v>
      </c>
      <c r="H2343" s="37">
        <v>52500</v>
      </c>
    </row>
    <row r="2344" spans="1:8" x14ac:dyDescent="0.3">
      <c r="A2344" s="37" t="s">
        <v>125</v>
      </c>
      <c r="B2344" s="38">
        <v>83298</v>
      </c>
      <c r="E2344" s="37" t="b">
        <v>0</v>
      </c>
      <c r="F2344" s="37" t="b">
        <v>1</v>
      </c>
      <c r="G2344" s="37">
        <v>0</v>
      </c>
      <c r="H2344" s="37" t="b">
        <v>0</v>
      </c>
    </row>
    <row r="2345" spans="1:8" x14ac:dyDescent="0.3">
      <c r="A2345" s="37" t="s">
        <v>2</v>
      </c>
      <c r="B2345" s="38">
        <v>97500</v>
      </c>
      <c r="E2345" s="37" t="b">
        <v>1</v>
      </c>
      <c r="F2345" s="37" t="b">
        <v>1</v>
      </c>
      <c r="G2345" s="37">
        <v>1</v>
      </c>
      <c r="H2345" s="37">
        <v>97500</v>
      </c>
    </row>
    <row r="2346" spans="1:8" x14ac:dyDescent="0.3">
      <c r="A2346" s="37" t="s">
        <v>1</v>
      </c>
      <c r="B2346" s="38">
        <v>165000</v>
      </c>
      <c r="E2346" s="37" t="b">
        <v>0</v>
      </c>
      <c r="F2346" s="37" t="b">
        <v>1</v>
      </c>
      <c r="G2346" s="37">
        <v>0</v>
      </c>
      <c r="H2346" s="37" t="b">
        <v>0</v>
      </c>
    </row>
    <row r="2347" spans="1:8" x14ac:dyDescent="0.3">
      <c r="A2347" s="37" t="s">
        <v>128</v>
      </c>
      <c r="B2347" s="38"/>
      <c r="E2347" s="37" t="b">
        <v>0</v>
      </c>
      <c r="F2347" s="37" t="b">
        <v>0</v>
      </c>
      <c r="G2347" s="37">
        <v>0</v>
      </c>
      <c r="H2347" s="37" t="b">
        <v>0</v>
      </c>
    </row>
    <row r="2348" spans="1:8" x14ac:dyDescent="0.3">
      <c r="A2348" s="37" t="s">
        <v>128</v>
      </c>
      <c r="B2348" s="38">
        <v>160000</v>
      </c>
      <c r="E2348" s="37" t="b">
        <v>0</v>
      </c>
      <c r="F2348" s="37" t="b">
        <v>1</v>
      </c>
      <c r="G2348" s="37">
        <v>0</v>
      </c>
      <c r="H2348" s="37" t="b">
        <v>0</v>
      </c>
    </row>
    <row r="2349" spans="1:8" x14ac:dyDescent="0.3">
      <c r="A2349" s="37" t="s">
        <v>2</v>
      </c>
      <c r="B2349" s="38">
        <v>90000</v>
      </c>
      <c r="E2349" s="37" t="b">
        <v>1</v>
      </c>
      <c r="F2349" s="37" t="b">
        <v>1</v>
      </c>
      <c r="G2349" s="37">
        <v>1</v>
      </c>
      <c r="H2349" s="37">
        <v>90000</v>
      </c>
    </row>
    <row r="2350" spans="1:8" x14ac:dyDescent="0.3">
      <c r="A2350" s="37" t="s">
        <v>2</v>
      </c>
      <c r="B2350" s="38">
        <v>65000</v>
      </c>
      <c r="E2350" s="37" t="b">
        <v>1</v>
      </c>
      <c r="F2350" s="37" t="b">
        <v>1</v>
      </c>
      <c r="G2350" s="37">
        <v>1</v>
      </c>
      <c r="H2350" s="37">
        <v>65000</v>
      </c>
    </row>
    <row r="2351" spans="1:8" x14ac:dyDescent="0.3">
      <c r="A2351" s="37" t="s">
        <v>2</v>
      </c>
      <c r="B2351" s="38"/>
      <c r="E2351" s="37" t="b">
        <v>1</v>
      </c>
      <c r="F2351" s="37" t="b">
        <v>0</v>
      </c>
      <c r="G2351" s="37">
        <v>0</v>
      </c>
      <c r="H2351" s="37" t="b">
        <v>0</v>
      </c>
    </row>
    <row r="2352" spans="1:8" x14ac:dyDescent="0.3">
      <c r="A2352" s="37" t="s">
        <v>0</v>
      </c>
      <c r="B2352" s="38"/>
      <c r="E2352" s="37" t="b">
        <v>0</v>
      </c>
      <c r="F2352" s="37" t="b">
        <v>0</v>
      </c>
      <c r="G2352" s="37">
        <v>0</v>
      </c>
      <c r="H2352" s="37" t="b">
        <v>0</v>
      </c>
    </row>
    <row r="2353" spans="1:8" x14ac:dyDescent="0.3">
      <c r="A2353" s="37" t="s">
        <v>126</v>
      </c>
      <c r="B2353" s="38">
        <v>160000</v>
      </c>
      <c r="E2353" s="37" t="b">
        <v>0</v>
      </c>
      <c r="F2353" s="37" t="b">
        <v>1</v>
      </c>
      <c r="G2353" s="37">
        <v>0</v>
      </c>
      <c r="H2353" s="37" t="b">
        <v>0</v>
      </c>
    </row>
    <row r="2354" spans="1:8" x14ac:dyDescent="0.3">
      <c r="A2354" s="37" t="s">
        <v>126</v>
      </c>
      <c r="B2354" s="38">
        <v>132500</v>
      </c>
      <c r="E2354" s="37" t="b">
        <v>0</v>
      </c>
      <c r="F2354" s="37" t="b">
        <v>1</v>
      </c>
      <c r="G2354" s="37">
        <v>0</v>
      </c>
      <c r="H2354" s="37" t="b">
        <v>0</v>
      </c>
    </row>
    <row r="2355" spans="1:8" x14ac:dyDescent="0.3">
      <c r="A2355" s="37" t="s">
        <v>4</v>
      </c>
      <c r="B2355" s="38">
        <v>122500</v>
      </c>
      <c r="E2355" s="37" t="b">
        <v>0</v>
      </c>
      <c r="F2355" s="37" t="b">
        <v>1</v>
      </c>
      <c r="G2355" s="37">
        <v>0</v>
      </c>
      <c r="H2355" s="37" t="b">
        <v>0</v>
      </c>
    </row>
    <row r="2356" spans="1:8" x14ac:dyDescent="0.3">
      <c r="A2356" s="37" t="s">
        <v>126</v>
      </c>
      <c r="B2356" s="38">
        <v>170000</v>
      </c>
      <c r="E2356" s="37" t="b">
        <v>0</v>
      </c>
      <c r="F2356" s="37" t="b">
        <v>1</v>
      </c>
      <c r="G2356" s="37">
        <v>0</v>
      </c>
      <c r="H2356" s="37" t="b">
        <v>0</v>
      </c>
    </row>
    <row r="2357" spans="1:8" x14ac:dyDescent="0.3">
      <c r="A2357" s="37" t="s">
        <v>4</v>
      </c>
      <c r="B2357" s="38"/>
      <c r="E2357" s="37" t="b">
        <v>0</v>
      </c>
      <c r="F2357" s="37" t="b">
        <v>0</v>
      </c>
      <c r="G2357" s="37">
        <v>0</v>
      </c>
      <c r="H2357" s="37" t="b">
        <v>0</v>
      </c>
    </row>
    <row r="2358" spans="1:8" x14ac:dyDescent="0.3">
      <c r="A2358" s="37" t="s">
        <v>2</v>
      </c>
      <c r="B2358" s="38">
        <v>170000</v>
      </c>
      <c r="E2358" s="37" t="b">
        <v>1</v>
      </c>
      <c r="F2358" s="37" t="b">
        <v>1</v>
      </c>
      <c r="G2358" s="37">
        <v>1</v>
      </c>
      <c r="H2358" s="37">
        <v>170000</v>
      </c>
    </row>
    <row r="2359" spans="1:8" x14ac:dyDescent="0.3">
      <c r="A2359" s="37" t="s">
        <v>2</v>
      </c>
      <c r="B2359" s="38">
        <v>159133</v>
      </c>
      <c r="E2359" s="37" t="b">
        <v>1</v>
      </c>
      <c r="F2359" s="37" t="b">
        <v>1</v>
      </c>
      <c r="G2359" s="37">
        <v>1</v>
      </c>
      <c r="H2359" s="37">
        <v>159133</v>
      </c>
    </row>
    <row r="2360" spans="1:8" x14ac:dyDescent="0.3">
      <c r="A2360" s="37" t="s">
        <v>2</v>
      </c>
      <c r="B2360" s="38">
        <v>81500</v>
      </c>
      <c r="E2360" s="37" t="b">
        <v>1</v>
      </c>
      <c r="F2360" s="37" t="b">
        <v>1</v>
      </c>
      <c r="G2360" s="37">
        <v>1</v>
      </c>
      <c r="H2360" s="37">
        <v>81500</v>
      </c>
    </row>
    <row r="2361" spans="1:8" x14ac:dyDescent="0.3">
      <c r="A2361" s="37" t="s">
        <v>0</v>
      </c>
      <c r="B2361" s="38">
        <v>125000</v>
      </c>
      <c r="E2361" s="37" t="b">
        <v>0</v>
      </c>
      <c r="F2361" s="37" t="b">
        <v>1</v>
      </c>
      <c r="G2361" s="37">
        <v>0</v>
      </c>
      <c r="H2361" s="37" t="b">
        <v>0</v>
      </c>
    </row>
    <row r="2362" spans="1:8" x14ac:dyDescent="0.3">
      <c r="A2362" s="37" t="s">
        <v>4</v>
      </c>
      <c r="B2362" s="38">
        <v>124000</v>
      </c>
      <c r="E2362" s="37" t="b">
        <v>0</v>
      </c>
      <c r="F2362" s="37" t="b">
        <v>1</v>
      </c>
      <c r="G2362" s="37">
        <v>0</v>
      </c>
      <c r="H2362" s="37" t="b">
        <v>0</v>
      </c>
    </row>
    <row r="2363" spans="1:8" x14ac:dyDescent="0.3">
      <c r="A2363" s="37" t="s">
        <v>2</v>
      </c>
      <c r="B2363" s="38"/>
      <c r="E2363" s="37" t="b">
        <v>1</v>
      </c>
      <c r="F2363" s="37" t="b">
        <v>0</v>
      </c>
      <c r="G2363" s="37">
        <v>0</v>
      </c>
      <c r="H2363" s="37" t="b">
        <v>0</v>
      </c>
    </row>
    <row r="2364" spans="1:8" x14ac:dyDescent="0.3">
      <c r="A2364" s="37" t="s">
        <v>2</v>
      </c>
      <c r="B2364" s="38">
        <v>67500</v>
      </c>
      <c r="E2364" s="37" t="b">
        <v>1</v>
      </c>
      <c r="F2364" s="37" t="b">
        <v>1</v>
      </c>
      <c r="G2364" s="37">
        <v>1</v>
      </c>
      <c r="H2364" s="37">
        <v>67500</v>
      </c>
    </row>
    <row r="2365" spans="1:8" x14ac:dyDescent="0.3">
      <c r="A2365" s="37" t="s">
        <v>0</v>
      </c>
      <c r="B2365" s="38">
        <v>210000</v>
      </c>
      <c r="E2365" s="37" t="b">
        <v>0</v>
      </c>
      <c r="F2365" s="37" t="b">
        <v>1</v>
      </c>
      <c r="G2365" s="37">
        <v>0</v>
      </c>
      <c r="H2365" s="37" t="b">
        <v>0</v>
      </c>
    </row>
    <row r="2366" spans="1:8" x14ac:dyDescent="0.3">
      <c r="A2366" s="37" t="s">
        <v>4</v>
      </c>
      <c r="B2366" s="38">
        <v>172500</v>
      </c>
      <c r="E2366" s="37" t="b">
        <v>0</v>
      </c>
      <c r="F2366" s="37" t="b">
        <v>1</v>
      </c>
      <c r="G2366" s="37">
        <v>0</v>
      </c>
      <c r="H2366" s="37" t="b">
        <v>0</v>
      </c>
    </row>
    <row r="2367" spans="1:8" x14ac:dyDescent="0.3">
      <c r="A2367" s="37" t="s">
        <v>0</v>
      </c>
      <c r="B2367" s="38"/>
      <c r="E2367" s="37" t="b">
        <v>0</v>
      </c>
      <c r="F2367" s="37" t="b">
        <v>0</v>
      </c>
      <c r="G2367" s="37">
        <v>0</v>
      </c>
      <c r="H2367" s="37" t="b">
        <v>0</v>
      </c>
    </row>
    <row r="2368" spans="1:8" x14ac:dyDescent="0.3">
      <c r="A2368" s="37" t="s">
        <v>0</v>
      </c>
      <c r="B2368" s="38">
        <v>125000</v>
      </c>
      <c r="E2368" s="37" t="b">
        <v>0</v>
      </c>
      <c r="F2368" s="37" t="b">
        <v>1</v>
      </c>
      <c r="G2368" s="37">
        <v>0</v>
      </c>
      <c r="H2368" s="37" t="b">
        <v>0</v>
      </c>
    </row>
    <row r="2369" spans="1:8" x14ac:dyDescent="0.3">
      <c r="A2369" s="37" t="s">
        <v>129</v>
      </c>
      <c r="B2369" s="38">
        <v>197500</v>
      </c>
      <c r="E2369" s="37" t="b">
        <v>0</v>
      </c>
      <c r="F2369" s="37" t="b">
        <v>1</v>
      </c>
      <c r="G2369" s="37">
        <v>0</v>
      </c>
      <c r="H2369" s="37" t="b">
        <v>0</v>
      </c>
    </row>
    <row r="2370" spans="1:8" x14ac:dyDescent="0.3">
      <c r="A2370" s="37" t="s">
        <v>0</v>
      </c>
      <c r="B2370" s="38">
        <v>132500</v>
      </c>
      <c r="E2370" s="37" t="b">
        <v>0</v>
      </c>
      <c r="F2370" s="37" t="b">
        <v>1</v>
      </c>
      <c r="G2370" s="37">
        <v>0</v>
      </c>
      <c r="H2370" s="37" t="b">
        <v>0</v>
      </c>
    </row>
    <row r="2371" spans="1:8" x14ac:dyDescent="0.3">
      <c r="A2371" s="37" t="s">
        <v>2</v>
      </c>
      <c r="B2371" s="38"/>
      <c r="E2371" s="37" t="b">
        <v>1</v>
      </c>
      <c r="F2371" s="37" t="b">
        <v>0</v>
      </c>
      <c r="G2371" s="37">
        <v>0</v>
      </c>
      <c r="H2371" s="37" t="b">
        <v>0</v>
      </c>
    </row>
    <row r="2372" spans="1:8" x14ac:dyDescent="0.3">
      <c r="A2372" s="37" t="s">
        <v>129</v>
      </c>
      <c r="B2372" s="38">
        <v>97500</v>
      </c>
      <c r="E2372" s="37" t="b">
        <v>0</v>
      </c>
      <c r="F2372" s="37" t="b">
        <v>1</v>
      </c>
      <c r="G2372" s="37">
        <v>0</v>
      </c>
      <c r="H2372" s="37" t="b">
        <v>0</v>
      </c>
    </row>
    <row r="2373" spans="1:8" x14ac:dyDescent="0.3">
      <c r="A2373" s="37" t="s">
        <v>4</v>
      </c>
      <c r="B2373" s="38">
        <v>155000</v>
      </c>
      <c r="E2373" s="37" t="b">
        <v>0</v>
      </c>
      <c r="F2373" s="37" t="b">
        <v>1</v>
      </c>
      <c r="G2373" s="37">
        <v>0</v>
      </c>
      <c r="H2373" s="37" t="b">
        <v>0</v>
      </c>
    </row>
    <row r="2374" spans="1:8" x14ac:dyDescent="0.3">
      <c r="A2374" s="37" t="s">
        <v>2</v>
      </c>
      <c r="B2374" s="38">
        <v>65000</v>
      </c>
      <c r="E2374" s="37" t="b">
        <v>1</v>
      </c>
      <c r="F2374" s="37" t="b">
        <v>1</v>
      </c>
      <c r="G2374" s="37">
        <v>1</v>
      </c>
      <c r="H2374" s="37">
        <v>65000</v>
      </c>
    </row>
    <row r="2375" spans="1:8" x14ac:dyDescent="0.3">
      <c r="A2375" s="37" t="s">
        <v>0</v>
      </c>
      <c r="B2375" s="38"/>
      <c r="E2375" s="37" t="b">
        <v>0</v>
      </c>
      <c r="F2375" s="37" t="b">
        <v>0</v>
      </c>
      <c r="G2375" s="37">
        <v>0</v>
      </c>
      <c r="H2375" s="37" t="b">
        <v>0</v>
      </c>
    </row>
    <row r="2376" spans="1:8" x14ac:dyDescent="0.3">
      <c r="A2376" s="37" t="s">
        <v>2</v>
      </c>
      <c r="B2376" s="38">
        <v>65000</v>
      </c>
      <c r="E2376" s="37" t="b">
        <v>1</v>
      </c>
      <c r="F2376" s="37" t="b">
        <v>1</v>
      </c>
      <c r="G2376" s="37">
        <v>1</v>
      </c>
      <c r="H2376" s="37">
        <v>65000</v>
      </c>
    </row>
    <row r="2377" spans="1:8" x14ac:dyDescent="0.3">
      <c r="A2377" s="37" t="s">
        <v>0</v>
      </c>
      <c r="B2377" s="38">
        <v>115000</v>
      </c>
      <c r="E2377" s="37" t="b">
        <v>0</v>
      </c>
      <c r="F2377" s="37" t="b">
        <v>1</v>
      </c>
      <c r="G2377" s="37">
        <v>0</v>
      </c>
      <c r="H2377" s="37" t="b">
        <v>0</v>
      </c>
    </row>
    <row r="2378" spans="1:8" x14ac:dyDescent="0.3">
      <c r="A2378" s="37" t="s">
        <v>0</v>
      </c>
      <c r="B2378" s="38">
        <v>106000</v>
      </c>
      <c r="E2378" s="37" t="b">
        <v>0</v>
      </c>
      <c r="F2378" s="37" t="b">
        <v>1</v>
      </c>
      <c r="G2378" s="37">
        <v>0</v>
      </c>
      <c r="H2378" s="37" t="b">
        <v>0</v>
      </c>
    </row>
    <row r="2379" spans="1:8" x14ac:dyDescent="0.3">
      <c r="A2379" s="37" t="s">
        <v>4</v>
      </c>
      <c r="B2379" s="38">
        <v>131000</v>
      </c>
      <c r="E2379" s="37" t="b">
        <v>0</v>
      </c>
      <c r="F2379" s="37" t="b">
        <v>1</v>
      </c>
      <c r="G2379" s="37">
        <v>0</v>
      </c>
      <c r="H2379" s="37" t="b">
        <v>0</v>
      </c>
    </row>
    <row r="2380" spans="1:8" x14ac:dyDescent="0.3">
      <c r="A2380" s="37" t="s">
        <v>0</v>
      </c>
      <c r="B2380" s="38">
        <v>100000</v>
      </c>
      <c r="E2380" s="37" t="b">
        <v>0</v>
      </c>
      <c r="F2380" s="37" t="b">
        <v>1</v>
      </c>
      <c r="G2380" s="37">
        <v>0</v>
      </c>
      <c r="H2380" s="37" t="b">
        <v>0</v>
      </c>
    </row>
    <row r="2381" spans="1:8" x14ac:dyDescent="0.3">
      <c r="A2381" s="37" t="s">
        <v>0</v>
      </c>
      <c r="B2381" s="38"/>
      <c r="E2381" s="37" t="b">
        <v>0</v>
      </c>
      <c r="F2381" s="37" t="b">
        <v>0</v>
      </c>
      <c r="G2381" s="37">
        <v>0</v>
      </c>
      <c r="H2381" s="37" t="b">
        <v>0</v>
      </c>
    </row>
    <row r="2382" spans="1:8" x14ac:dyDescent="0.3">
      <c r="A2382" s="37" t="s">
        <v>2</v>
      </c>
      <c r="B2382" s="38"/>
      <c r="E2382" s="37" t="b">
        <v>1</v>
      </c>
      <c r="F2382" s="37" t="b">
        <v>0</v>
      </c>
      <c r="G2382" s="37">
        <v>0</v>
      </c>
      <c r="H2382" s="37" t="b">
        <v>0</v>
      </c>
    </row>
    <row r="2383" spans="1:8" x14ac:dyDescent="0.3">
      <c r="A2383" s="37" t="s">
        <v>2</v>
      </c>
      <c r="B2383" s="38"/>
      <c r="E2383" s="37" t="b">
        <v>1</v>
      </c>
      <c r="F2383" s="37" t="b">
        <v>0</v>
      </c>
      <c r="G2383" s="37">
        <v>0</v>
      </c>
      <c r="H2383" s="37" t="b">
        <v>0</v>
      </c>
    </row>
    <row r="2384" spans="1:8" x14ac:dyDescent="0.3">
      <c r="A2384" s="37" t="s">
        <v>0</v>
      </c>
      <c r="B2384" s="38">
        <v>140000</v>
      </c>
      <c r="E2384" s="37" t="b">
        <v>0</v>
      </c>
      <c r="F2384" s="37" t="b">
        <v>1</v>
      </c>
      <c r="G2384" s="37">
        <v>0</v>
      </c>
      <c r="H2384" s="37" t="b">
        <v>0</v>
      </c>
    </row>
    <row r="2385" spans="1:8" x14ac:dyDescent="0.3">
      <c r="A2385" s="37" t="s">
        <v>0</v>
      </c>
      <c r="B2385" s="38">
        <v>205000</v>
      </c>
      <c r="E2385" s="37" t="b">
        <v>0</v>
      </c>
      <c r="F2385" s="37" t="b">
        <v>1</v>
      </c>
      <c r="G2385" s="37">
        <v>0</v>
      </c>
      <c r="H2385" s="37" t="b">
        <v>0</v>
      </c>
    </row>
    <row r="2386" spans="1:8" x14ac:dyDescent="0.3">
      <c r="A2386" s="37" t="s">
        <v>0</v>
      </c>
      <c r="B2386" s="38"/>
      <c r="E2386" s="37" t="b">
        <v>0</v>
      </c>
      <c r="F2386" s="37" t="b">
        <v>0</v>
      </c>
      <c r="G2386" s="37">
        <v>0</v>
      </c>
      <c r="H2386" s="37" t="b">
        <v>0</v>
      </c>
    </row>
    <row r="2387" spans="1:8" x14ac:dyDescent="0.3">
      <c r="A2387" s="37" t="s">
        <v>0</v>
      </c>
      <c r="B2387" s="38">
        <v>180000</v>
      </c>
      <c r="E2387" s="37" t="b">
        <v>0</v>
      </c>
      <c r="F2387" s="37" t="b">
        <v>1</v>
      </c>
      <c r="G2387" s="37">
        <v>0</v>
      </c>
      <c r="H2387" s="37" t="b">
        <v>0</v>
      </c>
    </row>
    <row r="2388" spans="1:8" x14ac:dyDescent="0.3">
      <c r="A2388" s="37" t="s">
        <v>2</v>
      </c>
      <c r="B2388" s="38">
        <v>96500</v>
      </c>
      <c r="E2388" s="37" t="b">
        <v>1</v>
      </c>
      <c r="F2388" s="37" t="b">
        <v>1</v>
      </c>
      <c r="G2388" s="37">
        <v>1</v>
      </c>
      <c r="H2388" s="37">
        <v>96500</v>
      </c>
    </row>
    <row r="2389" spans="1:8" x14ac:dyDescent="0.3">
      <c r="A2389" s="37" t="s">
        <v>0</v>
      </c>
      <c r="B2389" s="38">
        <v>140000</v>
      </c>
      <c r="E2389" s="37" t="b">
        <v>0</v>
      </c>
      <c r="F2389" s="37" t="b">
        <v>1</v>
      </c>
      <c r="G2389" s="37">
        <v>0</v>
      </c>
      <c r="H2389" s="37" t="b">
        <v>0</v>
      </c>
    </row>
    <row r="2390" spans="1:8" x14ac:dyDescent="0.3">
      <c r="A2390" s="37" t="s">
        <v>0</v>
      </c>
      <c r="B2390" s="38">
        <v>225000</v>
      </c>
      <c r="E2390" s="37" t="b">
        <v>0</v>
      </c>
      <c r="F2390" s="37" t="b">
        <v>1</v>
      </c>
      <c r="G2390" s="37">
        <v>0</v>
      </c>
      <c r="H2390" s="37" t="b">
        <v>0</v>
      </c>
    </row>
    <row r="2391" spans="1:8" x14ac:dyDescent="0.3">
      <c r="A2391" s="37" t="s">
        <v>0</v>
      </c>
      <c r="B2391" s="38">
        <v>138000</v>
      </c>
      <c r="E2391" s="37" t="b">
        <v>0</v>
      </c>
      <c r="F2391" s="37" t="b">
        <v>1</v>
      </c>
      <c r="G2391" s="37">
        <v>0</v>
      </c>
      <c r="H2391" s="37" t="b">
        <v>0</v>
      </c>
    </row>
    <row r="2392" spans="1:8" x14ac:dyDescent="0.3">
      <c r="A2392" s="37" t="s">
        <v>0</v>
      </c>
      <c r="B2392" s="38">
        <v>105000</v>
      </c>
      <c r="E2392" s="37" t="b">
        <v>0</v>
      </c>
      <c r="F2392" s="37" t="b">
        <v>1</v>
      </c>
      <c r="G2392" s="37">
        <v>0</v>
      </c>
      <c r="H2392" s="37" t="b">
        <v>0</v>
      </c>
    </row>
    <row r="2393" spans="1:8" x14ac:dyDescent="0.3">
      <c r="A2393" s="37" t="s">
        <v>4</v>
      </c>
      <c r="B2393" s="38">
        <v>125000</v>
      </c>
      <c r="E2393" s="37" t="b">
        <v>0</v>
      </c>
      <c r="F2393" s="37" t="b">
        <v>1</v>
      </c>
      <c r="G2393" s="37">
        <v>0</v>
      </c>
      <c r="H2393" s="37" t="b">
        <v>0</v>
      </c>
    </row>
    <row r="2394" spans="1:8" x14ac:dyDescent="0.3">
      <c r="A2394" s="37" t="s">
        <v>4</v>
      </c>
      <c r="B2394" s="38">
        <v>155000</v>
      </c>
      <c r="E2394" s="37" t="b">
        <v>0</v>
      </c>
      <c r="F2394" s="37" t="b">
        <v>1</v>
      </c>
      <c r="G2394" s="37">
        <v>0</v>
      </c>
      <c r="H2394" s="37" t="b">
        <v>0</v>
      </c>
    </row>
    <row r="2395" spans="1:8" x14ac:dyDescent="0.3">
      <c r="A2395" s="37" t="s">
        <v>4</v>
      </c>
      <c r="B2395" s="38">
        <v>135000</v>
      </c>
      <c r="E2395" s="37" t="b">
        <v>0</v>
      </c>
      <c r="F2395" s="37" t="b">
        <v>1</v>
      </c>
      <c r="G2395" s="37">
        <v>0</v>
      </c>
      <c r="H2395" s="37" t="b">
        <v>0</v>
      </c>
    </row>
    <row r="2396" spans="1:8" x14ac:dyDescent="0.3">
      <c r="A2396" s="37" t="s">
        <v>2</v>
      </c>
      <c r="B2396" s="38"/>
      <c r="E2396" s="37" t="b">
        <v>1</v>
      </c>
      <c r="F2396" s="37" t="b">
        <v>0</v>
      </c>
      <c r="G2396" s="37">
        <v>0</v>
      </c>
      <c r="H2396" s="37" t="b">
        <v>0</v>
      </c>
    </row>
    <row r="2397" spans="1:8" x14ac:dyDescent="0.3">
      <c r="A2397" s="37" t="s">
        <v>2</v>
      </c>
      <c r="B2397" s="38">
        <v>57500</v>
      </c>
      <c r="E2397" s="37" t="b">
        <v>1</v>
      </c>
      <c r="F2397" s="37" t="b">
        <v>1</v>
      </c>
      <c r="G2397" s="37">
        <v>1</v>
      </c>
      <c r="H2397" s="37">
        <v>57500</v>
      </c>
    </row>
    <row r="2398" spans="1:8" x14ac:dyDescent="0.3">
      <c r="A2398" s="37" t="s">
        <v>2</v>
      </c>
      <c r="B2398" s="38"/>
      <c r="E2398" s="37" t="b">
        <v>1</v>
      </c>
      <c r="F2398" s="37" t="b">
        <v>0</v>
      </c>
      <c r="G2398" s="37">
        <v>0</v>
      </c>
      <c r="H2398" s="37" t="b">
        <v>0</v>
      </c>
    </row>
    <row r="2399" spans="1:8" x14ac:dyDescent="0.3">
      <c r="A2399" s="37" t="s">
        <v>4</v>
      </c>
      <c r="B2399" s="38">
        <v>160000</v>
      </c>
      <c r="E2399" s="37" t="b">
        <v>0</v>
      </c>
      <c r="F2399" s="37" t="b">
        <v>1</v>
      </c>
      <c r="G2399" s="37">
        <v>0</v>
      </c>
      <c r="H2399" s="37" t="b">
        <v>0</v>
      </c>
    </row>
    <row r="2400" spans="1:8" x14ac:dyDescent="0.3">
      <c r="A2400" s="37" t="s">
        <v>2</v>
      </c>
      <c r="B2400" s="38"/>
      <c r="E2400" s="37" t="b">
        <v>1</v>
      </c>
      <c r="F2400" s="37" t="b">
        <v>0</v>
      </c>
      <c r="G2400" s="37">
        <v>0</v>
      </c>
      <c r="H2400" s="37" t="b">
        <v>0</v>
      </c>
    </row>
    <row r="2401" spans="1:8" x14ac:dyDescent="0.3">
      <c r="A2401" s="37" t="s">
        <v>128</v>
      </c>
      <c r="B2401" s="38">
        <v>130000</v>
      </c>
      <c r="E2401" s="37" t="b">
        <v>0</v>
      </c>
      <c r="F2401" s="37" t="b">
        <v>1</v>
      </c>
      <c r="G2401" s="37">
        <v>0</v>
      </c>
      <c r="H2401" s="37" t="b">
        <v>0</v>
      </c>
    </row>
    <row r="2402" spans="1:8" x14ac:dyDescent="0.3">
      <c r="A2402" s="37" t="s">
        <v>2</v>
      </c>
      <c r="B2402" s="38"/>
      <c r="E2402" s="37" t="b">
        <v>1</v>
      </c>
      <c r="F2402" s="37" t="b">
        <v>0</v>
      </c>
      <c r="G2402" s="37">
        <v>0</v>
      </c>
      <c r="H2402" s="37" t="b">
        <v>0</v>
      </c>
    </row>
    <row r="2403" spans="1:8" x14ac:dyDescent="0.3">
      <c r="A2403" s="37" t="s">
        <v>0</v>
      </c>
      <c r="B2403" s="38"/>
      <c r="E2403" s="37" t="b">
        <v>0</v>
      </c>
      <c r="F2403" s="37" t="b">
        <v>0</v>
      </c>
      <c r="G2403" s="37">
        <v>0</v>
      </c>
      <c r="H2403" s="37" t="b">
        <v>0</v>
      </c>
    </row>
    <row r="2404" spans="1:8" x14ac:dyDescent="0.3">
      <c r="A2404" s="37" t="s">
        <v>4</v>
      </c>
      <c r="B2404" s="38">
        <v>95000</v>
      </c>
      <c r="E2404" s="37" t="b">
        <v>0</v>
      </c>
      <c r="F2404" s="37" t="b">
        <v>1</v>
      </c>
      <c r="G2404" s="37">
        <v>0</v>
      </c>
      <c r="H2404" s="37" t="b">
        <v>0</v>
      </c>
    </row>
    <row r="2405" spans="1:8" x14ac:dyDescent="0.3">
      <c r="A2405" s="37" t="s">
        <v>4</v>
      </c>
      <c r="B2405" s="38">
        <v>107500</v>
      </c>
      <c r="E2405" s="37" t="b">
        <v>0</v>
      </c>
      <c r="F2405" s="37" t="b">
        <v>1</v>
      </c>
      <c r="G2405" s="37">
        <v>0</v>
      </c>
      <c r="H2405" s="37" t="b">
        <v>0</v>
      </c>
    </row>
    <row r="2406" spans="1:8" x14ac:dyDescent="0.3">
      <c r="A2406" s="37" t="s">
        <v>2</v>
      </c>
      <c r="B2406" s="38"/>
      <c r="E2406" s="37" t="b">
        <v>1</v>
      </c>
      <c r="F2406" s="37" t="b">
        <v>0</v>
      </c>
      <c r="G2406" s="37">
        <v>0</v>
      </c>
      <c r="H2406" s="37" t="b">
        <v>0</v>
      </c>
    </row>
    <row r="2407" spans="1:8" x14ac:dyDescent="0.3">
      <c r="A2407" s="37" t="s">
        <v>125</v>
      </c>
      <c r="B2407" s="38">
        <v>145000</v>
      </c>
      <c r="E2407" s="37" t="b">
        <v>0</v>
      </c>
      <c r="F2407" s="37" t="b">
        <v>1</v>
      </c>
      <c r="G2407" s="37">
        <v>0</v>
      </c>
      <c r="H2407" s="37" t="b">
        <v>0</v>
      </c>
    </row>
    <row r="2408" spans="1:8" x14ac:dyDescent="0.3">
      <c r="A2408" s="37" t="s">
        <v>0</v>
      </c>
      <c r="B2408" s="38">
        <v>130000</v>
      </c>
      <c r="E2408" s="37" t="b">
        <v>0</v>
      </c>
      <c r="F2408" s="37" t="b">
        <v>1</v>
      </c>
      <c r="G2408" s="37">
        <v>0</v>
      </c>
      <c r="H2408" s="37" t="b">
        <v>0</v>
      </c>
    </row>
    <row r="2409" spans="1:8" x14ac:dyDescent="0.3">
      <c r="A2409" s="37" t="s">
        <v>0</v>
      </c>
      <c r="B2409" s="38">
        <v>100000</v>
      </c>
      <c r="E2409" s="37" t="b">
        <v>0</v>
      </c>
      <c r="F2409" s="37" t="b">
        <v>1</v>
      </c>
      <c r="G2409" s="37">
        <v>0</v>
      </c>
      <c r="H2409" s="37" t="b">
        <v>0</v>
      </c>
    </row>
    <row r="2410" spans="1:8" x14ac:dyDescent="0.3">
      <c r="A2410" s="37" t="s">
        <v>2</v>
      </c>
      <c r="B2410" s="38"/>
      <c r="E2410" s="37" t="b">
        <v>1</v>
      </c>
      <c r="F2410" s="37" t="b">
        <v>0</v>
      </c>
      <c r="G2410" s="37">
        <v>0</v>
      </c>
      <c r="H2410" s="37" t="b">
        <v>0</v>
      </c>
    </row>
    <row r="2411" spans="1:8" x14ac:dyDescent="0.3">
      <c r="A2411" s="37" t="s">
        <v>2</v>
      </c>
      <c r="B2411" s="38">
        <v>70000</v>
      </c>
      <c r="E2411" s="37" t="b">
        <v>1</v>
      </c>
      <c r="F2411" s="37" t="b">
        <v>1</v>
      </c>
      <c r="G2411" s="37">
        <v>1</v>
      </c>
      <c r="H2411" s="37">
        <v>70000</v>
      </c>
    </row>
    <row r="2412" spans="1:8" x14ac:dyDescent="0.3">
      <c r="A2412" s="37" t="s">
        <v>2</v>
      </c>
      <c r="B2412" s="38"/>
      <c r="E2412" s="37" t="b">
        <v>1</v>
      </c>
      <c r="F2412" s="37" t="b">
        <v>0</v>
      </c>
      <c r="G2412" s="37">
        <v>0</v>
      </c>
      <c r="H2412" s="37" t="b">
        <v>0</v>
      </c>
    </row>
    <row r="2413" spans="1:8" x14ac:dyDescent="0.3">
      <c r="A2413" s="37" t="s">
        <v>2</v>
      </c>
      <c r="B2413" s="38">
        <v>65000</v>
      </c>
      <c r="E2413" s="37" t="b">
        <v>1</v>
      </c>
      <c r="F2413" s="37" t="b">
        <v>1</v>
      </c>
      <c r="G2413" s="37">
        <v>1</v>
      </c>
      <c r="H2413" s="37">
        <v>65000</v>
      </c>
    </row>
    <row r="2414" spans="1:8" x14ac:dyDescent="0.3">
      <c r="A2414" s="37" t="s">
        <v>4</v>
      </c>
      <c r="B2414" s="38"/>
      <c r="E2414" s="37" t="b">
        <v>0</v>
      </c>
      <c r="F2414" s="37" t="b">
        <v>0</v>
      </c>
      <c r="G2414" s="37">
        <v>0</v>
      </c>
      <c r="H2414" s="37" t="b">
        <v>0</v>
      </c>
    </row>
    <row r="2415" spans="1:8" x14ac:dyDescent="0.3">
      <c r="A2415" s="37" t="s">
        <v>2</v>
      </c>
      <c r="B2415" s="38">
        <v>47500</v>
      </c>
      <c r="E2415" s="37" t="b">
        <v>1</v>
      </c>
      <c r="F2415" s="37" t="b">
        <v>1</v>
      </c>
      <c r="G2415" s="37">
        <v>1</v>
      </c>
      <c r="H2415" s="37">
        <v>47500</v>
      </c>
    </row>
    <row r="2416" spans="1:8" x14ac:dyDescent="0.3">
      <c r="A2416" s="37" t="s">
        <v>4</v>
      </c>
      <c r="B2416" s="38">
        <v>125000</v>
      </c>
      <c r="E2416" s="37" t="b">
        <v>0</v>
      </c>
      <c r="F2416" s="37" t="b">
        <v>1</v>
      </c>
      <c r="G2416" s="37">
        <v>0</v>
      </c>
      <c r="H2416" s="37" t="b">
        <v>0</v>
      </c>
    </row>
    <row r="2417" spans="1:8" x14ac:dyDescent="0.3">
      <c r="A2417" s="37" t="s">
        <v>4</v>
      </c>
      <c r="B2417" s="38"/>
      <c r="E2417" s="37" t="b">
        <v>0</v>
      </c>
      <c r="F2417" s="37" t="b">
        <v>0</v>
      </c>
      <c r="G2417" s="37">
        <v>0</v>
      </c>
      <c r="H2417" s="37" t="b">
        <v>0</v>
      </c>
    </row>
    <row r="2418" spans="1:8" x14ac:dyDescent="0.3">
      <c r="A2418" s="37" t="s">
        <v>126</v>
      </c>
      <c r="B2418" s="38">
        <v>145000</v>
      </c>
      <c r="E2418" s="37" t="b">
        <v>0</v>
      </c>
      <c r="F2418" s="37" t="b">
        <v>1</v>
      </c>
      <c r="G2418" s="37">
        <v>0</v>
      </c>
      <c r="H2418" s="37" t="b">
        <v>0</v>
      </c>
    </row>
    <row r="2419" spans="1:8" x14ac:dyDescent="0.3">
      <c r="A2419" s="37" t="s">
        <v>4</v>
      </c>
      <c r="B2419" s="38">
        <v>150000</v>
      </c>
      <c r="E2419" s="37" t="b">
        <v>0</v>
      </c>
      <c r="F2419" s="37" t="b">
        <v>1</v>
      </c>
      <c r="G2419" s="37">
        <v>0</v>
      </c>
      <c r="H2419" s="37" t="b">
        <v>0</v>
      </c>
    </row>
    <row r="2420" spans="1:8" x14ac:dyDescent="0.3">
      <c r="A2420" s="37" t="s">
        <v>4</v>
      </c>
      <c r="B2420" s="38">
        <v>105000</v>
      </c>
      <c r="E2420" s="37" t="b">
        <v>0</v>
      </c>
      <c r="F2420" s="37" t="b">
        <v>1</v>
      </c>
      <c r="G2420" s="37">
        <v>0</v>
      </c>
      <c r="H2420" s="37" t="b">
        <v>0</v>
      </c>
    </row>
    <row r="2421" spans="1:8" x14ac:dyDescent="0.3">
      <c r="A2421" s="37" t="s">
        <v>2</v>
      </c>
      <c r="B2421" s="38"/>
      <c r="E2421" s="37" t="b">
        <v>1</v>
      </c>
      <c r="F2421" s="37" t="b">
        <v>0</v>
      </c>
      <c r="G2421" s="37">
        <v>0</v>
      </c>
      <c r="H2421" s="37" t="b">
        <v>0</v>
      </c>
    </row>
    <row r="2422" spans="1:8" x14ac:dyDescent="0.3">
      <c r="A2422" s="37" t="s">
        <v>4</v>
      </c>
      <c r="B2422" s="38">
        <v>149874</v>
      </c>
      <c r="E2422" s="37" t="b">
        <v>0</v>
      </c>
      <c r="F2422" s="37" t="b">
        <v>1</v>
      </c>
      <c r="G2422" s="37">
        <v>0</v>
      </c>
      <c r="H2422" s="37" t="b">
        <v>0</v>
      </c>
    </row>
    <row r="2423" spans="1:8" x14ac:dyDescent="0.3">
      <c r="A2423" s="37" t="s">
        <v>4</v>
      </c>
      <c r="B2423" s="38">
        <v>120000</v>
      </c>
      <c r="E2423" s="37" t="b">
        <v>0</v>
      </c>
      <c r="F2423" s="37" t="b">
        <v>1</v>
      </c>
      <c r="G2423" s="37">
        <v>0</v>
      </c>
      <c r="H2423" s="37" t="b">
        <v>0</v>
      </c>
    </row>
    <row r="2424" spans="1:8" x14ac:dyDescent="0.3">
      <c r="A2424" s="37" t="s">
        <v>2</v>
      </c>
      <c r="B2424" s="38">
        <v>77500</v>
      </c>
      <c r="E2424" s="37" t="b">
        <v>1</v>
      </c>
      <c r="F2424" s="37" t="b">
        <v>1</v>
      </c>
      <c r="G2424" s="37">
        <v>1</v>
      </c>
      <c r="H2424" s="37">
        <v>77500</v>
      </c>
    </row>
    <row r="2425" spans="1:8" x14ac:dyDescent="0.3">
      <c r="A2425" s="37" t="s">
        <v>2</v>
      </c>
      <c r="B2425" s="38"/>
      <c r="E2425" s="37" t="b">
        <v>1</v>
      </c>
      <c r="F2425" s="37" t="b">
        <v>0</v>
      </c>
      <c r="G2425" s="37">
        <v>0</v>
      </c>
      <c r="H2425" s="37" t="b">
        <v>0</v>
      </c>
    </row>
    <row r="2426" spans="1:8" x14ac:dyDescent="0.3">
      <c r="A2426" s="37" t="s">
        <v>4</v>
      </c>
      <c r="B2426" s="38">
        <v>105000</v>
      </c>
      <c r="E2426" s="37" t="b">
        <v>0</v>
      </c>
      <c r="F2426" s="37" t="b">
        <v>1</v>
      </c>
      <c r="G2426" s="37">
        <v>0</v>
      </c>
      <c r="H2426" s="37" t="b">
        <v>0</v>
      </c>
    </row>
    <row r="2427" spans="1:8" x14ac:dyDescent="0.3">
      <c r="A2427" s="37" t="s">
        <v>0</v>
      </c>
      <c r="B2427" s="38">
        <v>172500</v>
      </c>
      <c r="E2427" s="37" t="b">
        <v>0</v>
      </c>
      <c r="F2427" s="37" t="b">
        <v>1</v>
      </c>
      <c r="G2427" s="37">
        <v>0</v>
      </c>
      <c r="H2427" s="37" t="b">
        <v>0</v>
      </c>
    </row>
    <row r="2428" spans="1:8" x14ac:dyDescent="0.3">
      <c r="A2428" s="37" t="s">
        <v>128</v>
      </c>
      <c r="B2428" s="38">
        <v>225000</v>
      </c>
      <c r="E2428" s="37" t="b">
        <v>0</v>
      </c>
      <c r="F2428" s="37" t="b">
        <v>1</v>
      </c>
      <c r="G2428" s="37">
        <v>0</v>
      </c>
      <c r="H2428" s="37" t="b">
        <v>0</v>
      </c>
    </row>
    <row r="2429" spans="1:8" x14ac:dyDescent="0.3">
      <c r="A2429" s="37" t="s">
        <v>128</v>
      </c>
      <c r="B2429" s="38">
        <v>135000</v>
      </c>
      <c r="E2429" s="37" t="b">
        <v>0</v>
      </c>
      <c r="F2429" s="37" t="b">
        <v>1</v>
      </c>
      <c r="G2429" s="37">
        <v>0</v>
      </c>
      <c r="H2429" s="37" t="b">
        <v>0</v>
      </c>
    </row>
    <row r="2430" spans="1:8" x14ac:dyDescent="0.3">
      <c r="A2430" s="37" t="s">
        <v>2</v>
      </c>
      <c r="B2430" s="38">
        <v>110000</v>
      </c>
      <c r="E2430" s="37" t="b">
        <v>1</v>
      </c>
      <c r="F2430" s="37" t="b">
        <v>1</v>
      </c>
      <c r="G2430" s="37">
        <v>1</v>
      </c>
      <c r="H2430" s="37">
        <v>110000</v>
      </c>
    </row>
    <row r="2431" spans="1:8" x14ac:dyDescent="0.3">
      <c r="A2431" s="37" t="s">
        <v>2</v>
      </c>
      <c r="B2431" s="38"/>
      <c r="E2431" s="37" t="b">
        <v>1</v>
      </c>
      <c r="F2431" s="37" t="b">
        <v>0</v>
      </c>
      <c r="G2431" s="37">
        <v>0</v>
      </c>
      <c r="H2431" s="37" t="b">
        <v>0</v>
      </c>
    </row>
    <row r="2432" spans="1:8" x14ac:dyDescent="0.3">
      <c r="A2432" s="37" t="s">
        <v>4</v>
      </c>
      <c r="B2432" s="38">
        <v>127500</v>
      </c>
      <c r="E2432" s="37" t="b">
        <v>0</v>
      </c>
      <c r="F2432" s="37" t="b">
        <v>1</v>
      </c>
      <c r="G2432" s="37">
        <v>0</v>
      </c>
      <c r="H2432" s="37" t="b">
        <v>0</v>
      </c>
    </row>
    <row r="2433" spans="1:8" x14ac:dyDescent="0.3">
      <c r="A2433" s="37" t="s">
        <v>0</v>
      </c>
      <c r="B2433" s="38">
        <v>106759</v>
      </c>
      <c r="E2433" s="37" t="b">
        <v>0</v>
      </c>
      <c r="F2433" s="37" t="b">
        <v>1</v>
      </c>
      <c r="G2433" s="37">
        <v>0</v>
      </c>
      <c r="H2433" s="37" t="b">
        <v>0</v>
      </c>
    </row>
    <row r="2434" spans="1:8" x14ac:dyDescent="0.3">
      <c r="A2434" s="37" t="s">
        <v>4</v>
      </c>
      <c r="B2434" s="38">
        <v>105000</v>
      </c>
      <c r="E2434" s="37" t="b">
        <v>0</v>
      </c>
      <c r="F2434" s="37" t="b">
        <v>1</v>
      </c>
      <c r="G2434" s="37">
        <v>0</v>
      </c>
      <c r="H2434" s="37" t="b">
        <v>0</v>
      </c>
    </row>
    <row r="2435" spans="1:8" x14ac:dyDescent="0.3">
      <c r="A2435" s="37" t="s">
        <v>2</v>
      </c>
      <c r="B2435" s="38">
        <v>140000</v>
      </c>
      <c r="E2435" s="37" t="b">
        <v>1</v>
      </c>
      <c r="F2435" s="37" t="b">
        <v>1</v>
      </c>
      <c r="G2435" s="37">
        <v>1</v>
      </c>
      <c r="H2435" s="37">
        <v>140000</v>
      </c>
    </row>
    <row r="2436" spans="1:8" x14ac:dyDescent="0.3">
      <c r="A2436" s="37" t="s">
        <v>2</v>
      </c>
      <c r="B2436" s="38">
        <v>67500</v>
      </c>
      <c r="E2436" s="37" t="b">
        <v>1</v>
      </c>
      <c r="F2436" s="37" t="b">
        <v>1</v>
      </c>
      <c r="G2436" s="37">
        <v>1</v>
      </c>
      <c r="H2436" s="37">
        <v>67500</v>
      </c>
    </row>
    <row r="2437" spans="1:8" x14ac:dyDescent="0.3">
      <c r="A2437" s="37" t="s">
        <v>0</v>
      </c>
      <c r="B2437" s="38">
        <v>74781</v>
      </c>
      <c r="E2437" s="37" t="b">
        <v>0</v>
      </c>
      <c r="F2437" s="37" t="b">
        <v>1</v>
      </c>
      <c r="G2437" s="37">
        <v>0</v>
      </c>
      <c r="H2437" s="37" t="b">
        <v>0</v>
      </c>
    </row>
    <row r="2438" spans="1:8" x14ac:dyDescent="0.3">
      <c r="A2438" s="37" t="s">
        <v>2</v>
      </c>
      <c r="B2438" s="38"/>
      <c r="E2438" s="37" t="b">
        <v>1</v>
      </c>
      <c r="F2438" s="37" t="b">
        <v>0</v>
      </c>
      <c r="G2438" s="37">
        <v>0</v>
      </c>
      <c r="H2438" s="37" t="b">
        <v>0</v>
      </c>
    </row>
    <row r="2439" spans="1:8" x14ac:dyDescent="0.3">
      <c r="A2439" s="37" t="s">
        <v>4</v>
      </c>
      <c r="B2439" s="38">
        <v>75000</v>
      </c>
      <c r="E2439" s="37" t="b">
        <v>0</v>
      </c>
      <c r="F2439" s="37" t="b">
        <v>1</v>
      </c>
      <c r="G2439" s="37">
        <v>0</v>
      </c>
      <c r="H2439" s="37" t="b">
        <v>0</v>
      </c>
    </row>
    <row r="2440" spans="1:8" x14ac:dyDescent="0.3">
      <c r="A2440" s="37" t="s">
        <v>0</v>
      </c>
      <c r="B2440" s="38"/>
      <c r="E2440" s="37" t="b">
        <v>0</v>
      </c>
      <c r="F2440" s="37" t="b">
        <v>0</v>
      </c>
      <c r="G2440" s="37">
        <v>0</v>
      </c>
      <c r="H2440" s="37" t="b">
        <v>0</v>
      </c>
    </row>
    <row r="2441" spans="1:8" x14ac:dyDescent="0.3">
      <c r="A2441" s="37" t="s">
        <v>52</v>
      </c>
      <c r="B2441" s="38"/>
      <c r="E2441" s="37" t="b">
        <v>0</v>
      </c>
      <c r="F2441" s="37" t="b">
        <v>0</v>
      </c>
      <c r="G2441" s="37">
        <v>0</v>
      </c>
      <c r="H2441" s="37" t="b">
        <v>0</v>
      </c>
    </row>
    <row r="2442" spans="1:8" x14ac:dyDescent="0.3">
      <c r="A2442" s="37" t="s">
        <v>128</v>
      </c>
      <c r="B2442" s="38">
        <v>315000</v>
      </c>
      <c r="E2442" s="37" t="b">
        <v>0</v>
      </c>
      <c r="F2442" s="37" t="b">
        <v>1</v>
      </c>
      <c r="G2442" s="37">
        <v>0</v>
      </c>
      <c r="H2442" s="37" t="b">
        <v>0</v>
      </c>
    </row>
    <row r="2443" spans="1:8" x14ac:dyDescent="0.3">
      <c r="A2443" s="37" t="s">
        <v>2</v>
      </c>
      <c r="B2443" s="38"/>
      <c r="E2443" s="37" t="b">
        <v>1</v>
      </c>
      <c r="F2443" s="37" t="b">
        <v>0</v>
      </c>
      <c r="G2443" s="37">
        <v>0</v>
      </c>
      <c r="H2443" s="37" t="b">
        <v>0</v>
      </c>
    </row>
    <row r="2444" spans="1:8" x14ac:dyDescent="0.3">
      <c r="A2444" s="37" t="s">
        <v>0</v>
      </c>
      <c r="B2444" s="38">
        <v>182500</v>
      </c>
      <c r="E2444" s="37" t="b">
        <v>0</v>
      </c>
      <c r="F2444" s="37" t="b">
        <v>1</v>
      </c>
      <c r="G2444" s="37">
        <v>0</v>
      </c>
      <c r="H2444" s="37" t="b">
        <v>0</v>
      </c>
    </row>
    <row r="2445" spans="1:8" x14ac:dyDescent="0.3">
      <c r="A2445" s="37" t="s">
        <v>0</v>
      </c>
      <c r="B2445" s="38">
        <v>107665</v>
      </c>
      <c r="E2445" s="37" t="b">
        <v>0</v>
      </c>
      <c r="F2445" s="37" t="b">
        <v>1</v>
      </c>
      <c r="G2445" s="37">
        <v>0</v>
      </c>
      <c r="H2445" s="37" t="b">
        <v>0</v>
      </c>
    </row>
    <row r="2446" spans="1:8" x14ac:dyDescent="0.3">
      <c r="A2446" s="37" t="s">
        <v>4</v>
      </c>
      <c r="B2446" s="38">
        <v>155000</v>
      </c>
      <c r="E2446" s="37" t="b">
        <v>0</v>
      </c>
      <c r="F2446" s="37" t="b">
        <v>1</v>
      </c>
      <c r="G2446" s="37">
        <v>0</v>
      </c>
      <c r="H2446" s="37" t="b">
        <v>0</v>
      </c>
    </row>
    <row r="2447" spans="1:8" x14ac:dyDescent="0.3">
      <c r="A2447" s="37" t="s">
        <v>2</v>
      </c>
      <c r="B2447" s="38">
        <v>89833.5</v>
      </c>
      <c r="E2447" s="37" t="b">
        <v>1</v>
      </c>
      <c r="F2447" s="37" t="b">
        <v>1</v>
      </c>
      <c r="G2447" s="37">
        <v>1</v>
      </c>
      <c r="H2447" s="37">
        <v>89833.5</v>
      </c>
    </row>
    <row r="2448" spans="1:8" x14ac:dyDescent="0.3">
      <c r="A2448" s="37" t="s">
        <v>2</v>
      </c>
      <c r="B2448" s="38"/>
      <c r="E2448" s="37" t="b">
        <v>1</v>
      </c>
      <c r="F2448" s="37" t="b">
        <v>0</v>
      </c>
      <c r="G2448" s="37">
        <v>0</v>
      </c>
      <c r="H2448" s="37" t="b">
        <v>0</v>
      </c>
    </row>
    <row r="2449" spans="1:8" x14ac:dyDescent="0.3">
      <c r="A2449" s="37" t="s">
        <v>2</v>
      </c>
      <c r="B2449" s="38">
        <v>95000</v>
      </c>
      <c r="E2449" s="37" t="b">
        <v>1</v>
      </c>
      <c r="F2449" s="37" t="b">
        <v>1</v>
      </c>
      <c r="G2449" s="37">
        <v>1</v>
      </c>
      <c r="H2449" s="37">
        <v>95000</v>
      </c>
    </row>
    <row r="2450" spans="1:8" x14ac:dyDescent="0.3">
      <c r="A2450" s="37" t="s">
        <v>2</v>
      </c>
      <c r="B2450" s="38"/>
      <c r="E2450" s="37" t="b">
        <v>1</v>
      </c>
      <c r="F2450" s="37" t="b">
        <v>0</v>
      </c>
      <c r="G2450" s="37">
        <v>0</v>
      </c>
      <c r="H2450" s="37" t="b">
        <v>0</v>
      </c>
    </row>
    <row r="2451" spans="1:8" x14ac:dyDescent="0.3">
      <c r="A2451" s="37" t="s">
        <v>125</v>
      </c>
      <c r="B2451" s="38"/>
      <c r="E2451" s="37" t="b">
        <v>0</v>
      </c>
      <c r="F2451" s="37" t="b">
        <v>0</v>
      </c>
      <c r="G2451" s="37">
        <v>0</v>
      </c>
      <c r="H2451" s="37" t="b">
        <v>0</v>
      </c>
    </row>
    <row r="2452" spans="1:8" x14ac:dyDescent="0.3">
      <c r="A2452" s="37" t="s">
        <v>2</v>
      </c>
      <c r="B2452" s="38"/>
      <c r="E2452" s="37" t="b">
        <v>1</v>
      </c>
      <c r="F2452" s="37" t="b">
        <v>0</v>
      </c>
      <c r="G2452" s="37">
        <v>0</v>
      </c>
      <c r="H2452" s="37" t="b">
        <v>0</v>
      </c>
    </row>
    <row r="2453" spans="1:8" x14ac:dyDescent="0.3">
      <c r="A2453" s="37" t="s">
        <v>2</v>
      </c>
      <c r="B2453" s="38">
        <v>97500</v>
      </c>
      <c r="E2453" s="37" t="b">
        <v>1</v>
      </c>
      <c r="F2453" s="37" t="b">
        <v>1</v>
      </c>
      <c r="G2453" s="37">
        <v>1</v>
      </c>
      <c r="H2453" s="37">
        <v>97500</v>
      </c>
    </row>
    <row r="2454" spans="1:8" x14ac:dyDescent="0.3">
      <c r="A2454" s="37" t="s">
        <v>4</v>
      </c>
      <c r="B2454" s="38">
        <v>165000</v>
      </c>
      <c r="E2454" s="37" t="b">
        <v>0</v>
      </c>
      <c r="F2454" s="37" t="b">
        <v>1</v>
      </c>
      <c r="G2454" s="37">
        <v>0</v>
      </c>
      <c r="H2454" s="37" t="b">
        <v>0</v>
      </c>
    </row>
    <row r="2455" spans="1:8" x14ac:dyDescent="0.3">
      <c r="A2455" s="37" t="s">
        <v>4</v>
      </c>
      <c r="B2455" s="38">
        <v>89500</v>
      </c>
      <c r="E2455" s="37" t="b">
        <v>0</v>
      </c>
      <c r="F2455" s="37" t="b">
        <v>1</v>
      </c>
      <c r="G2455" s="37">
        <v>0</v>
      </c>
      <c r="H2455" s="37" t="b">
        <v>0</v>
      </c>
    </row>
    <row r="2456" spans="1:8" x14ac:dyDescent="0.3">
      <c r="A2456" s="37" t="s">
        <v>0</v>
      </c>
      <c r="B2456" s="38">
        <v>112500</v>
      </c>
      <c r="E2456" s="37" t="b">
        <v>0</v>
      </c>
      <c r="F2456" s="37" t="b">
        <v>1</v>
      </c>
      <c r="G2456" s="37">
        <v>0</v>
      </c>
      <c r="H2456" s="37" t="b">
        <v>0</v>
      </c>
    </row>
    <row r="2457" spans="1:8" x14ac:dyDescent="0.3">
      <c r="A2457" s="37" t="s">
        <v>4</v>
      </c>
      <c r="B2457" s="38">
        <v>144000</v>
      </c>
      <c r="E2457" s="37" t="b">
        <v>0</v>
      </c>
      <c r="F2457" s="37" t="b">
        <v>1</v>
      </c>
      <c r="G2457" s="37">
        <v>0</v>
      </c>
      <c r="H2457" s="37" t="b">
        <v>0</v>
      </c>
    </row>
    <row r="2458" spans="1:8" x14ac:dyDescent="0.3">
      <c r="A2458" s="37" t="s">
        <v>4</v>
      </c>
      <c r="B2458" s="38"/>
      <c r="E2458" s="37" t="b">
        <v>0</v>
      </c>
      <c r="F2458" s="37" t="b">
        <v>0</v>
      </c>
      <c r="G2458" s="37">
        <v>0</v>
      </c>
      <c r="H2458" s="37" t="b">
        <v>0</v>
      </c>
    </row>
    <row r="2459" spans="1:8" x14ac:dyDescent="0.3">
      <c r="A2459" s="37" t="s">
        <v>0</v>
      </c>
      <c r="B2459" s="38"/>
      <c r="E2459" s="37" t="b">
        <v>0</v>
      </c>
      <c r="F2459" s="37" t="b">
        <v>0</v>
      </c>
      <c r="G2459" s="37">
        <v>0</v>
      </c>
      <c r="H2459" s="37" t="b">
        <v>0</v>
      </c>
    </row>
    <row r="2460" spans="1:8" x14ac:dyDescent="0.3">
      <c r="A2460" s="37" t="s">
        <v>0</v>
      </c>
      <c r="B2460" s="38">
        <v>158697</v>
      </c>
      <c r="E2460" s="37" t="b">
        <v>0</v>
      </c>
      <c r="F2460" s="37" t="b">
        <v>1</v>
      </c>
      <c r="G2460" s="37">
        <v>0</v>
      </c>
      <c r="H2460" s="37" t="b">
        <v>0</v>
      </c>
    </row>
    <row r="2461" spans="1:8" x14ac:dyDescent="0.3">
      <c r="A2461" s="37" t="s">
        <v>0</v>
      </c>
      <c r="B2461" s="38">
        <v>209955.5</v>
      </c>
      <c r="E2461" s="37" t="b">
        <v>0</v>
      </c>
      <c r="F2461" s="37" t="b">
        <v>1</v>
      </c>
      <c r="G2461" s="37">
        <v>0</v>
      </c>
      <c r="H2461" s="37" t="b">
        <v>0</v>
      </c>
    </row>
    <row r="2462" spans="1:8" x14ac:dyDescent="0.3">
      <c r="A2462" s="37" t="s">
        <v>0</v>
      </c>
      <c r="B2462" s="38">
        <v>265000</v>
      </c>
      <c r="E2462" s="37" t="b">
        <v>0</v>
      </c>
      <c r="F2462" s="37" t="b">
        <v>1</v>
      </c>
      <c r="G2462" s="37">
        <v>0</v>
      </c>
      <c r="H2462" s="37" t="b">
        <v>0</v>
      </c>
    </row>
    <row r="2463" spans="1:8" x14ac:dyDescent="0.3">
      <c r="A2463" s="37" t="s">
        <v>2</v>
      </c>
      <c r="B2463" s="38">
        <v>75500</v>
      </c>
      <c r="E2463" s="37" t="b">
        <v>1</v>
      </c>
      <c r="F2463" s="37" t="b">
        <v>1</v>
      </c>
      <c r="G2463" s="37">
        <v>1</v>
      </c>
      <c r="H2463" s="37">
        <v>75500</v>
      </c>
    </row>
    <row r="2464" spans="1:8" x14ac:dyDescent="0.3">
      <c r="A2464" s="37" t="s">
        <v>4</v>
      </c>
      <c r="B2464" s="38"/>
      <c r="E2464" s="37" t="b">
        <v>0</v>
      </c>
      <c r="F2464" s="37" t="b">
        <v>0</v>
      </c>
      <c r="G2464" s="37">
        <v>0</v>
      </c>
      <c r="H2464" s="37" t="b">
        <v>0</v>
      </c>
    </row>
    <row r="2465" spans="1:8" x14ac:dyDescent="0.3">
      <c r="A2465" s="37" t="s">
        <v>126</v>
      </c>
      <c r="B2465" s="38">
        <v>250000</v>
      </c>
      <c r="E2465" s="37" t="b">
        <v>0</v>
      </c>
      <c r="F2465" s="37" t="b">
        <v>1</v>
      </c>
      <c r="G2465" s="37">
        <v>0</v>
      </c>
      <c r="H2465" s="37" t="b">
        <v>0</v>
      </c>
    </row>
    <row r="2466" spans="1:8" x14ac:dyDescent="0.3">
      <c r="A2466" s="37" t="s">
        <v>2</v>
      </c>
      <c r="B2466" s="38">
        <v>70000</v>
      </c>
      <c r="E2466" s="37" t="b">
        <v>1</v>
      </c>
      <c r="F2466" s="37" t="b">
        <v>1</v>
      </c>
      <c r="G2466" s="37">
        <v>1</v>
      </c>
      <c r="H2466" s="37">
        <v>70000</v>
      </c>
    </row>
    <row r="2467" spans="1:8" x14ac:dyDescent="0.3">
      <c r="A2467" s="37" t="s">
        <v>2</v>
      </c>
      <c r="B2467" s="38">
        <v>102500</v>
      </c>
      <c r="E2467" s="37" t="b">
        <v>1</v>
      </c>
      <c r="F2467" s="37" t="b">
        <v>1</v>
      </c>
      <c r="G2467" s="37">
        <v>1</v>
      </c>
      <c r="H2467" s="37">
        <v>102500</v>
      </c>
    </row>
    <row r="2468" spans="1:8" x14ac:dyDescent="0.3">
      <c r="A2468" s="37" t="s">
        <v>0</v>
      </c>
      <c r="B2468" s="38"/>
      <c r="E2468" s="37" t="b">
        <v>0</v>
      </c>
      <c r="F2468" s="37" t="b">
        <v>0</v>
      </c>
      <c r="G2468" s="37">
        <v>0</v>
      </c>
      <c r="H2468" s="37" t="b">
        <v>0</v>
      </c>
    </row>
    <row r="2469" spans="1:8" x14ac:dyDescent="0.3">
      <c r="A2469" s="37" t="s">
        <v>4</v>
      </c>
      <c r="B2469" s="38">
        <v>325000</v>
      </c>
      <c r="E2469" s="37" t="b">
        <v>0</v>
      </c>
      <c r="F2469" s="37" t="b">
        <v>1</v>
      </c>
      <c r="G2469" s="37">
        <v>0</v>
      </c>
      <c r="H2469" s="37" t="b">
        <v>0</v>
      </c>
    </row>
    <row r="2470" spans="1:8" x14ac:dyDescent="0.3">
      <c r="A2470" s="37" t="s">
        <v>4</v>
      </c>
      <c r="B2470" s="38"/>
      <c r="E2470" s="37" t="b">
        <v>0</v>
      </c>
      <c r="F2470" s="37" t="b">
        <v>0</v>
      </c>
      <c r="G2470" s="37">
        <v>0</v>
      </c>
      <c r="H2470" s="37" t="b">
        <v>0</v>
      </c>
    </row>
    <row r="2471" spans="1:8" x14ac:dyDescent="0.3">
      <c r="A2471" s="37" t="s">
        <v>0</v>
      </c>
      <c r="B2471" s="38">
        <v>197000</v>
      </c>
      <c r="E2471" s="37" t="b">
        <v>0</v>
      </c>
      <c r="F2471" s="37" t="b">
        <v>1</v>
      </c>
      <c r="G2471" s="37">
        <v>0</v>
      </c>
      <c r="H2471" s="37" t="b">
        <v>0</v>
      </c>
    </row>
    <row r="2472" spans="1:8" x14ac:dyDescent="0.3">
      <c r="A2472" s="37" t="s">
        <v>2</v>
      </c>
      <c r="B2472" s="38"/>
      <c r="E2472" s="37" t="b">
        <v>1</v>
      </c>
      <c r="F2472" s="37" t="b">
        <v>0</v>
      </c>
      <c r="G2472" s="37">
        <v>0</v>
      </c>
      <c r="H2472" s="37" t="b">
        <v>0</v>
      </c>
    </row>
    <row r="2473" spans="1:8" x14ac:dyDescent="0.3">
      <c r="A2473" s="37" t="s">
        <v>2</v>
      </c>
      <c r="B2473" s="38">
        <v>55000</v>
      </c>
      <c r="E2473" s="37" t="b">
        <v>1</v>
      </c>
      <c r="F2473" s="37" t="b">
        <v>1</v>
      </c>
      <c r="G2473" s="37">
        <v>1</v>
      </c>
      <c r="H2473" s="37">
        <v>55000</v>
      </c>
    </row>
    <row r="2474" spans="1:8" x14ac:dyDescent="0.3">
      <c r="A2474" s="37" t="s">
        <v>0</v>
      </c>
      <c r="B2474" s="38"/>
      <c r="E2474" s="37" t="b">
        <v>0</v>
      </c>
      <c r="F2474" s="37" t="b">
        <v>0</v>
      </c>
      <c r="G2474" s="37">
        <v>0</v>
      </c>
      <c r="H2474" s="37" t="b">
        <v>0</v>
      </c>
    </row>
    <row r="2475" spans="1:8" x14ac:dyDescent="0.3">
      <c r="A2475" s="37" t="s">
        <v>126</v>
      </c>
      <c r="B2475" s="38">
        <v>145000</v>
      </c>
      <c r="E2475" s="37" t="b">
        <v>0</v>
      </c>
      <c r="F2475" s="37" t="b">
        <v>1</v>
      </c>
      <c r="G2475" s="37">
        <v>0</v>
      </c>
      <c r="H2475" s="37" t="b">
        <v>0</v>
      </c>
    </row>
    <row r="2476" spans="1:8" x14ac:dyDescent="0.3">
      <c r="A2476" s="37" t="s">
        <v>2</v>
      </c>
      <c r="B2476" s="38"/>
      <c r="E2476" s="37" t="b">
        <v>1</v>
      </c>
      <c r="F2476" s="37" t="b">
        <v>0</v>
      </c>
      <c r="G2476" s="37">
        <v>0</v>
      </c>
      <c r="H2476" s="37" t="b">
        <v>0</v>
      </c>
    </row>
    <row r="2477" spans="1:8" x14ac:dyDescent="0.3">
      <c r="A2477" s="37" t="s">
        <v>4</v>
      </c>
      <c r="B2477" s="38"/>
      <c r="E2477" s="37" t="b">
        <v>0</v>
      </c>
      <c r="F2477" s="37" t="b">
        <v>0</v>
      </c>
      <c r="G2477" s="37">
        <v>0</v>
      </c>
      <c r="H2477" s="37" t="b">
        <v>0</v>
      </c>
    </row>
    <row r="2478" spans="1:8" x14ac:dyDescent="0.3">
      <c r="A2478" s="37" t="s">
        <v>126</v>
      </c>
      <c r="B2478" s="38">
        <v>135000</v>
      </c>
      <c r="E2478" s="37" t="b">
        <v>0</v>
      </c>
      <c r="F2478" s="37" t="b">
        <v>1</v>
      </c>
      <c r="G2478" s="37">
        <v>0</v>
      </c>
      <c r="H2478" s="37" t="b">
        <v>0</v>
      </c>
    </row>
    <row r="2479" spans="1:8" x14ac:dyDescent="0.3">
      <c r="A2479" s="37" t="s">
        <v>2</v>
      </c>
      <c r="B2479" s="38">
        <v>64500</v>
      </c>
      <c r="E2479" s="37" t="b">
        <v>1</v>
      </c>
      <c r="F2479" s="37" t="b">
        <v>1</v>
      </c>
      <c r="G2479" s="37">
        <v>1</v>
      </c>
      <c r="H2479" s="37">
        <v>64500</v>
      </c>
    </row>
    <row r="2480" spans="1:8" x14ac:dyDescent="0.3">
      <c r="A2480" s="37" t="s">
        <v>4</v>
      </c>
      <c r="B2480" s="38">
        <v>140000</v>
      </c>
      <c r="E2480" s="37" t="b">
        <v>0</v>
      </c>
      <c r="F2480" s="37" t="b">
        <v>1</v>
      </c>
      <c r="G2480" s="37">
        <v>0</v>
      </c>
      <c r="H2480" s="37" t="b">
        <v>0</v>
      </c>
    </row>
    <row r="2481" spans="1:8" x14ac:dyDescent="0.3">
      <c r="A2481" s="37" t="s">
        <v>2</v>
      </c>
      <c r="B2481" s="38">
        <v>144481.5</v>
      </c>
      <c r="E2481" s="37" t="b">
        <v>1</v>
      </c>
      <c r="F2481" s="37" t="b">
        <v>1</v>
      </c>
      <c r="G2481" s="37">
        <v>1</v>
      </c>
      <c r="H2481" s="37">
        <v>144481.5</v>
      </c>
    </row>
    <row r="2482" spans="1:8" x14ac:dyDescent="0.3">
      <c r="A2482" s="37" t="s">
        <v>4</v>
      </c>
      <c r="B2482" s="38">
        <v>80000</v>
      </c>
      <c r="E2482" s="37" t="b">
        <v>0</v>
      </c>
      <c r="F2482" s="37" t="b">
        <v>1</v>
      </c>
      <c r="G2482" s="37">
        <v>0</v>
      </c>
      <c r="H2482" s="37" t="b">
        <v>0</v>
      </c>
    </row>
    <row r="2483" spans="1:8" x14ac:dyDescent="0.3">
      <c r="A2483" s="37" t="s">
        <v>0</v>
      </c>
      <c r="B2483" s="38"/>
      <c r="E2483" s="37" t="b">
        <v>0</v>
      </c>
      <c r="F2483" s="37" t="b">
        <v>0</v>
      </c>
      <c r="G2483" s="37">
        <v>0</v>
      </c>
      <c r="H2483" s="37" t="b">
        <v>0</v>
      </c>
    </row>
    <row r="2484" spans="1:8" x14ac:dyDescent="0.3">
      <c r="A2484" s="37" t="s">
        <v>0</v>
      </c>
      <c r="B2484" s="38">
        <v>125000</v>
      </c>
      <c r="E2484" s="37" t="b">
        <v>0</v>
      </c>
      <c r="F2484" s="37" t="b">
        <v>1</v>
      </c>
      <c r="G2484" s="37">
        <v>0</v>
      </c>
      <c r="H2484" s="37" t="b">
        <v>0</v>
      </c>
    </row>
    <row r="2485" spans="1:8" x14ac:dyDescent="0.3">
      <c r="A2485" s="37" t="s">
        <v>125</v>
      </c>
      <c r="B2485" s="38">
        <v>75907</v>
      </c>
      <c r="E2485" s="37" t="b">
        <v>0</v>
      </c>
      <c r="F2485" s="37" t="b">
        <v>1</v>
      </c>
      <c r="G2485" s="37">
        <v>0</v>
      </c>
      <c r="H2485" s="37" t="b">
        <v>0</v>
      </c>
    </row>
    <row r="2486" spans="1:8" x14ac:dyDescent="0.3">
      <c r="A2486" s="37" t="s">
        <v>0</v>
      </c>
      <c r="B2486" s="38">
        <v>110000</v>
      </c>
      <c r="E2486" s="37" t="b">
        <v>0</v>
      </c>
      <c r="F2486" s="37" t="b">
        <v>1</v>
      </c>
      <c r="G2486" s="37">
        <v>0</v>
      </c>
      <c r="H2486" s="37" t="b">
        <v>0</v>
      </c>
    </row>
    <row r="2487" spans="1:8" x14ac:dyDescent="0.3">
      <c r="A2487" s="37" t="s">
        <v>128</v>
      </c>
      <c r="B2487" s="38">
        <v>112500</v>
      </c>
      <c r="E2487" s="37" t="b">
        <v>0</v>
      </c>
      <c r="F2487" s="37" t="b">
        <v>1</v>
      </c>
      <c r="G2487" s="37">
        <v>0</v>
      </c>
      <c r="H2487" s="37" t="b">
        <v>0</v>
      </c>
    </row>
    <row r="2488" spans="1:8" x14ac:dyDescent="0.3">
      <c r="A2488" s="37" t="s">
        <v>2</v>
      </c>
      <c r="B2488" s="38">
        <v>160000</v>
      </c>
      <c r="E2488" s="37" t="b">
        <v>1</v>
      </c>
      <c r="F2488" s="37" t="b">
        <v>1</v>
      </c>
      <c r="G2488" s="37">
        <v>1</v>
      </c>
      <c r="H2488" s="37">
        <v>160000</v>
      </c>
    </row>
    <row r="2489" spans="1:8" x14ac:dyDescent="0.3">
      <c r="A2489" s="37" t="s">
        <v>0</v>
      </c>
      <c r="B2489" s="38">
        <v>95303.5</v>
      </c>
      <c r="E2489" s="37" t="b">
        <v>0</v>
      </c>
      <c r="F2489" s="37" t="b">
        <v>1</v>
      </c>
      <c r="G2489" s="37">
        <v>0</v>
      </c>
      <c r="H2489" s="37" t="b">
        <v>0</v>
      </c>
    </row>
    <row r="2490" spans="1:8" x14ac:dyDescent="0.3">
      <c r="A2490" s="37" t="s">
        <v>2</v>
      </c>
      <c r="B2490" s="38">
        <v>52500</v>
      </c>
      <c r="E2490" s="37" t="b">
        <v>1</v>
      </c>
      <c r="F2490" s="37" t="b">
        <v>1</v>
      </c>
      <c r="G2490" s="37">
        <v>1</v>
      </c>
      <c r="H2490" s="37">
        <v>52500</v>
      </c>
    </row>
    <row r="2491" spans="1:8" x14ac:dyDescent="0.3">
      <c r="A2491" s="37" t="s">
        <v>128</v>
      </c>
      <c r="B2491" s="38">
        <v>250000</v>
      </c>
      <c r="E2491" s="37" t="b">
        <v>0</v>
      </c>
      <c r="F2491" s="37" t="b">
        <v>1</v>
      </c>
      <c r="G2491" s="37">
        <v>0</v>
      </c>
      <c r="H2491" s="37" t="b">
        <v>0</v>
      </c>
    </row>
    <row r="2492" spans="1:8" x14ac:dyDescent="0.3">
      <c r="A2492" s="37" t="s">
        <v>4</v>
      </c>
      <c r="B2492" s="38"/>
      <c r="E2492" s="37" t="b">
        <v>0</v>
      </c>
      <c r="F2492" s="37" t="b">
        <v>0</v>
      </c>
      <c r="G2492" s="37">
        <v>0</v>
      </c>
      <c r="H2492" s="37" t="b">
        <v>0</v>
      </c>
    </row>
    <row r="2493" spans="1:8" x14ac:dyDescent="0.3">
      <c r="A2493" s="37" t="s">
        <v>0</v>
      </c>
      <c r="B2493" s="38">
        <v>72500</v>
      </c>
      <c r="E2493" s="37" t="b">
        <v>0</v>
      </c>
      <c r="F2493" s="37" t="b">
        <v>1</v>
      </c>
      <c r="G2493" s="37">
        <v>0</v>
      </c>
      <c r="H2493" s="37" t="b">
        <v>0</v>
      </c>
    </row>
    <row r="2494" spans="1:8" x14ac:dyDescent="0.3">
      <c r="A2494" s="37" t="s">
        <v>2</v>
      </c>
      <c r="B2494" s="38">
        <v>112500</v>
      </c>
      <c r="E2494" s="37" t="b">
        <v>1</v>
      </c>
      <c r="F2494" s="37" t="b">
        <v>1</v>
      </c>
      <c r="G2494" s="37">
        <v>1</v>
      </c>
      <c r="H2494" s="37">
        <v>112500</v>
      </c>
    </row>
    <row r="2495" spans="1:8" x14ac:dyDescent="0.3">
      <c r="A2495" s="37" t="s">
        <v>0</v>
      </c>
      <c r="B2495" s="38">
        <v>77200</v>
      </c>
      <c r="E2495" s="37" t="b">
        <v>0</v>
      </c>
      <c r="F2495" s="37" t="b">
        <v>1</v>
      </c>
      <c r="G2495" s="37">
        <v>0</v>
      </c>
      <c r="H2495" s="37" t="b">
        <v>0</v>
      </c>
    </row>
    <row r="2496" spans="1:8" x14ac:dyDescent="0.3">
      <c r="A2496" s="37" t="s">
        <v>126</v>
      </c>
      <c r="B2496" s="38">
        <v>135000</v>
      </c>
      <c r="E2496" s="37" t="b">
        <v>0</v>
      </c>
      <c r="F2496" s="37" t="b">
        <v>1</v>
      </c>
      <c r="G2496" s="37">
        <v>0</v>
      </c>
      <c r="H2496" s="37" t="b">
        <v>0</v>
      </c>
    </row>
    <row r="2497" spans="1:8" x14ac:dyDescent="0.3">
      <c r="A2497" s="37" t="s">
        <v>0</v>
      </c>
      <c r="B2497" s="38">
        <v>150000</v>
      </c>
      <c r="E2497" s="37" t="b">
        <v>0</v>
      </c>
      <c r="F2497" s="37" t="b">
        <v>1</v>
      </c>
      <c r="G2497" s="37">
        <v>0</v>
      </c>
      <c r="H2497" s="37" t="b">
        <v>0</v>
      </c>
    </row>
    <row r="2498" spans="1:8" x14ac:dyDescent="0.3">
      <c r="A2498" s="37" t="s">
        <v>4</v>
      </c>
      <c r="B2498" s="38"/>
      <c r="E2498" s="37" t="b">
        <v>0</v>
      </c>
      <c r="F2498" s="37" t="b">
        <v>0</v>
      </c>
      <c r="G2498" s="37">
        <v>0</v>
      </c>
      <c r="H2498" s="37" t="b">
        <v>0</v>
      </c>
    </row>
    <row r="2499" spans="1:8" x14ac:dyDescent="0.3">
      <c r="A2499" s="37" t="s">
        <v>2</v>
      </c>
      <c r="B2499" s="38">
        <v>82500</v>
      </c>
      <c r="E2499" s="37" t="b">
        <v>1</v>
      </c>
      <c r="F2499" s="37" t="b">
        <v>1</v>
      </c>
      <c r="G2499" s="37">
        <v>1</v>
      </c>
      <c r="H2499" s="37">
        <v>82500</v>
      </c>
    </row>
    <row r="2500" spans="1:8" x14ac:dyDescent="0.3">
      <c r="A2500" s="37" t="s">
        <v>2</v>
      </c>
      <c r="B2500" s="38"/>
      <c r="E2500" s="37" t="b">
        <v>1</v>
      </c>
      <c r="F2500" s="37" t="b">
        <v>0</v>
      </c>
      <c r="G2500" s="37">
        <v>0</v>
      </c>
      <c r="H2500" s="37" t="b">
        <v>0</v>
      </c>
    </row>
    <row r="2501" spans="1:8" x14ac:dyDescent="0.3">
      <c r="A2501" s="37" t="s">
        <v>0</v>
      </c>
      <c r="B2501" s="38"/>
      <c r="E2501" s="37" t="b">
        <v>0</v>
      </c>
      <c r="F2501" s="37" t="b">
        <v>0</v>
      </c>
      <c r="G2501" s="37">
        <v>0</v>
      </c>
      <c r="H2501" s="37" t="b">
        <v>0</v>
      </c>
    </row>
    <row r="2502" spans="1:8" x14ac:dyDescent="0.3">
      <c r="A2502" s="37" t="s">
        <v>4</v>
      </c>
      <c r="B2502" s="38">
        <v>155000</v>
      </c>
      <c r="E2502" s="37" t="b">
        <v>0</v>
      </c>
      <c r="F2502" s="37" t="b">
        <v>1</v>
      </c>
      <c r="G2502" s="37">
        <v>0</v>
      </c>
      <c r="H2502" s="37" t="b">
        <v>0</v>
      </c>
    </row>
    <row r="2503" spans="1:8" x14ac:dyDescent="0.3">
      <c r="A2503" s="37" t="s">
        <v>2</v>
      </c>
      <c r="B2503" s="38">
        <v>85000</v>
      </c>
      <c r="E2503" s="37" t="b">
        <v>1</v>
      </c>
      <c r="F2503" s="37" t="b">
        <v>1</v>
      </c>
      <c r="G2503" s="37">
        <v>1</v>
      </c>
      <c r="H2503" s="37">
        <v>85000</v>
      </c>
    </row>
    <row r="2504" spans="1:8" x14ac:dyDescent="0.3">
      <c r="A2504" s="37" t="s">
        <v>4</v>
      </c>
      <c r="B2504" s="38"/>
      <c r="E2504" s="37" t="b">
        <v>0</v>
      </c>
      <c r="F2504" s="37" t="b">
        <v>0</v>
      </c>
      <c r="G2504" s="37">
        <v>0</v>
      </c>
      <c r="H2504" s="37" t="b">
        <v>0</v>
      </c>
    </row>
    <row r="2505" spans="1:8" x14ac:dyDescent="0.3">
      <c r="A2505" s="37" t="s">
        <v>2</v>
      </c>
      <c r="B2505" s="38"/>
      <c r="E2505" s="37" t="b">
        <v>1</v>
      </c>
      <c r="F2505" s="37" t="b">
        <v>0</v>
      </c>
      <c r="G2505" s="37">
        <v>0</v>
      </c>
      <c r="H2505" s="37" t="b">
        <v>0</v>
      </c>
    </row>
    <row r="2506" spans="1:8" x14ac:dyDescent="0.3">
      <c r="A2506" s="37" t="s">
        <v>126</v>
      </c>
      <c r="B2506" s="38"/>
      <c r="E2506" s="37" t="b">
        <v>0</v>
      </c>
      <c r="F2506" s="37" t="b">
        <v>0</v>
      </c>
      <c r="G2506" s="37">
        <v>0</v>
      </c>
      <c r="H2506" s="37" t="b">
        <v>0</v>
      </c>
    </row>
    <row r="2507" spans="1:8" x14ac:dyDescent="0.3">
      <c r="A2507" s="37" t="s">
        <v>2</v>
      </c>
      <c r="B2507" s="38"/>
      <c r="E2507" s="37" t="b">
        <v>1</v>
      </c>
      <c r="F2507" s="37" t="b">
        <v>0</v>
      </c>
      <c r="G2507" s="37">
        <v>0</v>
      </c>
      <c r="H2507" s="37" t="b">
        <v>0</v>
      </c>
    </row>
    <row r="2508" spans="1:8" x14ac:dyDescent="0.3">
      <c r="A2508" s="37" t="s">
        <v>2</v>
      </c>
      <c r="B2508" s="38">
        <v>59000</v>
      </c>
      <c r="E2508" s="37" t="b">
        <v>1</v>
      </c>
      <c r="F2508" s="37" t="b">
        <v>1</v>
      </c>
      <c r="G2508" s="37">
        <v>1</v>
      </c>
      <c r="H2508" s="37">
        <v>59000</v>
      </c>
    </row>
    <row r="2509" spans="1:8" x14ac:dyDescent="0.3">
      <c r="A2509" s="37" t="s">
        <v>4</v>
      </c>
      <c r="B2509" s="38"/>
      <c r="E2509" s="37" t="b">
        <v>0</v>
      </c>
      <c r="F2509" s="37" t="b">
        <v>0</v>
      </c>
      <c r="G2509" s="37">
        <v>0</v>
      </c>
      <c r="H2509" s="37" t="b">
        <v>0</v>
      </c>
    </row>
    <row r="2510" spans="1:8" x14ac:dyDescent="0.3">
      <c r="A2510" s="37" t="s">
        <v>2</v>
      </c>
      <c r="B2510" s="38">
        <v>157500</v>
      </c>
      <c r="E2510" s="37" t="b">
        <v>1</v>
      </c>
      <c r="F2510" s="37" t="b">
        <v>1</v>
      </c>
      <c r="G2510" s="37">
        <v>1</v>
      </c>
      <c r="H2510" s="37">
        <v>157500</v>
      </c>
    </row>
    <row r="2511" spans="1:8" x14ac:dyDescent="0.3">
      <c r="A2511" s="37" t="s">
        <v>4</v>
      </c>
      <c r="B2511" s="38">
        <v>110000</v>
      </c>
      <c r="E2511" s="37" t="b">
        <v>0</v>
      </c>
      <c r="F2511" s="37" t="b">
        <v>1</v>
      </c>
      <c r="G2511" s="37">
        <v>0</v>
      </c>
      <c r="H2511" s="37" t="b">
        <v>0</v>
      </c>
    </row>
    <row r="2512" spans="1:8" x14ac:dyDescent="0.3">
      <c r="A2512" s="37" t="s">
        <v>0</v>
      </c>
      <c r="B2512" s="38"/>
      <c r="E2512" s="37" t="b">
        <v>0</v>
      </c>
      <c r="F2512" s="37" t="b">
        <v>0</v>
      </c>
      <c r="G2512" s="37">
        <v>0</v>
      </c>
      <c r="H2512" s="37" t="b">
        <v>0</v>
      </c>
    </row>
    <row r="2513" spans="1:8" x14ac:dyDescent="0.3">
      <c r="A2513" s="37" t="s">
        <v>2</v>
      </c>
      <c r="B2513" s="38"/>
      <c r="E2513" s="37" t="b">
        <v>1</v>
      </c>
      <c r="F2513" s="37" t="b">
        <v>0</v>
      </c>
      <c r="G2513" s="37">
        <v>0</v>
      </c>
      <c r="H2513" s="37" t="b">
        <v>0</v>
      </c>
    </row>
    <row r="2514" spans="1:8" x14ac:dyDescent="0.3">
      <c r="A2514" s="37" t="s">
        <v>4</v>
      </c>
      <c r="B2514" s="38">
        <v>125000</v>
      </c>
      <c r="E2514" s="37" t="b">
        <v>0</v>
      </c>
      <c r="F2514" s="37" t="b">
        <v>1</v>
      </c>
      <c r="G2514" s="37">
        <v>0</v>
      </c>
      <c r="H2514" s="37" t="b">
        <v>0</v>
      </c>
    </row>
    <row r="2515" spans="1:8" x14ac:dyDescent="0.3">
      <c r="A2515" s="37" t="s">
        <v>128</v>
      </c>
      <c r="B2515" s="38">
        <v>475000</v>
      </c>
      <c r="E2515" s="37" t="b">
        <v>0</v>
      </c>
      <c r="F2515" s="37" t="b">
        <v>1</v>
      </c>
      <c r="G2515" s="37">
        <v>0</v>
      </c>
      <c r="H2515" s="37" t="b">
        <v>0</v>
      </c>
    </row>
    <row r="2516" spans="1:8" x14ac:dyDescent="0.3">
      <c r="A2516" s="37" t="s">
        <v>0</v>
      </c>
      <c r="B2516" s="38"/>
      <c r="E2516" s="37" t="b">
        <v>0</v>
      </c>
      <c r="F2516" s="37" t="b">
        <v>0</v>
      </c>
      <c r="G2516" s="37">
        <v>0</v>
      </c>
      <c r="H2516" s="37" t="b">
        <v>0</v>
      </c>
    </row>
    <row r="2517" spans="1:8" x14ac:dyDescent="0.3">
      <c r="A2517" s="37" t="s">
        <v>4</v>
      </c>
      <c r="B2517" s="38"/>
      <c r="E2517" s="37" t="b">
        <v>0</v>
      </c>
      <c r="F2517" s="37" t="b">
        <v>0</v>
      </c>
      <c r="G2517" s="37">
        <v>0</v>
      </c>
      <c r="H2517" s="37" t="b">
        <v>0</v>
      </c>
    </row>
    <row r="2518" spans="1:8" x14ac:dyDescent="0.3">
      <c r="A2518" s="37" t="s">
        <v>4</v>
      </c>
      <c r="B2518" s="38">
        <v>95000</v>
      </c>
      <c r="E2518" s="37" t="b">
        <v>0</v>
      </c>
      <c r="F2518" s="37" t="b">
        <v>1</v>
      </c>
      <c r="G2518" s="37">
        <v>0</v>
      </c>
      <c r="H2518" s="37" t="b">
        <v>0</v>
      </c>
    </row>
    <row r="2519" spans="1:8" x14ac:dyDescent="0.3">
      <c r="A2519" s="37" t="s">
        <v>128</v>
      </c>
      <c r="B2519" s="38"/>
      <c r="E2519" s="37" t="b">
        <v>0</v>
      </c>
      <c r="F2519" s="37" t="b">
        <v>0</v>
      </c>
      <c r="G2519" s="37">
        <v>0</v>
      </c>
      <c r="H2519" s="37" t="b">
        <v>0</v>
      </c>
    </row>
    <row r="2520" spans="1:8" x14ac:dyDescent="0.3">
      <c r="A2520" s="37" t="s">
        <v>2</v>
      </c>
      <c r="B2520" s="38">
        <v>85000</v>
      </c>
      <c r="E2520" s="37" t="b">
        <v>1</v>
      </c>
      <c r="F2520" s="37" t="b">
        <v>1</v>
      </c>
      <c r="G2520" s="37">
        <v>1</v>
      </c>
      <c r="H2520" s="37">
        <v>85000</v>
      </c>
    </row>
    <row r="2521" spans="1:8" x14ac:dyDescent="0.3">
      <c r="A2521" s="37" t="s">
        <v>2</v>
      </c>
      <c r="B2521" s="38"/>
      <c r="E2521" s="37" t="b">
        <v>1</v>
      </c>
      <c r="F2521" s="37" t="b">
        <v>0</v>
      </c>
      <c r="G2521" s="37">
        <v>0</v>
      </c>
      <c r="H2521" s="37" t="b">
        <v>0</v>
      </c>
    </row>
    <row r="2522" spans="1:8" x14ac:dyDescent="0.3">
      <c r="A2522" s="37" t="s">
        <v>126</v>
      </c>
      <c r="B2522" s="38">
        <v>300000</v>
      </c>
      <c r="E2522" s="37" t="b">
        <v>0</v>
      </c>
      <c r="F2522" s="37" t="b">
        <v>1</v>
      </c>
      <c r="G2522" s="37">
        <v>0</v>
      </c>
      <c r="H2522" s="37" t="b">
        <v>0</v>
      </c>
    </row>
    <row r="2523" spans="1:8" x14ac:dyDescent="0.3">
      <c r="A2523" s="37" t="s">
        <v>0</v>
      </c>
      <c r="B2523" s="38">
        <v>120000</v>
      </c>
      <c r="E2523" s="37" t="b">
        <v>0</v>
      </c>
      <c r="F2523" s="37" t="b">
        <v>1</v>
      </c>
      <c r="G2523" s="37">
        <v>0</v>
      </c>
      <c r="H2523" s="37" t="b">
        <v>0</v>
      </c>
    </row>
    <row r="2524" spans="1:8" x14ac:dyDescent="0.3">
      <c r="A2524" s="37" t="s">
        <v>52</v>
      </c>
      <c r="B2524" s="38"/>
      <c r="E2524" s="37" t="b">
        <v>0</v>
      </c>
      <c r="F2524" s="37" t="b">
        <v>0</v>
      </c>
      <c r="G2524" s="37">
        <v>0</v>
      </c>
      <c r="H2524" s="37" t="b">
        <v>0</v>
      </c>
    </row>
    <row r="2525" spans="1:8" x14ac:dyDescent="0.3">
      <c r="A2525" s="37" t="s">
        <v>4</v>
      </c>
      <c r="B2525" s="38"/>
      <c r="E2525" s="37" t="b">
        <v>0</v>
      </c>
      <c r="F2525" s="37" t="b">
        <v>0</v>
      </c>
      <c r="G2525" s="37">
        <v>0</v>
      </c>
      <c r="H2525" s="37" t="b">
        <v>0</v>
      </c>
    </row>
    <row r="2526" spans="1:8" x14ac:dyDescent="0.3">
      <c r="A2526" s="37" t="s">
        <v>126</v>
      </c>
      <c r="B2526" s="38"/>
      <c r="E2526" s="37" t="b">
        <v>0</v>
      </c>
      <c r="F2526" s="37" t="b">
        <v>0</v>
      </c>
      <c r="G2526" s="37">
        <v>0</v>
      </c>
      <c r="H2526" s="37" t="b">
        <v>0</v>
      </c>
    </row>
    <row r="2527" spans="1:8" x14ac:dyDescent="0.3">
      <c r="A2527" s="37" t="s">
        <v>4</v>
      </c>
      <c r="B2527" s="38">
        <v>151000</v>
      </c>
      <c r="E2527" s="37" t="b">
        <v>0</v>
      </c>
      <c r="F2527" s="37" t="b">
        <v>1</v>
      </c>
      <c r="G2527" s="37">
        <v>0</v>
      </c>
      <c r="H2527" s="37" t="b">
        <v>0</v>
      </c>
    </row>
    <row r="2528" spans="1:8" x14ac:dyDescent="0.3">
      <c r="A2528" s="37" t="s">
        <v>4</v>
      </c>
      <c r="B2528" s="38">
        <v>112500</v>
      </c>
      <c r="E2528" s="37" t="b">
        <v>0</v>
      </c>
      <c r="F2528" s="37" t="b">
        <v>1</v>
      </c>
      <c r="G2528" s="37">
        <v>0</v>
      </c>
      <c r="H2528" s="37" t="b">
        <v>0</v>
      </c>
    </row>
    <row r="2529" spans="1:8" x14ac:dyDescent="0.3">
      <c r="A2529" s="37" t="s">
        <v>4</v>
      </c>
      <c r="B2529" s="38">
        <v>180000</v>
      </c>
      <c r="E2529" s="37" t="b">
        <v>0</v>
      </c>
      <c r="F2529" s="37" t="b">
        <v>1</v>
      </c>
      <c r="G2529" s="37">
        <v>0</v>
      </c>
      <c r="H2529" s="37" t="b">
        <v>0</v>
      </c>
    </row>
    <row r="2530" spans="1:8" x14ac:dyDescent="0.3">
      <c r="A2530" s="37" t="s">
        <v>126</v>
      </c>
      <c r="B2530" s="38"/>
      <c r="E2530" s="37" t="b">
        <v>0</v>
      </c>
      <c r="F2530" s="37" t="b">
        <v>0</v>
      </c>
      <c r="G2530" s="37">
        <v>0</v>
      </c>
      <c r="H2530" s="37" t="b">
        <v>0</v>
      </c>
    </row>
    <row r="2531" spans="1:8" x14ac:dyDescent="0.3">
      <c r="A2531" s="37" t="s">
        <v>2</v>
      </c>
      <c r="B2531" s="38"/>
      <c r="E2531" s="37" t="b">
        <v>1</v>
      </c>
      <c r="F2531" s="37" t="b">
        <v>0</v>
      </c>
      <c r="G2531" s="37">
        <v>0</v>
      </c>
      <c r="H2531" s="37" t="b">
        <v>0</v>
      </c>
    </row>
    <row r="2532" spans="1:8" x14ac:dyDescent="0.3">
      <c r="A2532" s="37" t="s">
        <v>4</v>
      </c>
      <c r="B2532" s="38"/>
      <c r="E2532" s="37" t="b">
        <v>0</v>
      </c>
      <c r="F2532" s="37" t="b">
        <v>0</v>
      </c>
      <c r="G2532" s="37">
        <v>0</v>
      </c>
      <c r="H2532" s="37" t="b">
        <v>0</v>
      </c>
    </row>
    <row r="2533" spans="1:8" x14ac:dyDescent="0.3">
      <c r="A2533" s="37" t="s">
        <v>2</v>
      </c>
      <c r="B2533" s="38"/>
      <c r="E2533" s="37" t="b">
        <v>1</v>
      </c>
      <c r="F2533" s="37" t="b">
        <v>0</v>
      </c>
      <c r="G2533" s="37">
        <v>0</v>
      </c>
      <c r="H2533" s="37" t="b">
        <v>0</v>
      </c>
    </row>
    <row r="2534" spans="1:8" x14ac:dyDescent="0.3">
      <c r="A2534" s="37" t="s">
        <v>128</v>
      </c>
      <c r="B2534" s="38"/>
      <c r="E2534" s="37" t="b">
        <v>0</v>
      </c>
      <c r="F2534" s="37" t="b">
        <v>0</v>
      </c>
      <c r="G2534" s="37">
        <v>0</v>
      </c>
      <c r="H2534" s="37" t="b">
        <v>0</v>
      </c>
    </row>
    <row r="2535" spans="1:8" x14ac:dyDescent="0.3">
      <c r="A2535" s="37" t="s">
        <v>2</v>
      </c>
      <c r="B2535" s="38">
        <v>60500</v>
      </c>
      <c r="E2535" s="37" t="b">
        <v>1</v>
      </c>
      <c r="F2535" s="37" t="b">
        <v>1</v>
      </c>
      <c r="G2535" s="37">
        <v>1</v>
      </c>
      <c r="H2535" s="37">
        <v>60500</v>
      </c>
    </row>
    <row r="2536" spans="1:8" x14ac:dyDescent="0.3">
      <c r="A2536" s="37" t="s">
        <v>4</v>
      </c>
      <c r="B2536" s="38"/>
      <c r="E2536" s="37" t="b">
        <v>0</v>
      </c>
      <c r="F2536" s="37" t="b">
        <v>0</v>
      </c>
      <c r="G2536" s="37">
        <v>0</v>
      </c>
      <c r="H2536" s="37" t="b">
        <v>0</v>
      </c>
    </row>
    <row r="2537" spans="1:8" x14ac:dyDescent="0.3">
      <c r="A2537" s="37" t="s">
        <v>0</v>
      </c>
      <c r="B2537" s="38"/>
      <c r="E2537" s="37" t="b">
        <v>0</v>
      </c>
      <c r="F2537" s="37" t="b">
        <v>0</v>
      </c>
      <c r="G2537" s="37">
        <v>0</v>
      </c>
      <c r="H2537" s="37" t="b">
        <v>0</v>
      </c>
    </row>
    <row r="2538" spans="1:8" x14ac:dyDescent="0.3">
      <c r="A2538" s="37" t="s">
        <v>0</v>
      </c>
      <c r="B2538" s="38"/>
      <c r="E2538" s="37" t="b">
        <v>0</v>
      </c>
      <c r="F2538" s="37" t="b">
        <v>0</v>
      </c>
      <c r="G2538" s="37">
        <v>0</v>
      </c>
      <c r="H2538" s="37" t="b">
        <v>0</v>
      </c>
    </row>
    <row r="2539" spans="1:8" x14ac:dyDescent="0.3">
      <c r="A2539" s="37" t="s">
        <v>2</v>
      </c>
      <c r="B2539" s="38"/>
      <c r="E2539" s="37" t="b">
        <v>1</v>
      </c>
      <c r="F2539" s="37" t="b">
        <v>0</v>
      </c>
      <c r="G2539" s="37">
        <v>0</v>
      </c>
      <c r="H2539" s="37" t="b">
        <v>0</v>
      </c>
    </row>
    <row r="2540" spans="1:8" x14ac:dyDescent="0.3">
      <c r="A2540" s="37" t="s">
        <v>125</v>
      </c>
      <c r="B2540" s="38"/>
      <c r="E2540" s="37" t="b">
        <v>0</v>
      </c>
      <c r="F2540" s="37" t="b">
        <v>0</v>
      </c>
      <c r="G2540" s="37">
        <v>0</v>
      </c>
      <c r="H2540" s="37" t="b">
        <v>0</v>
      </c>
    </row>
    <row r="2541" spans="1:8" x14ac:dyDescent="0.3">
      <c r="A2541" s="37" t="s">
        <v>128</v>
      </c>
      <c r="B2541" s="38"/>
      <c r="E2541" s="37" t="b">
        <v>0</v>
      </c>
      <c r="F2541" s="37" t="b">
        <v>0</v>
      </c>
      <c r="G2541" s="37">
        <v>0</v>
      </c>
      <c r="H2541" s="37" t="b">
        <v>0</v>
      </c>
    </row>
    <row r="2542" spans="1:8" x14ac:dyDescent="0.3">
      <c r="A2542" s="37" t="s">
        <v>125</v>
      </c>
      <c r="B2542" s="38"/>
      <c r="E2542" s="37" t="b">
        <v>0</v>
      </c>
      <c r="F2542" s="37" t="b">
        <v>0</v>
      </c>
      <c r="G2542" s="37">
        <v>0</v>
      </c>
      <c r="H2542" s="37" t="b">
        <v>0</v>
      </c>
    </row>
    <row r="2543" spans="1:8" x14ac:dyDescent="0.3">
      <c r="A2543" s="37" t="s">
        <v>2</v>
      </c>
      <c r="B2543" s="38"/>
      <c r="E2543" s="37" t="b">
        <v>1</v>
      </c>
      <c r="F2543" s="37" t="b">
        <v>0</v>
      </c>
      <c r="G2543" s="37">
        <v>0</v>
      </c>
      <c r="H2543" s="37" t="b">
        <v>0</v>
      </c>
    </row>
    <row r="2544" spans="1:8" x14ac:dyDescent="0.3">
      <c r="A2544" s="37" t="s">
        <v>2</v>
      </c>
      <c r="B2544" s="38"/>
      <c r="E2544" s="37" t="b">
        <v>1</v>
      </c>
      <c r="F2544" s="37" t="b">
        <v>0</v>
      </c>
      <c r="G2544" s="37">
        <v>0</v>
      </c>
      <c r="H2544" s="37" t="b">
        <v>0</v>
      </c>
    </row>
    <row r="2545" spans="1:8" x14ac:dyDescent="0.3">
      <c r="A2545" s="37" t="s">
        <v>4</v>
      </c>
      <c r="B2545" s="38"/>
      <c r="E2545" s="37" t="b">
        <v>0</v>
      </c>
      <c r="F2545" s="37" t="b">
        <v>0</v>
      </c>
      <c r="G2545" s="37">
        <v>0</v>
      </c>
      <c r="H2545" s="37" t="b">
        <v>0</v>
      </c>
    </row>
    <row r="2546" spans="1:8" x14ac:dyDescent="0.3">
      <c r="A2546" s="37" t="s">
        <v>0</v>
      </c>
      <c r="B2546" s="38"/>
      <c r="E2546" s="37" t="b">
        <v>0</v>
      </c>
      <c r="F2546" s="37" t="b">
        <v>0</v>
      </c>
      <c r="G2546" s="37">
        <v>0</v>
      </c>
      <c r="H2546" s="37" t="b">
        <v>0</v>
      </c>
    </row>
    <row r="2547" spans="1:8" x14ac:dyDescent="0.3">
      <c r="A2547" s="37" t="s">
        <v>0</v>
      </c>
      <c r="B2547" s="38"/>
      <c r="E2547" s="37" t="b">
        <v>0</v>
      </c>
      <c r="F2547" s="37" t="b">
        <v>0</v>
      </c>
      <c r="G2547" s="37">
        <v>0</v>
      </c>
      <c r="H2547" s="37" t="b">
        <v>0</v>
      </c>
    </row>
    <row r="2548" spans="1:8" x14ac:dyDescent="0.3">
      <c r="A2548" s="37" t="s">
        <v>2</v>
      </c>
      <c r="B2548" s="38">
        <v>155000</v>
      </c>
      <c r="E2548" s="37" t="b">
        <v>1</v>
      </c>
      <c r="F2548" s="37" t="b">
        <v>1</v>
      </c>
      <c r="G2548" s="37">
        <v>1</v>
      </c>
      <c r="H2548" s="37">
        <v>155000</v>
      </c>
    </row>
    <row r="2549" spans="1:8" x14ac:dyDescent="0.3">
      <c r="A2549" s="37" t="s">
        <v>52</v>
      </c>
      <c r="B2549" s="38">
        <v>125000</v>
      </c>
      <c r="E2549" s="37" t="b">
        <v>0</v>
      </c>
      <c r="F2549" s="37" t="b">
        <v>1</v>
      </c>
      <c r="G2549" s="37">
        <v>0</v>
      </c>
      <c r="H2549" s="37" t="b">
        <v>0</v>
      </c>
    </row>
    <row r="2550" spans="1:8" x14ac:dyDescent="0.3">
      <c r="A2550" s="37" t="s">
        <v>4</v>
      </c>
      <c r="B2550" s="38">
        <v>150000</v>
      </c>
      <c r="E2550" s="37" t="b">
        <v>0</v>
      </c>
      <c r="F2550" s="37" t="b">
        <v>1</v>
      </c>
      <c r="G2550" s="37">
        <v>0</v>
      </c>
      <c r="H2550" s="37" t="b">
        <v>0</v>
      </c>
    </row>
    <row r="2551" spans="1:8" x14ac:dyDescent="0.3">
      <c r="A2551" s="37" t="s">
        <v>4</v>
      </c>
      <c r="B2551" s="38">
        <v>165000</v>
      </c>
      <c r="E2551" s="37" t="b">
        <v>0</v>
      </c>
      <c r="F2551" s="37" t="b">
        <v>1</v>
      </c>
      <c r="G2551" s="37">
        <v>0</v>
      </c>
      <c r="H2551" s="37" t="b">
        <v>0</v>
      </c>
    </row>
    <row r="2552" spans="1:8" x14ac:dyDescent="0.3">
      <c r="A2552" s="37" t="s">
        <v>2</v>
      </c>
      <c r="B2552" s="38">
        <v>90000</v>
      </c>
      <c r="E2552" s="37" t="b">
        <v>1</v>
      </c>
      <c r="F2552" s="37" t="b">
        <v>1</v>
      </c>
      <c r="G2552" s="37">
        <v>1</v>
      </c>
      <c r="H2552" s="37">
        <v>90000</v>
      </c>
    </row>
    <row r="2553" spans="1:8" x14ac:dyDescent="0.3">
      <c r="A2553" s="37" t="s">
        <v>2</v>
      </c>
      <c r="B2553" s="38">
        <v>90000</v>
      </c>
      <c r="E2553" s="37" t="b">
        <v>1</v>
      </c>
      <c r="F2553" s="37" t="b">
        <v>1</v>
      </c>
      <c r="G2553" s="37">
        <v>1</v>
      </c>
      <c r="H2553" s="37">
        <v>90000</v>
      </c>
    </row>
    <row r="2554" spans="1:8" x14ac:dyDescent="0.3">
      <c r="A2554" s="37" t="s">
        <v>0</v>
      </c>
      <c r="B2554" s="38">
        <v>150000</v>
      </c>
      <c r="E2554" s="37" t="b">
        <v>0</v>
      </c>
      <c r="F2554" s="37" t="b">
        <v>1</v>
      </c>
      <c r="G2554" s="37">
        <v>0</v>
      </c>
      <c r="H2554" s="37" t="b">
        <v>0</v>
      </c>
    </row>
    <row r="2555" spans="1:8" x14ac:dyDescent="0.3">
      <c r="A2555" s="37" t="s">
        <v>128</v>
      </c>
      <c r="B2555" s="38"/>
      <c r="E2555" s="37" t="b">
        <v>0</v>
      </c>
      <c r="F2555" s="37" t="b">
        <v>0</v>
      </c>
      <c r="G2555" s="37">
        <v>0</v>
      </c>
      <c r="H2555" s="37" t="b">
        <v>0</v>
      </c>
    </row>
    <row r="2556" spans="1:8" x14ac:dyDescent="0.3">
      <c r="A2556" s="37" t="s">
        <v>2</v>
      </c>
      <c r="B2556" s="38">
        <v>85000</v>
      </c>
      <c r="E2556" s="37" t="b">
        <v>1</v>
      </c>
      <c r="F2556" s="37" t="b">
        <v>1</v>
      </c>
      <c r="G2556" s="37">
        <v>1</v>
      </c>
      <c r="H2556" s="37">
        <v>85000</v>
      </c>
    </row>
    <row r="2557" spans="1:8" x14ac:dyDescent="0.3">
      <c r="A2557" s="37" t="s">
        <v>2</v>
      </c>
      <c r="B2557" s="38">
        <v>144481.5</v>
      </c>
      <c r="E2557" s="37" t="b">
        <v>1</v>
      </c>
      <c r="F2557" s="37" t="b">
        <v>1</v>
      </c>
      <c r="G2557" s="37">
        <v>1</v>
      </c>
      <c r="H2557" s="37">
        <v>144481.5</v>
      </c>
    </row>
    <row r="2558" spans="1:8" x14ac:dyDescent="0.3">
      <c r="A2558" s="37" t="s">
        <v>126</v>
      </c>
      <c r="B2558" s="38">
        <v>122470.5</v>
      </c>
      <c r="E2558" s="37" t="b">
        <v>0</v>
      </c>
      <c r="F2558" s="37" t="b">
        <v>1</v>
      </c>
      <c r="G2558" s="37">
        <v>0</v>
      </c>
      <c r="H2558" s="37" t="b">
        <v>0</v>
      </c>
    </row>
    <row r="2559" spans="1:8" x14ac:dyDescent="0.3">
      <c r="A2559" s="37" t="s">
        <v>2</v>
      </c>
      <c r="B2559" s="38">
        <v>118000</v>
      </c>
      <c r="E2559" s="37" t="b">
        <v>1</v>
      </c>
      <c r="F2559" s="37" t="b">
        <v>1</v>
      </c>
      <c r="G2559" s="37">
        <v>1</v>
      </c>
      <c r="H2559" s="37">
        <v>118000</v>
      </c>
    </row>
    <row r="2560" spans="1:8" x14ac:dyDescent="0.3">
      <c r="A2560" s="37" t="s">
        <v>2</v>
      </c>
      <c r="B2560" s="38"/>
      <c r="E2560" s="37" t="b">
        <v>1</v>
      </c>
      <c r="F2560" s="37" t="b">
        <v>0</v>
      </c>
      <c r="G2560" s="37">
        <v>0</v>
      </c>
      <c r="H2560" s="37" t="b">
        <v>0</v>
      </c>
    </row>
    <row r="2561" spans="1:8" x14ac:dyDescent="0.3">
      <c r="A2561" s="37" t="s">
        <v>2</v>
      </c>
      <c r="B2561" s="38">
        <v>62500</v>
      </c>
      <c r="E2561" s="37" t="b">
        <v>1</v>
      </c>
      <c r="F2561" s="37" t="b">
        <v>1</v>
      </c>
      <c r="G2561" s="37">
        <v>1</v>
      </c>
      <c r="H2561" s="37">
        <v>62500</v>
      </c>
    </row>
    <row r="2562" spans="1:8" x14ac:dyDescent="0.3">
      <c r="A2562" s="37" t="s">
        <v>0</v>
      </c>
      <c r="B2562" s="38">
        <v>191000</v>
      </c>
      <c r="E2562" s="37" t="b">
        <v>0</v>
      </c>
      <c r="F2562" s="37" t="b">
        <v>1</v>
      </c>
      <c r="G2562" s="37">
        <v>0</v>
      </c>
      <c r="H2562" s="37" t="b">
        <v>0</v>
      </c>
    </row>
    <row r="2563" spans="1:8" x14ac:dyDescent="0.3">
      <c r="A2563" s="37" t="s">
        <v>0</v>
      </c>
      <c r="B2563" s="38">
        <v>71100</v>
      </c>
      <c r="E2563" s="37" t="b">
        <v>0</v>
      </c>
      <c r="F2563" s="37" t="b">
        <v>1</v>
      </c>
      <c r="G2563" s="37">
        <v>0</v>
      </c>
      <c r="H2563" s="37" t="b">
        <v>0</v>
      </c>
    </row>
    <row r="2564" spans="1:8" x14ac:dyDescent="0.3">
      <c r="A2564" s="37" t="s">
        <v>0</v>
      </c>
      <c r="B2564" s="38">
        <v>195500</v>
      </c>
      <c r="E2564" s="37" t="b">
        <v>0</v>
      </c>
      <c r="F2564" s="37" t="b">
        <v>1</v>
      </c>
      <c r="G2564" s="37">
        <v>0</v>
      </c>
      <c r="H2564" s="37" t="b">
        <v>0</v>
      </c>
    </row>
    <row r="2565" spans="1:8" x14ac:dyDescent="0.3">
      <c r="A2565" s="37" t="s">
        <v>0</v>
      </c>
      <c r="B2565" s="38">
        <v>190877</v>
      </c>
      <c r="E2565" s="37" t="b">
        <v>0</v>
      </c>
      <c r="F2565" s="37" t="b">
        <v>1</v>
      </c>
      <c r="G2565" s="37">
        <v>0</v>
      </c>
      <c r="H2565" s="37" t="b">
        <v>0</v>
      </c>
    </row>
    <row r="2566" spans="1:8" x14ac:dyDescent="0.3">
      <c r="A2566" s="37" t="s">
        <v>2</v>
      </c>
      <c r="B2566" s="38">
        <v>151950</v>
      </c>
      <c r="E2566" s="37" t="b">
        <v>1</v>
      </c>
      <c r="F2566" s="37" t="b">
        <v>1</v>
      </c>
      <c r="G2566" s="37">
        <v>1</v>
      </c>
      <c r="H2566" s="37">
        <v>151950</v>
      </c>
    </row>
    <row r="2567" spans="1:8" x14ac:dyDescent="0.3">
      <c r="A2567" s="37" t="s">
        <v>2</v>
      </c>
      <c r="B2567" s="38">
        <v>91960</v>
      </c>
      <c r="E2567" s="37" t="b">
        <v>1</v>
      </c>
      <c r="F2567" s="37" t="b">
        <v>1</v>
      </c>
      <c r="G2567" s="37">
        <v>1</v>
      </c>
      <c r="H2567" s="37">
        <v>91960</v>
      </c>
    </row>
    <row r="2568" spans="1:8" x14ac:dyDescent="0.3">
      <c r="A2568" s="37" t="s">
        <v>2</v>
      </c>
      <c r="B2568" s="38">
        <v>120710</v>
      </c>
      <c r="E2568" s="37" t="b">
        <v>1</v>
      </c>
      <c r="F2568" s="37" t="b">
        <v>1</v>
      </c>
      <c r="G2568" s="37">
        <v>1</v>
      </c>
      <c r="H2568" s="37">
        <v>120710</v>
      </c>
    </row>
    <row r="2569" spans="1:8" x14ac:dyDescent="0.3">
      <c r="A2569" s="37" t="s">
        <v>128</v>
      </c>
      <c r="B2569" s="38">
        <v>175000</v>
      </c>
      <c r="E2569" s="37" t="b">
        <v>0</v>
      </c>
      <c r="F2569" s="37" t="b">
        <v>1</v>
      </c>
      <c r="G2569" s="37">
        <v>0</v>
      </c>
      <c r="H2569" s="37" t="b">
        <v>0</v>
      </c>
    </row>
    <row r="2570" spans="1:8" x14ac:dyDescent="0.3">
      <c r="A2570" s="37" t="s">
        <v>128</v>
      </c>
      <c r="B2570" s="38">
        <v>68375.5</v>
      </c>
      <c r="E2570" s="37" t="b">
        <v>0</v>
      </c>
      <c r="F2570" s="37" t="b">
        <v>1</v>
      </c>
      <c r="G2570" s="37">
        <v>0</v>
      </c>
      <c r="H2570" s="37" t="b">
        <v>0</v>
      </c>
    </row>
    <row r="2571" spans="1:8" x14ac:dyDescent="0.3">
      <c r="A2571" s="37" t="s">
        <v>2</v>
      </c>
      <c r="B2571" s="38">
        <v>90000</v>
      </c>
      <c r="E2571" s="37" t="b">
        <v>1</v>
      </c>
      <c r="F2571" s="37" t="b">
        <v>1</v>
      </c>
      <c r="G2571" s="37">
        <v>1</v>
      </c>
      <c r="H2571" s="37">
        <v>90000</v>
      </c>
    </row>
    <row r="2572" spans="1:8" x14ac:dyDescent="0.3">
      <c r="A2572" s="37" t="s">
        <v>126</v>
      </c>
      <c r="B2572" s="38">
        <v>138200</v>
      </c>
      <c r="E2572" s="37" t="b">
        <v>0</v>
      </c>
      <c r="F2572" s="37" t="b">
        <v>1</v>
      </c>
      <c r="G2572" s="37">
        <v>0</v>
      </c>
      <c r="H2572" s="37" t="b">
        <v>0</v>
      </c>
    </row>
    <row r="2573" spans="1:8" x14ac:dyDescent="0.3">
      <c r="A2573" s="37" t="s">
        <v>4</v>
      </c>
      <c r="B2573" s="38">
        <v>190950</v>
      </c>
      <c r="E2573" s="37" t="b">
        <v>0</v>
      </c>
      <c r="F2573" s="37" t="b">
        <v>1</v>
      </c>
      <c r="G2573" s="37">
        <v>0</v>
      </c>
      <c r="H2573" s="37" t="b">
        <v>0</v>
      </c>
    </row>
    <row r="2574" spans="1:8" x14ac:dyDescent="0.3">
      <c r="A2574" s="37" t="s">
        <v>2</v>
      </c>
      <c r="B2574" s="38"/>
      <c r="E2574" s="37" t="b">
        <v>1</v>
      </c>
      <c r="F2574" s="37" t="b">
        <v>0</v>
      </c>
      <c r="G2574" s="37">
        <v>0</v>
      </c>
      <c r="H2574" s="37" t="b">
        <v>0</v>
      </c>
    </row>
    <row r="2575" spans="1:8" x14ac:dyDescent="0.3">
      <c r="A2575" s="37" t="s">
        <v>126</v>
      </c>
      <c r="B2575" s="38">
        <v>156596</v>
      </c>
      <c r="E2575" s="37" t="b">
        <v>0</v>
      </c>
      <c r="F2575" s="37" t="b">
        <v>1</v>
      </c>
      <c r="G2575" s="37">
        <v>0</v>
      </c>
      <c r="H2575" s="37" t="b">
        <v>0</v>
      </c>
    </row>
    <row r="2576" spans="1:8" x14ac:dyDescent="0.3">
      <c r="A2576" s="37" t="s">
        <v>2</v>
      </c>
      <c r="B2576" s="38">
        <v>72500</v>
      </c>
      <c r="E2576" s="37" t="b">
        <v>1</v>
      </c>
      <c r="F2576" s="37" t="b">
        <v>1</v>
      </c>
      <c r="G2576" s="37">
        <v>1</v>
      </c>
      <c r="H2576" s="37">
        <v>72500</v>
      </c>
    </row>
    <row r="2577" spans="1:8" x14ac:dyDescent="0.3">
      <c r="A2577" s="37" t="s">
        <v>0</v>
      </c>
      <c r="B2577" s="38">
        <v>130000</v>
      </c>
      <c r="E2577" s="37" t="b">
        <v>0</v>
      </c>
      <c r="F2577" s="37" t="b">
        <v>1</v>
      </c>
      <c r="G2577" s="37">
        <v>0</v>
      </c>
      <c r="H2577" s="37" t="b">
        <v>0</v>
      </c>
    </row>
    <row r="2578" spans="1:8" x14ac:dyDescent="0.3">
      <c r="A2578" s="37" t="s">
        <v>128</v>
      </c>
      <c r="B2578" s="38">
        <v>134000</v>
      </c>
      <c r="E2578" s="37" t="b">
        <v>0</v>
      </c>
      <c r="F2578" s="37" t="b">
        <v>1</v>
      </c>
      <c r="G2578" s="37">
        <v>0</v>
      </c>
      <c r="H2578" s="37" t="b">
        <v>0</v>
      </c>
    </row>
    <row r="2579" spans="1:8" x14ac:dyDescent="0.3">
      <c r="A2579" s="37" t="s">
        <v>2</v>
      </c>
      <c r="B2579" s="38">
        <v>143500</v>
      </c>
      <c r="E2579" s="37" t="b">
        <v>1</v>
      </c>
      <c r="F2579" s="37" t="b">
        <v>1</v>
      </c>
      <c r="G2579" s="37">
        <v>1</v>
      </c>
      <c r="H2579" s="37">
        <v>143500</v>
      </c>
    </row>
    <row r="2580" spans="1:8" x14ac:dyDescent="0.3">
      <c r="A2580" s="37" t="s">
        <v>2</v>
      </c>
      <c r="B2580" s="38">
        <v>67043</v>
      </c>
      <c r="E2580" s="37" t="b">
        <v>1</v>
      </c>
      <c r="F2580" s="37" t="b">
        <v>1</v>
      </c>
      <c r="G2580" s="37">
        <v>1</v>
      </c>
      <c r="H2580" s="37">
        <v>67043</v>
      </c>
    </row>
    <row r="2581" spans="1:8" x14ac:dyDescent="0.3">
      <c r="A2581" s="37" t="s">
        <v>2</v>
      </c>
      <c r="B2581" s="38">
        <v>132500</v>
      </c>
      <c r="E2581" s="37" t="b">
        <v>1</v>
      </c>
      <c r="F2581" s="37" t="b">
        <v>1</v>
      </c>
      <c r="G2581" s="37">
        <v>1</v>
      </c>
      <c r="H2581" s="37">
        <v>132500</v>
      </c>
    </row>
    <row r="2582" spans="1:8" x14ac:dyDescent="0.3">
      <c r="A2582" s="37" t="s">
        <v>2</v>
      </c>
      <c r="B2582" s="38"/>
      <c r="E2582" s="37" t="b">
        <v>1</v>
      </c>
      <c r="F2582" s="37" t="b">
        <v>0</v>
      </c>
      <c r="G2582" s="37">
        <v>0</v>
      </c>
      <c r="H2582" s="37" t="b">
        <v>0</v>
      </c>
    </row>
    <row r="2583" spans="1:8" x14ac:dyDescent="0.3">
      <c r="A2583" s="37" t="s">
        <v>2</v>
      </c>
      <c r="B2583" s="38">
        <v>105050</v>
      </c>
      <c r="E2583" s="37" t="b">
        <v>1</v>
      </c>
      <c r="F2583" s="37" t="b">
        <v>1</v>
      </c>
      <c r="G2583" s="37">
        <v>1</v>
      </c>
      <c r="H2583" s="37">
        <v>105050</v>
      </c>
    </row>
    <row r="2584" spans="1:8" x14ac:dyDescent="0.3">
      <c r="A2584" s="37" t="s">
        <v>0</v>
      </c>
      <c r="B2584" s="38">
        <v>150500</v>
      </c>
      <c r="E2584" s="37" t="b">
        <v>0</v>
      </c>
      <c r="F2584" s="37" t="b">
        <v>1</v>
      </c>
      <c r="G2584" s="37">
        <v>0</v>
      </c>
      <c r="H2584" s="37" t="b">
        <v>0</v>
      </c>
    </row>
    <row r="2585" spans="1:8" x14ac:dyDescent="0.3">
      <c r="A2585" s="37" t="s">
        <v>125</v>
      </c>
      <c r="B2585" s="38">
        <v>146500</v>
      </c>
      <c r="E2585" s="37" t="b">
        <v>0</v>
      </c>
      <c r="F2585" s="37" t="b">
        <v>1</v>
      </c>
      <c r="G2585" s="37">
        <v>0</v>
      </c>
      <c r="H2585" s="37" t="b">
        <v>0</v>
      </c>
    </row>
    <row r="2586" spans="1:8" x14ac:dyDescent="0.3">
      <c r="A2586" s="37" t="s">
        <v>0</v>
      </c>
      <c r="B2586" s="38">
        <v>109450</v>
      </c>
      <c r="E2586" s="37" t="b">
        <v>0</v>
      </c>
      <c r="F2586" s="37" t="b">
        <v>1</v>
      </c>
      <c r="G2586" s="37">
        <v>0</v>
      </c>
      <c r="H2586" s="37" t="b">
        <v>0</v>
      </c>
    </row>
    <row r="2587" spans="1:8" x14ac:dyDescent="0.3">
      <c r="A2587" s="37" t="s">
        <v>2</v>
      </c>
      <c r="B2587" s="38">
        <v>146100</v>
      </c>
      <c r="E2587" s="37" t="b">
        <v>1</v>
      </c>
      <c r="F2587" s="37" t="b">
        <v>1</v>
      </c>
      <c r="G2587" s="37">
        <v>1</v>
      </c>
      <c r="H2587" s="37">
        <v>146100</v>
      </c>
    </row>
    <row r="2588" spans="1:8" x14ac:dyDescent="0.3">
      <c r="A2588" s="37" t="s">
        <v>2</v>
      </c>
      <c r="B2588" s="38">
        <v>144481.5</v>
      </c>
      <c r="E2588" s="37" t="b">
        <v>1</v>
      </c>
      <c r="F2588" s="37" t="b">
        <v>1</v>
      </c>
      <c r="G2588" s="37">
        <v>1</v>
      </c>
      <c r="H2588" s="37">
        <v>144481.5</v>
      </c>
    </row>
    <row r="2589" spans="1:8" x14ac:dyDescent="0.3">
      <c r="A2589" s="37" t="s">
        <v>126</v>
      </c>
      <c r="B2589" s="38">
        <v>185000</v>
      </c>
      <c r="E2589" s="37" t="b">
        <v>0</v>
      </c>
      <c r="F2589" s="37" t="b">
        <v>1</v>
      </c>
      <c r="G2589" s="37">
        <v>0</v>
      </c>
      <c r="H2589" s="37" t="b">
        <v>0</v>
      </c>
    </row>
    <row r="2590" spans="1:8" x14ac:dyDescent="0.3">
      <c r="A2590" s="37" t="s">
        <v>2</v>
      </c>
      <c r="B2590" s="38">
        <v>75000</v>
      </c>
      <c r="E2590" s="37" t="b">
        <v>1</v>
      </c>
      <c r="F2590" s="37" t="b">
        <v>1</v>
      </c>
      <c r="G2590" s="37">
        <v>1</v>
      </c>
      <c r="H2590" s="37">
        <v>75000</v>
      </c>
    </row>
    <row r="2591" spans="1:8" x14ac:dyDescent="0.3">
      <c r="A2591" s="37" t="s">
        <v>0</v>
      </c>
      <c r="B2591" s="38"/>
      <c r="E2591" s="37" t="b">
        <v>0</v>
      </c>
      <c r="F2591" s="37" t="b">
        <v>0</v>
      </c>
      <c r="G2591" s="37">
        <v>0</v>
      </c>
      <c r="H2591" s="37" t="b">
        <v>0</v>
      </c>
    </row>
    <row r="2592" spans="1:8" x14ac:dyDescent="0.3">
      <c r="A2592" s="37" t="s">
        <v>125</v>
      </c>
      <c r="B2592" s="38">
        <v>94473.5</v>
      </c>
      <c r="E2592" s="37" t="b">
        <v>0</v>
      </c>
      <c r="F2592" s="37" t="b">
        <v>1</v>
      </c>
      <c r="G2592" s="37">
        <v>0</v>
      </c>
      <c r="H2592" s="37" t="b">
        <v>0</v>
      </c>
    </row>
    <row r="2593" spans="1:8" x14ac:dyDescent="0.3">
      <c r="A2593" s="37" t="s">
        <v>0</v>
      </c>
      <c r="B2593" s="38">
        <v>265500</v>
      </c>
      <c r="E2593" s="37" t="b">
        <v>0</v>
      </c>
      <c r="F2593" s="37" t="b">
        <v>1</v>
      </c>
      <c r="G2593" s="37">
        <v>0</v>
      </c>
      <c r="H2593" s="37" t="b">
        <v>0</v>
      </c>
    </row>
    <row r="2594" spans="1:8" x14ac:dyDescent="0.3">
      <c r="A2594" s="37" t="s">
        <v>0</v>
      </c>
      <c r="B2594" s="38">
        <v>150500</v>
      </c>
      <c r="E2594" s="37" t="b">
        <v>0</v>
      </c>
      <c r="F2594" s="37" t="b">
        <v>1</v>
      </c>
      <c r="G2594" s="37">
        <v>0</v>
      </c>
      <c r="H2594" s="37" t="b">
        <v>0</v>
      </c>
    </row>
    <row r="2595" spans="1:8" x14ac:dyDescent="0.3">
      <c r="A2595" s="37" t="s">
        <v>0</v>
      </c>
      <c r="B2595" s="38">
        <v>162500</v>
      </c>
      <c r="E2595" s="37" t="b">
        <v>0</v>
      </c>
      <c r="F2595" s="37" t="b">
        <v>1</v>
      </c>
      <c r="G2595" s="37">
        <v>0</v>
      </c>
      <c r="H2595" s="37" t="b">
        <v>0</v>
      </c>
    </row>
    <row r="2596" spans="1:8" x14ac:dyDescent="0.3">
      <c r="A2596" s="37" t="s">
        <v>4</v>
      </c>
      <c r="B2596" s="38">
        <v>145000</v>
      </c>
      <c r="E2596" s="37" t="b">
        <v>0</v>
      </c>
      <c r="F2596" s="37" t="b">
        <v>1</v>
      </c>
      <c r="G2596" s="37">
        <v>0</v>
      </c>
      <c r="H2596" s="37" t="b">
        <v>0</v>
      </c>
    </row>
    <row r="2597" spans="1:8" x14ac:dyDescent="0.3">
      <c r="A2597" s="37" t="s">
        <v>4</v>
      </c>
      <c r="B2597" s="38">
        <v>125000</v>
      </c>
      <c r="E2597" s="37" t="b">
        <v>0</v>
      </c>
      <c r="F2597" s="37" t="b">
        <v>1</v>
      </c>
      <c r="G2597" s="37">
        <v>0</v>
      </c>
      <c r="H2597" s="37" t="b">
        <v>0</v>
      </c>
    </row>
    <row r="2598" spans="1:8" x14ac:dyDescent="0.3">
      <c r="A2598" s="37" t="s">
        <v>126</v>
      </c>
      <c r="B2598" s="38">
        <v>170672</v>
      </c>
      <c r="E2598" s="37" t="b">
        <v>0</v>
      </c>
      <c r="F2598" s="37" t="b">
        <v>1</v>
      </c>
      <c r="G2598" s="37">
        <v>0</v>
      </c>
      <c r="H2598" s="37" t="b">
        <v>0</v>
      </c>
    </row>
    <row r="2599" spans="1:8" x14ac:dyDescent="0.3">
      <c r="A2599" s="37" t="s">
        <v>0</v>
      </c>
      <c r="B2599" s="38">
        <v>119550</v>
      </c>
      <c r="E2599" s="37" t="b">
        <v>0</v>
      </c>
      <c r="F2599" s="37" t="b">
        <v>1</v>
      </c>
      <c r="G2599" s="37">
        <v>0</v>
      </c>
      <c r="H2599" s="37" t="b">
        <v>0</v>
      </c>
    </row>
    <row r="2600" spans="1:8" x14ac:dyDescent="0.3">
      <c r="A2600" s="37" t="s">
        <v>2</v>
      </c>
      <c r="B2600" s="38">
        <v>57500</v>
      </c>
      <c r="E2600" s="37" t="b">
        <v>1</v>
      </c>
      <c r="F2600" s="37" t="b">
        <v>1</v>
      </c>
      <c r="G2600" s="37">
        <v>1</v>
      </c>
      <c r="H2600" s="37">
        <v>57500</v>
      </c>
    </row>
    <row r="2601" spans="1:8" x14ac:dyDescent="0.3">
      <c r="A2601" s="37" t="s">
        <v>0</v>
      </c>
      <c r="B2601" s="38">
        <v>182000</v>
      </c>
      <c r="E2601" s="37" t="b">
        <v>0</v>
      </c>
      <c r="F2601" s="37" t="b">
        <v>1</v>
      </c>
      <c r="G2601" s="37">
        <v>0</v>
      </c>
      <c r="H2601" s="37" t="b">
        <v>0</v>
      </c>
    </row>
    <row r="2602" spans="1:8" x14ac:dyDescent="0.3">
      <c r="A2602" s="37" t="s">
        <v>0</v>
      </c>
      <c r="B2602" s="38">
        <v>152700</v>
      </c>
      <c r="E2602" s="37" t="b">
        <v>0</v>
      </c>
      <c r="F2602" s="37" t="b">
        <v>1</v>
      </c>
      <c r="G2602" s="37">
        <v>0</v>
      </c>
      <c r="H2602" s="37" t="b">
        <v>0</v>
      </c>
    </row>
    <row r="2603" spans="1:8" x14ac:dyDescent="0.3">
      <c r="A2603" s="37" t="s">
        <v>2</v>
      </c>
      <c r="B2603" s="38"/>
      <c r="E2603" s="37" t="b">
        <v>1</v>
      </c>
      <c r="F2603" s="37" t="b">
        <v>0</v>
      </c>
      <c r="G2603" s="37">
        <v>0</v>
      </c>
      <c r="H2603" s="37" t="b">
        <v>0</v>
      </c>
    </row>
    <row r="2604" spans="1:8" x14ac:dyDescent="0.3">
      <c r="A2604" s="37" t="s">
        <v>4</v>
      </c>
      <c r="B2604" s="38">
        <v>177500</v>
      </c>
      <c r="E2604" s="37" t="b">
        <v>0</v>
      </c>
      <c r="F2604" s="37" t="b">
        <v>1</v>
      </c>
      <c r="G2604" s="37">
        <v>0</v>
      </c>
      <c r="H2604" s="37" t="b">
        <v>0</v>
      </c>
    </row>
    <row r="2605" spans="1:8" x14ac:dyDescent="0.3">
      <c r="A2605" s="37" t="s">
        <v>125</v>
      </c>
      <c r="B2605" s="38">
        <v>98450</v>
      </c>
      <c r="E2605" s="37" t="b">
        <v>0</v>
      </c>
      <c r="F2605" s="37" t="b">
        <v>1</v>
      </c>
      <c r="G2605" s="37">
        <v>0</v>
      </c>
      <c r="H2605" s="37" t="b">
        <v>0</v>
      </c>
    </row>
    <row r="2606" spans="1:8" x14ac:dyDescent="0.3">
      <c r="A2606" s="37" t="s">
        <v>2</v>
      </c>
      <c r="B2606" s="38"/>
      <c r="E2606" s="37" t="b">
        <v>1</v>
      </c>
      <c r="F2606" s="37" t="b">
        <v>0</v>
      </c>
      <c r="G2606" s="37">
        <v>0</v>
      </c>
      <c r="H2606" s="37" t="b">
        <v>0</v>
      </c>
    </row>
    <row r="2607" spans="1:8" x14ac:dyDescent="0.3">
      <c r="A2607" s="37" t="s">
        <v>128</v>
      </c>
      <c r="B2607" s="38">
        <v>173000</v>
      </c>
      <c r="E2607" s="37" t="b">
        <v>0</v>
      </c>
      <c r="F2607" s="37" t="b">
        <v>1</v>
      </c>
      <c r="G2607" s="37">
        <v>0</v>
      </c>
      <c r="H2607" s="37" t="b">
        <v>0</v>
      </c>
    </row>
    <row r="2608" spans="1:8" x14ac:dyDescent="0.3">
      <c r="A2608" s="37" t="s">
        <v>2</v>
      </c>
      <c r="B2608" s="38">
        <v>188675</v>
      </c>
      <c r="E2608" s="37" t="b">
        <v>1</v>
      </c>
      <c r="F2608" s="37" t="b">
        <v>1</v>
      </c>
      <c r="G2608" s="37">
        <v>1</v>
      </c>
      <c r="H2608" s="37">
        <v>188675</v>
      </c>
    </row>
    <row r="2609" spans="1:8" x14ac:dyDescent="0.3">
      <c r="A2609" s="37" t="s">
        <v>126</v>
      </c>
      <c r="B2609" s="38">
        <v>155000</v>
      </c>
      <c r="E2609" s="37" t="b">
        <v>0</v>
      </c>
      <c r="F2609" s="37" t="b">
        <v>1</v>
      </c>
      <c r="G2609" s="37">
        <v>0</v>
      </c>
      <c r="H2609" s="37" t="b">
        <v>0</v>
      </c>
    </row>
    <row r="2610" spans="1:8" x14ac:dyDescent="0.3">
      <c r="A2610" s="37" t="s">
        <v>4</v>
      </c>
      <c r="B2610" s="38">
        <v>154000</v>
      </c>
      <c r="E2610" s="37" t="b">
        <v>0</v>
      </c>
      <c r="F2610" s="37" t="b">
        <v>1</v>
      </c>
      <c r="G2610" s="37">
        <v>0</v>
      </c>
      <c r="H2610" s="37" t="b">
        <v>0</v>
      </c>
    </row>
    <row r="2611" spans="1:8" x14ac:dyDescent="0.3">
      <c r="A2611" s="37" t="s">
        <v>0</v>
      </c>
      <c r="B2611" s="38">
        <v>115000</v>
      </c>
      <c r="E2611" s="37" t="b">
        <v>0</v>
      </c>
      <c r="F2611" s="37" t="b">
        <v>1</v>
      </c>
      <c r="G2611" s="37">
        <v>0</v>
      </c>
      <c r="H2611" s="37" t="b">
        <v>0</v>
      </c>
    </row>
    <row r="2612" spans="1:8" x14ac:dyDescent="0.3">
      <c r="A2612" s="37" t="s">
        <v>2</v>
      </c>
      <c r="B2612" s="38">
        <v>132315</v>
      </c>
      <c r="E2612" s="37" t="b">
        <v>1</v>
      </c>
      <c r="F2612" s="37" t="b">
        <v>1</v>
      </c>
      <c r="G2612" s="37">
        <v>1</v>
      </c>
      <c r="H2612" s="37">
        <v>132315</v>
      </c>
    </row>
    <row r="2613" spans="1:8" x14ac:dyDescent="0.3">
      <c r="A2613" s="37" t="s">
        <v>126</v>
      </c>
      <c r="B2613" s="38">
        <v>170672</v>
      </c>
      <c r="E2613" s="37" t="b">
        <v>0</v>
      </c>
      <c r="F2613" s="37" t="b">
        <v>1</v>
      </c>
      <c r="G2613" s="37">
        <v>0</v>
      </c>
      <c r="H2613" s="37" t="b">
        <v>0</v>
      </c>
    </row>
    <row r="2614" spans="1:8" x14ac:dyDescent="0.3">
      <c r="A2614" s="37" t="s">
        <v>2</v>
      </c>
      <c r="B2614" s="38">
        <v>83862.5</v>
      </c>
      <c r="E2614" s="37" t="b">
        <v>1</v>
      </c>
      <c r="F2614" s="37" t="b">
        <v>1</v>
      </c>
      <c r="G2614" s="37">
        <v>1</v>
      </c>
      <c r="H2614" s="37">
        <v>83862.5</v>
      </c>
    </row>
    <row r="2615" spans="1:8" x14ac:dyDescent="0.3">
      <c r="A2615" s="37" t="s">
        <v>0</v>
      </c>
      <c r="B2615" s="38">
        <v>143500</v>
      </c>
      <c r="E2615" s="37" t="b">
        <v>0</v>
      </c>
      <c r="F2615" s="37" t="b">
        <v>1</v>
      </c>
      <c r="G2615" s="37">
        <v>0</v>
      </c>
      <c r="H2615" s="37" t="b">
        <v>0</v>
      </c>
    </row>
    <row r="2616" spans="1:8" x14ac:dyDescent="0.3">
      <c r="A2616" s="37" t="s">
        <v>4</v>
      </c>
      <c r="B2616" s="38">
        <v>130000</v>
      </c>
      <c r="E2616" s="37" t="b">
        <v>0</v>
      </c>
      <c r="F2616" s="37" t="b">
        <v>1</v>
      </c>
      <c r="G2616" s="37">
        <v>0</v>
      </c>
      <c r="H2616" s="37" t="b">
        <v>0</v>
      </c>
    </row>
    <row r="2617" spans="1:8" x14ac:dyDescent="0.3">
      <c r="A2617" s="37" t="s">
        <v>0</v>
      </c>
      <c r="B2617" s="38">
        <v>200000</v>
      </c>
      <c r="E2617" s="37" t="b">
        <v>0</v>
      </c>
      <c r="F2617" s="37" t="b">
        <v>1</v>
      </c>
      <c r="G2617" s="37">
        <v>0</v>
      </c>
      <c r="H2617" s="37" t="b">
        <v>0</v>
      </c>
    </row>
    <row r="2618" spans="1:8" x14ac:dyDescent="0.3">
      <c r="A2618" s="37" t="s">
        <v>4</v>
      </c>
      <c r="B2618" s="38">
        <v>230000</v>
      </c>
      <c r="E2618" s="37" t="b">
        <v>0</v>
      </c>
      <c r="F2618" s="37" t="b">
        <v>1</v>
      </c>
      <c r="G2618" s="37">
        <v>0</v>
      </c>
      <c r="H2618" s="37" t="b">
        <v>0</v>
      </c>
    </row>
    <row r="2619" spans="1:8" x14ac:dyDescent="0.3">
      <c r="A2619" s="37" t="s">
        <v>0</v>
      </c>
      <c r="B2619" s="38">
        <v>100900</v>
      </c>
      <c r="E2619" s="37" t="b">
        <v>0</v>
      </c>
      <c r="F2619" s="37" t="b">
        <v>1</v>
      </c>
      <c r="G2619" s="37">
        <v>0</v>
      </c>
      <c r="H2619" s="37" t="b">
        <v>0</v>
      </c>
    </row>
    <row r="2620" spans="1:8" x14ac:dyDescent="0.3">
      <c r="A2620" s="37" t="s">
        <v>0</v>
      </c>
      <c r="B2620" s="38">
        <v>150000</v>
      </c>
      <c r="E2620" s="37" t="b">
        <v>0</v>
      </c>
      <c r="F2620" s="37" t="b">
        <v>1</v>
      </c>
      <c r="G2620" s="37">
        <v>0</v>
      </c>
      <c r="H2620" s="37" t="b">
        <v>0</v>
      </c>
    </row>
    <row r="2621" spans="1:8" x14ac:dyDescent="0.3">
      <c r="A2621" s="37" t="s">
        <v>0</v>
      </c>
      <c r="B2621" s="38">
        <v>150000</v>
      </c>
      <c r="E2621" s="37" t="b">
        <v>0</v>
      </c>
      <c r="F2621" s="37" t="b">
        <v>1</v>
      </c>
      <c r="G2621" s="37">
        <v>0</v>
      </c>
      <c r="H2621" s="37" t="b">
        <v>0</v>
      </c>
    </row>
    <row r="2622" spans="1:8" x14ac:dyDescent="0.3">
      <c r="A2622" s="37" t="s">
        <v>4</v>
      </c>
      <c r="B2622" s="38">
        <v>208114</v>
      </c>
      <c r="E2622" s="37" t="b">
        <v>0</v>
      </c>
      <c r="F2622" s="37" t="b">
        <v>1</v>
      </c>
      <c r="G2622" s="37">
        <v>0</v>
      </c>
      <c r="H2622" s="37" t="b">
        <v>0</v>
      </c>
    </row>
    <row r="2623" spans="1:8" x14ac:dyDescent="0.3">
      <c r="A2623" s="37" t="s">
        <v>0</v>
      </c>
      <c r="B2623" s="38">
        <v>136400</v>
      </c>
      <c r="E2623" s="37" t="b">
        <v>0</v>
      </c>
      <c r="F2623" s="37" t="b">
        <v>1</v>
      </c>
      <c r="G2623" s="37">
        <v>0</v>
      </c>
      <c r="H2623" s="37" t="b">
        <v>0</v>
      </c>
    </row>
    <row r="2624" spans="1:8" x14ac:dyDescent="0.3">
      <c r="A2624" s="37" t="s">
        <v>2</v>
      </c>
      <c r="B2624" s="38">
        <v>146100</v>
      </c>
      <c r="E2624" s="37" t="b">
        <v>1</v>
      </c>
      <c r="F2624" s="37" t="b">
        <v>1</v>
      </c>
      <c r="G2624" s="37">
        <v>1</v>
      </c>
      <c r="H2624" s="37">
        <v>146100</v>
      </c>
    </row>
    <row r="2625" spans="1:8" x14ac:dyDescent="0.3">
      <c r="A2625" s="37" t="s">
        <v>2</v>
      </c>
      <c r="B2625" s="38">
        <v>60000</v>
      </c>
      <c r="E2625" s="37" t="b">
        <v>1</v>
      </c>
      <c r="F2625" s="37" t="b">
        <v>1</v>
      </c>
      <c r="G2625" s="37">
        <v>1</v>
      </c>
      <c r="H2625" s="37">
        <v>60000</v>
      </c>
    </row>
    <row r="2626" spans="1:8" x14ac:dyDescent="0.3">
      <c r="A2626" s="37" t="s">
        <v>0</v>
      </c>
      <c r="B2626" s="38">
        <v>169500</v>
      </c>
      <c r="E2626" s="37" t="b">
        <v>0</v>
      </c>
      <c r="F2626" s="37" t="b">
        <v>1</v>
      </c>
      <c r="G2626" s="37">
        <v>0</v>
      </c>
      <c r="H2626" s="37" t="b">
        <v>0</v>
      </c>
    </row>
    <row r="2627" spans="1:8" x14ac:dyDescent="0.3">
      <c r="A2627" s="37" t="s">
        <v>1</v>
      </c>
      <c r="B2627" s="38">
        <v>151950</v>
      </c>
      <c r="E2627" s="37" t="b">
        <v>0</v>
      </c>
      <c r="F2627" s="37" t="b">
        <v>1</v>
      </c>
      <c r="G2627" s="37">
        <v>0</v>
      </c>
      <c r="H2627" s="37" t="b">
        <v>0</v>
      </c>
    </row>
    <row r="2628" spans="1:8" x14ac:dyDescent="0.3">
      <c r="A2628" s="37" t="s">
        <v>2</v>
      </c>
      <c r="B2628" s="38">
        <v>133285</v>
      </c>
      <c r="E2628" s="37" t="b">
        <v>1</v>
      </c>
      <c r="F2628" s="37" t="b">
        <v>1</v>
      </c>
      <c r="G2628" s="37">
        <v>1</v>
      </c>
      <c r="H2628" s="37">
        <v>133285</v>
      </c>
    </row>
    <row r="2629" spans="1:8" x14ac:dyDescent="0.3">
      <c r="A2629" s="37" t="s">
        <v>2</v>
      </c>
      <c r="B2629" s="38"/>
      <c r="E2629" s="37" t="b">
        <v>1</v>
      </c>
      <c r="F2629" s="37" t="b">
        <v>0</v>
      </c>
      <c r="G2629" s="37">
        <v>0</v>
      </c>
      <c r="H2629" s="37" t="b">
        <v>0</v>
      </c>
    </row>
    <row r="2630" spans="1:8" x14ac:dyDescent="0.3">
      <c r="A2630" s="37" t="s">
        <v>2</v>
      </c>
      <c r="B2630" s="38">
        <v>81350</v>
      </c>
      <c r="E2630" s="37" t="b">
        <v>1</v>
      </c>
      <c r="F2630" s="37" t="b">
        <v>1</v>
      </c>
      <c r="G2630" s="37">
        <v>1</v>
      </c>
      <c r="H2630" s="37">
        <v>81350</v>
      </c>
    </row>
    <row r="2631" spans="1:8" x14ac:dyDescent="0.3">
      <c r="A2631" s="37" t="s">
        <v>125</v>
      </c>
      <c r="B2631" s="38">
        <v>149000</v>
      </c>
      <c r="E2631" s="37" t="b">
        <v>0</v>
      </c>
      <c r="F2631" s="37" t="b">
        <v>1</v>
      </c>
      <c r="G2631" s="37">
        <v>0</v>
      </c>
      <c r="H2631" s="37" t="b">
        <v>0</v>
      </c>
    </row>
    <row r="2632" spans="1:8" x14ac:dyDescent="0.3">
      <c r="A2632" s="37" t="s">
        <v>2</v>
      </c>
      <c r="B2632" s="38">
        <v>146100</v>
      </c>
      <c r="E2632" s="37" t="b">
        <v>1</v>
      </c>
      <c r="F2632" s="37" t="b">
        <v>1</v>
      </c>
      <c r="G2632" s="37">
        <v>1</v>
      </c>
      <c r="H2632" s="37">
        <v>146100</v>
      </c>
    </row>
    <row r="2633" spans="1:8" x14ac:dyDescent="0.3">
      <c r="A2633" s="37" t="s">
        <v>0</v>
      </c>
      <c r="B2633" s="38">
        <v>119550</v>
      </c>
      <c r="E2633" s="37" t="b">
        <v>0</v>
      </c>
      <c r="F2633" s="37" t="b">
        <v>1</v>
      </c>
      <c r="G2633" s="37">
        <v>0</v>
      </c>
      <c r="H2633" s="37" t="b">
        <v>0</v>
      </c>
    </row>
    <row r="2634" spans="1:8" x14ac:dyDescent="0.3">
      <c r="A2634" s="37" t="s">
        <v>2</v>
      </c>
      <c r="B2634" s="38">
        <v>60000</v>
      </c>
      <c r="E2634" s="37" t="b">
        <v>1</v>
      </c>
      <c r="F2634" s="37" t="b">
        <v>1</v>
      </c>
      <c r="G2634" s="37">
        <v>1</v>
      </c>
      <c r="H2634" s="37">
        <v>60000</v>
      </c>
    </row>
    <row r="2635" spans="1:8" x14ac:dyDescent="0.3">
      <c r="A2635" s="37" t="s">
        <v>0</v>
      </c>
      <c r="B2635" s="38">
        <v>150000</v>
      </c>
      <c r="E2635" s="37" t="b">
        <v>0</v>
      </c>
      <c r="F2635" s="37" t="b">
        <v>1</v>
      </c>
      <c r="G2635" s="37">
        <v>0</v>
      </c>
      <c r="H2635" s="37" t="b">
        <v>0</v>
      </c>
    </row>
    <row r="2636" spans="1:8" x14ac:dyDescent="0.3">
      <c r="A2636" s="37" t="s">
        <v>2</v>
      </c>
      <c r="B2636" s="38">
        <v>53357</v>
      </c>
      <c r="E2636" s="37" t="b">
        <v>1</v>
      </c>
      <c r="F2636" s="37" t="b">
        <v>1</v>
      </c>
      <c r="G2636" s="37">
        <v>1</v>
      </c>
      <c r="H2636" s="37">
        <v>53357</v>
      </c>
    </row>
    <row r="2637" spans="1:8" x14ac:dyDescent="0.3">
      <c r="A2637" s="37" t="s">
        <v>0</v>
      </c>
      <c r="B2637" s="38">
        <v>136400</v>
      </c>
      <c r="E2637" s="37" t="b">
        <v>0</v>
      </c>
      <c r="F2637" s="37" t="b">
        <v>1</v>
      </c>
      <c r="G2637" s="37">
        <v>0</v>
      </c>
      <c r="H2637" s="37" t="b">
        <v>0</v>
      </c>
    </row>
    <row r="2638" spans="1:8" x14ac:dyDescent="0.3">
      <c r="A2638" s="37" t="s">
        <v>0</v>
      </c>
      <c r="B2638" s="38">
        <v>124400</v>
      </c>
      <c r="E2638" s="37" t="b">
        <v>0</v>
      </c>
      <c r="F2638" s="37" t="b">
        <v>1</v>
      </c>
      <c r="G2638" s="37">
        <v>0</v>
      </c>
      <c r="H2638" s="37" t="b">
        <v>0</v>
      </c>
    </row>
    <row r="2639" spans="1:8" x14ac:dyDescent="0.3">
      <c r="A2639" s="37" t="s">
        <v>0</v>
      </c>
      <c r="B2639" s="38"/>
      <c r="E2639" s="37" t="b">
        <v>0</v>
      </c>
      <c r="F2639" s="37" t="b">
        <v>0</v>
      </c>
      <c r="G2639" s="37">
        <v>0</v>
      </c>
      <c r="H2639" s="37" t="b">
        <v>0</v>
      </c>
    </row>
    <row r="2640" spans="1:8" x14ac:dyDescent="0.3">
      <c r="A2640" s="37" t="s">
        <v>128</v>
      </c>
      <c r="B2640" s="38"/>
      <c r="E2640" s="37" t="b">
        <v>0</v>
      </c>
      <c r="F2640" s="37" t="b">
        <v>0</v>
      </c>
      <c r="G2640" s="37">
        <v>0</v>
      </c>
      <c r="H2640" s="37" t="b">
        <v>0</v>
      </c>
    </row>
    <row r="2641" spans="1:8" x14ac:dyDescent="0.3">
      <c r="A2641" s="37" t="s">
        <v>2</v>
      </c>
      <c r="B2641" s="38"/>
      <c r="E2641" s="37" t="b">
        <v>1</v>
      </c>
      <c r="F2641" s="37" t="b">
        <v>0</v>
      </c>
      <c r="G2641" s="37">
        <v>0</v>
      </c>
      <c r="H2641" s="37" t="b">
        <v>0</v>
      </c>
    </row>
    <row r="2642" spans="1:8" x14ac:dyDescent="0.3">
      <c r="A2642" s="37" t="s">
        <v>125</v>
      </c>
      <c r="B2642" s="38"/>
      <c r="E2642" s="37" t="b">
        <v>0</v>
      </c>
      <c r="F2642" s="37" t="b">
        <v>0</v>
      </c>
      <c r="G2642" s="37">
        <v>0</v>
      </c>
      <c r="H2642" s="37" t="b">
        <v>0</v>
      </c>
    </row>
    <row r="2643" spans="1:8" x14ac:dyDescent="0.3">
      <c r="A2643" s="37" t="s">
        <v>2</v>
      </c>
      <c r="B2643" s="38"/>
      <c r="E2643" s="37" t="b">
        <v>1</v>
      </c>
      <c r="F2643" s="37" t="b">
        <v>0</v>
      </c>
      <c r="G2643" s="37">
        <v>0</v>
      </c>
      <c r="H2643" s="37" t="b">
        <v>0</v>
      </c>
    </row>
    <row r="2644" spans="1:8" x14ac:dyDescent="0.3">
      <c r="A2644" s="37" t="s">
        <v>0</v>
      </c>
      <c r="B2644" s="38"/>
      <c r="E2644" s="37" t="b">
        <v>0</v>
      </c>
      <c r="F2644" s="37" t="b">
        <v>0</v>
      </c>
      <c r="G2644" s="37">
        <v>0</v>
      </c>
      <c r="H2644" s="37" t="b">
        <v>0</v>
      </c>
    </row>
    <row r="2645" spans="1:8" x14ac:dyDescent="0.3">
      <c r="A2645" s="37" t="s">
        <v>125</v>
      </c>
      <c r="B2645" s="38"/>
      <c r="E2645" s="37" t="b">
        <v>0</v>
      </c>
      <c r="F2645" s="37" t="b">
        <v>0</v>
      </c>
      <c r="G2645" s="37">
        <v>0</v>
      </c>
      <c r="H2645" s="37" t="b">
        <v>0</v>
      </c>
    </row>
    <row r="2646" spans="1:8" x14ac:dyDescent="0.3">
      <c r="A2646" s="37" t="s">
        <v>125</v>
      </c>
      <c r="B2646" s="38"/>
      <c r="E2646" s="37" t="b">
        <v>0</v>
      </c>
      <c r="F2646" s="37" t="b">
        <v>0</v>
      </c>
      <c r="G2646" s="37">
        <v>0</v>
      </c>
      <c r="H2646" s="37" t="b">
        <v>0</v>
      </c>
    </row>
    <row r="2647" spans="1:8" x14ac:dyDescent="0.3">
      <c r="A2647" s="37" t="s">
        <v>0</v>
      </c>
      <c r="B2647" s="38"/>
      <c r="E2647" s="37" t="b">
        <v>0</v>
      </c>
      <c r="F2647" s="37" t="b">
        <v>0</v>
      </c>
      <c r="G2647" s="37">
        <v>0</v>
      </c>
      <c r="H2647" s="37" t="b">
        <v>0</v>
      </c>
    </row>
    <row r="2648" spans="1:8" x14ac:dyDescent="0.3">
      <c r="A2648" s="37" t="s">
        <v>2</v>
      </c>
      <c r="B2648" s="38"/>
      <c r="E2648" s="37" t="b">
        <v>1</v>
      </c>
      <c r="F2648" s="37" t="b">
        <v>0</v>
      </c>
      <c r="G2648" s="37">
        <v>0</v>
      </c>
      <c r="H2648" s="37" t="b">
        <v>0</v>
      </c>
    </row>
    <row r="2649" spans="1:8" x14ac:dyDescent="0.3">
      <c r="A2649" s="37" t="s">
        <v>2</v>
      </c>
      <c r="B2649" s="38">
        <v>138615</v>
      </c>
      <c r="E2649" s="37" t="b">
        <v>1</v>
      </c>
      <c r="F2649" s="37" t="b">
        <v>1</v>
      </c>
      <c r="G2649" s="37">
        <v>1</v>
      </c>
      <c r="H2649" s="37">
        <v>138615</v>
      </c>
    </row>
    <row r="2650" spans="1:8" x14ac:dyDescent="0.3">
      <c r="A2650" s="37" t="s">
        <v>4</v>
      </c>
      <c r="B2650" s="38">
        <v>145000</v>
      </c>
      <c r="E2650" s="37" t="b">
        <v>0</v>
      </c>
      <c r="F2650" s="37" t="b">
        <v>1</v>
      </c>
      <c r="G2650" s="37">
        <v>0</v>
      </c>
      <c r="H2650" s="37" t="b">
        <v>0</v>
      </c>
    </row>
    <row r="2651" spans="1:8" x14ac:dyDescent="0.3">
      <c r="A2651" s="37" t="s">
        <v>128</v>
      </c>
      <c r="B2651" s="38"/>
      <c r="E2651" s="37" t="b">
        <v>0</v>
      </c>
      <c r="F2651" s="37" t="b">
        <v>0</v>
      </c>
      <c r="G2651" s="37">
        <v>0</v>
      </c>
      <c r="H2651" s="37" t="b">
        <v>0</v>
      </c>
    </row>
    <row r="2652" spans="1:8" x14ac:dyDescent="0.3">
      <c r="A2652" s="37" t="s">
        <v>2</v>
      </c>
      <c r="B2652" s="38"/>
      <c r="E2652" s="37" t="b">
        <v>1</v>
      </c>
      <c r="F2652" s="37" t="b">
        <v>0</v>
      </c>
      <c r="G2652" s="37">
        <v>0</v>
      </c>
      <c r="H2652" s="37" t="b">
        <v>0</v>
      </c>
    </row>
    <row r="2653" spans="1:8" x14ac:dyDescent="0.3">
      <c r="A2653" s="37" t="s">
        <v>0</v>
      </c>
      <c r="B2653" s="38"/>
      <c r="E2653" s="37" t="b">
        <v>0</v>
      </c>
      <c r="F2653" s="37" t="b">
        <v>0</v>
      </c>
      <c r="G2653" s="37">
        <v>0</v>
      </c>
      <c r="H2653" s="37" t="b">
        <v>0</v>
      </c>
    </row>
    <row r="2654" spans="1:8" x14ac:dyDescent="0.3">
      <c r="A2654" s="37" t="s">
        <v>2</v>
      </c>
      <c r="B2654" s="38"/>
      <c r="E2654" s="37" t="b">
        <v>1</v>
      </c>
      <c r="F2654" s="37" t="b">
        <v>0</v>
      </c>
      <c r="G2654" s="37">
        <v>0</v>
      </c>
      <c r="H2654" s="37" t="b">
        <v>0</v>
      </c>
    </row>
    <row r="2655" spans="1:8" x14ac:dyDescent="0.3">
      <c r="A2655" s="37" t="s">
        <v>125</v>
      </c>
      <c r="B2655" s="38"/>
      <c r="E2655" s="37" t="b">
        <v>0</v>
      </c>
      <c r="F2655" s="37" t="b">
        <v>0</v>
      </c>
      <c r="G2655" s="37">
        <v>0</v>
      </c>
      <c r="H2655" s="37" t="b">
        <v>0</v>
      </c>
    </row>
    <row r="2656" spans="1:8" x14ac:dyDescent="0.3">
      <c r="A2656" s="37" t="s">
        <v>2</v>
      </c>
      <c r="B2656" s="38"/>
      <c r="E2656" s="37" t="b">
        <v>1</v>
      </c>
      <c r="F2656" s="37" t="b">
        <v>0</v>
      </c>
      <c r="G2656" s="37">
        <v>0</v>
      </c>
      <c r="H2656" s="37" t="b">
        <v>0</v>
      </c>
    </row>
    <row r="2657" spans="1:8" x14ac:dyDescent="0.3">
      <c r="A2657" s="37" t="s">
        <v>0</v>
      </c>
      <c r="B2657" s="38"/>
      <c r="E2657" s="37" t="b">
        <v>0</v>
      </c>
      <c r="F2657" s="37" t="b">
        <v>0</v>
      </c>
      <c r="G2657" s="37">
        <v>0</v>
      </c>
      <c r="H2657" s="37" t="b">
        <v>0</v>
      </c>
    </row>
    <row r="2658" spans="1:8" x14ac:dyDescent="0.3">
      <c r="A2658" s="37" t="s">
        <v>128</v>
      </c>
      <c r="B2658" s="38">
        <v>125500</v>
      </c>
      <c r="E2658" s="37" t="b">
        <v>0</v>
      </c>
      <c r="F2658" s="37" t="b">
        <v>1</v>
      </c>
      <c r="G2658" s="37">
        <v>0</v>
      </c>
      <c r="H2658" s="37" t="b">
        <v>0</v>
      </c>
    </row>
    <row r="2659" spans="1:8" x14ac:dyDescent="0.3">
      <c r="A2659" s="37" t="s">
        <v>0</v>
      </c>
      <c r="B2659" s="38"/>
      <c r="E2659" s="37" t="b">
        <v>0</v>
      </c>
      <c r="F2659" s="37" t="b">
        <v>0</v>
      </c>
      <c r="G2659" s="37">
        <v>0</v>
      </c>
      <c r="H2659" s="37" t="b">
        <v>0</v>
      </c>
    </row>
    <row r="2660" spans="1:8" x14ac:dyDescent="0.3">
      <c r="A2660" s="37" t="s">
        <v>2</v>
      </c>
      <c r="B2660" s="38"/>
      <c r="E2660" s="37" t="b">
        <v>1</v>
      </c>
      <c r="F2660" s="37" t="b">
        <v>0</v>
      </c>
      <c r="G2660" s="37">
        <v>0</v>
      </c>
      <c r="H2660" s="37" t="b">
        <v>0</v>
      </c>
    </row>
    <row r="2661" spans="1:8" x14ac:dyDescent="0.3">
      <c r="A2661" s="37" t="s">
        <v>2</v>
      </c>
      <c r="B2661" s="38">
        <v>103000</v>
      </c>
      <c r="E2661" s="37" t="b">
        <v>1</v>
      </c>
      <c r="F2661" s="37" t="b">
        <v>1</v>
      </c>
      <c r="G2661" s="37">
        <v>1</v>
      </c>
      <c r="H2661" s="37">
        <v>103000</v>
      </c>
    </row>
    <row r="2662" spans="1:8" x14ac:dyDescent="0.3">
      <c r="A2662" s="37" t="s">
        <v>52</v>
      </c>
      <c r="B2662" s="38"/>
      <c r="E2662" s="37" t="b">
        <v>0</v>
      </c>
      <c r="F2662" s="37" t="b">
        <v>0</v>
      </c>
      <c r="G2662" s="37">
        <v>0</v>
      </c>
      <c r="H2662" s="37" t="b">
        <v>0</v>
      </c>
    </row>
    <row r="2663" spans="1:8" x14ac:dyDescent="0.3">
      <c r="A2663" s="37" t="s">
        <v>0</v>
      </c>
      <c r="B2663" s="38">
        <v>110000</v>
      </c>
      <c r="E2663" s="37" t="b">
        <v>0</v>
      </c>
      <c r="F2663" s="37" t="b">
        <v>1</v>
      </c>
      <c r="G2663" s="37">
        <v>0</v>
      </c>
      <c r="H2663" s="37" t="b">
        <v>0</v>
      </c>
    </row>
    <row r="2664" spans="1:8" x14ac:dyDescent="0.3">
      <c r="A2664" s="37" t="s">
        <v>0</v>
      </c>
      <c r="B2664" s="38">
        <v>120531</v>
      </c>
      <c r="E2664" s="37" t="b">
        <v>0</v>
      </c>
      <c r="F2664" s="37" t="b">
        <v>1</v>
      </c>
      <c r="G2664" s="37">
        <v>0</v>
      </c>
      <c r="H2664" s="37" t="b">
        <v>0</v>
      </c>
    </row>
    <row r="2665" spans="1:8" x14ac:dyDescent="0.3">
      <c r="A2665" s="37" t="s">
        <v>4</v>
      </c>
      <c r="B2665" s="38">
        <v>300000</v>
      </c>
      <c r="E2665" s="37" t="b">
        <v>0</v>
      </c>
      <c r="F2665" s="37" t="b">
        <v>1</v>
      </c>
      <c r="G2665" s="37">
        <v>0</v>
      </c>
      <c r="H2665" s="37" t="b">
        <v>0</v>
      </c>
    </row>
    <row r="2666" spans="1:8" x14ac:dyDescent="0.3">
      <c r="A2666" s="37" t="s">
        <v>4</v>
      </c>
      <c r="B2666" s="38">
        <v>135000</v>
      </c>
      <c r="E2666" s="37" t="b">
        <v>0</v>
      </c>
      <c r="F2666" s="37" t="b">
        <v>1</v>
      </c>
      <c r="G2666" s="37">
        <v>0</v>
      </c>
      <c r="H2666" s="37" t="b">
        <v>0</v>
      </c>
    </row>
    <row r="2667" spans="1:8" x14ac:dyDescent="0.3">
      <c r="A2667" s="37" t="s">
        <v>0</v>
      </c>
      <c r="B2667" s="38">
        <v>134000</v>
      </c>
      <c r="E2667" s="37" t="b">
        <v>0</v>
      </c>
      <c r="F2667" s="37" t="b">
        <v>1</v>
      </c>
      <c r="G2667" s="37">
        <v>0</v>
      </c>
      <c r="H2667" s="37" t="b">
        <v>0</v>
      </c>
    </row>
    <row r="2668" spans="1:8" x14ac:dyDescent="0.3">
      <c r="A2668" s="37" t="s">
        <v>2</v>
      </c>
      <c r="B2668" s="38">
        <v>128356</v>
      </c>
      <c r="E2668" s="37" t="b">
        <v>1</v>
      </c>
      <c r="F2668" s="37" t="b">
        <v>1</v>
      </c>
      <c r="G2668" s="37">
        <v>1</v>
      </c>
      <c r="H2668" s="37">
        <v>128356</v>
      </c>
    </row>
    <row r="2669" spans="1:8" x14ac:dyDescent="0.3">
      <c r="A2669" s="37" t="s">
        <v>0</v>
      </c>
      <c r="B2669" s="38">
        <v>171430</v>
      </c>
      <c r="E2669" s="37" t="b">
        <v>0</v>
      </c>
      <c r="F2669" s="37" t="b">
        <v>1</v>
      </c>
      <c r="G2669" s="37">
        <v>0</v>
      </c>
      <c r="H2669" s="37" t="b">
        <v>0</v>
      </c>
    </row>
    <row r="2670" spans="1:8" x14ac:dyDescent="0.3">
      <c r="A2670" s="37" t="s">
        <v>2</v>
      </c>
      <c r="B2670" s="38">
        <v>64998</v>
      </c>
      <c r="E2670" s="37" t="b">
        <v>1</v>
      </c>
      <c r="F2670" s="37" t="b">
        <v>1</v>
      </c>
      <c r="G2670" s="37">
        <v>1</v>
      </c>
      <c r="H2670" s="37">
        <v>64998</v>
      </c>
    </row>
    <row r="2671" spans="1:8" x14ac:dyDescent="0.3">
      <c r="A2671" s="37" t="s">
        <v>0</v>
      </c>
      <c r="B2671" s="38">
        <v>92470</v>
      </c>
      <c r="E2671" s="37" t="b">
        <v>0</v>
      </c>
      <c r="F2671" s="37" t="b">
        <v>1</v>
      </c>
      <c r="G2671" s="37">
        <v>0</v>
      </c>
      <c r="H2671" s="37" t="b">
        <v>0</v>
      </c>
    </row>
    <row r="2672" spans="1:8" x14ac:dyDescent="0.3">
      <c r="A2672" s="37" t="s">
        <v>2</v>
      </c>
      <c r="B2672" s="38">
        <v>66058</v>
      </c>
      <c r="E2672" s="37" t="b">
        <v>1</v>
      </c>
      <c r="F2672" s="37" t="b">
        <v>1</v>
      </c>
      <c r="G2672" s="37">
        <v>1</v>
      </c>
      <c r="H2672" s="37">
        <v>66058</v>
      </c>
    </row>
    <row r="2673" spans="1:8" x14ac:dyDescent="0.3">
      <c r="A2673" s="37" t="s">
        <v>2</v>
      </c>
      <c r="B2673" s="38">
        <v>62500</v>
      </c>
      <c r="E2673" s="37" t="b">
        <v>1</v>
      </c>
      <c r="F2673" s="37" t="b">
        <v>1</v>
      </c>
      <c r="G2673" s="37">
        <v>1</v>
      </c>
      <c r="H2673" s="37">
        <v>62500</v>
      </c>
    </row>
    <row r="2674" spans="1:8" x14ac:dyDescent="0.3">
      <c r="A2674" s="37" t="s">
        <v>0</v>
      </c>
      <c r="B2674" s="38">
        <v>96103</v>
      </c>
      <c r="E2674" s="37" t="b">
        <v>0</v>
      </c>
      <c r="F2674" s="37" t="b">
        <v>1</v>
      </c>
      <c r="G2674" s="37">
        <v>0</v>
      </c>
      <c r="H2674" s="37" t="b">
        <v>0</v>
      </c>
    </row>
    <row r="2675" spans="1:8" x14ac:dyDescent="0.3">
      <c r="A2675" s="37" t="s">
        <v>2</v>
      </c>
      <c r="B2675" s="38">
        <v>40000</v>
      </c>
      <c r="E2675" s="37" t="b">
        <v>1</v>
      </c>
      <c r="F2675" s="37" t="b">
        <v>1</v>
      </c>
      <c r="G2675" s="37">
        <v>1</v>
      </c>
      <c r="H2675" s="37">
        <v>40000</v>
      </c>
    </row>
    <row r="2676" spans="1:8" x14ac:dyDescent="0.3">
      <c r="A2676" s="37" t="s">
        <v>128</v>
      </c>
      <c r="B2676" s="38">
        <v>98856</v>
      </c>
      <c r="E2676" s="37" t="b">
        <v>0</v>
      </c>
      <c r="F2676" s="37" t="b">
        <v>1</v>
      </c>
      <c r="G2676" s="37">
        <v>0</v>
      </c>
      <c r="H2676" s="37" t="b">
        <v>0</v>
      </c>
    </row>
    <row r="2677" spans="1:8" x14ac:dyDescent="0.3">
      <c r="A2677" s="37" t="s">
        <v>2</v>
      </c>
      <c r="B2677" s="38">
        <v>63991</v>
      </c>
      <c r="E2677" s="37" t="b">
        <v>1</v>
      </c>
      <c r="F2677" s="37" t="b">
        <v>1</v>
      </c>
      <c r="G2677" s="37">
        <v>1</v>
      </c>
      <c r="H2677" s="37">
        <v>63991</v>
      </c>
    </row>
    <row r="2678" spans="1:8" x14ac:dyDescent="0.3">
      <c r="A2678" s="37" t="s">
        <v>0</v>
      </c>
      <c r="B2678" s="38">
        <v>140000</v>
      </c>
      <c r="E2678" s="37" t="b">
        <v>0</v>
      </c>
      <c r="F2678" s="37" t="b">
        <v>1</v>
      </c>
      <c r="G2678" s="37">
        <v>0</v>
      </c>
      <c r="H2678" s="37" t="b">
        <v>0</v>
      </c>
    </row>
    <row r="2679" spans="1:8" x14ac:dyDescent="0.3">
      <c r="A2679" s="37" t="s">
        <v>2</v>
      </c>
      <c r="B2679" s="38">
        <v>80000</v>
      </c>
      <c r="E2679" s="37" t="b">
        <v>1</v>
      </c>
      <c r="F2679" s="37" t="b">
        <v>1</v>
      </c>
      <c r="G2679" s="37">
        <v>1</v>
      </c>
      <c r="H2679" s="37">
        <v>80000</v>
      </c>
    </row>
    <row r="2680" spans="1:8" x14ac:dyDescent="0.3">
      <c r="A2680" s="37" t="s">
        <v>125</v>
      </c>
      <c r="B2680" s="38">
        <v>43031</v>
      </c>
      <c r="E2680" s="37" t="b">
        <v>0</v>
      </c>
      <c r="F2680" s="37" t="b">
        <v>1</v>
      </c>
      <c r="G2680" s="37">
        <v>0</v>
      </c>
      <c r="H2680" s="37" t="b">
        <v>0</v>
      </c>
    </row>
    <row r="2681" spans="1:8" x14ac:dyDescent="0.3">
      <c r="A2681" s="37" t="s">
        <v>128</v>
      </c>
      <c r="B2681" s="38">
        <v>158445</v>
      </c>
      <c r="E2681" s="37" t="b">
        <v>0</v>
      </c>
      <c r="F2681" s="37" t="b">
        <v>1</v>
      </c>
      <c r="G2681" s="37">
        <v>0</v>
      </c>
      <c r="H2681" s="37" t="b">
        <v>0</v>
      </c>
    </row>
    <row r="2682" spans="1:8" x14ac:dyDescent="0.3">
      <c r="A2682" s="37" t="s">
        <v>125</v>
      </c>
      <c r="B2682" s="38">
        <v>93000</v>
      </c>
      <c r="E2682" s="37" t="b">
        <v>0</v>
      </c>
      <c r="F2682" s="37" t="b">
        <v>1</v>
      </c>
      <c r="G2682" s="37">
        <v>0</v>
      </c>
      <c r="H2682" s="37" t="b">
        <v>0</v>
      </c>
    </row>
    <row r="2683" spans="1:8" x14ac:dyDescent="0.3">
      <c r="A2683" s="37" t="s">
        <v>0</v>
      </c>
      <c r="B2683" s="38">
        <v>93045</v>
      </c>
      <c r="E2683" s="37" t="b">
        <v>0</v>
      </c>
      <c r="F2683" s="37" t="b">
        <v>1</v>
      </c>
      <c r="G2683" s="37">
        <v>0</v>
      </c>
      <c r="H2683" s="37" t="b">
        <v>0</v>
      </c>
    </row>
    <row r="2684" spans="1:8" x14ac:dyDescent="0.3">
      <c r="A2684" s="37" t="s">
        <v>0</v>
      </c>
      <c r="B2684" s="38">
        <v>105138</v>
      </c>
      <c r="E2684" s="37" t="b">
        <v>0</v>
      </c>
      <c r="F2684" s="37" t="b">
        <v>1</v>
      </c>
      <c r="G2684" s="37">
        <v>0</v>
      </c>
      <c r="H2684" s="37" t="b">
        <v>0</v>
      </c>
    </row>
    <row r="2685" spans="1:8" x14ac:dyDescent="0.3">
      <c r="A2685" s="37" t="s">
        <v>4</v>
      </c>
      <c r="B2685" s="38">
        <v>90000</v>
      </c>
      <c r="E2685" s="37" t="b">
        <v>0</v>
      </c>
      <c r="F2685" s="37" t="b">
        <v>1</v>
      </c>
      <c r="G2685" s="37">
        <v>0</v>
      </c>
      <c r="H2685" s="37" t="b">
        <v>0</v>
      </c>
    </row>
    <row r="2686" spans="1:8" x14ac:dyDescent="0.3">
      <c r="A2686" s="37" t="s">
        <v>0</v>
      </c>
      <c r="B2686" s="38">
        <v>73079</v>
      </c>
      <c r="E2686" s="37" t="b">
        <v>0</v>
      </c>
      <c r="F2686" s="37" t="b">
        <v>1</v>
      </c>
      <c r="G2686" s="37">
        <v>0</v>
      </c>
      <c r="H2686" s="37" t="b">
        <v>0</v>
      </c>
    </row>
    <row r="2687" spans="1:8" x14ac:dyDescent="0.3">
      <c r="A2687" s="37" t="s">
        <v>0</v>
      </c>
      <c r="B2687" s="38">
        <v>110000</v>
      </c>
      <c r="E2687" s="37" t="b">
        <v>0</v>
      </c>
      <c r="F2687" s="37" t="b">
        <v>1</v>
      </c>
      <c r="G2687" s="37">
        <v>0</v>
      </c>
      <c r="H2687" s="37" t="b">
        <v>0</v>
      </c>
    </row>
    <row r="2688" spans="1:8" x14ac:dyDescent="0.3">
      <c r="A2688" s="37" t="s">
        <v>125</v>
      </c>
      <c r="B2688" s="38">
        <v>175000</v>
      </c>
      <c r="E2688" s="37" t="b">
        <v>0</v>
      </c>
      <c r="F2688" s="37" t="b">
        <v>1</v>
      </c>
      <c r="G2688" s="37">
        <v>0</v>
      </c>
      <c r="H2688" s="37" t="b">
        <v>0</v>
      </c>
    </row>
    <row r="2689" spans="1:8" x14ac:dyDescent="0.3">
      <c r="A2689" s="37" t="s">
        <v>4</v>
      </c>
      <c r="B2689" s="38">
        <v>106358</v>
      </c>
      <c r="E2689" s="37" t="b">
        <v>0</v>
      </c>
      <c r="F2689" s="37" t="b">
        <v>1</v>
      </c>
      <c r="G2689" s="37">
        <v>0</v>
      </c>
      <c r="H2689" s="37" t="b">
        <v>0</v>
      </c>
    </row>
    <row r="2690" spans="1:8" x14ac:dyDescent="0.3">
      <c r="A2690" s="37" t="s">
        <v>0</v>
      </c>
      <c r="B2690" s="38">
        <v>63977</v>
      </c>
      <c r="E2690" s="37" t="b">
        <v>0</v>
      </c>
      <c r="F2690" s="37" t="b">
        <v>1</v>
      </c>
      <c r="G2690" s="37">
        <v>0</v>
      </c>
      <c r="H2690" s="37" t="b">
        <v>0</v>
      </c>
    </row>
    <row r="2691" spans="1:8" x14ac:dyDescent="0.3">
      <c r="A2691" s="37" t="s">
        <v>2</v>
      </c>
      <c r="B2691" s="38">
        <v>217000</v>
      </c>
      <c r="E2691" s="37" t="b">
        <v>1</v>
      </c>
      <c r="F2691" s="37" t="b">
        <v>1</v>
      </c>
      <c r="G2691" s="37">
        <v>1</v>
      </c>
      <c r="H2691" s="37">
        <v>217000</v>
      </c>
    </row>
    <row r="2692" spans="1:8" x14ac:dyDescent="0.3">
      <c r="A2692" s="37" t="s">
        <v>2</v>
      </c>
      <c r="B2692" s="38">
        <v>45886</v>
      </c>
      <c r="E2692" s="37" t="b">
        <v>1</v>
      </c>
      <c r="F2692" s="37" t="b">
        <v>1</v>
      </c>
      <c r="G2692" s="37">
        <v>1</v>
      </c>
      <c r="H2692" s="37">
        <v>45886</v>
      </c>
    </row>
    <row r="2693" spans="1:8" x14ac:dyDescent="0.3">
      <c r="A2693" s="37" t="s">
        <v>2</v>
      </c>
      <c r="B2693" s="38">
        <v>55000</v>
      </c>
      <c r="E2693" s="37" t="b">
        <v>1</v>
      </c>
      <c r="F2693" s="37" t="b">
        <v>1</v>
      </c>
      <c r="G2693" s="37">
        <v>1</v>
      </c>
      <c r="H2693" s="37">
        <v>55000</v>
      </c>
    </row>
    <row r="2694" spans="1:8" x14ac:dyDescent="0.3">
      <c r="A2694" s="37" t="s">
        <v>0</v>
      </c>
      <c r="B2694" s="38">
        <v>129500</v>
      </c>
      <c r="E2694" s="37" t="b">
        <v>0</v>
      </c>
      <c r="F2694" s="37" t="b">
        <v>1</v>
      </c>
      <c r="G2694" s="37">
        <v>0</v>
      </c>
      <c r="H2694" s="37" t="b">
        <v>0</v>
      </c>
    </row>
    <row r="2695" spans="1:8" x14ac:dyDescent="0.3">
      <c r="A2695" s="37" t="s">
        <v>0</v>
      </c>
      <c r="B2695" s="38">
        <v>101840</v>
      </c>
      <c r="E2695" s="37" t="b">
        <v>0</v>
      </c>
      <c r="F2695" s="37" t="b">
        <v>1</v>
      </c>
      <c r="G2695" s="37">
        <v>0</v>
      </c>
      <c r="H2695" s="37" t="b">
        <v>0</v>
      </c>
    </row>
    <row r="2696" spans="1:8" x14ac:dyDescent="0.3">
      <c r="A2696" s="37" t="s">
        <v>2</v>
      </c>
      <c r="B2696" s="38">
        <v>51232</v>
      </c>
      <c r="E2696" s="37" t="b">
        <v>1</v>
      </c>
      <c r="F2696" s="37" t="b">
        <v>1</v>
      </c>
      <c r="G2696" s="37">
        <v>1</v>
      </c>
      <c r="H2696" s="37">
        <v>51232</v>
      </c>
    </row>
    <row r="2697" spans="1:8" x14ac:dyDescent="0.3">
      <c r="A2697" s="37" t="s">
        <v>125</v>
      </c>
      <c r="B2697" s="38">
        <v>90601</v>
      </c>
      <c r="E2697" s="37" t="b">
        <v>0</v>
      </c>
      <c r="F2697" s="37" t="b">
        <v>1</v>
      </c>
      <c r="G2697" s="37">
        <v>0</v>
      </c>
      <c r="H2697" s="37" t="b">
        <v>0</v>
      </c>
    </row>
    <row r="2698" spans="1:8" x14ac:dyDescent="0.3">
      <c r="A2698" s="37" t="s">
        <v>0</v>
      </c>
      <c r="B2698" s="38">
        <v>154000</v>
      </c>
      <c r="E2698" s="37" t="b">
        <v>0</v>
      </c>
      <c r="F2698" s="37" t="b">
        <v>1</v>
      </c>
      <c r="G2698" s="37">
        <v>0</v>
      </c>
      <c r="H2698" s="37" t="b">
        <v>0</v>
      </c>
    </row>
    <row r="2699" spans="1:8" x14ac:dyDescent="0.3">
      <c r="A2699" s="37" t="s">
        <v>128</v>
      </c>
      <c r="B2699" s="38">
        <v>310270</v>
      </c>
      <c r="E2699" s="37" t="b">
        <v>0</v>
      </c>
      <c r="F2699" s="37" t="b">
        <v>1</v>
      </c>
      <c r="G2699" s="37">
        <v>0</v>
      </c>
      <c r="H2699" s="37" t="b">
        <v>0</v>
      </c>
    </row>
    <row r="2700" spans="1:8" x14ac:dyDescent="0.3">
      <c r="A2700" s="37" t="s">
        <v>2</v>
      </c>
      <c r="B2700" s="38">
        <v>95000</v>
      </c>
      <c r="E2700" s="37" t="b">
        <v>1</v>
      </c>
      <c r="F2700" s="37" t="b">
        <v>1</v>
      </c>
      <c r="G2700" s="37">
        <v>1</v>
      </c>
      <c r="H2700" s="37">
        <v>95000</v>
      </c>
    </row>
    <row r="2701" spans="1:8" x14ac:dyDescent="0.3">
      <c r="A2701" s="37" t="s">
        <v>2</v>
      </c>
      <c r="B2701" s="38">
        <v>82923</v>
      </c>
      <c r="E2701" s="37" t="b">
        <v>1</v>
      </c>
      <c r="F2701" s="37" t="b">
        <v>1</v>
      </c>
      <c r="G2701" s="37">
        <v>1</v>
      </c>
      <c r="H2701" s="37">
        <v>82923</v>
      </c>
    </row>
    <row r="2702" spans="1:8" x14ac:dyDescent="0.3">
      <c r="A2702" s="37" t="s">
        <v>2</v>
      </c>
      <c r="B2702" s="38">
        <v>51059</v>
      </c>
      <c r="E2702" s="37" t="b">
        <v>1</v>
      </c>
      <c r="F2702" s="37" t="b">
        <v>1</v>
      </c>
      <c r="G2702" s="37">
        <v>1</v>
      </c>
      <c r="H2702" s="37">
        <v>51059</v>
      </c>
    </row>
    <row r="2703" spans="1:8" x14ac:dyDescent="0.3">
      <c r="A2703" s="37" t="s">
        <v>2</v>
      </c>
      <c r="B2703" s="38">
        <v>109735</v>
      </c>
      <c r="E2703" s="37" t="b">
        <v>1</v>
      </c>
      <c r="F2703" s="37" t="b">
        <v>1</v>
      </c>
      <c r="G2703" s="37">
        <v>1</v>
      </c>
      <c r="H2703" s="37">
        <v>109735</v>
      </c>
    </row>
    <row r="2704" spans="1:8" x14ac:dyDescent="0.3">
      <c r="A2704" s="37" t="s">
        <v>2</v>
      </c>
      <c r="B2704" s="38">
        <v>73481</v>
      </c>
      <c r="E2704" s="37" t="b">
        <v>1</v>
      </c>
      <c r="F2704" s="37" t="b">
        <v>1</v>
      </c>
      <c r="G2704" s="37">
        <v>1</v>
      </c>
      <c r="H2704" s="37">
        <v>73481</v>
      </c>
    </row>
    <row r="2705" spans="1:8" x14ac:dyDescent="0.3">
      <c r="A2705" s="37" t="s">
        <v>125</v>
      </c>
      <c r="B2705" s="38">
        <v>90000</v>
      </c>
      <c r="E2705" s="37" t="b">
        <v>0</v>
      </c>
      <c r="F2705" s="37" t="b">
        <v>1</v>
      </c>
      <c r="G2705" s="37">
        <v>0</v>
      </c>
      <c r="H2705" s="37" t="b">
        <v>0</v>
      </c>
    </row>
    <row r="2706" spans="1:8" x14ac:dyDescent="0.3">
      <c r="A2706" s="37" t="s">
        <v>2</v>
      </c>
      <c r="B2706" s="38">
        <v>63211</v>
      </c>
      <c r="E2706" s="37" t="b">
        <v>1</v>
      </c>
      <c r="F2706" s="37" t="b">
        <v>1</v>
      </c>
      <c r="G2706" s="37">
        <v>1</v>
      </c>
      <c r="H2706" s="37">
        <v>63211</v>
      </c>
    </row>
    <row r="2707" spans="1:8" x14ac:dyDescent="0.3">
      <c r="A2707" s="37" t="s">
        <v>2</v>
      </c>
      <c r="B2707" s="38">
        <v>76579</v>
      </c>
      <c r="E2707" s="37" t="b">
        <v>1</v>
      </c>
      <c r="F2707" s="37" t="b">
        <v>1</v>
      </c>
      <c r="G2707" s="37">
        <v>1</v>
      </c>
      <c r="H2707" s="37">
        <v>76579</v>
      </c>
    </row>
    <row r="2708" spans="1:8" x14ac:dyDescent="0.3">
      <c r="A2708" s="37" t="s">
        <v>2</v>
      </c>
      <c r="B2708" s="38">
        <v>67431</v>
      </c>
      <c r="E2708" s="37" t="b">
        <v>1</v>
      </c>
      <c r="F2708" s="37" t="b">
        <v>1</v>
      </c>
      <c r="G2708" s="37">
        <v>1</v>
      </c>
      <c r="H2708" s="37">
        <v>67431</v>
      </c>
    </row>
    <row r="2709" spans="1:8" x14ac:dyDescent="0.3">
      <c r="A2709" s="37" t="s">
        <v>129</v>
      </c>
      <c r="B2709" s="38">
        <v>48982</v>
      </c>
      <c r="E2709" s="37" t="b">
        <v>0</v>
      </c>
      <c r="F2709" s="37" t="b">
        <v>1</v>
      </c>
      <c r="G2709" s="37">
        <v>0</v>
      </c>
      <c r="H2709" s="37" t="b">
        <v>0</v>
      </c>
    </row>
    <row r="2710" spans="1:8" x14ac:dyDescent="0.3">
      <c r="A2710" s="37" t="s">
        <v>52</v>
      </c>
      <c r="B2710" s="38">
        <v>101279</v>
      </c>
      <c r="E2710" s="37" t="b">
        <v>0</v>
      </c>
      <c r="F2710" s="37" t="b">
        <v>1</v>
      </c>
      <c r="G2710" s="37">
        <v>0</v>
      </c>
      <c r="H2710" s="37" t="b">
        <v>0</v>
      </c>
    </row>
    <row r="2711" spans="1:8" x14ac:dyDescent="0.3">
      <c r="A2711" s="37" t="s">
        <v>0</v>
      </c>
      <c r="B2711" s="38">
        <v>100000</v>
      </c>
      <c r="E2711" s="37" t="b">
        <v>0</v>
      </c>
      <c r="F2711" s="37" t="b">
        <v>1</v>
      </c>
      <c r="G2711" s="37">
        <v>0</v>
      </c>
      <c r="H2711" s="37" t="b">
        <v>0</v>
      </c>
    </row>
    <row r="2712" spans="1:8" x14ac:dyDescent="0.3">
      <c r="A2712" s="37" t="s">
        <v>0</v>
      </c>
      <c r="B2712" s="38">
        <v>108281</v>
      </c>
      <c r="E2712" s="37" t="b">
        <v>0</v>
      </c>
      <c r="F2712" s="37" t="b">
        <v>1</v>
      </c>
      <c r="G2712" s="37">
        <v>0</v>
      </c>
      <c r="H2712" s="37" t="b">
        <v>0</v>
      </c>
    </row>
    <row r="2713" spans="1:8" x14ac:dyDescent="0.3">
      <c r="A2713" s="37" t="s">
        <v>128</v>
      </c>
      <c r="B2713" s="38">
        <v>142809</v>
      </c>
      <c r="E2713" s="37" t="b">
        <v>0</v>
      </c>
      <c r="F2713" s="37" t="b">
        <v>1</v>
      </c>
      <c r="G2713" s="37">
        <v>0</v>
      </c>
      <c r="H2713" s="37" t="b">
        <v>0</v>
      </c>
    </row>
    <row r="2714" spans="1:8" x14ac:dyDescent="0.3">
      <c r="A2714" s="37" t="s">
        <v>0</v>
      </c>
      <c r="B2714" s="38">
        <v>120000</v>
      </c>
      <c r="E2714" s="37" t="b">
        <v>0</v>
      </c>
      <c r="F2714" s="37" t="b">
        <v>1</v>
      </c>
      <c r="G2714" s="37">
        <v>0</v>
      </c>
      <c r="H2714" s="37" t="b">
        <v>0</v>
      </c>
    </row>
    <row r="2715" spans="1:8" x14ac:dyDescent="0.3">
      <c r="A2715" s="37" t="s">
        <v>4</v>
      </c>
      <c r="B2715" s="38">
        <v>214000</v>
      </c>
      <c r="E2715" s="37" t="b">
        <v>0</v>
      </c>
      <c r="F2715" s="37" t="b">
        <v>1</v>
      </c>
      <c r="G2715" s="37">
        <v>0</v>
      </c>
      <c r="H2715" s="37" t="b">
        <v>0</v>
      </c>
    </row>
    <row r="2716" spans="1:8" x14ac:dyDescent="0.3">
      <c r="A2716" s="37" t="s">
        <v>2</v>
      </c>
      <c r="B2716" s="38">
        <v>77981</v>
      </c>
      <c r="E2716" s="37" t="b">
        <v>1</v>
      </c>
      <c r="F2716" s="37" t="b">
        <v>1</v>
      </c>
      <c r="G2716" s="37">
        <v>1</v>
      </c>
      <c r="H2716" s="37">
        <v>77981</v>
      </c>
    </row>
    <row r="2717" spans="1:8" x14ac:dyDescent="0.3">
      <c r="A2717" s="37" t="s">
        <v>2</v>
      </c>
      <c r="B2717" s="38">
        <v>58017</v>
      </c>
      <c r="E2717" s="37" t="b">
        <v>1</v>
      </c>
      <c r="F2717" s="37" t="b">
        <v>1</v>
      </c>
      <c r="G2717" s="37">
        <v>1</v>
      </c>
      <c r="H2717" s="37">
        <v>58017</v>
      </c>
    </row>
    <row r="2718" spans="1:8" x14ac:dyDescent="0.3">
      <c r="A2718" s="37" t="s">
        <v>2</v>
      </c>
      <c r="B2718" s="38">
        <v>150000</v>
      </c>
      <c r="E2718" s="37" t="b">
        <v>1</v>
      </c>
      <c r="F2718" s="37" t="b">
        <v>1</v>
      </c>
      <c r="G2718" s="37">
        <v>1</v>
      </c>
      <c r="H2718" s="37">
        <v>150000</v>
      </c>
    </row>
    <row r="2719" spans="1:8" x14ac:dyDescent="0.3">
      <c r="A2719" s="37" t="s">
        <v>2</v>
      </c>
      <c r="B2719" s="38">
        <v>83243</v>
      </c>
      <c r="E2719" s="37" t="b">
        <v>1</v>
      </c>
      <c r="F2719" s="37" t="b">
        <v>1</v>
      </c>
      <c r="G2719" s="37">
        <v>1</v>
      </c>
      <c r="H2719" s="37">
        <v>83243</v>
      </c>
    </row>
    <row r="2720" spans="1:8" x14ac:dyDescent="0.3">
      <c r="A2720" s="37" t="s">
        <v>0</v>
      </c>
      <c r="B2720" s="38">
        <v>78369</v>
      </c>
      <c r="E2720" s="37" t="b">
        <v>0</v>
      </c>
      <c r="F2720" s="37" t="b">
        <v>1</v>
      </c>
      <c r="G2720" s="37">
        <v>0</v>
      </c>
      <c r="H2720" s="37" t="b">
        <v>0</v>
      </c>
    </row>
    <row r="2721" spans="1:8" x14ac:dyDescent="0.3">
      <c r="A2721" s="37" t="s">
        <v>0</v>
      </c>
      <c r="B2721" s="38">
        <v>95326</v>
      </c>
      <c r="E2721" s="37" t="b">
        <v>0</v>
      </c>
      <c r="F2721" s="37" t="b">
        <v>1</v>
      </c>
      <c r="G2721" s="37">
        <v>0</v>
      </c>
      <c r="H2721" s="37" t="b">
        <v>0</v>
      </c>
    </row>
    <row r="2722" spans="1:8" x14ac:dyDescent="0.3">
      <c r="A2722" s="37" t="s">
        <v>2</v>
      </c>
      <c r="B2722" s="38"/>
      <c r="E2722" s="37" t="b">
        <v>1</v>
      </c>
      <c r="F2722" s="37" t="b">
        <v>0</v>
      </c>
      <c r="G2722" s="37">
        <v>0</v>
      </c>
      <c r="H2722" s="37" t="b">
        <v>0</v>
      </c>
    </row>
    <row r="2723" spans="1:8" x14ac:dyDescent="0.3">
      <c r="A2723" s="37" t="s">
        <v>0</v>
      </c>
      <c r="B2723" s="38">
        <v>59480</v>
      </c>
      <c r="E2723" s="37" t="b">
        <v>0</v>
      </c>
      <c r="F2723" s="37" t="b">
        <v>1</v>
      </c>
      <c r="G2723" s="37">
        <v>0</v>
      </c>
      <c r="H2723" s="37" t="b">
        <v>0</v>
      </c>
    </row>
    <row r="2724" spans="1:8" x14ac:dyDescent="0.3">
      <c r="A2724" s="37" t="s">
        <v>128</v>
      </c>
      <c r="B2724" s="38">
        <v>76839</v>
      </c>
      <c r="E2724" s="37" t="b">
        <v>0</v>
      </c>
      <c r="F2724" s="37" t="b">
        <v>1</v>
      </c>
      <c r="G2724" s="37">
        <v>0</v>
      </c>
      <c r="H2724" s="37" t="b">
        <v>0</v>
      </c>
    </row>
    <row r="2725" spans="1:8" x14ac:dyDescent="0.3">
      <c r="A2725" s="37" t="s">
        <v>0</v>
      </c>
      <c r="B2725" s="38">
        <v>110000</v>
      </c>
      <c r="E2725" s="37" t="b">
        <v>0</v>
      </c>
      <c r="F2725" s="37" t="b">
        <v>1</v>
      </c>
      <c r="G2725" s="37">
        <v>0</v>
      </c>
      <c r="H2725" s="37" t="b">
        <v>0</v>
      </c>
    </row>
    <row r="2726" spans="1:8" x14ac:dyDescent="0.3">
      <c r="A2726" s="37" t="s">
        <v>0</v>
      </c>
      <c r="B2726" s="38"/>
      <c r="E2726" s="37" t="b">
        <v>0</v>
      </c>
      <c r="F2726" s="37" t="b">
        <v>0</v>
      </c>
      <c r="G2726" s="37">
        <v>0</v>
      </c>
      <c r="H2726" s="37" t="b">
        <v>0</v>
      </c>
    </row>
    <row r="2727" spans="1:8" x14ac:dyDescent="0.3">
      <c r="A2727" s="37" t="s">
        <v>2</v>
      </c>
      <c r="B2727" s="38">
        <v>65000</v>
      </c>
      <c r="E2727" s="37" t="b">
        <v>1</v>
      </c>
      <c r="F2727" s="37" t="b">
        <v>1</v>
      </c>
      <c r="G2727" s="37">
        <v>1</v>
      </c>
      <c r="H2727" s="37">
        <v>65000</v>
      </c>
    </row>
    <row r="2728" spans="1:8" x14ac:dyDescent="0.3">
      <c r="A2728" s="37" t="s">
        <v>0</v>
      </c>
      <c r="B2728" s="38">
        <v>94157</v>
      </c>
      <c r="E2728" s="37" t="b">
        <v>0</v>
      </c>
      <c r="F2728" s="37" t="b">
        <v>1</v>
      </c>
      <c r="G2728" s="37">
        <v>0</v>
      </c>
      <c r="H2728" s="37" t="b">
        <v>0</v>
      </c>
    </row>
    <row r="2729" spans="1:8" x14ac:dyDescent="0.3">
      <c r="A2729" s="37" t="s">
        <v>2</v>
      </c>
      <c r="B2729" s="38"/>
      <c r="E2729" s="37" t="b">
        <v>1</v>
      </c>
      <c r="F2729" s="37" t="b">
        <v>0</v>
      </c>
      <c r="G2729" s="37">
        <v>0</v>
      </c>
      <c r="H2729" s="37" t="b">
        <v>0</v>
      </c>
    </row>
    <row r="2730" spans="1:8" x14ac:dyDescent="0.3">
      <c r="A2730" s="37" t="s">
        <v>0</v>
      </c>
      <c r="B2730" s="38"/>
      <c r="E2730" s="37" t="b">
        <v>0</v>
      </c>
      <c r="F2730" s="37" t="b">
        <v>0</v>
      </c>
      <c r="G2730" s="37">
        <v>0</v>
      </c>
      <c r="H2730" s="37" t="b">
        <v>0</v>
      </c>
    </row>
    <row r="2731" spans="1:8" x14ac:dyDescent="0.3">
      <c r="A2731" s="37" t="s">
        <v>2</v>
      </c>
      <c r="B2731" s="38"/>
      <c r="E2731" s="37" t="b">
        <v>1</v>
      </c>
      <c r="F2731" s="37" t="b">
        <v>0</v>
      </c>
      <c r="G2731" s="37">
        <v>0</v>
      </c>
      <c r="H2731" s="37" t="b">
        <v>0</v>
      </c>
    </row>
    <row r="2732" spans="1:8" x14ac:dyDescent="0.3">
      <c r="A2732" s="37" t="s">
        <v>0</v>
      </c>
      <c r="B2732" s="38"/>
      <c r="E2732" s="37" t="b">
        <v>0</v>
      </c>
      <c r="F2732" s="37" t="b">
        <v>0</v>
      </c>
      <c r="G2732" s="37">
        <v>0</v>
      </c>
      <c r="H2732" s="37" t="b">
        <v>0</v>
      </c>
    </row>
    <row r="2733" spans="1:8" x14ac:dyDescent="0.3">
      <c r="A2733" s="37" t="s">
        <v>0</v>
      </c>
      <c r="B2733" s="38"/>
      <c r="E2733" s="37" t="b">
        <v>0</v>
      </c>
      <c r="F2733" s="37" t="b">
        <v>0</v>
      </c>
      <c r="G2733" s="37">
        <v>0</v>
      </c>
      <c r="H2733" s="37" t="b">
        <v>0</v>
      </c>
    </row>
    <row r="2734" spans="1:8" x14ac:dyDescent="0.3">
      <c r="A2734" s="37" t="s">
        <v>4</v>
      </c>
      <c r="B2734" s="38"/>
      <c r="E2734" s="37" t="b">
        <v>0</v>
      </c>
      <c r="F2734" s="37" t="b">
        <v>0</v>
      </c>
      <c r="G2734" s="37">
        <v>0</v>
      </c>
      <c r="H2734" s="37" t="b">
        <v>0</v>
      </c>
    </row>
    <row r="2735" spans="1:8" x14ac:dyDescent="0.3">
      <c r="A2735" s="37" t="s">
        <v>52</v>
      </c>
      <c r="B2735" s="38"/>
      <c r="E2735" s="37" t="b">
        <v>0</v>
      </c>
      <c r="F2735" s="37" t="b">
        <v>0</v>
      </c>
      <c r="G2735" s="37">
        <v>0</v>
      </c>
      <c r="H2735" s="37" t="b">
        <v>0</v>
      </c>
    </row>
    <row r="2736" spans="1:8" x14ac:dyDescent="0.3">
      <c r="A2736" s="37" t="s">
        <v>0</v>
      </c>
      <c r="B2736" s="38"/>
      <c r="E2736" s="37" t="b">
        <v>0</v>
      </c>
      <c r="F2736" s="37" t="b">
        <v>0</v>
      </c>
      <c r="G2736" s="37">
        <v>0</v>
      </c>
      <c r="H2736" s="37" t="b">
        <v>0</v>
      </c>
    </row>
    <row r="2737" spans="1:8" x14ac:dyDescent="0.3">
      <c r="A2737" s="37" t="s">
        <v>2</v>
      </c>
      <c r="B2737" s="38"/>
      <c r="E2737" s="37" t="b">
        <v>1</v>
      </c>
      <c r="F2737" s="37" t="b">
        <v>0</v>
      </c>
      <c r="G2737" s="37">
        <v>0</v>
      </c>
      <c r="H2737" s="37" t="b">
        <v>0</v>
      </c>
    </row>
    <row r="2738" spans="1:8" x14ac:dyDescent="0.3">
      <c r="A2738" s="37" t="s">
        <v>0</v>
      </c>
      <c r="B2738" s="38"/>
      <c r="E2738" s="37" t="b">
        <v>0</v>
      </c>
      <c r="F2738" s="37" t="b">
        <v>0</v>
      </c>
      <c r="G2738" s="37">
        <v>0</v>
      </c>
      <c r="H2738" s="37" t="b">
        <v>0</v>
      </c>
    </row>
    <row r="2739" spans="1:8" x14ac:dyDescent="0.3">
      <c r="A2739" s="37" t="s">
        <v>2</v>
      </c>
      <c r="B2739" s="38">
        <v>90000</v>
      </c>
      <c r="E2739" s="37" t="b">
        <v>1</v>
      </c>
      <c r="F2739" s="37" t="b">
        <v>1</v>
      </c>
      <c r="G2739" s="37">
        <v>1</v>
      </c>
      <c r="H2739" s="37">
        <v>90000</v>
      </c>
    </row>
    <row r="2740" spans="1:8" x14ac:dyDescent="0.3">
      <c r="A2740" s="37" t="s">
        <v>0</v>
      </c>
      <c r="B2740" s="38">
        <v>152500</v>
      </c>
      <c r="E2740" s="37" t="b">
        <v>0</v>
      </c>
      <c r="F2740" s="37" t="b">
        <v>1</v>
      </c>
      <c r="G2740" s="37">
        <v>0</v>
      </c>
      <c r="H2740" s="37" t="b">
        <v>0</v>
      </c>
    </row>
    <row r="2741" spans="1:8" x14ac:dyDescent="0.3">
      <c r="A2741" s="37" t="s">
        <v>126</v>
      </c>
      <c r="B2741" s="38">
        <v>115000</v>
      </c>
      <c r="E2741" s="37" t="b">
        <v>0</v>
      </c>
      <c r="F2741" s="37" t="b">
        <v>1</v>
      </c>
      <c r="G2741" s="37">
        <v>0</v>
      </c>
      <c r="H2741" s="37" t="b">
        <v>0</v>
      </c>
    </row>
    <row r="2742" spans="1:8" x14ac:dyDescent="0.3">
      <c r="A2742" s="37" t="s">
        <v>2</v>
      </c>
      <c r="B2742" s="38"/>
      <c r="E2742" s="37" t="b">
        <v>1</v>
      </c>
      <c r="F2742" s="37" t="b">
        <v>0</v>
      </c>
      <c r="G2742" s="37">
        <v>0</v>
      </c>
      <c r="H2742" s="37" t="b">
        <v>0</v>
      </c>
    </row>
    <row r="2743" spans="1:8" x14ac:dyDescent="0.3">
      <c r="A2743" s="37" t="s">
        <v>2</v>
      </c>
      <c r="B2743" s="38">
        <v>92500</v>
      </c>
      <c r="E2743" s="37" t="b">
        <v>1</v>
      </c>
      <c r="F2743" s="37" t="b">
        <v>1</v>
      </c>
      <c r="G2743" s="37">
        <v>1</v>
      </c>
      <c r="H2743" s="37">
        <v>92500</v>
      </c>
    </row>
    <row r="2744" spans="1:8" x14ac:dyDescent="0.3">
      <c r="A2744" s="37" t="s">
        <v>4</v>
      </c>
      <c r="B2744" s="38">
        <v>140000</v>
      </c>
      <c r="E2744" s="37" t="b">
        <v>0</v>
      </c>
      <c r="F2744" s="37" t="b">
        <v>1</v>
      </c>
      <c r="G2744" s="37">
        <v>0</v>
      </c>
      <c r="H2744" s="37" t="b">
        <v>0</v>
      </c>
    </row>
    <row r="2745" spans="1:8" x14ac:dyDescent="0.3">
      <c r="A2745" s="37" t="s">
        <v>0</v>
      </c>
      <c r="B2745" s="38">
        <v>115000</v>
      </c>
      <c r="E2745" s="37" t="b">
        <v>0</v>
      </c>
      <c r="F2745" s="37" t="b">
        <v>1</v>
      </c>
      <c r="G2745" s="37">
        <v>0</v>
      </c>
      <c r="H2745" s="37" t="b">
        <v>0</v>
      </c>
    </row>
    <row r="2746" spans="1:8" x14ac:dyDescent="0.3">
      <c r="A2746" s="37" t="s">
        <v>4</v>
      </c>
      <c r="B2746" s="38"/>
      <c r="E2746" s="37" t="b">
        <v>0</v>
      </c>
      <c r="F2746" s="37" t="b">
        <v>0</v>
      </c>
      <c r="G2746" s="37">
        <v>0</v>
      </c>
      <c r="H2746" s="37" t="b">
        <v>0</v>
      </c>
    </row>
    <row r="2747" spans="1:8" x14ac:dyDescent="0.3">
      <c r="A2747" s="37" t="s">
        <v>4</v>
      </c>
      <c r="B2747" s="38"/>
      <c r="E2747" s="37" t="b">
        <v>0</v>
      </c>
      <c r="F2747" s="37" t="b">
        <v>0</v>
      </c>
      <c r="G2747" s="37">
        <v>0</v>
      </c>
      <c r="H2747" s="37" t="b">
        <v>0</v>
      </c>
    </row>
    <row r="2748" spans="1:8" x14ac:dyDescent="0.3">
      <c r="A2748" s="37" t="s">
        <v>2</v>
      </c>
      <c r="B2748" s="38"/>
      <c r="E2748" s="37" t="b">
        <v>1</v>
      </c>
      <c r="F2748" s="37" t="b">
        <v>0</v>
      </c>
      <c r="G2748" s="37">
        <v>0</v>
      </c>
      <c r="H2748" s="37" t="b">
        <v>0</v>
      </c>
    </row>
    <row r="2749" spans="1:8" x14ac:dyDescent="0.3">
      <c r="A2749" s="37" t="s">
        <v>126</v>
      </c>
      <c r="B2749" s="38"/>
      <c r="E2749" s="37" t="b">
        <v>0</v>
      </c>
      <c r="F2749" s="37" t="b">
        <v>0</v>
      </c>
      <c r="G2749" s="37">
        <v>0</v>
      </c>
      <c r="H2749" s="37" t="b">
        <v>0</v>
      </c>
    </row>
    <row r="2750" spans="1:8" x14ac:dyDescent="0.3">
      <c r="A2750" s="37" t="s">
        <v>2</v>
      </c>
      <c r="B2750" s="38"/>
      <c r="E2750" s="37" t="b">
        <v>1</v>
      </c>
      <c r="F2750" s="37" t="b">
        <v>0</v>
      </c>
      <c r="G2750" s="37">
        <v>0</v>
      </c>
      <c r="H2750" s="37" t="b">
        <v>0</v>
      </c>
    </row>
    <row r="2751" spans="1:8" x14ac:dyDescent="0.3">
      <c r="A2751" s="37" t="s">
        <v>2</v>
      </c>
      <c r="B2751" s="38"/>
      <c r="E2751" s="37" t="b">
        <v>1</v>
      </c>
      <c r="F2751" s="37" t="b">
        <v>0</v>
      </c>
      <c r="G2751" s="37">
        <v>0</v>
      </c>
      <c r="H2751" s="37" t="b">
        <v>0</v>
      </c>
    </row>
    <row r="2752" spans="1:8" x14ac:dyDescent="0.3">
      <c r="A2752" s="37" t="s">
        <v>2</v>
      </c>
      <c r="B2752" s="38"/>
      <c r="E2752" s="37" t="b">
        <v>1</v>
      </c>
      <c r="F2752" s="37" t="b">
        <v>0</v>
      </c>
      <c r="G2752" s="37">
        <v>0</v>
      </c>
      <c r="H2752" s="37" t="b">
        <v>0</v>
      </c>
    </row>
    <row r="2753" spans="1:8" x14ac:dyDescent="0.3">
      <c r="A2753" s="37" t="s">
        <v>2</v>
      </c>
      <c r="B2753" s="38"/>
      <c r="E2753" s="37" t="b">
        <v>1</v>
      </c>
      <c r="F2753" s="37" t="b">
        <v>0</v>
      </c>
      <c r="G2753" s="37">
        <v>0</v>
      </c>
      <c r="H2753" s="37" t="b">
        <v>0</v>
      </c>
    </row>
    <row r="2754" spans="1:8" x14ac:dyDescent="0.3">
      <c r="A2754" s="37" t="s">
        <v>2</v>
      </c>
      <c r="B2754" s="38"/>
      <c r="E2754" s="37" t="b">
        <v>1</v>
      </c>
      <c r="F2754" s="37" t="b">
        <v>0</v>
      </c>
      <c r="G2754" s="37">
        <v>0</v>
      </c>
      <c r="H2754" s="37" t="b">
        <v>0</v>
      </c>
    </row>
    <row r="2755" spans="1:8" x14ac:dyDescent="0.3">
      <c r="A2755" s="37" t="s">
        <v>2</v>
      </c>
      <c r="B2755" s="38">
        <v>115000</v>
      </c>
      <c r="E2755" s="37" t="b">
        <v>1</v>
      </c>
      <c r="F2755" s="37" t="b">
        <v>1</v>
      </c>
      <c r="G2755" s="37">
        <v>1</v>
      </c>
      <c r="H2755" s="37">
        <v>115000</v>
      </c>
    </row>
    <row r="2756" spans="1:8" x14ac:dyDescent="0.3">
      <c r="A2756" s="37" t="s">
        <v>4</v>
      </c>
      <c r="B2756" s="38">
        <v>130000</v>
      </c>
      <c r="E2756" s="37" t="b">
        <v>0</v>
      </c>
      <c r="F2756" s="37" t="b">
        <v>1</v>
      </c>
      <c r="G2756" s="37">
        <v>0</v>
      </c>
      <c r="H2756" s="37" t="b">
        <v>0</v>
      </c>
    </row>
    <row r="2757" spans="1:8" x14ac:dyDescent="0.3">
      <c r="A2757" s="37" t="s">
        <v>2</v>
      </c>
      <c r="B2757" s="38"/>
      <c r="E2757" s="37" t="b">
        <v>1</v>
      </c>
      <c r="F2757" s="37" t="b">
        <v>0</v>
      </c>
      <c r="G2757" s="37">
        <v>0</v>
      </c>
      <c r="H2757" s="37" t="b">
        <v>0</v>
      </c>
    </row>
    <row r="2758" spans="1:8" x14ac:dyDescent="0.3">
      <c r="A2758" s="37" t="s">
        <v>2</v>
      </c>
      <c r="B2758" s="38">
        <v>75000</v>
      </c>
      <c r="E2758" s="37" t="b">
        <v>1</v>
      </c>
      <c r="F2758" s="37" t="b">
        <v>1</v>
      </c>
      <c r="G2758" s="37">
        <v>1</v>
      </c>
      <c r="H2758" s="37">
        <v>75000</v>
      </c>
    </row>
    <row r="2759" spans="1:8" x14ac:dyDescent="0.3">
      <c r="A2759" s="37" t="s">
        <v>2</v>
      </c>
      <c r="B2759" s="38">
        <v>97500</v>
      </c>
      <c r="E2759" s="37" t="b">
        <v>1</v>
      </c>
      <c r="F2759" s="37" t="b">
        <v>1</v>
      </c>
      <c r="G2759" s="37">
        <v>1</v>
      </c>
      <c r="H2759" s="37">
        <v>97500</v>
      </c>
    </row>
    <row r="2760" spans="1:8" x14ac:dyDescent="0.3">
      <c r="A2760" s="37" t="s">
        <v>2</v>
      </c>
      <c r="B2760" s="38"/>
      <c r="E2760" s="37" t="b">
        <v>1</v>
      </c>
      <c r="F2760" s="37" t="b">
        <v>0</v>
      </c>
      <c r="G2760" s="37">
        <v>0</v>
      </c>
      <c r="H2760" s="37" t="b">
        <v>0</v>
      </c>
    </row>
    <row r="2761" spans="1:8" x14ac:dyDescent="0.3">
      <c r="A2761" s="37" t="s">
        <v>0</v>
      </c>
      <c r="B2761" s="38"/>
      <c r="E2761" s="37" t="b">
        <v>0</v>
      </c>
      <c r="F2761" s="37" t="b">
        <v>0</v>
      </c>
      <c r="G2761" s="37">
        <v>0</v>
      </c>
      <c r="H2761" s="37" t="b">
        <v>0</v>
      </c>
    </row>
    <row r="2762" spans="1:8" x14ac:dyDescent="0.3">
      <c r="A2762" s="37" t="s">
        <v>2</v>
      </c>
      <c r="B2762" s="38">
        <v>60000</v>
      </c>
      <c r="E2762" s="37" t="b">
        <v>1</v>
      </c>
      <c r="F2762" s="37" t="b">
        <v>1</v>
      </c>
      <c r="G2762" s="37">
        <v>1</v>
      </c>
      <c r="H2762" s="37">
        <v>60000</v>
      </c>
    </row>
    <row r="2763" spans="1:8" x14ac:dyDescent="0.3">
      <c r="A2763" s="37" t="s">
        <v>4</v>
      </c>
      <c r="B2763" s="38"/>
      <c r="E2763" s="37" t="b">
        <v>0</v>
      </c>
      <c r="F2763" s="37" t="b">
        <v>0</v>
      </c>
      <c r="G2763" s="37">
        <v>0</v>
      </c>
      <c r="H2763" s="37" t="b">
        <v>0</v>
      </c>
    </row>
    <row r="2764" spans="1:8" x14ac:dyDescent="0.3">
      <c r="A2764" s="37" t="s">
        <v>4</v>
      </c>
      <c r="B2764" s="38">
        <v>150000</v>
      </c>
      <c r="E2764" s="37" t="b">
        <v>0</v>
      </c>
      <c r="F2764" s="37" t="b">
        <v>1</v>
      </c>
      <c r="G2764" s="37">
        <v>0</v>
      </c>
      <c r="H2764" s="37" t="b">
        <v>0</v>
      </c>
    </row>
    <row r="2765" spans="1:8" x14ac:dyDescent="0.3">
      <c r="A2765" s="37" t="s">
        <v>0</v>
      </c>
      <c r="B2765" s="38"/>
      <c r="E2765" s="37" t="b">
        <v>0</v>
      </c>
      <c r="F2765" s="37" t="b">
        <v>0</v>
      </c>
      <c r="G2765" s="37">
        <v>0</v>
      </c>
      <c r="H2765" s="37" t="b">
        <v>0</v>
      </c>
    </row>
    <row r="2766" spans="1:8" x14ac:dyDescent="0.3">
      <c r="A2766" s="37" t="s">
        <v>52</v>
      </c>
      <c r="B2766" s="38">
        <v>77500</v>
      </c>
      <c r="E2766" s="37" t="b">
        <v>0</v>
      </c>
      <c r="F2766" s="37" t="b">
        <v>1</v>
      </c>
      <c r="G2766" s="37">
        <v>0</v>
      </c>
      <c r="H2766" s="37" t="b">
        <v>0</v>
      </c>
    </row>
    <row r="2767" spans="1:8" x14ac:dyDescent="0.3">
      <c r="A2767" s="37" t="s">
        <v>4</v>
      </c>
      <c r="B2767" s="38"/>
      <c r="E2767" s="37" t="b">
        <v>0</v>
      </c>
      <c r="F2767" s="37" t="b">
        <v>0</v>
      </c>
      <c r="G2767" s="37">
        <v>0</v>
      </c>
      <c r="H2767" s="37" t="b">
        <v>0</v>
      </c>
    </row>
    <row r="2768" spans="1:8" x14ac:dyDescent="0.3">
      <c r="A2768" s="37" t="s">
        <v>2</v>
      </c>
      <c r="B2768" s="38"/>
      <c r="E2768" s="37" t="b">
        <v>1</v>
      </c>
      <c r="F2768" s="37" t="b">
        <v>0</v>
      </c>
      <c r="G2768" s="37">
        <v>0</v>
      </c>
      <c r="H2768" s="37" t="b">
        <v>0</v>
      </c>
    </row>
    <row r="2769" spans="1:8" x14ac:dyDescent="0.3">
      <c r="A2769" s="37" t="s">
        <v>4</v>
      </c>
      <c r="B2769" s="38">
        <v>140000</v>
      </c>
      <c r="E2769" s="37" t="b">
        <v>0</v>
      </c>
      <c r="F2769" s="37" t="b">
        <v>1</v>
      </c>
      <c r="G2769" s="37">
        <v>0</v>
      </c>
      <c r="H2769" s="37" t="b">
        <v>0</v>
      </c>
    </row>
    <row r="2770" spans="1:8" x14ac:dyDescent="0.3">
      <c r="A2770" s="37" t="s">
        <v>0</v>
      </c>
      <c r="B2770" s="38">
        <v>115000</v>
      </c>
      <c r="E2770" s="37" t="b">
        <v>0</v>
      </c>
      <c r="F2770" s="37" t="b">
        <v>1</v>
      </c>
      <c r="G2770" s="37">
        <v>0</v>
      </c>
      <c r="H2770" s="37" t="b">
        <v>0</v>
      </c>
    </row>
    <row r="2771" spans="1:8" x14ac:dyDescent="0.3">
      <c r="A2771" s="37" t="s">
        <v>2</v>
      </c>
      <c r="B2771" s="38"/>
      <c r="E2771" s="37" t="b">
        <v>1</v>
      </c>
      <c r="F2771" s="37" t="b">
        <v>0</v>
      </c>
      <c r="G2771" s="37">
        <v>0</v>
      </c>
      <c r="H2771" s="37" t="b">
        <v>0</v>
      </c>
    </row>
    <row r="2772" spans="1:8" x14ac:dyDescent="0.3">
      <c r="A2772" s="37" t="s">
        <v>2</v>
      </c>
      <c r="B2772" s="38"/>
      <c r="E2772" s="37" t="b">
        <v>1</v>
      </c>
      <c r="F2772" s="37" t="b">
        <v>0</v>
      </c>
      <c r="G2772" s="37">
        <v>0</v>
      </c>
      <c r="H2772" s="37" t="b">
        <v>0</v>
      </c>
    </row>
    <row r="2773" spans="1:8" x14ac:dyDescent="0.3">
      <c r="A2773" s="37" t="s">
        <v>128</v>
      </c>
      <c r="B2773" s="38">
        <v>239080</v>
      </c>
      <c r="E2773" s="37" t="b">
        <v>0</v>
      </c>
      <c r="F2773" s="37" t="b">
        <v>1</v>
      </c>
      <c r="G2773" s="37">
        <v>0</v>
      </c>
      <c r="H2773" s="37" t="b">
        <v>0</v>
      </c>
    </row>
    <row r="2774" spans="1:8" x14ac:dyDescent="0.3">
      <c r="A2774" s="37" t="s">
        <v>2</v>
      </c>
      <c r="B2774" s="38">
        <v>60000</v>
      </c>
      <c r="E2774" s="37" t="b">
        <v>1</v>
      </c>
      <c r="F2774" s="37" t="b">
        <v>1</v>
      </c>
      <c r="G2774" s="37">
        <v>1</v>
      </c>
      <c r="H2774" s="37">
        <v>60000</v>
      </c>
    </row>
    <row r="2775" spans="1:8" x14ac:dyDescent="0.3">
      <c r="A2775" s="37" t="s">
        <v>2</v>
      </c>
      <c r="B2775" s="38"/>
      <c r="E2775" s="37" t="b">
        <v>1</v>
      </c>
      <c r="F2775" s="37" t="b">
        <v>0</v>
      </c>
      <c r="G2775" s="37">
        <v>0</v>
      </c>
      <c r="H2775" s="37" t="b">
        <v>0</v>
      </c>
    </row>
    <row r="2776" spans="1:8" x14ac:dyDescent="0.3">
      <c r="A2776" s="37" t="s">
        <v>2</v>
      </c>
      <c r="B2776" s="38"/>
      <c r="E2776" s="37" t="b">
        <v>1</v>
      </c>
      <c r="F2776" s="37" t="b">
        <v>0</v>
      </c>
      <c r="G2776" s="37">
        <v>0</v>
      </c>
      <c r="H2776" s="37" t="b">
        <v>0</v>
      </c>
    </row>
    <row r="2777" spans="1:8" x14ac:dyDescent="0.3">
      <c r="A2777" s="37" t="s">
        <v>2</v>
      </c>
      <c r="B2777" s="38"/>
      <c r="E2777" s="37" t="b">
        <v>1</v>
      </c>
      <c r="F2777" s="37" t="b">
        <v>0</v>
      </c>
      <c r="G2777" s="37">
        <v>0</v>
      </c>
      <c r="H2777" s="37" t="b">
        <v>0</v>
      </c>
    </row>
    <row r="2778" spans="1:8" x14ac:dyDescent="0.3">
      <c r="A2778" s="37" t="s">
        <v>0</v>
      </c>
      <c r="B2778" s="38"/>
      <c r="E2778" s="37" t="b">
        <v>0</v>
      </c>
      <c r="F2778" s="37" t="b">
        <v>0</v>
      </c>
      <c r="G2778" s="37">
        <v>0</v>
      </c>
      <c r="H2778" s="37" t="b">
        <v>0</v>
      </c>
    </row>
    <row r="2779" spans="1:8" x14ac:dyDescent="0.3">
      <c r="A2779" s="37" t="s">
        <v>2</v>
      </c>
      <c r="B2779" s="38"/>
      <c r="E2779" s="37" t="b">
        <v>1</v>
      </c>
      <c r="F2779" s="37" t="b">
        <v>0</v>
      </c>
      <c r="G2779" s="37">
        <v>0</v>
      </c>
      <c r="H2779" s="37" t="b">
        <v>0</v>
      </c>
    </row>
    <row r="2780" spans="1:8" x14ac:dyDescent="0.3">
      <c r="A2780" s="37" t="s">
        <v>2</v>
      </c>
      <c r="B2780" s="38"/>
      <c r="E2780" s="37" t="b">
        <v>1</v>
      </c>
      <c r="F2780" s="37" t="b">
        <v>0</v>
      </c>
      <c r="G2780" s="37">
        <v>0</v>
      </c>
      <c r="H2780" s="37" t="b">
        <v>0</v>
      </c>
    </row>
    <row r="2781" spans="1:8" x14ac:dyDescent="0.3">
      <c r="A2781" s="37" t="s">
        <v>0</v>
      </c>
      <c r="B2781" s="38"/>
      <c r="E2781" s="37" t="b">
        <v>0</v>
      </c>
      <c r="F2781" s="37" t="b">
        <v>0</v>
      </c>
      <c r="G2781" s="37">
        <v>0</v>
      </c>
      <c r="H2781" s="37" t="b">
        <v>0</v>
      </c>
    </row>
    <row r="2782" spans="1:8" x14ac:dyDescent="0.3">
      <c r="A2782" s="37" t="s">
        <v>4</v>
      </c>
      <c r="B2782" s="38"/>
      <c r="E2782" s="37" t="b">
        <v>0</v>
      </c>
      <c r="F2782" s="37" t="b">
        <v>0</v>
      </c>
      <c r="G2782" s="37">
        <v>0</v>
      </c>
      <c r="H2782" s="37" t="b">
        <v>0</v>
      </c>
    </row>
    <row r="2783" spans="1:8" x14ac:dyDescent="0.3">
      <c r="A2783" s="37" t="s">
        <v>0</v>
      </c>
      <c r="B2783" s="38"/>
      <c r="E2783" s="37" t="b">
        <v>0</v>
      </c>
      <c r="F2783" s="37" t="b">
        <v>0</v>
      </c>
      <c r="G2783" s="37">
        <v>0</v>
      </c>
      <c r="H2783" s="37" t="b">
        <v>0</v>
      </c>
    </row>
    <row r="2784" spans="1:8" x14ac:dyDescent="0.3">
      <c r="A2784" s="37" t="s">
        <v>0</v>
      </c>
      <c r="B2784" s="38"/>
      <c r="E2784" s="37" t="b">
        <v>0</v>
      </c>
      <c r="F2784" s="37" t="b">
        <v>0</v>
      </c>
      <c r="G2784" s="37">
        <v>0</v>
      </c>
      <c r="H2784" s="37" t="b">
        <v>0</v>
      </c>
    </row>
    <row r="2785" spans="1:8" x14ac:dyDescent="0.3">
      <c r="A2785" s="37" t="s">
        <v>0</v>
      </c>
      <c r="B2785" s="38"/>
      <c r="E2785" s="37" t="b">
        <v>0</v>
      </c>
      <c r="F2785" s="37" t="b">
        <v>0</v>
      </c>
      <c r="G2785" s="37">
        <v>0</v>
      </c>
      <c r="H2785" s="37" t="b">
        <v>0</v>
      </c>
    </row>
    <row r="2786" spans="1:8" x14ac:dyDescent="0.3">
      <c r="A2786" s="37" t="s">
        <v>0</v>
      </c>
      <c r="B2786" s="38"/>
      <c r="E2786" s="37" t="b">
        <v>0</v>
      </c>
      <c r="F2786" s="37" t="b">
        <v>0</v>
      </c>
      <c r="G2786" s="37">
        <v>0</v>
      </c>
      <c r="H2786" s="37" t="b">
        <v>0</v>
      </c>
    </row>
    <row r="2787" spans="1:8" x14ac:dyDescent="0.3">
      <c r="A2787" s="37" t="s">
        <v>128</v>
      </c>
      <c r="B2787" s="38"/>
      <c r="E2787" s="37" t="b">
        <v>0</v>
      </c>
      <c r="F2787" s="37" t="b">
        <v>0</v>
      </c>
      <c r="G2787" s="37">
        <v>0</v>
      </c>
      <c r="H2787" s="37" t="b">
        <v>0</v>
      </c>
    </row>
    <row r="2788" spans="1:8" x14ac:dyDescent="0.3">
      <c r="A2788" s="37" t="s">
        <v>0</v>
      </c>
      <c r="B2788" s="38"/>
      <c r="E2788" s="37" t="b">
        <v>0</v>
      </c>
      <c r="F2788" s="37" t="b">
        <v>0</v>
      </c>
      <c r="G2788" s="37">
        <v>0</v>
      </c>
      <c r="H2788" s="37" t="b">
        <v>0</v>
      </c>
    </row>
    <row r="2789" spans="1:8" x14ac:dyDescent="0.3">
      <c r="A2789" s="37" t="s">
        <v>128</v>
      </c>
      <c r="B2789" s="38"/>
      <c r="E2789" s="37" t="b">
        <v>0</v>
      </c>
      <c r="F2789" s="37" t="b">
        <v>0</v>
      </c>
      <c r="G2789" s="37">
        <v>0</v>
      </c>
      <c r="H2789" s="37" t="b">
        <v>0</v>
      </c>
    </row>
    <row r="2790" spans="1:8" x14ac:dyDescent="0.3">
      <c r="A2790" s="37" t="s">
        <v>2</v>
      </c>
      <c r="B2790" s="38"/>
      <c r="E2790" s="37" t="b">
        <v>1</v>
      </c>
      <c r="F2790" s="37" t="b">
        <v>0</v>
      </c>
      <c r="G2790" s="37">
        <v>0</v>
      </c>
      <c r="H2790" s="37" t="b">
        <v>0</v>
      </c>
    </row>
    <row r="2791" spans="1:8" x14ac:dyDescent="0.3">
      <c r="A2791" s="37" t="s">
        <v>2</v>
      </c>
      <c r="B2791" s="38"/>
      <c r="E2791" s="37" t="b">
        <v>1</v>
      </c>
      <c r="F2791" s="37" t="b">
        <v>0</v>
      </c>
      <c r="G2791" s="37">
        <v>0</v>
      </c>
      <c r="H2791" s="37" t="b">
        <v>0</v>
      </c>
    </row>
    <row r="2792" spans="1:8" x14ac:dyDescent="0.3">
      <c r="A2792" s="37" t="s">
        <v>0</v>
      </c>
      <c r="B2792" s="38">
        <v>110000</v>
      </c>
      <c r="E2792" s="37" t="b">
        <v>0</v>
      </c>
      <c r="F2792" s="37" t="b">
        <v>1</v>
      </c>
      <c r="G2792" s="37">
        <v>0</v>
      </c>
      <c r="H2792" s="37" t="b">
        <v>0</v>
      </c>
    </row>
    <row r="2793" spans="1:8" x14ac:dyDescent="0.3">
      <c r="A2793" s="37" t="s">
        <v>2</v>
      </c>
      <c r="B2793" s="38"/>
      <c r="E2793" s="37" t="b">
        <v>1</v>
      </c>
      <c r="F2793" s="37" t="b">
        <v>0</v>
      </c>
      <c r="G2793" s="37">
        <v>0</v>
      </c>
      <c r="H2793" s="37" t="b">
        <v>0</v>
      </c>
    </row>
    <row r="2794" spans="1:8" x14ac:dyDescent="0.3">
      <c r="A2794" s="37" t="s">
        <v>2</v>
      </c>
      <c r="B2794" s="38"/>
      <c r="E2794" s="37" t="b">
        <v>1</v>
      </c>
      <c r="F2794" s="37" t="b">
        <v>0</v>
      </c>
      <c r="G2794" s="37">
        <v>0</v>
      </c>
      <c r="H2794" s="37" t="b">
        <v>0</v>
      </c>
    </row>
    <row r="2795" spans="1:8" x14ac:dyDescent="0.3">
      <c r="A2795" s="37" t="s">
        <v>52</v>
      </c>
      <c r="B2795" s="38"/>
      <c r="E2795" s="37" t="b">
        <v>0</v>
      </c>
      <c r="F2795" s="37" t="b">
        <v>0</v>
      </c>
      <c r="G2795" s="37">
        <v>0</v>
      </c>
      <c r="H2795" s="37" t="b">
        <v>0</v>
      </c>
    </row>
    <row r="2796" spans="1:8" x14ac:dyDescent="0.3">
      <c r="A2796" s="37" t="s">
        <v>2</v>
      </c>
      <c r="B2796" s="38"/>
      <c r="E2796" s="37" t="b">
        <v>1</v>
      </c>
      <c r="F2796" s="37" t="b">
        <v>0</v>
      </c>
      <c r="G2796" s="37">
        <v>0</v>
      </c>
      <c r="H2796" s="37" t="b">
        <v>0</v>
      </c>
    </row>
    <row r="2797" spans="1:8" x14ac:dyDescent="0.3">
      <c r="A2797" s="37" t="s">
        <v>0</v>
      </c>
      <c r="B2797" s="38">
        <v>84620</v>
      </c>
      <c r="E2797" s="37" t="b">
        <v>0</v>
      </c>
      <c r="F2797" s="37" t="b">
        <v>1</v>
      </c>
      <c r="G2797" s="37">
        <v>0</v>
      </c>
      <c r="H2797" s="37" t="b">
        <v>0</v>
      </c>
    </row>
    <row r="2798" spans="1:8" x14ac:dyDescent="0.3">
      <c r="A2798" s="37" t="s">
        <v>0</v>
      </c>
      <c r="B2798" s="38"/>
      <c r="E2798" s="37" t="b">
        <v>0</v>
      </c>
      <c r="F2798" s="37" t="b">
        <v>0</v>
      </c>
      <c r="G2798" s="37">
        <v>0</v>
      </c>
      <c r="H2798" s="37" t="b">
        <v>0</v>
      </c>
    </row>
    <row r="2799" spans="1:8" x14ac:dyDescent="0.3">
      <c r="A2799" s="37" t="s">
        <v>2</v>
      </c>
      <c r="B2799" s="38"/>
      <c r="E2799" s="37" t="b">
        <v>1</v>
      </c>
      <c r="F2799" s="37" t="b">
        <v>0</v>
      </c>
      <c r="G2799" s="37">
        <v>0</v>
      </c>
      <c r="H2799" s="37" t="b">
        <v>0</v>
      </c>
    </row>
    <row r="2800" spans="1:8" x14ac:dyDescent="0.3">
      <c r="A2800" s="37" t="s">
        <v>2</v>
      </c>
      <c r="B2800" s="38"/>
      <c r="E2800" s="37" t="b">
        <v>1</v>
      </c>
      <c r="F2800" s="37" t="b">
        <v>0</v>
      </c>
      <c r="G2800" s="37">
        <v>0</v>
      </c>
      <c r="H2800" s="37" t="b">
        <v>0</v>
      </c>
    </row>
    <row r="2801" spans="1:8" x14ac:dyDescent="0.3">
      <c r="A2801" s="37" t="s">
        <v>0</v>
      </c>
      <c r="B2801" s="38">
        <v>52000</v>
      </c>
      <c r="E2801" s="37" t="b">
        <v>0</v>
      </c>
      <c r="F2801" s="37" t="b">
        <v>1</v>
      </c>
      <c r="G2801" s="37">
        <v>0</v>
      </c>
      <c r="H2801" s="37" t="b">
        <v>0</v>
      </c>
    </row>
    <row r="2802" spans="1:8" x14ac:dyDescent="0.3">
      <c r="A2802" s="37" t="s">
        <v>0</v>
      </c>
      <c r="B2802" s="38"/>
      <c r="E2802" s="37" t="b">
        <v>0</v>
      </c>
      <c r="F2802" s="37" t="b">
        <v>0</v>
      </c>
      <c r="G2802" s="37">
        <v>0</v>
      </c>
      <c r="H2802" s="37" t="b">
        <v>0</v>
      </c>
    </row>
    <row r="2803" spans="1:8" x14ac:dyDescent="0.3">
      <c r="A2803" s="37" t="s">
        <v>4</v>
      </c>
      <c r="B2803" s="38">
        <v>130000</v>
      </c>
      <c r="E2803" s="37" t="b">
        <v>0</v>
      </c>
      <c r="F2803" s="37" t="b">
        <v>1</v>
      </c>
      <c r="G2803" s="37">
        <v>0</v>
      </c>
      <c r="H2803" s="37" t="b">
        <v>0</v>
      </c>
    </row>
    <row r="2804" spans="1:8" x14ac:dyDescent="0.3">
      <c r="A2804" s="37" t="s">
        <v>129</v>
      </c>
      <c r="B2804" s="38">
        <v>77300</v>
      </c>
      <c r="E2804" s="37" t="b">
        <v>0</v>
      </c>
      <c r="F2804" s="37" t="b">
        <v>1</v>
      </c>
      <c r="G2804" s="37">
        <v>0</v>
      </c>
      <c r="H2804" s="37" t="b">
        <v>0</v>
      </c>
    </row>
    <row r="2805" spans="1:8" x14ac:dyDescent="0.3">
      <c r="A2805" s="37" t="s">
        <v>125</v>
      </c>
      <c r="B2805" s="38"/>
      <c r="E2805" s="37" t="b">
        <v>0</v>
      </c>
      <c r="F2805" s="37" t="b">
        <v>0</v>
      </c>
      <c r="G2805" s="37">
        <v>0</v>
      </c>
      <c r="H2805" s="37" t="b">
        <v>0</v>
      </c>
    </row>
    <row r="2806" spans="1:8" x14ac:dyDescent="0.3">
      <c r="A2806" s="37" t="s">
        <v>52</v>
      </c>
      <c r="B2806" s="38">
        <v>68700</v>
      </c>
      <c r="E2806" s="37" t="b">
        <v>0</v>
      </c>
      <c r="F2806" s="37" t="b">
        <v>1</v>
      </c>
      <c r="G2806" s="37">
        <v>0</v>
      </c>
      <c r="H2806" s="37" t="b">
        <v>0</v>
      </c>
    </row>
    <row r="2807" spans="1:8" x14ac:dyDescent="0.3">
      <c r="A2807" s="37" t="s">
        <v>2</v>
      </c>
      <c r="B2807" s="38">
        <v>90000</v>
      </c>
      <c r="E2807" s="37" t="b">
        <v>1</v>
      </c>
      <c r="F2807" s="37" t="b">
        <v>1</v>
      </c>
      <c r="G2807" s="37">
        <v>1</v>
      </c>
      <c r="H2807" s="37">
        <v>90000</v>
      </c>
    </row>
    <row r="2808" spans="1:8" x14ac:dyDescent="0.3">
      <c r="A2808" s="37" t="s">
        <v>0</v>
      </c>
      <c r="B2808" s="38">
        <v>75000</v>
      </c>
      <c r="E2808" s="37" t="b">
        <v>0</v>
      </c>
      <c r="F2808" s="37" t="b">
        <v>1</v>
      </c>
      <c r="G2808" s="37">
        <v>0</v>
      </c>
      <c r="H2808" s="37" t="b">
        <v>0</v>
      </c>
    </row>
    <row r="2809" spans="1:8" x14ac:dyDescent="0.3">
      <c r="A2809" s="37" t="s">
        <v>2</v>
      </c>
      <c r="B2809" s="38"/>
      <c r="E2809" s="37" t="b">
        <v>1</v>
      </c>
      <c r="F2809" s="37" t="b">
        <v>0</v>
      </c>
      <c r="G2809" s="37">
        <v>0</v>
      </c>
      <c r="H2809" s="37" t="b">
        <v>0</v>
      </c>
    </row>
    <row r="2810" spans="1:8" x14ac:dyDescent="0.3">
      <c r="A2810" s="37" t="s">
        <v>0</v>
      </c>
      <c r="B2810" s="38">
        <v>72272</v>
      </c>
      <c r="E2810" s="37" t="b">
        <v>0</v>
      </c>
      <c r="F2810" s="37" t="b">
        <v>1</v>
      </c>
      <c r="G2810" s="37">
        <v>0</v>
      </c>
      <c r="H2810" s="37" t="b">
        <v>0</v>
      </c>
    </row>
    <row r="2811" spans="1:8" x14ac:dyDescent="0.3">
      <c r="A2811" s="37" t="s">
        <v>2</v>
      </c>
      <c r="B2811" s="38"/>
      <c r="E2811" s="37" t="b">
        <v>1</v>
      </c>
      <c r="F2811" s="37" t="b">
        <v>0</v>
      </c>
      <c r="G2811" s="37">
        <v>0</v>
      </c>
      <c r="H2811" s="37" t="b">
        <v>0</v>
      </c>
    </row>
    <row r="2812" spans="1:8" x14ac:dyDescent="0.3">
      <c r="A2812" s="37" t="s">
        <v>2</v>
      </c>
      <c r="B2812" s="38"/>
      <c r="E2812" s="37" t="b">
        <v>1</v>
      </c>
      <c r="F2812" s="37" t="b">
        <v>0</v>
      </c>
      <c r="G2812" s="37">
        <v>0</v>
      </c>
      <c r="H2812" s="37" t="b">
        <v>0</v>
      </c>
    </row>
    <row r="2813" spans="1:8" x14ac:dyDescent="0.3">
      <c r="A2813" s="37" t="s">
        <v>2</v>
      </c>
      <c r="B2813" s="38"/>
      <c r="E2813" s="37" t="b">
        <v>1</v>
      </c>
      <c r="F2813" s="37" t="b">
        <v>0</v>
      </c>
      <c r="G2813" s="37">
        <v>0</v>
      </c>
      <c r="H2813" s="37" t="b">
        <v>0</v>
      </c>
    </row>
    <row r="2814" spans="1:8" x14ac:dyDescent="0.3">
      <c r="A2814" s="37" t="s">
        <v>4</v>
      </c>
      <c r="B2814" s="38">
        <v>72960</v>
      </c>
      <c r="E2814" s="37" t="b">
        <v>0</v>
      </c>
      <c r="F2814" s="37" t="b">
        <v>1</v>
      </c>
      <c r="G2814" s="37">
        <v>0</v>
      </c>
      <c r="H2814" s="37" t="b">
        <v>0</v>
      </c>
    </row>
    <row r="2815" spans="1:8" x14ac:dyDescent="0.3">
      <c r="A2815" s="37" t="s">
        <v>126</v>
      </c>
      <c r="B2815" s="38">
        <v>127500</v>
      </c>
      <c r="E2815" s="37" t="b">
        <v>0</v>
      </c>
      <c r="F2815" s="37" t="b">
        <v>1</v>
      </c>
      <c r="G2815" s="37">
        <v>0</v>
      </c>
      <c r="H2815" s="37" t="b">
        <v>0</v>
      </c>
    </row>
    <row r="2816" spans="1:8" x14ac:dyDescent="0.3">
      <c r="A2816" s="37" t="s">
        <v>0</v>
      </c>
      <c r="B2816" s="38"/>
      <c r="E2816" s="37" t="b">
        <v>0</v>
      </c>
      <c r="F2816" s="37" t="b">
        <v>0</v>
      </c>
      <c r="G2816" s="37">
        <v>0</v>
      </c>
      <c r="H2816" s="37" t="b">
        <v>0</v>
      </c>
    </row>
    <row r="2817" spans="1:8" x14ac:dyDescent="0.3">
      <c r="A2817" s="37" t="s">
        <v>128</v>
      </c>
      <c r="B2817" s="38"/>
      <c r="E2817" s="37" t="b">
        <v>0</v>
      </c>
      <c r="F2817" s="37" t="b">
        <v>0</v>
      </c>
      <c r="G2817" s="37">
        <v>0</v>
      </c>
      <c r="H2817" s="37" t="b">
        <v>0</v>
      </c>
    </row>
    <row r="2818" spans="1:8" x14ac:dyDescent="0.3">
      <c r="A2818" s="37" t="s">
        <v>128</v>
      </c>
      <c r="B2818" s="38">
        <v>126000</v>
      </c>
      <c r="E2818" s="37" t="b">
        <v>0</v>
      </c>
      <c r="F2818" s="37" t="b">
        <v>1</v>
      </c>
      <c r="G2818" s="37">
        <v>0</v>
      </c>
      <c r="H2818" s="37" t="b">
        <v>0</v>
      </c>
    </row>
    <row r="2819" spans="1:8" x14ac:dyDescent="0.3">
      <c r="A2819" s="37" t="s">
        <v>125</v>
      </c>
      <c r="B2819" s="38">
        <v>126250</v>
      </c>
      <c r="E2819" s="37" t="b">
        <v>0</v>
      </c>
      <c r="F2819" s="37" t="b">
        <v>1</v>
      </c>
      <c r="G2819" s="37">
        <v>0</v>
      </c>
      <c r="H2819" s="37" t="b">
        <v>0</v>
      </c>
    </row>
    <row r="2820" spans="1:8" x14ac:dyDescent="0.3">
      <c r="A2820" s="37" t="s">
        <v>0</v>
      </c>
      <c r="B2820" s="38"/>
      <c r="E2820" s="37" t="b">
        <v>0</v>
      </c>
      <c r="F2820" s="37" t="b">
        <v>0</v>
      </c>
      <c r="G2820" s="37">
        <v>0</v>
      </c>
      <c r="H2820" s="37" t="b">
        <v>0</v>
      </c>
    </row>
    <row r="2821" spans="1:8" x14ac:dyDescent="0.3">
      <c r="A2821" s="37" t="s">
        <v>128</v>
      </c>
      <c r="B2821" s="38"/>
      <c r="E2821" s="37" t="b">
        <v>0</v>
      </c>
      <c r="F2821" s="37" t="b">
        <v>0</v>
      </c>
      <c r="G2821" s="37">
        <v>0</v>
      </c>
      <c r="H2821" s="37" t="b">
        <v>0</v>
      </c>
    </row>
    <row r="2822" spans="1:8" x14ac:dyDescent="0.3">
      <c r="A2822" s="37" t="s">
        <v>4</v>
      </c>
      <c r="B2822" s="38"/>
      <c r="E2822" s="37" t="b">
        <v>0</v>
      </c>
      <c r="F2822" s="37" t="b">
        <v>0</v>
      </c>
      <c r="G2822" s="37">
        <v>0</v>
      </c>
      <c r="H2822" s="37" t="b">
        <v>0</v>
      </c>
    </row>
    <row r="2823" spans="1:8" x14ac:dyDescent="0.3">
      <c r="A2823" s="37" t="s">
        <v>0</v>
      </c>
      <c r="B2823" s="38"/>
      <c r="E2823" s="37" t="b">
        <v>0</v>
      </c>
      <c r="F2823" s="37" t="b">
        <v>0</v>
      </c>
      <c r="G2823" s="37">
        <v>0</v>
      </c>
      <c r="H2823" s="37" t="b">
        <v>0</v>
      </c>
    </row>
    <row r="2824" spans="1:8" x14ac:dyDescent="0.3">
      <c r="A2824" s="37" t="s">
        <v>0</v>
      </c>
      <c r="B2824" s="38"/>
      <c r="E2824" s="37" t="b">
        <v>0</v>
      </c>
      <c r="F2824" s="37" t="b">
        <v>0</v>
      </c>
      <c r="G2824" s="37">
        <v>0</v>
      </c>
      <c r="H2824" s="37" t="b">
        <v>0</v>
      </c>
    </row>
    <row r="2825" spans="1:8" x14ac:dyDescent="0.3">
      <c r="A2825" s="37" t="s">
        <v>0</v>
      </c>
      <c r="B2825" s="38"/>
      <c r="E2825" s="37" t="b">
        <v>0</v>
      </c>
      <c r="F2825" s="37" t="b">
        <v>0</v>
      </c>
      <c r="G2825" s="37">
        <v>0</v>
      </c>
      <c r="H2825" s="37" t="b">
        <v>0</v>
      </c>
    </row>
    <row r="2826" spans="1:8" x14ac:dyDescent="0.3">
      <c r="A2826" s="37" t="s">
        <v>0</v>
      </c>
      <c r="B2826" s="38"/>
      <c r="E2826" s="37" t="b">
        <v>0</v>
      </c>
      <c r="F2826" s="37" t="b">
        <v>0</v>
      </c>
      <c r="G2826" s="37">
        <v>0</v>
      </c>
      <c r="H2826" s="37" t="b">
        <v>0</v>
      </c>
    </row>
    <row r="2827" spans="1:8" x14ac:dyDescent="0.3">
      <c r="A2827" s="37" t="s">
        <v>0</v>
      </c>
      <c r="B2827" s="38"/>
      <c r="E2827" s="37" t="b">
        <v>0</v>
      </c>
      <c r="F2827" s="37" t="b">
        <v>0</v>
      </c>
      <c r="G2827" s="37">
        <v>0</v>
      </c>
      <c r="H2827" s="37" t="b">
        <v>0</v>
      </c>
    </row>
    <row r="2828" spans="1:8" x14ac:dyDescent="0.3">
      <c r="A2828" s="37" t="s">
        <v>0</v>
      </c>
      <c r="B2828" s="38"/>
      <c r="E2828" s="37" t="b">
        <v>0</v>
      </c>
      <c r="F2828" s="37" t="b">
        <v>0</v>
      </c>
      <c r="G2828" s="37">
        <v>0</v>
      </c>
      <c r="H2828" s="37" t="b">
        <v>0</v>
      </c>
    </row>
    <row r="2829" spans="1:8" x14ac:dyDescent="0.3">
      <c r="A2829" s="37" t="s">
        <v>0</v>
      </c>
      <c r="B2829" s="38"/>
      <c r="E2829" s="37" t="b">
        <v>0</v>
      </c>
      <c r="F2829" s="37" t="b">
        <v>0</v>
      </c>
      <c r="G2829" s="37">
        <v>0</v>
      </c>
      <c r="H2829" s="37" t="b">
        <v>0</v>
      </c>
    </row>
    <row r="2830" spans="1:8" x14ac:dyDescent="0.3">
      <c r="A2830" s="37" t="s">
        <v>126</v>
      </c>
      <c r="B2830" s="38"/>
      <c r="E2830" s="37" t="b">
        <v>0</v>
      </c>
      <c r="F2830" s="37" t="b">
        <v>0</v>
      </c>
      <c r="G2830" s="37">
        <v>0</v>
      </c>
      <c r="H2830" s="37" t="b">
        <v>0</v>
      </c>
    </row>
    <row r="2831" spans="1:8" x14ac:dyDescent="0.3">
      <c r="A2831" s="37" t="s">
        <v>0</v>
      </c>
      <c r="B2831" s="38"/>
      <c r="E2831" s="37" t="b">
        <v>0</v>
      </c>
      <c r="F2831" s="37" t="b">
        <v>0</v>
      </c>
      <c r="G2831" s="37">
        <v>0</v>
      </c>
      <c r="H2831" s="37" t="b">
        <v>0</v>
      </c>
    </row>
    <row r="2832" spans="1:8" x14ac:dyDescent="0.3">
      <c r="A2832" s="37" t="s">
        <v>1</v>
      </c>
      <c r="B2832" s="38"/>
      <c r="E2832" s="37" t="b">
        <v>0</v>
      </c>
      <c r="F2832" s="37" t="b">
        <v>0</v>
      </c>
      <c r="G2832" s="37">
        <v>0</v>
      </c>
      <c r="H2832" s="37" t="b">
        <v>0</v>
      </c>
    </row>
    <row r="2833" spans="1:8" x14ac:dyDescent="0.3">
      <c r="A2833" s="37" t="s">
        <v>0</v>
      </c>
      <c r="B2833" s="38"/>
      <c r="E2833" s="37" t="b">
        <v>0</v>
      </c>
      <c r="F2833" s="37" t="b">
        <v>0</v>
      </c>
      <c r="G2833" s="37">
        <v>0</v>
      </c>
      <c r="H2833" s="37" t="b">
        <v>0</v>
      </c>
    </row>
    <row r="2834" spans="1:8" x14ac:dyDescent="0.3">
      <c r="A2834" s="37" t="s">
        <v>0</v>
      </c>
      <c r="B2834" s="38"/>
      <c r="E2834" s="37" t="b">
        <v>0</v>
      </c>
      <c r="F2834" s="37" t="b">
        <v>0</v>
      </c>
      <c r="G2834" s="37">
        <v>0</v>
      </c>
      <c r="H2834" s="37" t="b">
        <v>0</v>
      </c>
    </row>
    <row r="2835" spans="1:8" x14ac:dyDescent="0.3">
      <c r="A2835" s="37" t="s">
        <v>0</v>
      </c>
      <c r="B2835" s="38"/>
      <c r="E2835" s="37" t="b">
        <v>0</v>
      </c>
      <c r="F2835" s="37" t="b">
        <v>0</v>
      </c>
      <c r="G2835" s="37">
        <v>0</v>
      </c>
      <c r="H2835" s="37" t="b">
        <v>0</v>
      </c>
    </row>
    <row r="2836" spans="1:8" x14ac:dyDescent="0.3">
      <c r="A2836" s="37" t="s">
        <v>0</v>
      </c>
      <c r="B2836" s="38"/>
      <c r="E2836" s="37" t="b">
        <v>0</v>
      </c>
      <c r="F2836" s="37" t="b">
        <v>0</v>
      </c>
      <c r="G2836" s="37">
        <v>0</v>
      </c>
      <c r="H2836" s="37" t="b">
        <v>0</v>
      </c>
    </row>
    <row r="2837" spans="1:8" x14ac:dyDescent="0.3">
      <c r="A2837" s="37" t="s">
        <v>0</v>
      </c>
      <c r="B2837" s="38"/>
      <c r="E2837" s="37" t="b">
        <v>0</v>
      </c>
      <c r="F2837" s="37" t="b">
        <v>0</v>
      </c>
      <c r="G2837" s="37">
        <v>0</v>
      </c>
      <c r="H2837" s="37" t="b">
        <v>0</v>
      </c>
    </row>
    <row r="2838" spans="1:8" x14ac:dyDescent="0.3">
      <c r="A2838" s="37" t="s">
        <v>4</v>
      </c>
      <c r="B2838" s="38"/>
      <c r="E2838" s="37" t="b">
        <v>0</v>
      </c>
      <c r="F2838" s="37" t="b">
        <v>0</v>
      </c>
      <c r="G2838" s="37">
        <v>0</v>
      </c>
      <c r="H2838" s="37" t="b">
        <v>0</v>
      </c>
    </row>
    <row r="2839" spans="1:8" x14ac:dyDescent="0.3">
      <c r="A2839" s="37" t="s">
        <v>0</v>
      </c>
      <c r="B2839" s="38"/>
      <c r="E2839" s="37" t="b">
        <v>0</v>
      </c>
      <c r="F2839" s="37" t="b">
        <v>0</v>
      </c>
      <c r="G2839" s="37">
        <v>0</v>
      </c>
      <c r="H2839" s="37" t="b">
        <v>0</v>
      </c>
    </row>
    <row r="2840" spans="1:8" x14ac:dyDescent="0.3">
      <c r="A2840" s="37" t="s">
        <v>1</v>
      </c>
      <c r="B2840" s="38"/>
      <c r="E2840" s="37" t="b">
        <v>0</v>
      </c>
      <c r="F2840" s="37" t="b">
        <v>0</v>
      </c>
      <c r="G2840" s="37">
        <v>0</v>
      </c>
      <c r="H2840" s="37" t="b">
        <v>0</v>
      </c>
    </row>
    <row r="2841" spans="1:8" x14ac:dyDescent="0.3">
      <c r="A2841" s="37" t="s">
        <v>1</v>
      </c>
      <c r="B2841" s="38"/>
      <c r="E2841" s="37" t="b">
        <v>0</v>
      </c>
      <c r="F2841" s="37" t="b">
        <v>0</v>
      </c>
      <c r="G2841" s="37">
        <v>0</v>
      </c>
      <c r="H2841" s="37" t="b">
        <v>0</v>
      </c>
    </row>
    <row r="2842" spans="1:8" x14ac:dyDescent="0.3">
      <c r="A2842" s="37" t="s">
        <v>0</v>
      </c>
      <c r="B2842" s="38"/>
      <c r="E2842" s="37" t="b">
        <v>0</v>
      </c>
      <c r="F2842" s="37" t="b">
        <v>0</v>
      </c>
      <c r="G2842" s="37">
        <v>0</v>
      </c>
      <c r="H2842" s="37" t="b">
        <v>0</v>
      </c>
    </row>
    <row r="2843" spans="1:8" x14ac:dyDescent="0.3">
      <c r="A2843" s="37" t="s">
        <v>0</v>
      </c>
      <c r="B2843" s="38"/>
      <c r="E2843" s="37" t="b">
        <v>0</v>
      </c>
      <c r="F2843" s="37" t="b">
        <v>0</v>
      </c>
      <c r="G2843" s="37">
        <v>0</v>
      </c>
      <c r="H2843" s="37" t="b">
        <v>0</v>
      </c>
    </row>
    <row r="2844" spans="1:8" x14ac:dyDescent="0.3">
      <c r="A2844" s="37" t="s">
        <v>0</v>
      </c>
      <c r="B2844" s="38"/>
      <c r="E2844" s="37" t="b">
        <v>0</v>
      </c>
      <c r="F2844" s="37" t="b">
        <v>0</v>
      </c>
      <c r="G2844" s="37">
        <v>0</v>
      </c>
      <c r="H2844" s="37" t="b">
        <v>0</v>
      </c>
    </row>
    <row r="2845" spans="1:8" x14ac:dyDescent="0.3">
      <c r="A2845" s="37" t="s">
        <v>0</v>
      </c>
      <c r="B2845" s="38"/>
      <c r="E2845" s="37" t="b">
        <v>0</v>
      </c>
      <c r="F2845" s="37" t="b">
        <v>0</v>
      </c>
      <c r="G2845" s="37">
        <v>0</v>
      </c>
      <c r="H2845" s="37" t="b">
        <v>0</v>
      </c>
    </row>
    <row r="2846" spans="1:8" x14ac:dyDescent="0.3">
      <c r="A2846" s="37" t="s">
        <v>0</v>
      </c>
      <c r="B2846" s="38"/>
      <c r="E2846" s="37" t="b">
        <v>0</v>
      </c>
      <c r="F2846" s="37" t="b">
        <v>0</v>
      </c>
      <c r="G2846" s="37">
        <v>0</v>
      </c>
      <c r="H2846" s="37" t="b">
        <v>0</v>
      </c>
    </row>
    <row r="2847" spans="1:8" x14ac:dyDescent="0.3">
      <c r="A2847" s="37" t="s">
        <v>128</v>
      </c>
      <c r="B2847" s="38"/>
      <c r="E2847" s="37" t="b">
        <v>0</v>
      </c>
      <c r="F2847" s="37" t="b">
        <v>0</v>
      </c>
      <c r="G2847" s="37">
        <v>0</v>
      </c>
      <c r="H2847" s="37" t="b">
        <v>0</v>
      </c>
    </row>
    <row r="2848" spans="1:8" x14ac:dyDescent="0.3">
      <c r="A2848" s="37" t="s">
        <v>0</v>
      </c>
      <c r="B2848" s="38"/>
      <c r="E2848" s="37" t="b">
        <v>0</v>
      </c>
      <c r="F2848" s="37" t="b">
        <v>0</v>
      </c>
      <c r="G2848" s="37">
        <v>0</v>
      </c>
      <c r="H2848" s="37" t="b">
        <v>0</v>
      </c>
    </row>
    <row r="2849" spans="1:8" x14ac:dyDescent="0.3">
      <c r="A2849" s="37" t="s">
        <v>0</v>
      </c>
      <c r="B2849" s="38"/>
      <c r="E2849" s="37" t="b">
        <v>0</v>
      </c>
      <c r="F2849" s="37" t="b">
        <v>0</v>
      </c>
      <c r="G2849" s="37">
        <v>0</v>
      </c>
      <c r="H2849" s="37" t="b">
        <v>0</v>
      </c>
    </row>
    <row r="2850" spans="1:8" x14ac:dyDescent="0.3">
      <c r="A2850" s="37" t="s">
        <v>0</v>
      </c>
      <c r="B2850" s="38"/>
      <c r="E2850" s="37" t="b">
        <v>0</v>
      </c>
      <c r="F2850" s="37" t="b">
        <v>0</v>
      </c>
      <c r="G2850" s="37">
        <v>0</v>
      </c>
      <c r="H2850" s="37" t="b">
        <v>0</v>
      </c>
    </row>
    <row r="2851" spans="1:8" x14ac:dyDescent="0.3">
      <c r="A2851" s="37" t="s">
        <v>0</v>
      </c>
      <c r="B2851" s="38"/>
      <c r="E2851" s="37" t="b">
        <v>0</v>
      </c>
      <c r="F2851" s="37" t="b">
        <v>0</v>
      </c>
      <c r="G2851" s="37">
        <v>0</v>
      </c>
      <c r="H2851" s="37" t="b">
        <v>0</v>
      </c>
    </row>
    <row r="2852" spans="1:8" x14ac:dyDescent="0.3">
      <c r="A2852" s="37" t="s">
        <v>0</v>
      </c>
      <c r="B2852" s="38"/>
      <c r="E2852" s="37" t="b">
        <v>0</v>
      </c>
      <c r="F2852" s="37" t="b">
        <v>0</v>
      </c>
      <c r="G2852" s="37">
        <v>0</v>
      </c>
      <c r="H2852" s="37" t="b">
        <v>0</v>
      </c>
    </row>
    <row r="2853" spans="1:8" x14ac:dyDescent="0.3">
      <c r="A2853" s="37" t="s">
        <v>0</v>
      </c>
      <c r="B2853" s="38"/>
      <c r="E2853" s="37" t="b">
        <v>0</v>
      </c>
      <c r="F2853" s="37" t="b">
        <v>0</v>
      </c>
      <c r="G2853" s="37">
        <v>0</v>
      </c>
      <c r="H2853" s="37" t="b">
        <v>0</v>
      </c>
    </row>
    <row r="2854" spans="1:8" x14ac:dyDescent="0.3">
      <c r="A2854" s="37" t="s">
        <v>4</v>
      </c>
      <c r="B2854" s="38"/>
      <c r="E2854" s="37" t="b">
        <v>0</v>
      </c>
      <c r="F2854" s="37" t="b">
        <v>0</v>
      </c>
      <c r="G2854" s="37">
        <v>0</v>
      </c>
      <c r="H2854" s="37" t="b">
        <v>0</v>
      </c>
    </row>
    <row r="2855" spans="1:8" x14ac:dyDescent="0.3">
      <c r="A2855" s="37" t="s">
        <v>0</v>
      </c>
      <c r="B2855" s="38"/>
      <c r="E2855" s="37" t="b">
        <v>0</v>
      </c>
      <c r="F2855" s="37" t="b">
        <v>0</v>
      </c>
      <c r="G2855" s="37">
        <v>0</v>
      </c>
      <c r="H2855" s="37" t="b">
        <v>0</v>
      </c>
    </row>
    <row r="2856" spans="1:8" x14ac:dyDescent="0.3">
      <c r="A2856" s="37" t="s">
        <v>0</v>
      </c>
      <c r="B2856" s="38"/>
      <c r="E2856" s="37" t="b">
        <v>0</v>
      </c>
      <c r="F2856" s="37" t="b">
        <v>0</v>
      </c>
      <c r="G2856" s="37">
        <v>0</v>
      </c>
      <c r="H2856" s="37" t="b">
        <v>0</v>
      </c>
    </row>
    <row r="2857" spans="1:8" x14ac:dyDescent="0.3">
      <c r="A2857" s="37" t="s">
        <v>0</v>
      </c>
      <c r="B2857" s="38"/>
      <c r="E2857" s="37" t="b">
        <v>0</v>
      </c>
      <c r="F2857" s="37" t="b">
        <v>0</v>
      </c>
      <c r="G2857" s="37">
        <v>0</v>
      </c>
      <c r="H2857" s="37" t="b">
        <v>0</v>
      </c>
    </row>
    <row r="2858" spans="1:8" x14ac:dyDescent="0.3">
      <c r="A2858" s="37" t="s">
        <v>0</v>
      </c>
      <c r="B2858" s="38"/>
      <c r="E2858" s="37" t="b">
        <v>0</v>
      </c>
      <c r="F2858" s="37" t="b">
        <v>0</v>
      </c>
      <c r="G2858" s="37">
        <v>0</v>
      </c>
      <c r="H2858" s="37" t="b">
        <v>0</v>
      </c>
    </row>
    <row r="2859" spans="1:8" x14ac:dyDescent="0.3">
      <c r="A2859" s="37" t="s">
        <v>0</v>
      </c>
      <c r="B2859" s="38"/>
      <c r="E2859" s="37" t="b">
        <v>0</v>
      </c>
      <c r="F2859" s="37" t="b">
        <v>0</v>
      </c>
      <c r="G2859" s="37">
        <v>0</v>
      </c>
      <c r="H2859" s="37" t="b">
        <v>0</v>
      </c>
    </row>
    <row r="2860" spans="1:8" x14ac:dyDescent="0.3">
      <c r="A2860" s="37" t="s">
        <v>4</v>
      </c>
      <c r="B2860" s="38"/>
      <c r="E2860" s="37" t="b">
        <v>0</v>
      </c>
      <c r="F2860" s="37" t="b">
        <v>0</v>
      </c>
      <c r="G2860" s="37">
        <v>0</v>
      </c>
      <c r="H2860" s="37" t="b">
        <v>0</v>
      </c>
    </row>
    <row r="2861" spans="1:8" x14ac:dyDescent="0.3">
      <c r="A2861" s="37" t="s">
        <v>0</v>
      </c>
      <c r="B2861" s="38"/>
      <c r="E2861" s="37" t="b">
        <v>0</v>
      </c>
      <c r="F2861" s="37" t="b">
        <v>0</v>
      </c>
      <c r="G2861" s="37">
        <v>0</v>
      </c>
      <c r="H2861" s="37" t="b">
        <v>0</v>
      </c>
    </row>
    <row r="2862" spans="1:8" x14ac:dyDescent="0.3">
      <c r="A2862" s="37" t="s">
        <v>0</v>
      </c>
      <c r="B2862" s="38"/>
      <c r="E2862" s="37" t="b">
        <v>0</v>
      </c>
      <c r="F2862" s="37" t="b">
        <v>0</v>
      </c>
      <c r="G2862" s="37">
        <v>0</v>
      </c>
      <c r="H2862" s="37" t="b">
        <v>0</v>
      </c>
    </row>
    <row r="2863" spans="1:8" x14ac:dyDescent="0.3">
      <c r="A2863" s="37" t="s">
        <v>0</v>
      </c>
      <c r="B2863" s="38"/>
      <c r="E2863" s="37" t="b">
        <v>0</v>
      </c>
      <c r="F2863" s="37" t="b">
        <v>0</v>
      </c>
      <c r="G2863" s="37">
        <v>0</v>
      </c>
      <c r="H2863" s="37" t="b">
        <v>0</v>
      </c>
    </row>
    <row r="2864" spans="1:8" x14ac:dyDescent="0.3">
      <c r="A2864" s="37" t="s">
        <v>2</v>
      </c>
      <c r="B2864" s="38"/>
      <c r="E2864" s="37" t="b">
        <v>1</v>
      </c>
      <c r="F2864" s="37" t="b">
        <v>0</v>
      </c>
      <c r="G2864" s="37">
        <v>0</v>
      </c>
      <c r="H2864" s="37" t="b">
        <v>0</v>
      </c>
    </row>
    <row r="2865" spans="1:8" x14ac:dyDescent="0.3">
      <c r="A2865" s="37" t="s">
        <v>0</v>
      </c>
      <c r="B2865" s="38"/>
      <c r="E2865" s="37" t="b">
        <v>0</v>
      </c>
      <c r="F2865" s="37" t="b">
        <v>0</v>
      </c>
      <c r="G2865" s="37">
        <v>0</v>
      </c>
      <c r="H2865" s="37" t="b">
        <v>0</v>
      </c>
    </row>
    <row r="2866" spans="1:8" x14ac:dyDescent="0.3">
      <c r="A2866" s="37" t="s">
        <v>0</v>
      </c>
      <c r="B2866" s="38"/>
      <c r="E2866" s="37" t="b">
        <v>0</v>
      </c>
      <c r="F2866" s="37" t="b">
        <v>0</v>
      </c>
      <c r="G2866" s="37">
        <v>0</v>
      </c>
      <c r="H2866" s="37" t="b">
        <v>0</v>
      </c>
    </row>
    <row r="2867" spans="1:8" x14ac:dyDescent="0.3">
      <c r="A2867" s="37" t="s">
        <v>128</v>
      </c>
      <c r="B2867" s="38"/>
      <c r="E2867" s="37" t="b">
        <v>0</v>
      </c>
      <c r="F2867" s="37" t="b">
        <v>0</v>
      </c>
      <c r="G2867" s="37">
        <v>0</v>
      </c>
      <c r="H2867" s="37" t="b">
        <v>0</v>
      </c>
    </row>
    <row r="2868" spans="1:8" x14ac:dyDescent="0.3">
      <c r="A2868" s="37" t="s">
        <v>2</v>
      </c>
      <c r="B2868" s="38">
        <v>138615</v>
      </c>
      <c r="E2868" s="37" t="b">
        <v>1</v>
      </c>
      <c r="F2868" s="37" t="b">
        <v>1</v>
      </c>
      <c r="G2868" s="37">
        <v>1</v>
      </c>
      <c r="H2868" s="37">
        <v>138615</v>
      </c>
    </row>
    <row r="2869" spans="1:8" x14ac:dyDescent="0.3">
      <c r="A2869" s="37" t="s">
        <v>2</v>
      </c>
      <c r="B2869" s="38">
        <v>137500</v>
      </c>
      <c r="E2869" s="37" t="b">
        <v>1</v>
      </c>
      <c r="F2869" s="37" t="b">
        <v>1</v>
      </c>
      <c r="G2869" s="37">
        <v>1</v>
      </c>
      <c r="H2869" s="37">
        <v>137500</v>
      </c>
    </row>
    <row r="2870" spans="1:8" x14ac:dyDescent="0.3">
      <c r="A2870" s="37" t="s">
        <v>125</v>
      </c>
      <c r="B2870" s="38">
        <v>116600</v>
      </c>
      <c r="E2870" s="37" t="b">
        <v>0</v>
      </c>
      <c r="F2870" s="37" t="b">
        <v>1</v>
      </c>
      <c r="G2870" s="37">
        <v>0</v>
      </c>
      <c r="H2870" s="37" t="b">
        <v>0</v>
      </c>
    </row>
    <row r="2871" spans="1:8" x14ac:dyDescent="0.3">
      <c r="A2871" s="37" t="s">
        <v>128</v>
      </c>
      <c r="B2871" s="38">
        <v>130000</v>
      </c>
      <c r="E2871" s="37" t="b">
        <v>0</v>
      </c>
      <c r="F2871" s="37" t="b">
        <v>1</v>
      </c>
      <c r="G2871" s="37">
        <v>0</v>
      </c>
      <c r="H2871" s="37" t="b">
        <v>0</v>
      </c>
    </row>
    <row r="2872" spans="1:8" x14ac:dyDescent="0.3">
      <c r="A2872" s="37" t="s">
        <v>4</v>
      </c>
      <c r="B2872" s="38">
        <v>152500</v>
      </c>
      <c r="E2872" s="37" t="b">
        <v>0</v>
      </c>
      <c r="F2872" s="37" t="b">
        <v>1</v>
      </c>
      <c r="G2872" s="37">
        <v>0</v>
      </c>
      <c r="H2872" s="37" t="b">
        <v>0</v>
      </c>
    </row>
    <row r="2873" spans="1:8" x14ac:dyDescent="0.3">
      <c r="A2873" s="37" t="s">
        <v>0</v>
      </c>
      <c r="B2873" s="38">
        <v>130000</v>
      </c>
      <c r="E2873" s="37" t="b">
        <v>0</v>
      </c>
      <c r="F2873" s="37" t="b">
        <v>1</v>
      </c>
      <c r="G2873" s="37">
        <v>0</v>
      </c>
      <c r="H2873" s="37" t="b">
        <v>0</v>
      </c>
    </row>
    <row r="2874" spans="1:8" x14ac:dyDescent="0.3">
      <c r="A2874" s="37" t="s">
        <v>0</v>
      </c>
      <c r="B2874" s="38">
        <v>152650</v>
      </c>
      <c r="E2874" s="37" t="b">
        <v>0</v>
      </c>
      <c r="F2874" s="37" t="b">
        <v>1</v>
      </c>
      <c r="G2874" s="37">
        <v>0</v>
      </c>
      <c r="H2874" s="37" t="b">
        <v>0</v>
      </c>
    </row>
    <row r="2875" spans="1:8" x14ac:dyDescent="0.3">
      <c r="A2875" s="37" t="s">
        <v>4</v>
      </c>
      <c r="B2875" s="38">
        <v>102150</v>
      </c>
      <c r="E2875" s="37" t="b">
        <v>0</v>
      </c>
      <c r="F2875" s="37" t="b">
        <v>1</v>
      </c>
      <c r="G2875" s="37">
        <v>0</v>
      </c>
      <c r="H2875" s="37" t="b">
        <v>0</v>
      </c>
    </row>
    <row r="2876" spans="1:8" x14ac:dyDescent="0.3">
      <c r="A2876" s="37" t="s">
        <v>0</v>
      </c>
      <c r="B2876" s="38"/>
      <c r="E2876" s="37" t="b">
        <v>0</v>
      </c>
      <c r="F2876" s="37" t="b">
        <v>0</v>
      </c>
      <c r="G2876" s="37">
        <v>0</v>
      </c>
      <c r="H2876" s="37" t="b">
        <v>0</v>
      </c>
    </row>
    <row r="2877" spans="1:8" x14ac:dyDescent="0.3">
      <c r="A2877" s="37" t="s">
        <v>2</v>
      </c>
      <c r="B2877" s="38"/>
      <c r="E2877" s="37" t="b">
        <v>1</v>
      </c>
      <c r="F2877" s="37" t="b">
        <v>0</v>
      </c>
      <c r="G2877" s="37">
        <v>0</v>
      </c>
      <c r="H2877" s="37" t="b">
        <v>0</v>
      </c>
    </row>
    <row r="2878" spans="1:8" x14ac:dyDescent="0.3">
      <c r="A2878" s="37" t="s">
        <v>128</v>
      </c>
      <c r="B2878" s="38"/>
      <c r="E2878" s="37" t="b">
        <v>0</v>
      </c>
      <c r="F2878" s="37" t="b">
        <v>0</v>
      </c>
      <c r="G2878" s="37">
        <v>0</v>
      </c>
      <c r="H2878" s="37" t="b">
        <v>0</v>
      </c>
    </row>
    <row r="2879" spans="1:8" x14ac:dyDescent="0.3">
      <c r="A2879" s="37" t="s">
        <v>126</v>
      </c>
      <c r="B2879" s="38">
        <v>202500</v>
      </c>
      <c r="E2879" s="37" t="b">
        <v>0</v>
      </c>
      <c r="F2879" s="37" t="b">
        <v>1</v>
      </c>
      <c r="G2879" s="37">
        <v>0</v>
      </c>
      <c r="H2879" s="37" t="b">
        <v>0</v>
      </c>
    </row>
    <row r="2880" spans="1:8" x14ac:dyDescent="0.3">
      <c r="A2880" s="37" t="s">
        <v>126</v>
      </c>
      <c r="B2880" s="38">
        <v>170672</v>
      </c>
      <c r="E2880" s="37" t="b">
        <v>0</v>
      </c>
      <c r="F2880" s="37" t="b">
        <v>1</v>
      </c>
      <c r="G2880" s="37">
        <v>0</v>
      </c>
      <c r="H2880" s="37" t="b">
        <v>0</v>
      </c>
    </row>
    <row r="2881" spans="1:8" x14ac:dyDescent="0.3">
      <c r="A2881" s="37" t="s">
        <v>126</v>
      </c>
      <c r="B2881" s="38">
        <v>170672</v>
      </c>
      <c r="E2881" s="37" t="b">
        <v>0</v>
      </c>
      <c r="F2881" s="37" t="b">
        <v>1</v>
      </c>
      <c r="G2881" s="37">
        <v>0</v>
      </c>
      <c r="H2881" s="37" t="b">
        <v>0</v>
      </c>
    </row>
    <row r="2882" spans="1:8" x14ac:dyDescent="0.3">
      <c r="A2882" s="37" t="s">
        <v>126</v>
      </c>
      <c r="B2882" s="38">
        <v>170672</v>
      </c>
      <c r="E2882" s="37" t="b">
        <v>0</v>
      </c>
      <c r="F2882" s="37" t="b">
        <v>1</v>
      </c>
      <c r="G2882" s="37">
        <v>0</v>
      </c>
      <c r="H2882" s="37" t="b">
        <v>0</v>
      </c>
    </row>
    <row r="2883" spans="1:8" x14ac:dyDescent="0.3">
      <c r="A2883" s="37" t="s">
        <v>126</v>
      </c>
      <c r="B2883" s="38">
        <v>170672</v>
      </c>
      <c r="E2883" s="37" t="b">
        <v>0</v>
      </c>
      <c r="F2883" s="37" t="b">
        <v>1</v>
      </c>
      <c r="G2883" s="37">
        <v>0</v>
      </c>
      <c r="H2883" s="37" t="b">
        <v>0</v>
      </c>
    </row>
    <row r="2884" spans="1:8" x14ac:dyDescent="0.3">
      <c r="A2884" s="37" t="s">
        <v>126</v>
      </c>
      <c r="B2884" s="38">
        <v>156596</v>
      </c>
      <c r="E2884" s="37" t="b">
        <v>0</v>
      </c>
      <c r="F2884" s="37" t="b">
        <v>1</v>
      </c>
      <c r="G2884" s="37">
        <v>0</v>
      </c>
      <c r="H2884" s="37" t="b">
        <v>0</v>
      </c>
    </row>
    <row r="2885" spans="1:8" x14ac:dyDescent="0.3">
      <c r="A2885" s="37" t="s">
        <v>0</v>
      </c>
      <c r="B2885" s="38">
        <v>169500</v>
      </c>
      <c r="E2885" s="37" t="b">
        <v>0</v>
      </c>
      <c r="F2885" s="37" t="b">
        <v>1</v>
      </c>
      <c r="G2885" s="37">
        <v>0</v>
      </c>
      <c r="H2885" s="37" t="b">
        <v>0</v>
      </c>
    </row>
    <row r="2886" spans="1:8" x14ac:dyDescent="0.3">
      <c r="A2886" s="37" t="s">
        <v>128</v>
      </c>
      <c r="B2886" s="38">
        <v>155000</v>
      </c>
      <c r="E2886" s="37" t="b">
        <v>0</v>
      </c>
      <c r="F2886" s="37" t="b">
        <v>1</v>
      </c>
      <c r="G2886" s="37">
        <v>0</v>
      </c>
      <c r="H2886" s="37" t="b">
        <v>0</v>
      </c>
    </row>
    <row r="2887" spans="1:8" x14ac:dyDescent="0.3">
      <c r="A2887" s="37" t="s">
        <v>2</v>
      </c>
      <c r="B2887" s="38">
        <v>181425</v>
      </c>
      <c r="E2887" s="37" t="b">
        <v>1</v>
      </c>
      <c r="F2887" s="37" t="b">
        <v>1</v>
      </c>
      <c r="G2887" s="37">
        <v>1</v>
      </c>
      <c r="H2887" s="37">
        <v>181425</v>
      </c>
    </row>
    <row r="2888" spans="1:8" x14ac:dyDescent="0.3">
      <c r="A2888" s="37" t="s">
        <v>126</v>
      </c>
      <c r="B2888" s="38">
        <v>156596</v>
      </c>
      <c r="E2888" s="37" t="b">
        <v>0</v>
      </c>
      <c r="F2888" s="37" t="b">
        <v>1</v>
      </c>
      <c r="G2888" s="37">
        <v>0</v>
      </c>
      <c r="H2888" s="37" t="b">
        <v>0</v>
      </c>
    </row>
    <row r="2889" spans="1:8" x14ac:dyDescent="0.3">
      <c r="A2889" s="37" t="s">
        <v>128</v>
      </c>
      <c r="B2889" s="38">
        <v>215000</v>
      </c>
      <c r="E2889" s="37" t="b">
        <v>0</v>
      </c>
      <c r="F2889" s="37" t="b">
        <v>1</v>
      </c>
      <c r="G2889" s="37">
        <v>0</v>
      </c>
      <c r="H2889" s="37" t="b">
        <v>0</v>
      </c>
    </row>
    <row r="2890" spans="1:8" x14ac:dyDescent="0.3">
      <c r="A2890" s="37" t="s">
        <v>4</v>
      </c>
      <c r="B2890" s="38">
        <v>187500</v>
      </c>
      <c r="E2890" s="37" t="b">
        <v>0</v>
      </c>
      <c r="F2890" s="37" t="b">
        <v>1</v>
      </c>
      <c r="G2890" s="37">
        <v>0</v>
      </c>
      <c r="H2890" s="37" t="b">
        <v>0</v>
      </c>
    </row>
    <row r="2891" spans="1:8" x14ac:dyDescent="0.3">
      <c r="A2891" s="37" t="s">
        <v>0</v>
      </c>
      <c r="B2891" s="38">
        <v>145000</v>
      </c>
      <c r="E2891" s="37" t="b">
        <v>0</v>
      </c>
      <c r="F2891" s="37" t="b">
        <v>1</v>
      </c>
      <c r="G2891" s="37">
        <v>0</v>
      </c>
      <c r="H2891" s="37" t="b">
        <v>0</v>
      </c>
    </row>
    <row r="2892" spans="1:8" x14ac:dyDescent="0.3">
      <c r="A2892" s="37" t="s">
        <v>0</v>
      </c>
      <c r="B2892" s="38"/>
      <c r="E2892" s="37" t="b">
        <v>0</v>
      </c>
      <c r="F2892" s="37" t="b">
        <v>0</v>
      </c>
      <c r="G2892" s="37">
        <v>0</v>
      </c>
      <c r="H2892" s="37" t="b">
        <v>0</v>
      </c>
    </row>
    <row r="2893" spans="1:8" x14ac:dyDescent="0.3">
      <c r="A2893" s="37" t="s">
        <v>2</v>
      </c>
      <c r="B2893" s="38">
        <v>81350</v>
      </c>
      <c r="E2893" s="37" t="b">
        <v>1</v>
      </c>
      <c r="F2893" s="37" t="b">
        <v>1</v>
      </c>
      <c r="G2893" s="37">
        <v>1</v>
      </c>
      <c r="H2893" s="37">
        <v>81350</v>
      </c>
    </row>
    <row r="2894" spans="1:8" x14ac:dyDescent="0.3">
      <c r="A2894" s="37" t="s">
        <v>2</v>
      </c>
      <c r="B2894" s="38">
        <v>57500</v>
      </c>
      <c r="E2894" s="37" t="b">
        <v>1</v>
      </c>
      <c r="F2894" s="37" t="b">
        <v>1</v>
      </c>
      <c r="G2894" s="37">
        <v>1</v>
      </c>
      <c r="H2894" s="37">
        <v>57500</v>
      </c>
    </row>
    <row r="2895" spans="1:8" x14ac:dyDescent="0.3">
      <c r="A2895" s="37" t="s">
        <v>0</v>
      </c>
      <c r="B2895" s="38">
        <v>145000</v>
      </c>
      <c r="E2895" s="37" t="b">
        <v>0</v>
      </c>
      <c r="F2895" s="37" t="b">
        <v>1</v>
      </c>
      <c r="G2895" s="37">
        <v>0</v>
      </c>
      <c r="H2895" s="37" t="b">
        <v>0</v>
      </c>
    </row>
    <row r="2896" spans="1:8" x14ac:dyDescent="0.3">
      <c r="A2896" s="37" t="s">
        <v>0</v>
      </c>
      <c r="B2896" s="38"/>
      <c r="E2896" s="37" t="b">
        <v>0</v>
      </c>
      <c r="F2896" s="37" t="b">
        <v>0</v>
      </c>
      <c r="G2896" s="37">
        <v>0</v>
      </c>
      <c r="H2896" s="37" t="b">
        <v>0</v>
      </c>
    </row>
    <row r="2897" spans="1:8" x14ac:dyDescent="0.3">
      <c r="A2897" s="37" t="s">
        <v>4</v>
      </c>
      <c r="B2897" s="38">
        <v>205000</v>
      </c>
      <c r="E2897" s="37" t="b">
        <v>0</v>
      </c>
      <c r="F2897" s="37" t="b">
        <v>1</v>
      </c>
      <c r="G2897" s="37">
        <v>0</v>
      </c>
      <c r="H2897" s="37" t="b">
        <v>0</v>
      </c>
    </row>
    <row r="2898" spans="1:8" x14ac:dyDescent="0.3">
      <c r="A2898" s="37" t="s">
        <v>2</v>
      </c>
      <c r="B2898" s="38">
        <v>120710</v>
      </c>
      <c r="E2898" s="37" t="b">
        <v>1</v>
      </c>
      <c r="F2898" s="37" t="b">
        <v>1</v>
      </c>
      <c r="G2898" s="37">
        <v>1</v>
      </c>
      <c r="H2898" s="37">
        <v>120710</v>
      </c>
    </row>
    <row r="2899" spans="1:8" x14ac:dyDescent="0.3">
      <c r="A2899" s="37" t="s">
        <v>2</v>
      </c>
      <c r="B2899" s="38">
        <v>146100</v>
      </c>
      <c r="E2899" s="37" t="b">
        <v>1</v>
      </c>
      <c r="F2899" s="37" t="b">
        <v>1</v>
      </c>
      <c r="G2899" s="37">
        <v>1</v>
      </c>
      <c r="H2899" s="37">
        <v>146100</v>
      </c>
    </row>
    <row r="2900" spans="1:8" x14ac:dyDescent="0.3">
      <c r="A2900" s="37" t="s">
        <v>4</v>
      </c>
      <c r="B2900" s="38">
        <v>208114</v>
      </c>
      <c r="E2900" s="37" t="b">
        <v>0</v>
      </c>
      <c r="F2900" s="37" t="b">
        <v>1</v>
      </c>
      <c r="G2900" s="37">
        <v>0</v>
      </c>
      <c r="H2900" s="37" t="b">
        <v>0</v>
      </c>
    </row>
    <row r="2901" spans="1:8" x14ac:dyDescent="0.3">
      <c r="A2901" s="37" t="s">
        <v>126</v>
      </c>
      <c r="B2901" s="38">
        <v>170672</v>
      </c>
      <c r="E2901" s="37" t="b">
        <v>0</v>
      </c>
      <c r="F2901" s="37" t="b">
        <v>1</v>
      </c>
      <c r="G2901" s="37">
        <v>0</v>
      </c>
      <c r="H2901" s="37" t="b">
        <v>0</v>
      </c>
    </row>
    <row r="2902" spans="1:8" x14ac:dyDescent="0.3">
      <c r="A2902" s="37" t="s">
        <v>126</v>
      </c>
      <c r="B2902" s="38">
        <v>170672</v>
      </c>
      <c r="E2902" s="37" t="b">
        <v>0</v>
      </c>
      <c r="F2902" s="37" t="b">
        <v>1</v>
      </c>
      <c r="G2902" s="37">
        <v>0</v>
      </c>
      <c r="H2902" s="37" t="b">
        <v>0</v>
      </c>
    </row>
    <row r="2903" spans="1:8" x14ac:dyDescent="0.3">
      <c r="A2903" s="37" t="s">
        <v>4</v>
      </c>
      <c r="B2903" s="38">
        <v>152650</v>
      </c>
      <c r="E2903" s="37" t="b">
        <v>0</v>
      </c>
      <c r="F2903" s="37" t="b">
        <v>1</v>
      </c>
      <c r="G2903" s="37">
        <v>0</v>
      </c>
      <c r="H2903" s="37" t="b">
        <v>0</v>
      </c>
    </row>
    <row r="2904" spans="1:8" x14ac:dyDescent="0.3">
      <c r="A2904" s="37" t="s">
        <v>4</v>
      </c>
      <c r="B2904" s="38">
        <v>133900</v>
      </c>
      <c r="E2904" s="37" t="b">
        <v>0</v>
      </c>
      <c r="F2904" s="37" t="b">
        <v>1</v>
      </c>
      <c r="G2904" s="37">
        <v>0</v>
      </c>
      <c r="H2904" s="37" t="b">
        <v>0</v>
      </c>
    </row>
    <row r="2905" spans="1:8" x14ac:dyDescent="0.3">
      <c r="A2905" s="37" t="s">
        <v>4</v>
      </c>
      <c r="B2905" s="38">
        <v>208114</v>
      </c>
      <c r="E2905" s="37" t="b">
        <v>0</v>
      </c>
      <c r="F2905" s="37" t="b">
        <v>1</v>
      </c>
      <c r="G2905" s="37">
        <v>0</v>
      </c>
      <c r="H2905" s="37" t="b">
        <v>0</v>
      </c>
    </row>
    <row r="2906" spans="1:8" x14ac:dyDescent="0.3">
      <c r="A2906" s="37" t="s">
        <v>2</v>
      </c>
      <c r="B2906" s="38">
        <v>115000</v>
      </c>
      <c r="E2906" s="37" t="b">
        <v>1</v>
      </c>
      <c r="F2906" s="37" t="b">
        <v>1</v>
      </c>
      <c r="G2906" s="37">
        <v>1</v>
      </c>
      <c r="H2906" s="37">
        <v>115000</v>
      </c>
    </row>
    <row r="2907" spans="1:8" x14ac:dyDescent="0.3">
      <c r="A2907" s="37" t="s">
        <v>2</v>
      </c>
      <c r="B2907" s="38"/>
      <c r="E2907" s="37" t="b">
        <v>1</v>
      </c>
      <c r="F2907" s="37" t="b">
        <v>0</v>
      </c>
      <c r="G2907" s="37">
        <v>0</v>
      </c>
      <c r="H2907" s="37" t="b">
        <v>0</v>
      </c>
    </row>
    <row r="2908" spans="1:8" x14ac:dyDescent="0.3">
      <c r="A2908" s="37" t="s">
        <v>2</v>
      </c>
      <c r="B2908" s="38"/>
      <c r="E2908" s="37" t="b">
        <v>1</v>
      </c>
      <c r="F2908" s="37" t="b">
        <v>0</v>
      </c>
      <c r="G2908" s="37">
        <v>0</v>
      </c>
      <c r="H2908" s="37" t="b">
        <v>0</v>
      </c>
    </row>
    <row r="2909" spans="1:8" x14ac:dyDescent="0.3">
      <c r="A2909" s="37" t="s">
        <v>2</v>
      </c>
      <c r="B2909" s="38">
        <v>91960</v>
      </c>
      <c r="E2909" s="37" t="b">
        <v>1</v>
      </c>
      <c r="F2909" s="37" t="b">
        <v>1</v>
      </c>
      <c r="G2909" s="37">
        <v>1</v>
      </c>
      <c r="H2909" s="37">
        <v>91960</v>
      </c>
    </row>
    <row r="2910" spans="1:8" x14ac:dyDescent="0.3">
      <c r="A2910" s="37" t="s">
        <v>2</v>
      </c>
      <c r="B2910" s="38">
        <v>82430</v>
      </c>
      <c r="E2910" s="37" t="b">
        <v>1</v>
      </c>
      <c r="F2910" s="37" t="b">
        <v>1</v>
      </c>
      <c r="G2910" s="37">
        <v>1</v>
      </c>
      <c r="H2910" s="37">
        <v>82430</v>
      </c>
    </row>
    <row r="2911" spans="1:8" x14ac:dyDescent="0.3">
      <c r="A2911" s="37" t="s">
        <v>0</v>
      </c>
      <c r="B2911" s="38">
        <v>220000</v>
      </c>
      <c r="E2911" s="37" t="b">
        <v>0</v>
      </c>
      <c r="F2911" s="37" t="b">
        <v>1</v>
      </c>
      <c r="G2911" s="37">
        <v>0</v>
      </c>
      <c r="H2911" s="37" t="b">
        <v>0</v>
      </c>
    </row>
    <row r="2912" spans="1:8" x14ac:dyDescent="0.3">
      <c r="A2912" s="37" t="s">
        <v>2</v>
      </c>
      <c r="B2912" s="38">
        <v>105000</v>
      </c>
      <c r="E2912" s="37" t="b">
        <v>1</v>
      </c>
      <c r="F2912" s="37" t="b">
        <v>1</v>
      </c>
      <c r="G2912" s="37">
        <v>1</v>
      </c>
      <c r="H2912" s="37">
        <v>105000</v>
      </c>
    </row>
    <row r="2913" spans="1:8" x14ac:dyDescent="0.3">
      <c r="A2913" s="37" t="s">
        <v>125</v>
      </c>
      <c r="B2913" s="38">
        <v>112025</v>
      </c>
      <c r="E2913" s="37" t="b">
        <v>0</v>
      </c>
      <c r="F2913" s="37" t="b">
        <v>1</v>
      </c>
      <c r="G2913" s="37">
        <v>0</v>
      </c>
      <c r="H2913" s="37" t="b">
        <v>0</v>
      </c>
    </row>
    <row r="2914" spans="1:8" x14ac:dyDescent="0.3">
      <c r="A2914" s="37" t="s">
        <v>2</v>
      </c>
      <c r="B2914" s="38">
        <v>105515</v>
      </c>
      <c r="E2914" s="37" t="b">
        <v>1</v>
      </c>
      <c r="F2914" s="37" t="b">
        <v>1</v>
      </c>
      <c r="G2914" s="37">
        <v>1</v>
      </c>
      <c r="H2914" s="37">
        <v>105515</v>
      </c>
    </row>
    <row r="2915" spans="1:8" x14ac:dyDescent="0.3">
      <c r="A2915" s="37" t="s">
        <v>4</v>
      </c>
      <c r="B2915" s="38"/>
      <c r="E2915" s="37" t="b">
        <v>0</v>
      </c>
      <c r="F2915" s="37" t="b">
        <v>0</v>
      </c>
      <c r="G2915" s="37">
        <v>0</v>
      </c>
      <c r="H2915" s="37" t="b">
        <v>0</v>
      </c>
    </row>
    <row r="2916" spans="1:8" x14ac:dyDescent="0.3">
      <c r="A2916" s="37" t="s">
        <v>2</v>
      </c>
      <c r="B2916" s="38"/>
      <c r="E2916" s="37" t="b">
        <v>1</v>
      </c>
      <c r="F2916" s="37" t="b">
        <v>0</v>
      </c>
      <c r="G2916" s="37">
        <v>0</v>
      </c>
      <c r="H2916" s="37" t="b">
        <v>0</v>
      </c>
    </row>
    <row r="2917" spans="1:8" x14ac:dyDescent="0.3">
      <c r="A2917" s="37" t="s">
        <v>0</v>
      </c>
      <c r="B2917" s="38">
        <v>110000</v>
      </c>
      <c r="E2917" s="37" t="b">
        <v>0</v>
      </c>
      <c r="F2917" s="37" t="b">
        <v>1</v>
      </c>
      <c r="G2917" s="37">
        <v>0</v>
      </c>
      <c r="H2917" s="37" t="b">
        <v>0</v>
      </c>
    </row>
    <row r="2918" spans="1:8" x14ac:dyDescent="0.3">
      <c r="A2918" s="37" t="s">
        <v>128</v>
      </c>
      <c r="B2918" s="38">
        <v>215000</v>
      </c>
      <c r="E2918" s="37" t="b">
        <v>0</v>
      </c>
      <c r="F2918" s="37" t="b">
        <v>1</v>
      </c>
      <c r="G2918" s="37">
        <v>0</v>
      </c>
      <c r="H2918" s="37" t="b">
        <v>0</v>
      </c>
    </row>
    <row r="2919" spans="1:8" x14ac:dyDescent="0.3">
      <c r="A2919" s="37" t="s">
        <v>0</v>
      </c>
      <c r="B2919" s="38">
        <v>230000</v>
      </c>
      <c r="E2919" s="37" t="b">
        <v>0</v>
      </c>
      <c r="F2919" s="37" t="b">
        <v>1</v>
      </c>
      <c r="G2919" s="37">
        <v>0</v>
      </c>
      <c r="H2919" s="37" t="b">
        <v>0</v>
      </c>
    </row>
    <row r="2920" spans="1:8" x14ac:dyDescent="0.3">
      <c r="A2920" s="37" t="s">
        <v>126</v>
      </c>
      <c r="B2920" s="38">
        <v>190000</v>
      </c>
      <c r="E2920" s="37" t="b">
        <v>0</v>
      </c>
      <c r="F2920" s="37" t="b">
        <v>1</v>
      </c>
      <c r="G2920" s="37">
        <v>0</v>
      </c>
      <c r="H2920" s="37" t="b">
        <v>0</v>
      </c>
    </row>
    <row r="2921" spans="1:8" x14ac:dyDescent="0.3">
      <c r="A2921" s="37" t="s">
        <v>0</v>
      </c>
      <c r="B2921" s="38">
        <v>101950</v>
      </c>
      <c r="E2921" s="37" t="b">
        <v>0</v>
      </c>
      <c r="F2921" s="37" t="b">
        <v>1</v>
      </c>
      <c r="G2921" s="37">
        <v>0</v>
      </c>
      <c r="H2921" s="37" t="b">
        <v>0</v>
      </c>
    </row>
    <row r="2922" spans="1:8" x14ac:dyDescent="0.3">
      <c r="A2922" s="37" t="s">
        <v>4</v>
      </c>
      <c r="B2922" s="38">
        <v>123600</v>
      </c>
      <c r="E2922" s="37" t="b">
        <v>0</v>
      </c>
      <c r="F2922" s="37" t="b">
        <v>1</v>
      </c>
      <c r="G2922" s="37">
        <v>0</v>
      </c>
      <c r="H2922" s="37" t="b">
        <v>0</v>
      </c>
    </row>
    <row r="2923" spans="1:8" x14ac:dyDescent="0.3">
      <c r="A2923" s="37" t="s">
        <v>2</v>
      </c>
      <c r="B2923" s="38">
        <v>218500</v>
      </c>
      <c r="E2923" s="37" t="b">
        <v>1</v>
      </c>
      <c r="F2923" s="37" t="b">
        <v>1</v>
      </c>
      <c r="G2923" s="37">
        <v>1</v>
      </c>
      <c r="H2923" s="37">
        <v>218500</v>
      </c>
    </row>
    <row r="2924" spans="1:8" x14ac:dyDescent="0.3">
      <c r="A2924" s="37" t="s">
        <v>125</v>
      </c>
      <c r="B2924" s="38">
        <v>105000</v>
      </c>
      <c r="E2924" s="37" t="b">
        <v>0</v>
      </c>
      <c r="F2924" s="37" t="b">
        <v>1</v>
      </c>
      <c r="G2924" s="37">
        <v>0</v>
      </c>
      <c r="H2924" s="37" t="b">
        <v>0</v>
      </c>
    </row>
    <row r="2925" spans="1:8" x14ac:dyDescent="0.3">
      <c r="A2925" s="37" t="s">
        <v>126</v>
      </c>
      <c r="B2925" s="38">
        <v>156596</v>
      </c>
      <c r="E2925" s="37" t="b">
        <v>0</v>
      </c>
      <c r="F2925" s="37" t="b">
        <v>1</v>
      </c>
      <c r="G2925" s="37">
        <v>0</v>
      </c>
      <c r="H2925" s="37" t="b">
        <v>0</v>
      </c>
    </row>
    <row r="2926" spans="1:8" x14ac:dyDescent="0.3">
      <c r="A2926" s="37" t="s">
        <v>126</v>
      </c>
      <c r="B2926" s="38">
        <v>156596</v>
      </c>
      <c r="E2926" s="37" t="b">
        <v>0</v>
      </c>
      <c r="F2926" s="37" t="b">
        <v>1</v>
      </c>
      <c r="G2926" s="37">
        <v>0</v>
      </c>
      <c r="H2926" s="37" t="b">
        <v>0</v>
      </c>
    </row>
    <row r="2927" spans="1:8" x14ac:dyDescent="0.3">
      <c r="A2927" s="37" t="s">
        <v>126</v>
      </c>
      <c r="B2927" s="38">
        <v>135600</v>
      </c>
      <c r="E2927" s="37" t="b">
        <v>0</v>
      </c>
      <c r="F2927" s="37" t="b">
        <v>1</v>
      </c>
      <c r="G2927" s="37">
        <v>0</v>
      </c>
      <c r="H2927" s="37" t="b">
        <v>0</v>
      </c>
    </row>
    <row r="2928" spans="1:8" x14ac:dyDescent="0.3">
      <c r="A2928" s="37" t="s">
        <v>4</v>
      </c>
      <c r="B2928" s="38">
        <v>135600</v>
      </c>
      <c r="E2928" s="37" t="b">
        <v>0</v>
      </c>
      <c r="F2928" s="37" t="b">
        <v>1</v>
      </c>
      <c r="G2928" s="37">
        <v>0</v>
      </c>
      <c r="H2928" s="37" t="b">
        <v>0</v>
      </c>
    </row>
    <row r="2929" spans="1:8" x14ac:dyDescent="0.3">
      <c r="A2929" s="37" t="s">
        <v>2</v>
      </c>
      <c r="B2929" s="38">
        <v>117200</v>
      </c>
      <c r="E2929" s="37" t="b">
        <v>1</v>
      </c>
      <c r="F2929" s="37" t="b">
        <v>1</v>
      </c>
      <c r="G2929" s="37">
        <v>1</v>
      </c>
      <c r="H2929" s="37">
        <v>117200</v>
      </c>
    </row>
    <row r="2930" spans="1:8" x14ac:dyDescent="0.3">
      <c r="A2930" s="37" t="s">
        <v>126</v>
      </c>
      <c r="B2930" s="38">
        <v>156596</v>
      </c>
      <c r="E2930" s="37" t="b">
        <v>0</v>
      </c>
      <c r="F2930" s="37" t="b">
        <v>1</v>
      </c>
      <c r="G2930" s="37">
        <v>0</v>
      </c>
      <c r="H2930" s="37" t="b">
        <v>0</v>
      </c>
    </row>
    <row r="2931" spans="1:8" x14ac:dyDescent="0.3">
      <c r="A2931" s="37" t="s">
        <v>4</v>
      </c>
      <c r="B2931" s="38">
        <v>127500</v>
      </c>
      <c r="E2931" s="37" t="b">
        <v>0</v>
      </c>
      <c r="F2931" s="37" t="b">
        <v>1</v>
      </c>
      <c r="G2931" s="37">
        <v>0</v>
      </c>
      <c r="H2931" s="37" t="b">
        <v>0</v>
      </c>
    </row>
    <row r="2932" spans="1:8" x14ac:dyDescent="0.3">
      <c r="A2932" s="37" t="s">
        <v>0</v>
      </c>
      <c r="B2932" s="38">
        <v>145000</v>
      </c>
      <c r="E2932" s="37" t="b">
        <v>0</v>
      </c>
      <c r="F2932" s="37" t="b">
        <v>1</v>
      </c>
      <c r="G2932" s="37">
        <v>0</v>
      </c>
      <c r="H2932" s="37" t="b">
        <v>0</v>
      </c>
    </row>
    <row r="2933" spans="1:8" x14ac:dyDescent="0.3">
      <c r="A2933" s="37" t="s">
        <v>4</v>
      </c>
      <c r="B2933" s="38">
        <v>125000</v>
      </c>
      <c r="E2933" s="37" t="b">
        <v>0</v>
      </c>
      <c r="F2933" s="37" t="b">
        <v>1</v>
      </c>
      <c r="G2933" s="37">
        <v>0</v>
      </c>
      <c r="H2933" s="37" t="b">
        <v>0</v>
      </c>
    </row>
    <row r="2934" spans="1:8" x14ac:dyDescent="0.3">
      <c r="A2934" s="37" t="s">
        <v>125</v>
      </c>
      <c r="B2934" s="38">
        <v>188675</v>
      </c>
      <c r="E2934" s="37" t="b">
        <v>0</v>
      </c>
      <c r="F2934" s="37" t="b">
        <v>1</v>
      </c>
      <c r="G2934" s="37">
        <v>0</v>
      </c>
      <c r="H2934" s="37" t="b">
        <v>0</v>
      </c>
    </row>
    <row r="2935" spans="1:8" x14ac:dyDescent="0.3">
      <c r="A2935" s="37" t="s">
        <v>125</v>
      </c>
      <c r="B2935" s="38">
        <v>126815</v>
      </c>
      <c r="E2935" s="37" t="b">
        <v>0</v>
      </c>
      <c r="F2935" s="37" t="b">
        <v>1</v>
      </c>
      <c r="G2935" s="37">
        <v>0</v>
      </c>
      <c r="H2935" s="37" t="b">
        <v>0</v>
      </c>
    </row>
    <row r="2936" spans="1:8" x14ac:dyDescent="0.3">
      <c r="A2936" s="37" t="s">
        <v>125</v>
      </c>
      <c r="B2936" s="38"/>
      <c r="E2936" s="37" t="b">
        <v>0</v>
      </c>
      <c r="F2936" s="37" t="b">
        <v>0</v>
      </c>
      <c r="G2936" s="37">
        <v>0</v>
      </c>
      <c r="H2936" s="37" t="b">
        <v>0</v>
      </c>
    </row>
    <row r="2937" spans="1:8" x14ac:dyDescent="0.3">
      <c r="A2937" s="37" t="s">
        <v>125</v>
      </c>
      <c r="B2937" s="38">
        <v>130000</v>
      </c>
      <c r="E2937" s="37" t="b">
        <v>0</v>
      </c>
      <c r="F2937" s="37" t="b">
        <v>1</v>
      </c>
      <c r="G2937" s="37">
        <v>0</v>
      </c>
      <c r="H2937" s="37" t="b">
        <v>0</v>
      </c>
    </row>
    <row r="2938" spans="1:8" x14ac:dyDescent="0.3">
      <c r="A2938" s="37" t="s">
        <v>1</v>
      </c>
      <c r="B2938" s="38">
        <v>95000</v>
      </c>
      <c r="E2938" s="37" t="b">
        <v>0</v>
      </c>
      <c r="F2938" s="37" t="b">
        <v>1</v>
      </c>
      <c r="G2938" s="37">
        <v>0</v>
      </c>
      <c r="H2938" s="37" t="b">
        <v>0</v>
      </c>
    </row>
    <row r="2939" spans="1:8" x14ac:dyDescent="0.3">
      <c r="A2939" s="37" t="s">
        <v>128</v>
      </c>
      <c r="B2939" s="38">
        <v>190500</v>
      </c>
      <c r="E2939" s="37" t="b">
        <v>0</v>
      </c>
      <c r="F2939" s="37" t="b">
        <v>1</v>
      </c>
      <c r="G2939" s="37">
        <v>0</v>
      </c>
      <c r="H2939" s="37" t="b">
        <v>0</v>
      </c>
    </row>
    <row r="2940" spans="1:8" x14ac:dyDescent="0.3">
      <c r="A2940" s="37" t="s">
        <v>0</v>
      </c>
      <c r="B2940" s="38">
        <v>110000</v>
      </c>
      <c r="E2940" s="37" t="b">
        <v>0</v>
      </c>
      <c r="F2940" s="37" t="b">
        <v>1</v>
      </c>
      <c r="G2940" s="37">
        <v>0</v>
      </c>
      <c r="H2940" s="37" t="b">
        <v>0</v>
      </c>
    </row>
    <row r="2941" spans="1:8" x14ac:dyDescent="0.3">
      <c r="A2941" s="37" t="s">
        <v>0</v>
      </c>
      <c r="B2941" s="38">
        <v>160000</v>
      </c>
      <c r="E2941" s="37" t="b">
        <v>0</v>
      </c>
      <c r="F2941" s="37" t="b">
        <v>1</v>
      </c>
      <c r="G2941" s="37">
        <v>0</v>
      </c>
      <c r="H2941" s="37" t="b">
        <v>0</v>
      </c>
    </row>
    <row r="2942" spans="1:8" x14ac:dyDescent="0.3">
      <c r="A2942" s="37" t="s">
        <v>52</v>
      </c>
      <c r="B2942" s="38">
        <v>110000</v>
      </c>
      <c r="E2942" s="37" t="b">
        <v>0</v>
      </c>
      <c r="F2942" s="37" t="b">
        <v>1</v>
      </c>
      <c r="G2942" s="37">
        <v>0</v>
      </c>
      <c r="H2942" s="37" t="b">
        <v>0</v>
      </c>
    </row>
    <row r="2943" spans="1:8" x14ac:dyDescent="0.3">
      <c r="A2943" s="37" t="s">
        <v>4</v>
      </c>
      <c r="B2943" s="38"/>
      <c r="E2943" s="37" t="b">
        <v>0</v>
      </c>
      <c r="F2943" s="37" t="b">
        <v>0</v>
      </c>
      <c r="G2943" s="37">
        <v>0</v>
      </c>
      <c r="H2943" s="37" t="b">
        <v>0</v>
      </c>
    </row>
    <row r="2944" spans="1:8" x14ac:dyDescent="0.3">
      <c r="A2944" s="37" t="s">
        <v>4</v>
      </c>
      <c r="B2944" s="38"/>
      <c r="E2944" s="37" t="b">
        <v>0</v>
      </c>
      <c r="F2944" s="37" t="b">
        <v>0</v>
      </c>
      <c r="G2944" s="37">
        <v>0</v>
      </c>
      <c r="H2944" s="37" t="b">
        <v>0</v>
      </c>
    </row>
    <row r="2945" spans="1:8" x14ac:dyDescent="0.3">
      <c r="A2945" s="37" t="s">
        <v>52</v>
      </c>
      <c r="B2945" s="38">
        <v>87500</v>
      </c>
      <c r="E2945" s="37" t="b">
        <v>0</v>
      </c>
      <c r="F2945" s="37" t="b">
        <v>1</v>
      </c>
      <c r="G2945" s="37">
        <v>0</v>
      </c>
      <c r="H2945" s="37" t="b">
        <v>0</v>
      </c>
    </row>
    <row r="2946" spans="1:8" x14ac:dyDescent="0.3">
      <c r="A2946" s="37" t="s">
        <v>2</v>
      </c>
      <c r="B2946" s="38">
        <v>57500</v>
      </c>
      <c r="E2946" s="37" t="b">
        <v>1</v>
      </c>
      <c r="F2946" s="37" t="b">
        <v>1</v>
      </c>
      <c r="G2946" s="37">
        <v>1</v>
      </c>
      <c r="H2946" s="37">
        <v>57500</v>
      </c>
    </row>
    <row r="2947" spans="1:8" x14ac:dyDescent="0.3">
      <c r="A2947" s="37" t="s">
        <v>4</v>
      </c>
      <c r="B2947" s="38">
        <v>192500</v>
      </c>
      <c r="E2947" s="37" t="b">
        <v>0</v>
      </c>
      <c r="F2947" s="37" t="b">
        <v>1</v>
      </c>
      <c r="G2947" s="37">
        <v>0</v>
      </c>
      <c r="H2947" s="37" t="b">
        <v>0</v>
      </c>
    </row>
    <row r="2948" spans="1:8" x14ac:dyDescent="0.3">
      <c r="A2948" s="37" t="s">
        <v>125</v>
      </c>
      <c r="B2948" s="38">
        <v>96500</v>
      </c>
      <c r="E2948" s="37" t="b">
        <v>0</v>
      </c>
      <c r="F2948" s="37" t="b">
        <v>1</v>
      </c>
      <c r="G2948" s="37">
        <v>0</v>
      </c>
      <c r="H2948" s="37" t="b">
        <v>0</v>
      </c>
    </row>
    <row r="2949" spans="1:8" x14ac:dyDescent="0.3">
      <c r="A2949" s="37" t="s">
        <v>125</v>
      </c>
      <c r="B2949" s="38">
        <v>96500</v>
      </c>
      <c r="E2949" s="37" t="b">
        <v>0</v>
      </c>
      <c r="F2949" s="37" t="b">
        <v>1</v>
      </c>
      <c r="G2949" s="37">
        <v>0</v>
      </c>
      <c r="H2949" s="37" t="b">
        <v>0</v>
      </c>
    </row>
    <row r="2950" spans="1:8" x14ac:dyDescent="0.3">
      <c r="A2950" s="37" t="s">
        <v>2</v>
      </c>
      <c r="B2950" s="38">
        <v>67500</v>
      </c>
      <c r="E2950" s="37" t="b">
        <v>1</v>
      </c>
      <c r="F2950" s="37" t="b">
        <v>1</v>
      </c>
      <c r="G2950" s="37">
        <v>1</v>
      </c>
      <c r="H2950" s="37">
        <v>67500</v>
      </c>
    </row>
    <row r="2951" spans="1:8" x14ac:dyDescent="0.3">
      <c r="A2951" s="37" t="s">
        <v>2</v>
      </c>
      <c r="B2951" s="38"/>
      <c r="E2951" s="37" t="b">
        <v>1</v>
      </c>
      <c r="F2951" s="37" t="b">
        <v>0</v>
      </c>
      <c r="G2951" s="37">
        <v>0</v>
      </c>
      <c r="H2951" s="37" t="b">
        <v>0</v>
      </c>
    </row>
    <row r="2952" spans="1:8" x14ac:dyDescent="0.3">
      <c r="A2952" s="37" t="s">
        <v>2</v>
      </c>
      <c r="B2952" s="38"/>
      <c r="E2952" s="37" t="b">
        <v>1</v>
      </c>
      <c r="F2952" s="37" t="b">
        <v>0</v>
      </c>
      <c r="G2952" s="37">
        <v>0</v>
      </c>
      <c r="H2952" s="37" t="b">
        <v>0</v>
      </c>
    </row>
    <row r="2953" spans="1:8" x14ac:dyDescent="0.3">
      <c r="A2953" s="37" t="s">
        <v>2</v>
      </c>
      <c r="B2953" s="38">
        <v>70000</v>
      </c>
      <c r="E2953" s="37" t="b">
        <v>1</v>
      </c>
      <c r="F2953" s="37" t="b">
        <v>1</v>
      </c>
      <c r="G2953" s="37">
        <v>1</v>
      </c>
      <c r="H2953" s="37">
        <v>70000</v>
      </c>
    </row>
    <row r="2954" spans="1:8" x14ac:dyDescent="0.3">
      <c r="A2954" s="37" t="s">
        <v>2</v>
      </c>
      <c r="B2954" s="38">
        <v>95000</v>
      </c>
      <c r="E2954" s="37" t="b">
        <v>1</v>
      </c>
      <c r="F2954" s="37" t="b">
        <v>1</v>
      </c>
      <c r="G2954" s="37">
        <v>1</v>
      </c>
      <c r="H2954" s="37">
        <v>95000</v>
      </c>
    </row>
    <row r="2955" spans="1:8" x14ac:dyDescent="0.3">
      <c r="A2955" s="37" t="s">
        <v>2</v>
      </c>
      <c r="B2955" s="38">
        <v>65000</v>
      </c>
      <c r="E2955" s="37" t="b">
        <v>1</v>
      </c>
      <c r="F2955" s="37" t="b">
        <v>1</v>
      </c>
      <c r="G2955" s="37">
        <v>1</v>
      </c>
      <c r="H2955" s="37">
        <v>65000</v>
      </c>
    </row>
    <row r="2956" spans="1:8" x14ac:dyDescent="0.3">
      <c r="A2956" s="37" t="s">
        <v>2</v>
      </c>
      <c r="B2956" s="38">
        <v>137500</v>
      </c>
      <c r="E2956" s="37" t="b">
        <v>1</v>
      </c>
      <c r="F2956" s="37" t="b">
        <v>1</v>
      </c>
      <c r="G2956" s="37">
        <v>1</v>
      </c>
      <c r="H2956" s="37">
        <v>137500</v>
      </c>
    </row>
    <row r="2957" spans="1:8" x14ac:dyDescent="0.3">
      <c r="A2957" s="37" t="s">
        <v>2</v>
      </c>
      <c r="B2957" s="38"/>
      <c r="E2957" s="37" t="b">
        <v>1</v>
      </c>
      <c r="F2957" s="37" t="b">
        <v>0</v>
      </c>
      <c r="G2957" s="37">
        <v>0</v>
      </c>
      <c r="H2957" s="37" t="b">
        <v>0</v>
      </c>
    </row>
    <row r="2958" spans="1:8" x14ac:dyDescent="0.3">
      <c r="A2958" s="37" t="s">
        <v>2</v>
      </c>
      <c r="B2958" s="38">
        <v>67500</v>
      </c>
      <c r="E2958" s="37" t="b">
        <v>1</v>
      </c>
      <c r="F2958" s="37" t="b">
        <v>1</v>
      </c>
      <c r="G2958" s="37">
        <v>1</v>
      </c>
      <c r="H2958" s="37">
        <v>67500</v>
      </c>
    </row>
    <row r="2959" spans="1:8" x14ac:dyDescent="0.3">
      <c r="A2959" s="37" t="s">
        <v>0</v>
      </c>
      <c r="B2959" s="38">
        <v>57500</v>
      </c>
      <c r="E2959" s="37" t="b">
        <v>0</v>
      </c>
      <c r="F2959" s="37" t="b">
        <v>1</v>
      </c>
      <c r="G2959" s="37">
        <v>0</v>
      </c>
      <c r="H2959" s="37" t="b">
        <v>0</v>
      </c>
    </row>
    <row r="2960" spans="1:8" x14ac:dyDescent="0.3">
      <c r="A2960" s="37" t="s">
        <v>2</v>
      </c>
      <c r="B2960" s="38"/>
      <c r="E2960" s="37" t="b">
        <v>1</v>
      </c>
      <c r="F2960" s="37" t="b">
        <v>0</v>
      </c>
      <c r="G2960" s="37">
        <v>0</v>
      </c>
      <c r="H2960" s="37" t="b">
        <v>0</v>
      </c>
    </row>
    <row r="2961" spans="1:8" x14ac:dyDescent="0.3">
      <c r="A2961" s="37" t="s">
        <v>2</v>
      </c>
      <c r="B2961" s="38">
        <v>82500</v>
      </c>
      <c r="E2961" s="37" t="b">
        <v>1</v>
      </c>
      <c r="F2961" s="37" t="b">
        <v>1</v>
      </c>
      <c r="G2961" s="37">
        <v>1</v>
      </c>
      <c r="H2961" s="37">
        <v>82500</v>
      </c>
    </row>
    <row r="2962" spans="1:8" x14ac:dyDescent="0.3">
      <c r="A2962" s="37" t="s">
        <v>125</v>
      </c>
      <c r="B2962" s="38"/>
      <c r="E2962" s="37" t="b">
        <v>0</v>
      </c>
      <c r="F2962" s="37" t="b">
        <v>0</v>
      </c>
      <c r="G2962" s="37">
        <v>0</v>
      </c>
      <c r="H2962" s="37" t="b">
        <v>0</v>
      </c>
    </row>
    <row r="2963" spans="1:8" x14ac:dyDescent="0.3">
      <c r="A2963" s="37" t="s">
        <v>4</v>
      </c>
      <c r="B2963" s="38"/>
      <c r="E2963" s="37" t="b">
        <v>0</v>
      </c>
      <c r="F2963" s="37" t="b">
        <v>0</v>
      </c>
      <c r="G2963" s="37">
        <v>0</v>
      </c>
      <c r="H2963" s="37" t="b">
        <v>0</v>
      </c>
    </row>
    <row r="2964" spans="1:8" x14ac:dyDescent="0.3">
      <c r="A2964" s="37" t="s">
        <v>2</v>
      </c>
      <c r="B2964" s="38"/>
      <c r="E2964" s="37" t="b">
        <v>1</v>
      </c>
      <c r="F2964" s="37" t="b">
        <v>0</v>
      </c>
      <c r="G2964" s="37">
        <v>0</v>
      </c>
      <c r="H2964" s="37" t="b">
        <v>0</v>
      </c>
    </row>
    <row r="2965" spans="1:8" x14ac:dyDescent="0.3">
      <c r="A2965" s="37" t="s">
        <v>2</v>
      </c>
      <c r="B2965" s="38">
        <v>127100</v>
      </c>
      <c r="E2965" s="37" t="b">
        <v>1</v>
      </c>
      <c r="F2965" s="37" t="b">
        <v>1</v>
      </c>
      <c r="G2965" s="37">
        <v>1</v>
      </c>
      <c r="H2965" s="37">
        <v>127100</v>
      </c>
    </row>
    <row r="2966" spans="1:8" x14ac:dyDescent="0.3">
      <c r="A2966" s="37" t="s">
        <v>2</v>
      </c>
      <c r="B2966" s="38"/>
      <c r="E2966" s="37" t="b">
        <v>1</v>
      </c>
      <c r="F2966" s="37" t="b">
        <v>0</v>
      </c>
      <c r="G2966" s="37">
        <v>0</v>
      </c>
      <c r="H2966" s="37" t="b">
        <v>0</v>
      </c>
    </row>
    <row r="2967" spans="1:8" x14ac:dyDescent="0.3">
      <c r="A2967" s="37" t="s">
        <v>2</v>
      </c>
      <c r="B2967" s="38"/>
      <c r="E2967" s="37" t="b">
        <v>1</v>
      </c>
      <c r="F2967" s="37" t="b">
        <v>0</v>
      </c>
      <c r="G2967" s="37">
        <v>0</v>
      </c>
      <c r="H2967" s="37" t="b">
        <v>0</v>
      </c>
    </row>
    <row r="2968" spans="1:8" x14ac:dyDescent="0.3">
      <c r="A2968" s="37" t="s">
        <v>52</v>
      </c>
      <c r="B2968" s="38"/>
      <c r="E2968" s="37" t="b">
        <v>0</v>
      </c>
      <c r="F2968" s="37" t="b">
        <v>0</v>
      </c>
      <c r="G2968" s="37">
        <v>0</v>
      </c>
      <c r="H2968" s="37" t="b">
        <v>0</v>
      </c>
    </row>
    <row r="2969" spans="1:8" x14ac:dyDescent="0.3">
      <c r="A2969" s="37" t="s">
        <v>0</v>
      </c>
      <c r="B2969" s="38"/>
      <c r="E2969" s="37" t="b">
        <v>0</v>
      </c>
      <c r="F2969" s="37" t="b">
        <v>0</v>
      </c>
      <c r="G2969" s="37">
        <v>0</v>
      </c>
      <c r="H2969" s="37" t="b">
        <v>0</v>
      </c>
    </row>
    <row r="2970" spans="1:8" x14ac:dyDescent="0.3">
      <c r="A2970" s="37" t="s">
        <v>2</v>
      </c>
      <c r="B2970" s="38">
        <v>80000</v>
      </c>
      <c r="E2970" s="37" t="b">
        <v>1</v>
      </c>
      <c r="F2970" s="37" t="b">
        <v>1</v>
      </c>
      <c r="G2970" s="37">
        <v>1</v>
      </c>
      <c r="H2970" s="37">
        <v>80000</v>
      </c>
    </row>
    <row r="2971" spans="1:8" x14ac:dyDescent="0.3">
      <c r="A2971" s="37" t="s">
        <v>52</v>
      </c>
      <c r="B2971" s="38"/>
      <c r="E2971" s="37" t="b">
        <v>0</v>
      </c>
      <c r="F2971" s="37" t="b">
        <v>0</v>
      </c>
      <c r="G2971" s="37">
        <v>0</v>
      </c>
      <c r="H2971" s="37" t="b">
        <v>0</v>
      </c>
    </row>
    <row r="2972" spans="1:8" x14ac:dyDescent="0.3">
      <c r="A2972" s="37" t="s">
        <v>2</v>
      </c>
      <c r="B2972" s="38"/>
      <c r="E2972" s="37" t="b">
        <v>1</v>
      </c>
      <c r="F2972" s="37" t="b">
        <v>0</v>
      </c>
      <c r="G2972" s="37">
        <v>0</v>
      </c>
      <c r="H2972" s="37" t="b">
        <v>0</v>
      </c>
    </row>
    <row r="2973" spans="1:8" x14ac:dyDescent="0.3">
      <c r="A2973" s="37" t="s">
        <v>0</v>
      </c>
      <c r="B2973" s="38">
        <v>65000</v>
      </c>
      <c r="E2973" s="37" t="b">
        <v>0</v>
      </c>
      <c r="F2973" s="37" t="b">
        <v>1</v>
      </c>
      <c r="G2973" s="37">
        <v>0</v>
      </c>
      <c r="H2973" s="37" t="b">
        <v>0</v>
      </c>
    </row>
    <row r="2974" spans="1:8" x14ac:dyDescent="0.3">
      <c r="A2974" s="37" t="s">
        <v>4</v>
      </c>
      <c r="B2974" s="38">
        <v>80000</v>
      </c>
      <c r="E2974" s="37" t="b">
        <v>0</v>
      </c>
      <c r="F2974" s="37" t="b">
        <v>1</v>
      </c>
      <c r="G2974" s="37">
        <v>0</v>
      </c>
      <c r="H2974" s="37" t="b">
        <v>0</v>
      </c>
    </row>
    <row r="2975" spans="1:8" x14ac:dyDescent="0.3">
      <c r="A2975" s="37" t="s">
        <v>2</v>
      </c>
      <c r="B2975" s="38">
        <v>90000</v>
      </c>
      <c r="E2975" s="37" t="b">
        <v>1</v>
      </c>
      <c r="F2975" s="37" t="b">
        <v>1</v>
      </c>
      <c r="G2975" s="37">
        <v>1</v>
      </c>
      <c r="H2975" s="37">
        <v>90000</v>
      </c>
    </row>
    <row r="2976" spans="1:8" x14ac:dyDescent="0.3">
      <c r="A2976" s="37" t="s">
        <v>128</v>
      </c>
      <c r="B2976" s="38"/>
      <c r="E2976" s="37" t="b">
        <v>0</v>
      </c>
      <c r="F2976" s="37" t="b">
        <v>0</v>
      </c>
      <c r="G2976" s="37">
        <v>0</v>
      </c>
      <c r="H2976" s="37" t="b">
        <v>0</v>
      </c>
    </row>
    <row r="2977" spans="1:8" x14ac:dyDescent="0.3">
      <c r="A2977" s="37" t="s">
        <v>4</v>
      </c>
      <c r="B2977" s="38">
        <v>80000</v>
      </c>
      <c r="E2977" s="37" t="b">
        <v>0</v>
      </c>
      <c r="F2977" s="37" t="b">
        <v>1</v>
      </c>
      <c r="G2977" s="37">
        <v>0</v>
      </c>
      <c r="H2977" s="37" t="b">
        <v>0</v>
      </c>
    </row>
    <row r="2978" spans="1:8" x14ac:dyDescent="0.3">
      <c r="A2978" s="37" t="s">
        <v>125</v>
      </c>
      <c r="B2978" s="38">
        <v>80000</v>
      </c>
      <c r="E2978" s="37" t="b">
        <v>0</v>
      </c>
      <c r="F2978" s="37" t="b">
        <v>1</v>
      </c>
      <c r="G2978" s="37">
        <v>0</v>
      </c>
      <c r="H2978" s="37" t="b">
        <v>0</v>
      </c>
    </row>
    <row r="2979" spans="1:8" x14ac:dyDescent="0.3">
      <c r="A2979" s="37" t="s">
        <v>126</v>
      </c>
      <c r="B2979" s="38">
        <v>140000</v>
      </c>
      <c r="E2979" s="37" t="b">
        <v>0</v>
      </c>
      <c r="F2979" s="37" t="b">
        <v>1</v>
      </c>
      <c r="G2979" s="37">
        <v>0</v>
      </c>
      <c r="H2979" s="37" t="b">
        <v>0</v>
      </c>
    </row>
    <row r="2980" spans="1:8" x14ac:dyDescent="0.3">
      <c r="A2980" s="37" t="s">
        <v>128</v>
      </c>
      <c r="B2980" s="38">
        <v>157500</v>
      </c>
      <c r="E2980" s="37" t="b">
        <v>0</v>
      </c>
      <c r="F2980" s="37" t="b">
        <v>1</v>
      </c>
      <c r="G2980" s="37">
        <v>0</v>
      </c>
      <c r="H2980" s="37" t="b">
        <v>0</v>
      </c>
    </row>
    <row r="2981" spans="1:8" x14ac:dyDescent="0.3">
      <c r="A2981" s="37" t="s">
        <v>4</v>
      </c>
      <c r="B2981" s="38">
        <v>150000</v>
      </c>
      <c r="E2981" s="37" t="b">
        <v>0</v>
      </c>
      <c r="F2981" s="37" t="b">
        <v>1</v>
      </c>
      <c r="G2981" s="37">
        <v>0</v>
      </c>
      <c r="H2981" s="37" t="b">
        <v>0</v>
      </c>
    </row>
    <row r="2982" spans="1:8" x14ac:dyDescent="0.3">
      <c r="A2982" s="37" t="s">
        <v>2</v>
      </c>
      <c r="B2982" s="38">
        <v>85000</v>
      </c>
      <c r="E2982" s="37" t="b">
        <v>1</v>
      </c>
      <c r="F2982" s="37" t="b">
        <v>1</v>
      </c>
      <c r="G2982" s="37">
        <v>1</v>
      </c>
      <c r="H2982" s="37">
        <v>85000</v>
      </c>
    </row>
    <row r="2983" spans="1:8" x14ac:dyDescent="0.3">
      <c r="A2983" s="37" t="s">
        <v>2</v>
      </c>
      <c r="B2983" s="38"/>
      <c r="E2983" s="37" t="b">
        <v>1</v>
      </c>
      <c r="F2983" s="37" t="b">
        <v>0</v>
      </c>
      <c r="G2983" s="37">
        <v>0</v>
      </c>
      <c r="H2983" s="37" t="b">
        <v>0</v>
      </c>
    </row>
    <row r="2984" spans="1:8" x14ac:dyDescent="0.3">
      <c r="A2984" s="37" t="s">
        <v>4</v>
      </c>
      <c r="B2984" s="38">
        <v>130000</v>
      </c>
      <c r="E2984" s="37" t="b">
        <v>0</v>
      </c>
      <c r="F2984" s="37" t="b">
        <v>1</v>
      </c>
      <c r="G2984" s="37">
        <v>0</v>
      </c>
      <c r="H2984" s="37" t="b">
        <v>0</v>
      </c>
    </row>
    <row r="2985" spans="1:8" x14ac:dyDescent="0.3">
      <c r="A2985" s="37" t="s">
        <v>2</v>
      </c>
      <c r="B2985" s="38">
        <v>46103</v>
      </c>
      <c r="E2985" s="37" t="b">
        <v>1</v>
      </c>
      <c r="F2985" s="37" t="b">
        <v>1</v>
      </c>
      <c r="G2985" s="37">
        <v>1</v>
      </c>
      <c r="H2985" s="37">
        <v>46103</v>
      </c>
    </row>
    <row r="2986" spans="1:8" x14ac:dyDescent="0.3">
      <c r="A2986" s="37" t="s">
        <v>0</v>
      </c>
      <c r="B2986" s="38">
        <v>190000</v>
      </c>
      <c r="E2986" s="37" t="b">
        <v>0</v>
      </c>
      <c r="F2986" s="37" t="b">
        <v>1</v>
      </c>
      <c r="G2986" s="37">
        <v>0</v>
      </c>
      <c r="H2986" s="37" t="b">
        <v>0</v>
      </c>
    </row>
    <row r="2987" spans="1:8" x14ac:dyDescent="0.3">
      <c r="A2987" s="37" t="s">
        <v>128</v>
      </c>
      <c r="B2987" s="38"/>
      <c r="E2987" s="37" t="b">
        <v>0</v>
      </c>
      <c r="F2987" s="37" t="b">
        <v>0</v>
      </c>
      <c r="G2987" s="37">
        <v>0</v>
      </c>
      <c r="H2987" s="37" t="b">
        <v>0</v>
      </c>
    </row>
    <row r="2988" spans="1:8" x14ac:dyDescent="0.3">
      <c r="A2988" s="37" t="s">
        <v>52</v>
      </c>
      <c r="B2988" s="38"/>
      <c r="E2988" s="37" t="b">
        <v>0</v>
      </c>
      <c r="F2988" s="37" t="b">
        <v>0</v>
      </c>
      <c r="G2988" s="37">
        <v>0</v>
      </c>
      <c r="H2988" s="37" t="b">
        <v>0</v>
      </c>
    </row>
    <row r="2989" spans="1:8" x14ac:dyDescent="0.3">
      <c r="A2989" s="37" t="s">
        <v>2</v>
      </c>
      <c r="B2989" s="38"/>
      <c r="E2989" s="37" t="b">
        <v>1</v>
      </c>
      <c r="F2989" s="37" t="b">
        <v>0</v>
      </c>
      <c r="G2989" s="37">
        <v>0</v>
      </c>
      <c r="H2989" s="37" t="b">
        <v>0</v>
      </c>
    </row>
    <row r="2990" spans="1:8" x14ac:dyDescent="0.3">
      <c r="A2990" s="37" t="s">
        <v>2</v>
      </c>
      <c r="B2990" s="38"/>
      <c r="E2990" s="37" t="b">
        <v>1</v>
      </c>
      <c r="F2990" s="37" t="b">
        <v>0</v>
      </c>
      <c r="G2990" s="37">
        <v>0</v>
      </c>
      <c r="H2990" s="37" t="b">
        <v>0</v>
      </c>
    </row>
    <row r="2991" spans="1:8" x14ac:dyDescent="0.3">
      <c r="A2991" s="37" t="s">
        <v>125</v>
      </c>
      <c r="B2991" s="38">
        <v>85000</v>
      </c>
      <c r="E2991" s="37" t="b">
        <v>0</v>
      </c>
      <c r="F2991" s="37" t="b">
        <v>1</v>
      </c>
      <c r="G2991" s="37">
        <v>0</v>
      </c>
      <c r="H2991" s="37" t="b">
        <v>0</v>
      </c>
    </row>
    <row r="2992" spans="1:8" x14ac:dyDescent="0.3">
      <c r="A2992" s="37" t="s">
        <v>128</v>
      </c>
      <c r="B2992" s="38">
        <v>145000</v>
      </c>
      <c r="E2992" s="37" t="b">
        <v>0</v>
      </c>
      <c r="F2992" s="37" t="b">
        <v>1</v>
      </c>
      <c r="G2992" s="37">
        <v>0</v>
      </c>
      <c r="H2992" s="37" t="b">
        <v>0</v>
      </c>
    </row>
    <row r="2993" spans="1:8" x14ac:dyDescent="0.3">
      <c r="A2993" s="37" t="s">
        <v>2</v>
      </c>
      <c r="B2993" s="38"/>
      <c r="E2993" s="37" t="b">
        <v>1</v>
      </c>
      <c r="F2993" s="37" t="b">
        <v>0</v>
      </c>
      <c r="G2993" s="37">
        <v>0</v>
      </c>
      <c r="H2993" s="37" t="b">
        <v>0</v>
      </c>
    </row>
    <row r="2994" spans="1:8" x14ac:dyDescent="0.3">
      <c r="A2994" s="37" t="s">
        <v>2</v>
      </c>
      <c r="B2994" s="38"/>
      <c r="E2994" s="37" t="b">
        <v>1</v>
      </c>
      <c r="F2994" s="37" t="b">
        <v>0</v>
      </c>
      <c r="G2994" s="37">
        <v>0</v>
      </c>
      <c r="H2994" s="37" t="b">
        <v>0</v>
      </c>
    </row>
    <row r="2995" spans="1:8" x14ac:dyDescent="0.3">
      <c r="A2995" s="37" t="s">
        <v>2</v>
      </c>
      <c r="B2995" s="38">
        <v>45000</v>
      </c>
      <c r="E2995" s="37" t="b">
        <v>1</v>
      </c>
      <c r="F2995" s="37" t="b">
        <v>1</v>
      </c>
      <c r="G2995" s="37">
        <v>1</v>
      </c>
      <c r="H2995" s="37">
        <v>45000</v>
      </c>
    </row>
    <row r="2996" spans="1:8" x14ac:dyDescent="0.3">
      <c r="A2996" s="37" t="s">
        <v>52</v>
      </c>
      <c r="B2996" s="38"/>
      <c r="E2996" s="37" t="b">
        <v>0</v>
      </c>
      <c r="F2996" s="37" t="b">
        <v>0</v>
      </c>
      <c r="G2996" s="37">
        <v>0</v>
      </c>
      <c r="H2996" s="37" t="b">
        <v>0</v>
      </c>
    </row>
    <row r="2997" spans="1:8" x14ac:dyDescent="0.3">
      <c r="A2997" s="37" t="s">
        <v>4</v>
      </c>
      <c r="B2997" s="38">
        <v>185000</v>
      </c>
      <c r="E2997" s="37" t="b">
        <v>0</v>
      </c>
      <c r="F2997" s="37" t="b">
        <v>1</v>
      </c>
      <c r="G2997" s="37">
        <v>0</v>
      </c>
      <c r="H2997" s="37" t="b">
        <v>0</v>
      </c>
    </row>
    <row r="2998" spans="1:8" x14ac:dyDescent="0.3">
      <c r="A2998" s="37" t="s">
        <v>2</v>
      </c>
      <c r="B2998" s="38">
        <v>115700</v>
      </c>
      <c r="E2998" s="37" t="b">
        <v>1</v>
      </c>
      <c r="F2998" s="37" t="b">
        <v>1</v>
      </c>
      <c r="G2998" s="37">
        <v>1</v>
      </c>
      <c r="H2998" s="37">
        <v>115700</v>
      </c>
    </row>
    <row r="2999" spans="1:8" x14ac:dyDescent="0.3">
      <c r="A2999" s="37" t="s">
        <v>2</v>
      </c>
      <c r="B2999" s="38"/>
      <c r="E2999" s="37" t="b">
        <v>1</v>
      </c>
      <c r="F2999" s="37" t="b">
        <v>0</v>
      </c>
      <c r="G2999" s="37">
        <v>0</v>
      </c>
      <c r="H2999" s="37" t="b">
        <v>0</v>
      </c>
    </row>
    <row r="3000" spans="1:8" x14ac:dyDescent="0.3">
      <c r="A3000" s="37" t="s">
        <v>2</v>
      </c>
      <c r="B3000" s="38"/>
      <c r="E3000" s="37" t="b">
        <v>1</v>
      </c>
      <c r="F3000" s="37" t="b">
        <v>0</v>
      </c>
      <c r="G3000" s="37">
        <v>0</v>
      </c>
      <c r="H3000" s="37" t="b">
        <v>0</v>
      </c>
    </row>
    <row r="3001" spans="1:8" x14ac:dyDescent="0.3">
      <c r="A3001" s="37" t="s">
        <v>2</v>
      </c>
      <c r="B3001" s="38"/>
      <c r="E3001" s="37" t="b">
        <v>1</v>
      </c>
      <c r="F3001" s="37" t="b">
        <v>0</v>
      </c>
      <c r="G3001" s="37">
        <v>0</v>
      </c>
      <c r="H3001" s="37" t="b">
        <v>0</v>
      </c>
    </row>
    <row r="3002" spans="1:8" x14ac:dyDescent="0.3">
      <c r="A3002" s="37" t="s">
        <v>2</v>
      </c>
      <c r="B3002" s="38"/>
      <c r="E3002" s="37" t="b">
        <v>1</v>
      </c>
      <c r="F3002" s="37" t="b">
        <v>0</v>
      </c>
      <c r="G3002" s="37">
        <v>0</v>
      </c>
      <c r="H3002" s="37" t="b">
        <v>0</v>
      </c>
    </row>
    <row r="3003" spans="1:8" x14ac:dyDescent="0.3">
      <c r="A3003" s="37" t="s">
        <v>0</v>
      </c>
      <c r="B3003" s="38"/>
      <c r="E3003" s="37" t="b">
        <v>0</v>
      </c>
      <c r="F3003" s="37" t="b">
        <v>0</v>
      </c>
      <c r="G3003" s="37">
        <v>0</v>
      </c>
      <c r="H3003" s="37" t="b">
        <v>0</v>
      </c>
    </row>
    <row r="3004" spans="1:8" x14ac:dyDescent="0.3">
      <c r="A3004" s="37" t="s">
        <v>0</v>
      </c>
      <c r="B3004" s="38"/>
      <c r="E3004" s="37" t="b">
        <v>0</v>
      </c>
      <c r="F3004" s="37" t="b">
        <v>0</v>
      </c>
      <c r="G3004" s="37">
        <v>0</v>
      </c>
      <c r="H3004" s="37" t="b">
        <v>0</v>
      </c>
    </row>
    <row r="3005" spans="1:8" x14ac:dyDescent="0.3">
      <c r="A3005" s="37" t="s">
        <v>125</v>
      </c>
      <c r="B3005" s="38"/>
      <c r="E3005" s="37" t="b">
        <v>0</v>
      </c>
      <c r="F3005" s="37" t="b">
        <v>0</v>
      </c>
      <c r="G3005" s="37">
        <v>0</v>
      </c>
      <c r="H3005" s="37" t="b">
        <v>0</v>
      </c>
    </row>
    <row r="3006" spans="1:8" x14ac:dyDescent="0.3">
      <c r="A3006" s="37" t="s">
        <v>0</v>
      </c>
      <c r="B3006" s="38"/>
      <c r="E3006" s="37" t="b">
        <v>0</v>
      </c>
      <c r="F3006" s="37" t="b">
        <v>0</v>
      </c>
      <c r="G3006" s="37">
        <v>0</v>
      </c>
      <c r="H3006" s="37" t="b">
        <v>0</v>
      </c>
    </row>
    <row r="3007" spans="1:8" x14ac:dyDescent="0.3">
      <c r="A3007" s="37" t="s">
        <v>125</v>
      </c>
      <c r="B3007" s="38">
        <v>92500</v>
      </c>
      <c r="E3007" s="37" t="b">
        <v>0</v>
      </c>
      <c r="F3007" s="37" t="b">
        <v>1</v>
      </c>
      <c r="G3007" s="37">
        <v>0</v>
      </c>
      <c r="H3007" s="37" t="b">
        <v>0</v>
      </c>
    </row>
    <row r="3008" spans="1:8" x14ac:dyDescent="0.3">
      <c r="A3008" s="37" t="s">
        <v>0</v>
      </c>
      <c r="B3008" s="38"/>
      <c r="E3008" s="37" t="b">
        <v>0</v>
      </c>
      <c r="F3008" s="37" t="b">
        <v>0</v>
      </c>
      <c r="G3008" s="37">
        <v>0</v>
      </c>
      <c r="H3008" s="37" t="b">
        <v>0</v>
      </c>
    </row>
    <row r="3009" spans="1:8" x14ac:dyDescent="0.3">
      <c r="A3009" s="37" t="s">
        <v>52</v>
      </c>
      <c r="B3009" s="38"/>
      <c r="E3009" s="37" t="b">
        <v>0</v>
      </c>
      <c r="F3009" s="37" t="b">
        <v>0</v>
      </c>
      <c r="G3009" s="37">
        <v>0</v>
      </c>
      <c r="H3009" s="37" t="b">
        <v>0</v>
      </c>
    </row>
    <row r="3010" spans="1:8" x14ac:dyDescent="0.3">
      <c r="A3010" s="37" t="s">
        <v>4</v>
      </c>
      <c r="B3010" s="38">
        <v>135000</v>
      </c>
      <c r="E3010" s="37" t="b">
        <v>0</v>
      </c>
      <c r="F3010" s="37" t="b">
        <v>1</v>
      </c>
      <c r="G3010" s="37">
        <v>0</v>
      </c>
      <c r="H3010" s="37" t="b">
        <v>0</v>
      </c>
    </row>
    <row r="3011" spans="1:8" x14ac:dyDescent="0.3">
      <c r="A3011" s="37" t="s">
        <v>2</v>
      </c>
      <c r="B3011" s="38">
        <v>131900</v>
      </c>
      <c r="E3011" s="37" t="b">
        <v>1</v>
      </c>
      <c r="F3011" s="37" t="b">
        <v>1</v>
      </c>
      <c r="G3011" s="37">
        <v>1</v>
      </c>
      <c r="H3011" s="37">
        <v>131900</v>
      </c>
    </row>
    <row r="3012" spans="1:8" x14ac:dyDescent="0.3">
      <c r="A3012" s="37" t="s">
        <v>0</v>
      </c>
      <c r="B3012" s="38">
        <v>183310</v>
      </c>
      <c r="E3012" s="37" t="b">
        <v>0</v>
      </c>
      <c r="F3012" s="37" t="b">
        <v>1</v>
      </c>
      <c r="G3012" s="37">
        <v>0</v>
      </c>
      <c r="H3012" s="37" t="b">
        <v>0</v>
      </c>
    </row>
    <row r="3013" spans="1:8" x14ac:dyDescent="0.3">
      <c r="A3013" s="37" t="s">
        <v>0</v>
      </c>
      <c r="B3013" s="38">
        <v>120000</v>
      </c>
      <c r="E3013" s="37" t="b">
        <v>0</v>
      </c>
      <c r="F3013" s="37" t="b">
        <v>1</v>
      </c>
      <c r="G3013" s="37">
        <v>0</v>
      </c>
      <c r="H3013" s="37" t="b">
        <v>0</v>
      </c>
    </row>
    <row r="3014" spans="1:8" x14ac:dyDescent="0.3">
      <c r="A3014" s="37" t="s">
        <v>2</v>
      </c>
      <c r="B3014" s="38"/>
      <c r="E3014" s="37" t="b">
        <v>1</v>
      </c>
      <c r="F3014" s="37" t="b">
        <v>0</v>
      </c>
      <c r="G3014" s="37">
        <v>0</v>
      </c>
      <c r="H3014" s="37" t="b">
        <v>0</v>
      </c>
    </row>
    <row r="3015" spans="1:8" x14ac:dyDescent="0.3">
      <c r="A3015" s="37" t="s">
        <v>4</v>
      </c>
      <c r="B3015" s="38">
        <v>87500</v>
      </c>
      <c r="E3015" s="37" t="b">
        <v>0</v>
      </c>
      <c r="F3015" s="37" t="b">
        <v>1</v>
      </c>
      <c r="G3015" s="37">
        <v>0</v>
      </c>
      <c r="H3015" s="37" t="b">
        <v>0</v>
      </c>
    </row>
    <row r="3016" spans="1:8" x14ac:dyDescent="0.3">
      <c r="A3016" s="37" t="s">
        <v>0</v>
      </c>
      <c r="B3016" s="38"/>
      <c r="E3016" s="37" t="b">
        <v>0</v>
      </c>
      <c r="F3016" s="37" t="b">
        <v>0</v>
      </c>
      <c r="G3016" s="37">
        <v>0</v>
      </c>
      <c r="H3016" s="37" t="b">
        <v>0</v>
      </c>
    </row>
    <row r="3017" spans="1:8" x14ac:dyDescent="0.3">
      <c r="A3017" s="37" t="s">
        <v>2</v>
      </c>
      <c r="B3017" s="38"/>
      <c r="E3017" s="37" t="b">
        <v>1</v>
      </c>
      <c r="F3017" s="37" t="b">
        <v>0</v>
      </c>
      <c r="G3017" s="37">
        <v>0</v>
      </c>
      <c r="H3017" s="37" t="b">
        <v>0</v>
      </c>
    </row>
    <row r="3018" spans="1:8" x14ac:dyDescent="0.3">
      <c r="A3018" s="37" t="s">
        <v>2</v>
      </c>
      <c r="B3018" s="38">
        <v>55000</v>
      </c>
      <c r="E3018" s="37" t="b">
        <v>1</v>
      </c>
      <c r="F3018" s="37" t="b">
        <v>1</v>
      </c>
      <c r="G3018" s="37">
        <v>1</v>
      </c>
      <c r="H3018" s="37">
        <v>55000</v>
      </c>
    </row>
    <row r="3019" spans="1:8" x14ac:dyDescent="0.3">
      <c r="A3019" s="37" t="s">
        <v>125</v>
      </c>
      <c r="B3019" s="38"/>
      <c r="E3019" s="37" t="b">
        <v>0</v>
      </c>
      <c r="F3019" s="37" t="b">
        <v>0</v>
      </c>
      <c r="G3019" s="37">
        <v>0</v>
      </c>
      <c r="H3019" s="37" t="b">
        <v>0</v>
      </c>
    </row>
    <row r="3020" spans="1:8" x14ac:dyDescent="0.3">
      <c r="A3020" s="37" t="s">
        <v>2</v>
      </c>
      <c r="B3020" s="38">
        <v>85000</v>
      </c>
      <c r="E3020" s="37" t="b">
        <v>1</v>
      </c>
      <c r="F3020" s="37" t="b">
        <v>1</v>
      </c>
      <c r="G3020" s="37">
        <v>1</v>
      </c>
      <c r="H3020" s="37">
        <v>85000</v>
      </c>
    </row>
    <row r="3021" spans="1:8" x14ac:dyDescent="0.3">
      <c r="A3021" s="37" t="s">
        <v>128</v>
      </c>
      <c r="B3021" s="38">
        <v>131900</v>
      </c>
      <c r="E3021" s="37" t="b">
        <v>0</v>
      </c>
      <c r="F3021" s="37" t="b">
        <v>1</v>
      </c>
      <c r="G3021" s="37">
        <v>0</v>
      </c>
      <c r="H3021" s="37" t="b">
        <v>0</v>
      </c>
    </row>
    <row r="3022" spans="1:8" x14ac:dyDescent="0.3">
      <c r="A3022" s="37" t="s">
        <v>125</v>
      </c>
      <c r="B3022" s="38">
        <v>145000</v>
      </c>
      <c r="E3022" s="37" t="b">
        <v>0</v>
      </c>
      <c r="F3022" s="37" t="b">
        <v>1</v>
      </c>
      <c r="G3022" s="37">
        <v>0</v>
      </c>
      <c r="H3022" s="37" t="b">
        <v>0</v>
      </c>
    </row>
    <row r="3023" spans="1:8" x14ac:dyDescent="0.3">
      <c r="A3023" s="37" t="s">
        <v>126</v>
      </c>
      <c r="B3023" s="38">
        <v>135000</v>
      </c>
      <c r="E3023" s="37" t="b">
        <v>0</v>
      </c>
      <c r="F3023" s="37" t="b">
        <v>1</v>
      </c>
      <c r="G3023" s="37">
        <v>0</v>
      </c>
      <c r="H3023" s="37" t="b">
        <v>0</v>
      </c>
    </row>
    <row r="3024" spans="1:8" x14ac:dyDescent="0.3">
      <c r="A3024" s="37" t="s">
        <v>0</v>
      </c>
      <c r="B3024" s="38">
        <v>110000</v>
      </c>
      <c r="E3024" s="37" t="b">
        <v>0</v>
      </c>
      <c r="F3024" s="37" t="b">
        <v>1</v>
      </c>
      <c r="G3024" s="37">
        <v>0</v>
      </c>
      <c r="H3024" s="37" t="b">
        <v>0</v>
      </c>
    </row>
    <row r="3025" spans="1:8" x14ac:dyDescent="0.3">
      <c r="A3025" s="37" t="s">
        <v>2</v>
      </c>
      <c r="B3025" s="38">
        <v>57000</v>
      </c>
      <c r="E3025" s="37" t="b">
        <v>1</v>
      </c>
      <c r="F3025" s="37" t="b">
        <v>1</v>
      </c>
      <c r="G3025" s="37">
        <v>1</v>
      </c>
      <c r="H3025" s="37">
        <v>57000</v>
      </c>
    </row>
    <row r="3026" spans="1:8" x14ac:dyDescent="0.3">
      <c r="A3026" s="37" t="s">
        <v>2</v>
      </c>
      <c r="B3026" s="38"/>
      <c r="E3026" s="37" t="b">
        <v>1</v>
      </c>
      <c r="F3026" s="37" t="b">
        <v>0</v>
      </c>
      <c r="G3026" s="37">
        <v>0</v>
      </c>
      <c r="H3026" s="37" t="b">
        <v>0</v>
      </c>
    </row>
    <row r="3027" spans="1:8" x14ac:dyDescent="0.3">
      <c r="A3027" s="37" t="s">
        <v>4</v>
      </c>
      <c r="B3027" s="38">
        <v>80000</v>
      </c>
      <c r="E3027" s="37" t="b">
        <v>0</v>
      </c>
      <c r="F3027" s="37" t="b">
        <v>1</v>
      </c>
      <c r="G3027" s="37">
        <v>0</v>
      </c>
      <c r="H3027" s="37" t="b">
        <v>0</v>
      </c>
    </row>
    <row r="3028" spans="1:8" x14ac:dyDescent="0.3">
      <c r="A3028" s="37" t="s">
        <v>2</v>
      </c>
      <c r="B3028" s="38">
        <v>47500</v>
      </c>
      <c r="E3028" s="37" t="b">
        <v>1</v>
      </c>
      <c r="F3028" s="37" t="b">
        <v>1</v>
      </c>
      <c r="G3028" s="37">
        <v>1</v>
      </c>
      <c r="H3028" s="37">
        <v>47500</v>
      </c>
    </row>
    <row r="3029" spans="1:8" x14ac:dyDescent="0.3">
      <c r="A3029" s="37" t="s">
        <v>2</v>
      </c>
      <c r="B3029" s="38">
        <v>70000</v>
      </c>
      <c r="E3029" s="37" t="b">
        <v>1</v>
      </c>
      <c r="F3029" s="37" t="b">
        <v>1</v>
      </c>
      <c r="G3029" s="37">
        <v>1</v>
      </c>
      <c r="H3029" s="37">
        <v>70000</v>
      </c>
    </row>
    <row r="3030" spans="1:8" x14ac:dyDescent="0.3">
      <c r="A3030" s="37" t="s">
        <v>2</v>
      </c>
      <c r="B3030" s="38"/>
      <c r="E3030" s="37" t="b">
        <v>1</v>
      </c>
      <c r="F3030" s="37" t="b">
        <v>0</v>
      </c>
      <c r="G3030" s="37">
        <v>0</v>
      </c>
      <c r="H3030" s="37" t="b">
        <v>0</v>
      </c>
    </row>
    <row r="3031" spans="1:8" x14ac:dyDescent="0.3">
      <c r="A3031" s="37" t="s">
        <v>2</v>
      </c>
      <c r="B3031" s="38"/>
      <c r="E3031" s="37" t="b">
        <v>1</v>
      </c>
      <c r="F3031" s="37" t="b">
        <v>0</v>
      </c>
      <c r="G3031" s="37">
        <v>0</v>
      </c>
      <c r="H3031" s="37" t="b">
        <v>0</v>
      </c>
    </row>
    <row r="3032" spans="1:8" x14ac:dyDescent="0.3">
      <c r="A3032" s="37" t="s">
        <v>0</v>
      </c>
      <c r="B3032" s="38"/>
      <c r="E3032" s="37" t="b">
        <v>0</v>
      </c>
      <c r="F3032" s="37" t="b">
        <v>0</v>
      </c>
      <c r="G3032" s="37">
        <v>0</v>
      </c>
      <c r="H3032" s="37" t="b">
        <v>0</v>
      </c>
    </row>
    <row r="3033" spans="1:8" x14ac:dyDescent="0.3">
      <c r="A3033" s="37" t="s">
        <v>2</v>
      </c>
      <c r="B3033" s="38">
        <v>60000</v>
      </c>
      <c r="E3033" s="37" t="b">
        <v>1</v>
      </c>
      <c r="F3033" s="37" t="b">
        <v>1</v>
      </c>
      <c r="G3033" s="37">
        <v>1</v>
      </c>
      <c r="H3033" s="37">
        <v>60000</v>
      </c>
    </row>
    <row r="3034" spans="1:8" x14ac:dyDescent="0.3">
      <c r="A3034" s="37" t="s">
        <v>2</v>
      </c>
      <c r="B3034" s="38"/>
      <c r="E3034" s="37" t="b">
        <v>1</v>
      </c>
      <c r="F3034" s="37" t="b">
        <v>0</v>
      </c>
      <c r="G3034" s="37">
        <v>0</v>
      </c>
      <c r="H3034" s="37" t="b">
        <v>0</v>
      </c>
    </row>
    <row r="3035" spans="1:8" x14ac:dyDescent="0.3">
      <c r="A3035" s="37" t="s">
        <v>2</v>
      </c>
      <c r="B3035" s="38"/>
      <c r="E3035" s="37" t="b">
        <v>1</v>
      </c>
      <c r="F3035" s="37" t="b">
        <v>0</v>
      </c>
      <c r="G3035" s="37">
        <v>0</v>
      </c>
      <c r="H3035" s="37" t="b">
        <v>0</v>
      </c>
    </row>
    <row r="3036" spans="1:8" x14ac:dyDescent="0.3">
      <c r="A3036" s="37" t="s">
        <v>2</v>
      </c>
      <c r="B3036" s="38"/>
      <c r="E3036" s="37" t="b">
        <v>1</v>
      </c>
      <c r="F3036" s="37" t="b">
        <v>0</v>
      </c>
      <c r="G3036" s="37">
        <v>0</v>
      </c>
      <c r="H3036" s="37" t="b">
        <v>0</v>
      </c>
    </row>
    <row r="3037" spans="1:8" x14ac:dyDescent="0.3">
      <c r="A3037" s="37" t="s">
        <v>2</v>
      </c>
      <c r="B3037" s="38">
        <v>117550</v>
      </c>
      <c r="E3037" s="37" t="b">
        <v>1</v>
      </c>
      <c r="F3037" s="37" t="b">
        <v>1</v>
      </c>
      <c r="G3037" s="37">
        <v>1</v>
      </c>
      <c r="H3037" s="37">
        <v>117550</v>
      </c>
    </row>
    <row r="3038" spans="1:8" x14ac:dyDescent="0.3">
      <c r="A3038" s="37" t="s">
        <v>0</v>
      </c>
      <c r="B3038" s="38"/>
      <c r="E3038" s="37" t="b">
        <v>0</v>
      </c>
      <c r="F3038" s="37" t="b">
        <v>0</v>
      </c>
      <c r="G3038" s="37">
        <v>0</v>
      </c>
      <c r="H3038" s="37" t="b">
        <v>0</v>
      </c>
    </row>
    <row r="3039" spans="1:8" x14ac:dyDescent="0.3">
      <c r="A3039" s="37" t="s">
        <v>0</v>
      </c>
      <c r="B3039" s="38">
        <v>117500</v>
      </c>
      <c r="E3039" s="37" t="b">
        <v>0</v>
      </c>
      <c r="F3039" s="37" t="b">
        <v>1</v>
      </c>
      <c r="G3039" s="37">
        <v>0</v>
      </c>
      <c r="H3039" s="37" t="b">
        <v>0</v>
      </c>
    </row>
    <row r="3040" spans="1:8" x14ac:dyDescent="0.3">
      <c r="A3040" s="37" t="s">
        <v>2</v>
      </c>
      <c r="B3040" s="38"/>
      <c r="E3040" s="37" t="b">
        <v>1</v>
      </c>
      <c r="F3040" s="37" t="b">
        <v>0</v>
      </c>
      <c r="G3040" s="37">
        <v>0</v>
      </c>
      <c r="H3040" s="37" t="b">
        <v>0</v>
      </c>
    </row>
    <row r="3041" spans="1:8" x14ac:dyDescent="0.3">
      <c r="A3041" s="37" t="s">
        <v>2</v>
      </c>
      <c r="B3041" s="38">
        <v>70000</v>
      </c>
      <c r="E3041" s="37" t="b">
        <v>1</v>
      </c>
      <c r="F3041" s="37" t="b">
        <v>1</v>
      </c>
      <c r="G3041" s="37">
        <v>1</v>
      </c>
      <c r="H3041" s="37">
        <v>70000</v>
      </c>
    </row>
    <row r="3042" spans="1:8" x14ac:dyDescent="0.3">
      <c r="A3042" s="37" t="s">
        <v>4</v>
      </c>
      <c r="B3042" s="38">
        <v>96500</v>
      </c>
      <c r="E3042" s="37" t="b">
        <v>0</v>
      </c>
      <c r="F3042" s="37" t="b">
        <v>1</v>
      </c>
      <c r="G3042" s="37">
        <v>0</v>
      </c>
      <c r="H3042" s="37" t="b">
        <v>0</v>
      </c>
    </row>
    <row r="3043" spans="1:8" x14ac:dyDescent="0.3">
      <c r="A3043" s="37" t="s">
        <v>2</v>
      </c>
      <c r="B3043" s="38"/>
      <c r="E3043" s="37" t="b">
        <v>1</v>
      </c>
      <c r="F3043" s="37" t="b">
        <v>0</v>
      </c>
      <c r="G3043" s="37">
        <v>0</v>
      </c>
      <c r="H3043" s="37" t="b">
        <v>0</v>
      </c>
    </row>
    <row r="3044" spans="1:8" x14ac:dyDescent="0.3">
      <c r="A3044" s="37" t="s">
        <v>2</v>
      </c>
      <c r="B3044" s="38">
        <v>80000</v>
      </c>
      <c r="E3044" s="37" t="b">
        <v>1</v>
      </c>
      <c r="F3044" s="37" t="b">
        <v>1</v>
      </c>
      <c r="G3044" s="37">
        <v>1</v>
      </c>
      <c r="H3044" s="37">
        <v>80000</v>
      </c>
    </row>
    <row r="3045" spans="1:8" x14ac:dyDescent="0.3">
      <c r="A3045" s="37" t="s">
        <v>0</v>
      </c>
      <c r="B3045" s="38">
        <v>103529</v>
      </c>
      <c r="E3045" s="37" t="b">
        <v>0</v>
      </c>
      <c r="F3045" s="37" t="b">
        <v>1</v>
      </c>
      <c r="G3045" s="37">
        <v>0</v>
      </c>
      <c r="H3045" s="37" t="b">
        <v>0</v>
      </c>
    </row>
    <row r="3046" spans="1:8" x14ac:dyDescent="0.3">
      <c r="A3046" s="37" t="s">
        <v>0</v>
      </c>
      <c r="B3046" s="38">
        <v>180000</v>
      </c>
      <c r="E3046" s="37" t="b">
        <v>0</v>
      </c>
      <c r="F3046" s="37" t="b">
        <v>1</v>
      </c>
      <c r="G3046" s="37">
        <v>0</v>
      </c>
      <c r="H3046" s="37" t="b">
        <v>0</v>
      </c>
    </row>
    <row r="3047" spans="1:8" x14ac:dyDescent="0.3">
      <c r="A3047" s="37" t="s">
        <v>4</v>
      </c>
      <c r="B3047" s="38">
        <v>80000</v>
      </c>
      <c r="E3047" s="37" t="b">
        <v>0</v>
      </c>
      <c r="F3047" s="37" t="b">
        <v>1</v>
      </c>
      <c r="G3047" s="37">
        <v>0</v>
      </c>
      <c r="H3047" s="37" t="b">
        <v>0</v>
      </c>
    </row>
    <row r="3048" spans="1:8" x14ac:dyDescent="0.3">
      <c r="A3048" s="37" t="s">
        <v>125</v>
      </c>
      <c r="B3048" s="38">
        <v>112500</v>
      </c>
      <c r="E3048" s="37" t="b">
        <v>0</v>
      </c>
      <c r="F3048" s="37" t="b">
        <v>1</v>
      </c>
      <c r="G3048" s="37">
        <v>0</v>
      </c>
      <c r="H3048" s="37" t="b">
        <v>0</v>
      </c>
    </row>
    <row r="3049" spans="1:8" x14ac:dyDescent="0.3">
      <c r="A3049" s="37" t="s">
        <v>0</v>
      </c>
      <c r="B3049" s="38">
        <v>143500</v>
      </c>
      <c r="E3049" s="37" t="b">
        <v>0</v>
      </c>
      <c r="F3049" s="37" t="b">
        <v>1</v>
      </c>
      <c r="G3049" s="37">
        <v>0</v>
      </c>
      <c r="H3049" s="37" t="b">
        <v>0</v>
      </c>
    </row>
    <row r="3050" spans="1:8" x14ac:dyDescent="0.3">
      <c r="A3050" s="37" t="s">
        <v>0</v>
      </c>
      <c r="B3050" s="38">
        <v>250000</v>
      </c>
      <c r="E3050" s="37" t="b">
        <v>0</v>
      </c>
      <c r="F3050" s="37" t="b">
        <v>1</v>
      </c>
      <c r="G3050" s="37">
        <v>0</v>
      </c>
      <c r="H3050" s="37" t="b">
        <v>0</v>
      </c>
    </row>
    <row r="3051" spans="1:8" x14ac:dyDescent="0.3">
      <c r="A3051" s="37" t="s">
        <v>0</v>
      </c>
      <c r="B3051" s="38"/>
      <c r="E3051" s="37" t="b">
        <v>0</v>
      </c>
      <c r="F3051" s="37" t="b">
        <v>0</v>
      </c>
      <c r="G3051" s="37">
        <v>0</v>
      </c>
      <c r="H3051" s="37" t="b">
        <v>0</v>
      </c>
    </row>
    <row r="3052" spans="1:8" x14ac:dyDescent="0.3">
      <c r="A3052" s="37" t="s">
        <v>2</v>
      </c>
      <c r="B3052" s="38"/>
      <c r="E3052" s="37" t="b">
        <v>1</v>
      </c>
      <c r="F3052" s="37" t="b">
        <v>0</v>
      </c>
      <c r="G3052" s="37">
        <v>0</v>
      </c>
      <c r="H3052" s="37" t="b">
        <v>0</v>
      </c>
    </row>
    <row r="3053" spans="1:8" x14ac:dyDescent="0.3">
      <c r="A3053" s="37" t="s">
        <v>0</v>
      </c>
      <c r="B3053" s="38">
        <v>125000</v>
      </c>
      <c r="E3053" s="37" t="b">
        <v>0</v>
      </c>
      <c r="F3053" s="37" t="b">
        <v>1</v>
      </c>
      <c r="G3053" s="37">
        <v>0</v>
      </c>
      <c r="H3053" s="37" t="b">
        <v>0</v>
      </c>
    </row>
    <row r="3054" spans="1:8" x14ac:dyDescent="0.3">
      <c r="A3054" s="37" t="s">
        <v>128</v>
      </c>
      <c r="B3054" s="38">
        <v>134000</v>
      </c>
      <c r="E3054" s="37" t="b">
        <v>0</v>
      </c>
      <c r="F3054" s="37" t="b">
        <v>1</v>
      </c>
      <c r="G3054" s="37">
        <v>0</v>
      </c>
      <c r="H3054" s="37" t="b">
        <v>0</v>
      </c>
    </row>
    <row r="3055" spans="1:8" x14ac:dyDescent="0.3">
      <c r="A3055" s="37" t="s">
        <v>2</v>
      </c>
      <c r="B3055" s="38"/>
      <c r="E3055" s="37" t="b">
        <v>1</v>
      </c>
      <c r="F3055" s="37" t="b">
        <v>0</v>
      </c>
      <c r="G3055" s="37">
        <v>0</v>
      </c>
      <c r="H3055" s="37" t="b">
        <v>0</v>
      </c>
    </row>
    <row r="3056" spans="1:8" x14ac:dyDescent="0.3">
      <c r="A3056" s="37" t="s">
        <v>2</v>
      </c>
      <c r="B3056" s="38"/>
      <c r="E3056" s="37" t="b">
        <v>1</v>
      </c>
      <c r="F3056" s="37" t="b">
        <v>0</v>
      </c>
      <c r="G3056" s="37">
        <v>0</v>
      </c>
      <c r="H3056" s="37" t="b">
        <v>0</v>
      </c>
    </row>
    <row r="3057" spans="1:8" x14ac:dyDescent="0.3">
      <c r="A3057" s="37" t="s">
        <v>2</v>
      </c>
      <c r="B3057" s="38"/>
      <c r="E3057" s="37" t="b">
        <v>1</v>
      </c>
      <c r="F3057" s="37" t="b">
        <v>0</v>
      </c>
      <c r="G3057" s="37">
        <v>0</v>
      </c>
      <c r="H3057" s="37" t="b">
        <v>0</v>
      </c>
    </row>
    <row r="3058" spans="1:8" x14ac:dyDescent="0.3">
      <c r="A3058" s="37" t="s">
        <v>2</v>
      </c>
      <c r="B3058" s="38"/>
      <c r="E3058" s="37" t="b">
        <v>1</v>
      </c>
      <c r="F3058" s="37" t="b">
        <v>0</v>
      </c>
      <c r="G3058" s="37">
        <v>0</v>
      </c>
      <c r="H3058" s="37" t="b">
        <v>0</v>
      </c>
    </row>
    <row r="3059" spans="1:8" x14ac:dyDescent="0.3">
      <c r="A3059" s="37" t="s">
        <v>125</v>
      </c>
      <c r="B3059" s="38"/>
      <c r="E3059" s="37" t="b">
        <v>0</v>
      </c>
      <c r="F3059" s="37" t="b">
        <v>0</v>
      </c>
      <c r="G3059" s="37">
        <v>0</v>
      </c>
      <c r="H3059" s="37" t="b">
        <v>0</v>
      </c>
    </row>
    <row r="3060" spans="1:8" x14ac:dyDescent="0.3">
      <c r="A3060" s="37" t="s">
        <v>2</v>
      </c>
      <c r="B3060" s="38"/>
      <c r="E3060" s="37" t="b">
        <v>1</v>
      </c>
      <c r="F3060" s="37" t="b">
        <v>0</v>
      </c>
      <c r="G3060" s="37">
        <v>0</v>
      </c>
      <c r="H3060" s="37" t="b">
        <v>0</v>
      </c>
    </row>
    <row r="3061" spans="1:8" x14ac:dyDescent="0.3">
      <c r="A3061" s="37" t="s">
        <v>0</v>
      </c>
      <c r="B3061" s="38"/>
      <c r="E3061" s="37" t="b">
        <v>0</v>
      </c>
      <c r="F3061" s="37" t="b">
        <v>0</v>
      </c>
      <c r="G3061" s="37">
        <v>0</v>
      </c>
      <c r="H3061" s="37" t="b">
        <v>0</v>
      </c>
    </row>
    <row r="3062" spans="1:8" x14ac:dyDescent="0.3">
      <c r="A3062" s="37" t="s">
        <v>2</v>
      </c>
      <c r="B3062" s="38">
        <v>56500</v>
      </c>
      <c r="E3062" s="37" t="b">
        <v>1</v>
      </c>
      <c r="F3062" s="37" t="b">
        <v>1</v>
      </c>
      <c r="G3062" s="37">
        <v>1</v>
      </c>
      <c r="H3062" s="37">
        <v>56500</v>
      </c>
    </row>
    <row r="3063" spans="1:8" x14ac:dyDescent="0.3">
      <c r="A3063" s="37" t="s">
        <v>52</v>
      </c>
      <c r="B3063" s="38"/>
      <c r="E3063" s="37" t="b">
        <v>0</v>
      </c>
      <c r="F3063" s="37" t="b">
        <v>0</v>
      </c>
      <c r="G3063" s="37">
        <v>0</v>
      </c>
      <c r="H3063" s="37" t="b">
        <v>0</v>
      </c>
    </row>
    <row r="3064" spans="1:8" x14ac:dyDescent="0.3">
      <c r="A3064" s="37" t="s">
        <v>2</v>
      </c>
      <c r="B3064" s="38">
        <v>72500</v>
      </c>
      <c r="E3064" s="37" t="b">
        <v>1</v>
      </c>
      <c r="F3064" s="37" t="b">
        <v>1</v>
      </c>
      <c r="G3064" s="37">
        <v>1</v>
      </c>
      <c r="H3064" s="37">
        <v>72500</v>
      </c>
    </row>
    <row r="3065" spans="1:8" x14ac:dyDescent="0.3">
      <c r="A3065" s="37" t="s">
        <v>2</v>
      </c>
      <c r="B3065" s="38"/>
      <c r="E3065" s="37" t="b">
        <v>1</v>
      </c>
      <c r="F3065" s="37" t="b">
        <v>0</v>
      </c>
      <c r="G3065" s="37">
        <v>0</v>
      </c>
      <c r="H3065" s="37" t="b">
        <v>0</v>
      </c>
    </row>
    <row r="3066" spans="1:8" x14ac:dyDescent="0.3">
      <c r="A3066" s="37" t="s">
        <v>2</v>
      </c>
      <c r="B3066" s="38"/>
      <c r="E3066" s="37" t="b">
        <v>1</v>
      </c>
      <c r="F3066" s="37" t="b">
        <v>0</v>
      </c>
      <c r="G3066" s="37">
        <v>0</v>
      </c>
      <c r="H3066" s="37" t="b">
        <v>0</v>
      </c>
    </row>
    <row r="3067" spans="1:8" x14ac:dyDescent="0.3">
      <c r="A3067" s="37" t="s">
        <v>2</v>
      </c>
      <c r="B3067" s="38"/>
      <c r="E3067" s="37" t="b">
        <v>1</v>
      </c>
      <c r="F3067" s="37" t="b">
        <v>0</v>
      </c>
      <c r="G3067" s="37">
        <v>0</v>
      </c>
      <c r="H3067" s="37" t="b">
        <v>0</v>
      </c>
    </row>
    <row r="3068" spans="1:8" x14ac:dyDescent="0.3">
      <c r="A3068" s="37" t="s">
        <v>128</v>
      </c>
      <c r="B3068" s="38">
        <v>137500</v>
      </c>
      <c r="E3068" s="37" t="b">
        <v>0</v>
      </c>
      <c r="F3068" s="37" t="b">
        <v>1</v>
      </c>
      <c r="G3068" s="37">
        <v>0</v>
      </c>
      <c r="H3068" s="37" t="b">
        <v>0</v>
      </c>
    </row>
    <row r="3069" spans="1:8" x14ac:dyDescent="0.3">
      <c r="A3069" s="37" t="s">
        <v>2</v>
      </c>
      <c r="B3069" s="38"/>
      <c r="E3069" s="37" t="b">
        <v>1</v>
      </c>
      <c r="F3069" s="37" t="b">
        <v>0</v>
      </c>
      <c r="G3069" s="37">
        <v>0</v>
      </c>
      <c r="H3069" s="37" t="b">
        <v>0</v>
      </c>
    </row>
    <row r="3070" spans="1:8" x14ac:dyDescent="0.3">
      <c r="A3070" s="37" t="s">
        <v>2</v>
      </c>
      <c r="B3070" s="38">
        <v>70000</v>
      </c>
      <c r="E3070" s="37" t="b">
        <v>1</v>
      </c>
      <c r="F3070" s="37" t="b">
        <v>1</v>
      </c>
      <c r="G3070" s="37">
        <v>1</v>
      </c>
      <c r="H3070" s="37">
        <v>70000</v>
      </c>
    </row>
    <row r="3071" spans="1:8" x14ac:dyDescent="0.3">
      <c r="A3071" s="37" t="s">
        <v>2</v>
      </c>
      <c r="B3071" s="38"/>
      <c r="E3071" s="37" t="b">
        <v>1</v>
      </c>
      <c r="F3071" s="37" t="b">
        <v>0</v>
      </c>
      <c r="G3071" s="37">
        <v>0</v>
      </c>
      <c r="H3071" s="37" t="b">
        <v>0</v>
      </c>
    </row>
    <row r="3072" spans="1:8" x14ac:dyDescent="0.3">
      <c r="A3072" s="37" t="s">
        <v>2</v>
      </c>
      <c r="B3072" s="38">
        <v>97500</v>
      </c>
      <c r="E3072" s="37" t="b">
        <v>1</v>
      </c>
      <c r="F3072" s="37" t="b">
        <v>1</v>
      </c>
      <c r="G3072" s="37">
        <v>1</v>
      </c>
      <c r="H3072" s="37">
        <v>97500</v>
      </c>
    </row>
    <row r="3073" spans="1:8" x14ac:dyDescent="0.3">
      <c r="A3073" s="37" t="s">
        <v>4</v>
      </c>
      <c r="B3073" s="38"/>
      <c r="E3073" s="37" t="b">
        <v>0</v>
      </c>
      <c r="F3073" s="37" t="b">
        <v>0</v>
      </c>
      <c r="G3073" s="37">
        <v>0</v>
      </c>
      <c r="H3073" s="37" t="b">
        <v>0</v>
      </c>
    </row>
    <row r="3074" spans="1:8" x14ac:dyDescent="0.3">
      <c r="A3074" s="37" t="s">
        <v>2</v>
      </c>
      <c r="B3074" s="38"/>
      <c r="E3074" s="37" t="b">
        <v>1</v>
      </c>
      <c r="F3074" s="37" t="b">
        <v>0</v>
      </c>
      <c r="G3074" s="37">
        <v>0</v>
      </c>
      <c r="H3074" s="37" t="b">
        <v>0</v>
      </c>
    </row>
    <row r="3075" spans="1:8" x14ac:dyDescent="0.3">
      <c r="A3075" s="37" t="s">
        <v>2</v>
      </c>
      <c r="B3075" s="38"/>
      <c r="E3075" s="37" t="b">
        <v>1</v>
      </c>
      <c r="F3075" s="37" t="b">
        <v>0</v>
      </c>
      <c r="G3075" s="37">
        <v>0</v>
      </c>
      <c r="H3075" s="37" t="b">
        <v>0</v>
      </c>
    </row>
    <row r="3076" spans="1:8" x14ac:dyDescent="0.3">
      <c r="A3076" s="37" t="s">
        <v>2</v>
      </c>
      <c r="B3076" s="38"/>
      <c r="E3076" s="37" t="b">
        <v>1</v>
      </c>
      <c r="F3076" s="37" t="b">
        <v>0</v>
      </c>
      <c r="G3076" s="37">
        <v>0</v>
      </c>
      <c r="H3076" s="37" t="b">
        <v>0</v>
      </c>
    </row>
    <row r="3077" spans="1:8" x14ac:dyDescent="0.3">
      <c r="A3077" s="37" t="s">
        <v>2</v>
      </c>
      <c r="B3077" s="38">
        <v>75000</v>
      </c>
      <c r="E3077" s="37" t="b">
        <v>1</v>
      </c>
      <c r="F3077" s="37" t="b">
        <v>1</v>
      </c>
      <c r="G3077" s="37">
        <v>1</v>
      </c>
      <c r="H3077" s="37">
        <v>75000</v>
      </c>
    </row>
    <row r="3078" spans="1:8" x14ac:dyDescent="0.3">
      <c r="A3078" s="37" t="s">
        <v>2</v>
      </c>
      <c r="B3078" s="38"/>
      <c r="E3078" s="37" t="b">
        <v>1</v>
      </c>
      <c r="F3078" s="37" t="b">
        <v>0</v>
      </c>
      <c r="G3078" s="37">
        <v>0</v>
      </c>
      <c r="H3078" s="37" t="b">
        <v>0</v>
      </c>
    </row>
    <row r="3079" spans="1:8" x14ac:dyDescent="0.3">
      <c r="A3079" s="37" t="s">
        <v>2</v>
      </c>
      <c r="B3079" s="38">
        <v>52500</v>
      </c>
      <c r="E3079" s="37" t="b">
        <v>1</v>
      </c>
      <c r="F3079" s="37" t="b">
        <v>1</v>
      </c>
      <c r="G3079" s="37">
        <v>1</v>
      </c>
      <c r="H3079" s="37">
        <v>52500</v>
      </c>
    </row>
    <row r="3080" spans="1:8" x14ac:dyDescent="0.3">
      <c r="A3080" s="37" t="s">
        <v>2</v>
      </c>
      <c r="B3080" s="38">
        <v>52000</v>
      </c>
      <c r="E3080" s="37" t="b">
        <v>1</v>
      </c>
      <c r="F3080" s="37" t="b">
        <v>1</v>
      </c>
      <c r="G3080" s="37">
        <v>1</v>
      </c>
      <c r="H3080" s="37">
        <v>52000</v>
      </c>
    </row>
    <row r="3081" spans="1:8" x14ac:dyDescent="0.3">
      <c r="A3081" s="37" t="s">
        <v>2</v>
      </c>
      <c r="B3081" s="38">
        <v>97500</v>
      </c>
      <c r="E3081" s="37" t="b">
        <v>1</v>
      </c>
      <c r="F3081" s="37" t="b">
        <v>1</v>
      </c>
      <c r="G3081" s="37">
        <v>1</v>
      </c>
      <c r="H3081" s="37">
        <v>97500</v>
      </c>
    </row>
    <row r="3082" spans="1:8" x14ac:dyDescent="0.3">
      <c r="A3082" s="37" t="s">
        <v>2</v>
      </c>
      <c r="B3082" s="38">
        <v>65037.5</v>
      </c>
      <c r="E3082" s="37" t="b">
        <v>1</v>
      </c>
      <c r="F3082" s="37" t="b">
        <v>1</v>
      </c>
      <c r="G3082" s="37">
        <v>1</v>
      </c>
      <c r="H3082" s="37">
        <v>65037.5</v>
      </c>
    </row>
    <row r="3083" spans="1:8" x14ac:dyDescent="0.3">
      <c r="A3083" s="37" t="s">
        <v>125</v>
      </c>
      <c r="B3083" s="38">
        <v>96500</v>
      </c>
      <c r="E3083" s="37" t="b">
        <v>0</v>
      </c>
      <c r="F3083" s="37" t="b">
        <v>1</v>
      </c>
      <c r="G3083" s="37">
        <v>0</v>
      </c>
      <c r="H3083" s="37" t="b">
        <v>0</v>
      </c>
    </row>
    <row r="3084" spans="1:8" x14ac:dyDescent="0.3">
      <c r="A3084" s="37" t="s">
        <v>2</v>
      </c>
      <c r="B3084" s="38"/>
      <c r="E3084" s="37" t="b">
        <v>1</v>
      </c>
      <c r="F3084" s="37" t="b">
        <v>0</v>
      </c>
      <c r="G3084" s="37">
        <v>0</v>
      </c>
      <c r="H3084" s="37" t="b">
        <v>0</v>
      </c>
    </row>
    <row r="3085" spans="1:8" x14ac:dyDescent="0.3">
      <c r="A3085" s="37" t="s">
        <v>2</v>
      </c>
      <c r="B3085" s="38"/>
      <c r="E3085" s="37" t="b">
        <v>1</v>
      </c>
      <c r="F3085" s="37" t="b">
        <v>0</v>
      </c>
      <c r="G3085" s="37">
        <v>0</v>
      </c>
      <c r="H3085" s="37" t="b">
        <v>0</v>
      </c>
    </row>
    <row r="3086" spans="1:8" x14ac:dyDescent="0.3">
      <c r="A3086" s="37" t="s">
        <v>125</v>
      </c>
      <c r="B3086" s="38"/>
      <c r="E3086" s="37" t="b">
        <v>0</v>
      </c>
      <c r="F3086" s="37" t="b">
        <v>0</v>
      </c>
      <c r="G3086" s="37">
        <v>0</v>
      </c>
      <c r="H3086" s="37" t="b">
        <v>0</v>
      </c>
    </row>
    <row r="3087" spans="1:8" x14ac:dyDescent="0.3">
      <c r="A3087" s="37" t="s">
        <v>2</v>
      </c>
      <c r="B3087" s="38"/>
      <c r="E3087" s="37" t="b">
        <v>1</v>
      </c>
      <c r="F3087" s="37" t="b">
        <v>0</v>
      </c>
      <c r="G3087" s="37">
        <v>0</v>
      </c>
      <c r="H3087" s="37" t="b">
        <v>0</v>
      </c>
    </row>
    <row r="3088" spans="1:8" x14ac:dyDescent="0.3">
      <c r="A3088" s="37" t="s">
        <v>2</v>
      </c>
      <c r="B3088" s="38"/>
      <c r="E3088" s="37" t="b">
        <v>1</v>
      </c>
      <c r="F3088" s="37" t="b">
        <v>0</v>
      </c>
      <c r="G3088" s="37">
        <v>0</v>
      </c>
      <c r="H3088" s="37" t="b">
        <v>0</v>
      </c>
    </row>
    <row r="3089" spans="1:8" x14ac:dyDescent="0.3">
      <c r="A3089" s="37" t="s">
        <v>2</v>
      </c>
      <c r="B3089" s="38"/>
      <c r="E3089" s="37" t="b">
        <v>1</v>
      </c>
      <c r="F3089" s="37" t="b">
        <v>0</v>
      </c>
      <c r="G3089" s="37">
        <v>0</v>
      </c>
      <c r="H3089" s="37" t="b">
        <v>0</v>
      </c>
    </row>
    <row r="3090" spans="1:8" x14ac:dyDescent="0.3">
      <c r="A3090" s="37" t="s">
        <v>128</v>
      </c>
      <c r="B3090" s="38">
        <v>116700</v>
      </c>
      <c r="E3090" s="37" t="b">
        <v>0</v>
      </c>
      <c r="F3090" s="37" t="b">
        <v>1</v>
      </c>
      <c r="G3090" s="37">
        <v>0</v>
      </c>
      <c r="H3090" s="37" t="b">
        <v>0</v>
      </c>
    </row>
    <row r="3091" spans="1:8" x14ac:dyDescent="0.3">
      <c r="A3091" s="37" t="s">
        <v>0</v>
      </c>
      <c r="B3091" s="38">
        <v>105800</v>
      </c>
      <c r="E3091" s="37" t="b">
        <v>0</v>
      </c>
      <c r="F3091" s="37" t="b">
        <v>1</v>
      </c>
      <c r="G3091" s="37">
        <v>0</v>
      </c>
      <c r="H3091" s="37" t="b">
        <v>0</v>
      </c>
    </row>
    <row r="3092" spans="1:8" x14ac:dyDescent="0.3">
      <c r="A3092" s="37" t="s">
        <v>4</v>
      </c>
      <c r="B3092" s="38">
        <v>160000</v>
      </c>
      <c r="E3092" s="37" t="b">
        <v>0</v>
      </c>
      <c r="F3092" s="37" t="b">
        <v>1</v>
      </c>
      <c r="G3092" s="37">
        <v>0</v>
      </c>
      <c r="H3092" s="37" t="b">
        <v>0</v>
      </c>
    </row>
    <row r="3093" spans="1:8" x14ac:dyDescent="0.3">
      <c r="A3093" s="37" t="s">
        <v>0</v>
      </c>
      <c r="B3093" s="38">
        <v>110000</v>
      </c>
      <c r="E3093" s="37" t="b">
        <v>0</v>
      </c>
      <c r="F3093" s="37" t="b">
        <v>1</v>
      </c>
      <c r="G3093" s="37">
        <v>0</v>
      </c>
      <c r="H3093" s="37" t="b">
        <v>0</v>
      </c>
    </row>
    <row r="3094" spans="1:8" x14ac:dyDescent="0.3">
      <c r="A3094" s="37" t="s">
        <v>4</v>
      </c>
      <c r="B3094" s="38"/>
      <c r="E3094" s="37" t="b">
        <v>0</v>
      </c>
      <c r="F3094" s="37" t="b">
        <v>0</v>
      </c>
      <c r="G3094" s="37">
        <v>0</v>
      </c>
      <c r="H3094" s="37" t="b">
        <v>0</v>
      </c>
    </row>
    <row r="3095" spans="1:8" x14ac:dyDescent="0.3">
      <c r="A3095" s="37" t="s">
        <v>2</v>
      </c>
      <c r="B3095" s="38">
        <v>72500</v>
      </c>
      <c r="E3095" s="37" t="b">
        <v>1</v>
      </c>
      <c r="F3095" s="37" t="b">
        <v>1</v>
      </c>
      <c r="G3095" s="37">
        <v>1</v>
      </c>
      <c r="H3095" s="37">
        <v>72500</v>
      </c>
    </row>
    <row r="3096" spans="1:8" x14ac:dyDescent="0.3">
      <c r="A3096" s="37" t="s">
        <v>125</v>
      </c>
      <c r="B3096" s="38"/>
      <c r="E3096" s="37" t="b">
        <v>0</v>
      </c>
      <c r="F3096" s="37" t="b">
        <v>0</v>
      </c>
      <c r="G3096" s="37">
        <v>0</v>
      </c>
      <c r="H3096" s="37" t="b">
        <v>0</v>
      </c>
    </row>
    <row r="3097" spans="1:8" x14ac:dyDescent="0.3">
      <c r="A3097" s="37" t="s">
        <v>125</v>
      </c>
      <c r="B3097" s="38"/>
      <c r="E3097" s="37" t="b">
        <v>0</v>
      </c>
      <c r="F3097" s="37" t="b">
        <v>0</v>
      </c>
      <c r="G3097" s="37">
        <v>0</v>
      </c>
      <c r="H3097" s="37" t="b">
        <v>0</v>
      </c>
    </row>
    <row r="3098" spans="1:8" x14ac:dyDescent="0.3">
      <c r="A3098" s="37" t="s">
        <v>125</v>
      </c>
      <c r="B3098" s="38"/>
      <c r="E3098" s="37" t="b">
        <v>0</v>
      </c>
      <c r="F3098" s="37" t="b">
        <v>0</v>
      </c>
      <c r="G3098" s="37">
        <v>0</v>
      </c>
      <c r="H3098" s="37" t="b">
        <v>0</v>
      </c>
    </row>
    <row r="3099" spans="1:8" x14ac:dyDescent="0.3">
      <c r="A3099" s="37" t="s">
        <v>2</v>
      </c>
      <c r="B3099" s="38">
        <v>100000</v>
      </c>
      <c r="E3099" s="37" t="b">
        <v>1</v>
      </c>
      <c r="F3099" s="37" t="b">
        <v>1</v>
      </c>
      <c r="G3099" s="37">
        <v>1</v>
      </c>
      <c r="H3099" s="37">
        <v>100000</v>
      </c>
    </row>
    <row r="3100" spans="1:8" x14ac:dyDescent="0.3">
      <c r="A3100" s="37" t="s">
        <v>4</v>
      </c>
      <c r="B3100" s="38">
        <v>112500</v>
      </c>
      <c r="E3100" s="37" t="b">
        <v>0</v>
      </c>
      <c r="F3100" s="37" t="b">
        <v>1</v>
      </c>
      <c r="G3100" s="37">
        <v>0</v>
      </c>
      <c r="H3100" s="37" t="b">
        <v>0</v>
      </c>
    </row>
    <row r="3101" spans="1:8" x14ac:dyDescent="0.3">
      <c r="A3101" s="37" t="s">
        <v>4</v>
      </c>
      <c r="B3101" s="38"/>
      <c r="E3101" s="37" t="b">
        <v>0</v>
      </c>
      <c r="F3101" s="37" t="b">
        <v>0</v>
      </c>
      <c r="G3101" s="37">
        <v>0</v>
      </c>
      <c r="H3101" s="37" t="b">
        <v>0</v>
      </c>
    </row>
    <row r="3102" spans="1:8" x14ac:dyDescent="0.3">
      <c r="A3102" s="37" t="s">
        <v>2</v>
      </c>
      <c r="B3102" s="38"/>
      <c r="E3102" s="37" t="b">
        <v>1</v>
      </c>
      <c r="F3102" s="37" t="b">
        <v>0</v>
      </c>
      <c r="G3102" s="37">
        <v>0</v>
      </c>
      <c r="H3102" s="37" t="b">
        <v>0</v>
      </c>
    </row>
    <row r="3103" spans="1:8" x14ac:dyDescent="0.3">
      <c r="A3103" s="37" t="s">
        <v>4</v>
      </c>
      <c r="B3103" s="38"/>
      <c r="E3103" s="37" t="b">
        <v>0</v>
      </c>
      <c r="F3103" s="37" t="b">
        <v>0</v>
      </c>
      <c r="G3103" s="37">
        <v>0</v>
      </c>
      <c r="H3103" s="37" t="b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39E2D-2A2D-4AE4-B117-06AF814DD877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</vt:lpstr>
      <vt:lpstr>Errors</vt:lpstr>
      <vt:lpstr>Logical Functions</vt:lpstr>
      <vt:lpstr>Math Functions</vt:lpstr>
      <vt:lpstr>Statistical Function </vt:lpstr>
      <vt:lpstr>Array Function</vt:lpstr>
      <vt:lpstr>Median IF</vt:lpstr>
      <vt:lpstr>Date &amp; 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Ansh Jaiswal</cp:lastModifiedBy>
  <dcterms:created xsi:type="dcterms:W3CDTF">2024-07-16T20:11:02Z</dcterms:created>
  <dcterms:modified xsi:type="dcterms:W3CDTF">2026-01-04T07:18:38Z</dcterms:modified>
</cp:coreProperties>
</file>